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13.xml" ContentType="application/vnd.openxmlformats-officedocument.drawingml.chart+xml"/>
  <Override PartName="/xl/drawings/drawing19.xml" ContentType="application/vnd.openxmlformats-officedocument.drawing+xml"/>
  <Override PartName="/xl/charts/chart14.xml" ContentType="application/vnd.openxmlformats-officedocument.drawingml.chart+xml"/>
  <Override PartName="/xl/drawings/drawing20.xml" ContentType="application/vnd.openxmlformats-officedocument.drawing+xml"/>
  <Override PartName="/xl/charts/chart15.xml" ContentType="application/vnd.openxmlformats-officedocument.drawingml.chart+xml"/>
  <Override PartName="/xl/drawings/drawing21.xml" ContentType="application/vnd.openxmlformats-officedocument.drawing+xml"/>
  <Override PartName="/xl/charts/chart16.xml" ContentType="application/vnd.openxmlformats-officedocument.drawingml.chart+xml"/>
  <Override PartName="/xl/drawings/drawing22.xml" ContentType="application/vnd.openxmlformats-officedocument.drawing+xml"/>
  <Override PartName="/xl/charts/chart17.xml" ContentType="application/vnd.openxmlformats-officedocument.drawingml.chart+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G:\SYS2\SHARE\통계@\[통계]\0.사법연감\사법연감게시파일\2022년\완\"/>
    </mc:Choice>
  </mc:AlternateContent>
  <bookViews>
    <workbookView xWindow="0" yWindow="0" windowWidth="28800" windowHeight="12885" tabRatio="693" firstSheet="1" activeTab="1"/>
  </bookViews>
  <sheets>
    <sheet name="양식 변경사항" sheetId="37" state="hidden" r:id="rId1"/>
    <sheet name="1" sheetId="1" r:id="rId2"/>
    <sheet name="2" sheetId="4" r:id="rId3"/>
    <sheet name="3" sheetId="6" r:id="rId4"/>
    <sheet name="4" sheetId="7" r:id="rId5"/>
    <sheet name="5" sheetId="8" r:id="rId6"/>
    <sheet name="6" sheetId="9" r:id="rId7"/>
    <sheet name="7" sheetId="10" r:id="rId8"/>
    <sheet name="8" sheetId="11" r:id="rId9"/>
    <sheet name="9" sheetId="12" r:id="rId10"/>
    <sheet name="10" sheetId="14" r:id="rId11"/>
    <sheet name="11" sheetId="23" r:id="rId12"/>
    <sheet name="12" sheetId="15" r:id="rId13"/>
    <sheet name="13" sheetId="39" r:id="rId14"/>
    <sheet name="14" sheetId="30" r:id="rId15"/>
    <sheet name="15" sheetId="31" r:id="rId16"/>
    <sheet name="16" sheetId="18" r:id="rId17"/>
    <sheet name="17" sheetId="32" r:id="rId18"/>
    <sheet name="18" sheetId="33" r:id="rId19"/>
    <sheet name="19" sheetId="34" r:id="rId20"/>
    <sheet name="20" sheetId="35" r:id="rId21"/>
    <sheet name="20_수정전" sheetId="36" state="hidden" r:id="rId22"/>
    <sheet name="21" sheetId="38" r:id="rId23"/>
    <sheet name="22" sheetId="40" r:id="rId24"/>
  </sheets>
  <definedNames>
    <definedName name="_xlnm.Print_Area" localSheetId="21">'20_수정전'!$A$1:$H$45</definedName>
  </definedNames>
  <calcPr calcId="162913"/>
</workbook>
</file>

<file path=xl/calcChain.xml><?xml version="1.0" encoding="utf-8"?>
<calcChain xmlns="http://schemas.openxmlformats.org/spreadsheetml/2006/main">
  <c r="C9" i="36" l="1"/>
  <c r="C8" i="36"/>
  <c r="C7" i="36"/>
  <c r="C6" i="36"/>
  <c r="H10" i="36" l="1"/>
  <c r="F10" i="36"/>
  <c r="E10" i="36"/>
  <c r="D10" i="36"/>
  <c r="B10" i="36"/>
  <c r="C10" i="36" l="1"/>
  <c r="G10" i="36" s="1"/>
  <c r="K15" i="36" l="1"/>
  <c r="K14" i="36"/>
  <c r="G38" i="36"/>
  <c r="F38" i="36"/>
  <c r="E38" i="36"/>
  <c r="D38" i="36"/>
  <c r="K17" i="36" s="1"/>
  <c r="L14" i="36" l="1"/>
  <c r="L15" i="36" l="1"/>
  <c r="K16" i="36"/>
  <c r="L16" i="36" s="1"/>
</calcChain>
</file>

<file path=xl/sharedStrings.xml><?xml version="1.0" encoding="utf-8"?>
<sst xmlns="http://schemas.openxmlformats.org/spreadsheetml/2006/main" count="1414" uniqueCount="835">
  <si>
    <t>합의</t>
    <phoneticPr fontId="6" type="noConversion"/>
  </si>
  <si>
    <t>단독</t>
    <phoneticPr fontId="6" type="noConversion"/>
  </si>
  <si>
    <t>고등법원</t>
    <phoneticPr fontId="6" type="noConversion"/>
  </si>
  <si>
    <t>지방법원</t>
    <phoneticPr fontId="6" type="noConversion"/>
  </si>
  <si>
    <t>합계</t>
    <phoneticPr fontId="6" type="noConversion"/>
  </si>
  <si>
    <t>부정기</t>
    <phoneticPr fontId="6" type="noConversion"/>
  </si>
  <si>
    <t>구성비(%)</t>
    <phoneticPr fontId="6" type="noConversion"/>
  </si>
  <si>
    <t>지방법원</t>
  </si>
  <si>
    <t>무죄</t>
    <phoneticPr fontId="6" type="noConversion"/>
  </si>
  <si>
    <t>선고유예</t>
    <phoneticPr fontId="6" type="noConversion"/>
  </si>
  <si>
    <t>(5) 상소사건</t>
    <phoneticPr fontId="6" type="noConversion"/>
  </si>
  <si>
    <t>(6) 국선변호인 선정</t>
    <phoneticPr fontId="6" type="noConversion"/>
  </si>
  <si>
    <t>재산형</t>
    <phoneticPr fontId="6" type="noConversion"/>
  </si>
  <si>
    <t>항소율(%)</t>
    <phoneticPr fontId="6" type="noConversion"/>
  </si>
  <si>
    <t>상고율(%)</t>
    <phoneticPr fontId="6" type="noConversion"/>
  </si>
  <si>
    <t>1. 개황</t>
    <phoneticPr fontId="6" type="noConversion"/>
  </si>
  <si>
    <t>본안사건</t>
    <phoneticPr fontId="6" type="noConversion"/>
  </si>
  <si>
    <t>공판</t>
    <phoneticPr fontId="6" type="noConversion"/>
  </si>
  <si>
    <t>상고심</t>
    <phoneticPr fontId="6" type="noConversion"/>
  </si>
  <si>
    <t>치료감호</t>
    <phoneticPr fontId="6" type="noConversion"/>
  </si>
  <si>
    <t>항소심</t>
    <phoneticPr fontId="6" type="noConversion"/>
  </si>
  <si>
    <t>제1심</t>
    <phoneticPr fontId="6" type="noConversion"/>
  </si>
  <si>
    <t>2. 형사공판사건</t>
    <phoneticPr fontId="6" type="noConversion"/>
  </si>
  <si>
    <t>가. 사건의 동향</t>
    <phoneticPr fontId="6" type="noConversion"/>
  </si>
  <si>
    <t>나. 접수내역</t>
    <phoneticPr fontId="6" type="noConversion"/>
  </si>
  <si>
    <t>(2) 구속비율</t>
    <phoneticPr fontId="6" type="noConversion"/>
  </si>
  <si>
    <t>처리</t>
  </si>
  <si>
    <t>영장</t>
  </si>
  <si>
    <t>즉결</t>
  </si>
  <si>
    <t>여</t>
    <phoneticPr fontId="6" type="noConversion"/>
  </si>
  <si>
    <t>처리</t>
    <phoneticPr fontId="6" type="noConversion"/>
  </si>
  <si>
    <t>계</t>
    <phoneticPr fontId="6" type="noConversion"/>
  </si>
  <si>
    <t>처리율(%)</t>
    <phoneticPr fontId="6" type="noConversion"/>
  </si>
  <si>
    <t>생명형</t>
    <phoneticPr fontId="6" type="noConversion"/>
  </si>
  <si>
    <t>자유형(실형)</t>
    <phoneticPr fontId="6" type="noConversion"/>
  </si>
  <si>
    <t>기타</t>
    <phoneticPr fontId="6" type="noConversion"/>
  </si>
  <si>
    <t>구분</t>
    <phoneticPr fontId="6" type="noConversion"/>
  </si>
  <si>
    <t>집행유예</t>
    <phoneticPr fontId="6" type="noConversion"/>
  </si>
  <si>
    <t>심급</t>
    <phoneticPr fontId="6" type="noConversion"/>
  </si>
  <si>
    <t>항소심계</t>
    <phoneticPr fontId="6" type="noConversion"/>
  </si>
  <si>
    <t>1심합의</t>
    <phoneticPr fontId="6" type="noConversion"/>
  </si>
  <si>
    <t>1심단독</t>
    <phoneticPr fontId="6" type="noConversion"/>
  </si>
  <si>
    <t>처리인원수</t>
    <phoneticPr fontId="6" type="noConversion"/>
  </si>
  <si>
    <t>변호인선임피고인수</t>
    <phoneticPr fontId="6" type="noConversion"/>
  </si>
  <si>
    <t>국선변호인</t>
    <phoneticPr fontId="6" type="noConversion"/>
  </si>
  <si>
    <t>사선변호인</t>
    <phoneticPr fontId="6" type="noConversion"/>
  </si>
  <si>
    <t>제1심계</t>
    <phoneticPr fontId="6" type="noConversion"/>
  </si>
  <si>
    <t>상고심계</t>
    <phoneticPr fontId="6" type="noConversion"/>
  </si>
  <si>
    <t>라. 미제</t>
    <phoneticPr fontId="6" type="noConversion"/>
  </si>
  <si>
    <t>영구미제</t>
    <phoneticPr fontId="6" type="noConversion"/>
  </si>
  <si>
    <t>법정
기간내</t>
    <phoneticPr fontId="6" type="noConversion"/>
  </si>
  <si>
    <t>의정부</t>
    <phoneticPr fontId="6" type="noConversion"/>
  </si>
  <si>
    <t>금년접수</t>
    <phoneticPr fontId="6" type="noConversion"/>
  </si>
  <si>
    <t>나. 처리상황</t>
    <phoneticPr fontId="6" type="noConversion"/>
  </si>
  <si>
    <t>정식재판청구</t>
    <phoneticPr fontId="6" type="noConversion"/>
  </si>
  <si>
    <t>자유형</t>
    <phoneticPr fontId="6" type="noConversion"/>
  </si>
  <si>
    <t>공소기각</t>
    <phoneticPr fontId="6" type="noConversion"/>
  </si>
  <si>
    <t>가. 형사신청사건의 동향</t>
    <phoneticPr fontId="6" type="noConversion"/>
  </si>
  <si>
    <t>청구인별</t>
    <phoneticPr fontId="6" type="noConversion"/>
  </si>
  <si>
    <t>파기</t>
  </si>
  <si>
    <t>고등법원</t>
  </si>
  <si>
    <t>기각</t>
  </si>
  <si>
    <t>전자약식</t>
    <phoneticPr fontId="6" type="noConversion"/>
  </si>
  <si>
    <t>약식명령</t>
    <phoneticPr fontId="6" type="noConversion"/>
  </si>
  <si>
    <t>2013년</t>
    <phoneticPr fontId="6" type="noConversion"/>
  </si>
  <si>
    <t>(단위: 일)</t>
    <phoneticPr fontId="6" type="noConversion"/>
  </si>
  <si>
    <t>사건</t>
    <phoneticPr fontId="6" type="noConversion"/>
  </si>
  <si>
    <t>2014년</t>
    <phoneticPr fontId="6" type="noConversion"/>
  </si>
  <si>
    <t>2015년</t>
    <phoneticPr fontId="6" type="noConversion"/>
  </si>
  <si>
    <t>기각</t>
    <phoneticPr fontId="6" type="noConversion"/>
  </si>
  <si>
    <t>(-)</t>
    <phoneticPr fontId="6" type="noConversion"/>
  </si>
  <si>
    <t>제1심</t>
    <phoneticPr fontId="22" type="noConversion"/>
  </si>
  <si>
    <t>합의</t>
    <phoneticPr fontId="22" type="noConversion"/>
  </si>
  <si>
    <t>단독</t>
    <phoneticPr fontId="22" type="noConversion"/>
  </si>
  <si>
    <t>주 : 종국일자기준</t>
    <phoneticPr fontId="22" type="noConversion"/>
  </si>
  <si>
    <t>주 : 1. 종국일자기준</t>
    <phoneticPr fontId="22" type="noConversion"/>
  </si>
  <si>
    <t>상고심</t>
    <phoneticPr fontId="22" type="noConversion"/>
  </si>
  <si>
    <t>계</t>
  </si>
  <si>
    <t>무죄</t>
  </si>
  <si>
    <t>기타</t>
  </si>
  <si>
    <t>2016년</t>
    <phoneticPr fontId="6" type="noConversion"/>
  </si>
  <si>
    <t>판결대비기각률</t>
    <phoneticPr fontId="6" type="noConversion"/>
  </si>
  <si>
    <t>처리
인원수</t>
    <phoneticPr fontId="6" type="noConversion"/>
  </si>
  <si>
    <t>2017년</t>
    <phoneticPr fontId="6" type="noConversion"/>
  </si>
  <si>
    <t>주 : 1. 기일일자기준</t>
    <phoneticPr fontId="22" type="noConversion"/>
  </si>
  <si>
    <t xml:space="preserve">      2. 공판기일에 출석자로 지정되었으나, 출석하지 않고 재판이 진행된 피고인수</t>
    <phoneticPr fontId="6" type="noConversion"/>
  </si>
  <si>
    <t>즉결</t>
    <phoneticPr fontId="6" type="noConversion"/>
  </si>
  <si>
    <t>파
기</t>
    <phoneticPr fontId="6" type="noConversion"/>
  </si>
  <si>
    <t>자
판</t>
    <phoneticPr fontId="6" type="noConversion"/>
  </si>
  <si>
    <t>합계</t>
  </si>
  <si>
    <t>무기형</t>
  </si>
  <si>
    <t>무기</t>
  </si>
  <si>
    <t>징역 또는 금고</t>
    <phoneticPr fontId="6" type="noConversion"/>
  </si>
  <si>
    <t>불구속</t>
    <phoneticPr fontId="6" type="noConversion"/>
  </si>
  <si>
    <t>미성년자</t>
  </si>
  <si>
    <t>70세이상의자</t>
  </si>
  <si>
    <t>제1심</t>
  </si>
  <si>
    <t>항소심</t>
  </si>
  <si>
    <t>상고심</t>
  </si>
  <si>
    <t>합의</t>
  </si>
  <si>
    <t>단독</t>
  </si>
  <si>
    <t>사건수</t>
  </si>
  <si>
    <t>인원수</t>
  </si>
  <si>
    <t>(단위 : 일)</t>
    <phoneticPr fontId="6" type="noConversion"/>
  </si>
  <si>
    <t>남
(법인포함)</t>
    <phoneticPr fontId="6" type="noConversion"/>
  </si>
  <si>
    <t>법정구속 인원수</t>
    <phoneticPr fontId="6" type="noConversion"/>
  </si>
  <si>
    <t xml:space="preserve">      3. "영구미제"는 피고인의 불출석으로 구속영장이 2회 이상 발부되고 공소제기 후 1년이 경과 되었으나 소재불명으로 집행불능된 사건임</t>
    <phoneticPr fontId="6" type="noConversion"/>
  </si>
  <si>
    <t>1년 이내</t>
    <phoneticPr fontId="6" type="noConversion"/>
  </si>
  <si>
    <t>2년 이내</t>
    <phoneticPr fontId="6" type="noConversion"/>
  </si>
  <si>
    <t>2년 초과</t>
    <phoneticPr fontId="6" type="noConversion"/>
  </si>
  <si>
    <t>감호판결</t>
    <phoneticPr fontId="6" type="noConversion"/>
  </si>
  <si>
    <t>판결</t>
  </si>
  <si>
    <t>상소취하</t>
  </si>
  <si>
    <t>상소기각</t>
  </si>
  <si>
    <t>정식재판</t>
    <phoneticPr fontId="6" type="noConversion"/>
  </si>
  <si>
    <t>기타
(직권공판회부등)</t>
    <phoneticPr fontId="6" type="noConversion"/>
  </si>
  <si>
    <t>인천</t>
  </si>
  <si>
    <t>수원</t>
  </si>
  <si>
    <t>춘천</t>
  </si>
  <si>
    <t>대전</t>
  </si>
  <si>
    <t>청주</t>
  </si>
  <si>
    <t>대구</t>
  </si>
  <si>
    <t>부산</t>
  </si>
  <si>
    <t>울산</t>
  </si>
  <si>
    <t>창원</t>
  </si>
  <si>
    <t>광주</t>
  </si>
  <si>
    <t>전주</t>
  </si>
  <si>
    <t>제주</t>
  </si>
  <si>
    <t>형의선고</t>
  </si>
  <si>
    <t>과료</t>
  </si>
  <si>
    <t>구속영장</t>
  </si>
  <si>
    <t>체포영장</t>
  </si>
  <si>
    <t>감호영장</t>
  </si>
  <si>
    <t>감정유치장</t>
  </si>
  <si>
    <t>구속적부심사</t>
  </si>
  <si>
    <t>체포적부심사</t>
  </si>
  <si>
    <t>보석</t>
  </si>
  <si>
    <t>형집행유예취소</t>
  </si>
  <si>
    <t>증거보전</t>
  </si>
  <si>
    <t>상소권회복</t>
  </si>
  <si>
    <t>형사보상</t>
  </si>
  <si>
    <t>배상명령</t>
  </si>
  <si>
    <t>주 : (  )내의 수는 구성비(%)임</t>
    <phoneticPr fontId="6" type="noConversion"/>
  </si>
  <si>
    <t>허가</t>
  </si>
  <si>
    <t>불허가</t>
  </si>
  <si>
    <t>변호인</t>
  </si>
  <si>
    <t>비변호인</t>
  </si>
  <si>
    <t>청구</t>
  </si>
  <si>
    <t>석방</t>
  </si>
  <si>
    <t>보석에대한(재)항고</t>
  </si>
  <si>
    <t>구속의취소또는구속의집행정지에대한(재)항고</t>
  </si>
  <si>
    <t>배상명령에대한(재)항고</t>
  </si>
  <si>
    <t>재심기각에대한(재)항고</t>
  </si>
  <si>
    <t>집행유예취소결정에대한(재)항고</t>
  </si>
  <si>
    <t>기타결정에대한(재)항고</t>
  </si>
  <si>
    <t>전체</t>
    <phoneticPr fontId="6" type="noConversion"/>
  </si>
  <si>
    <t>집행유예
(재산형)</t>
    <phoneticPr fontId="6" type="noConversion"/>
  </si>
  <si>
    <t>형
의
선
고</t>
    <phoneticPr fontId="6" type="noConversion"/>
  </si>
  <si>
    <t>판
결</t>
    <phoneticPr fontId="6" type="noConversion"/>
  </si>
  <si>
    <t>보호관찰</t>
    <phoneticPr fontId="56" type="noConversion"/>
  </si>
  <si>
    <t>사회봉사명령</t>
    <phoneticPr fontId="56" type="noConversion"/>
  </si>
  <si>
    <t>수강명령</t>
    <phoneticPr fontId="56" type="noConversion"/>
  </si>
  <si>
    <t>계</t>
    <phoneticPr fontId="56" type="noConversion"/>
  </si>
  <si>
    <t>구분</t>
  </si>
  <si>
    <t>심급</t>
  </si>
  <si>
    <t>성별</t>
    <phoneticPr fontId="6" type="noConversion"/>
  </si>
  <si>
    <t>내용</t>
    <phoneticPr fontId="6" type="noConversion"/>
  </si>
  <si>
    <t>기간</t>
    <phoneticPr fontId="6" type="noConversion"/>
  </si>
  <si>
    <t>법원</t>
  </si>
  <si>
    <t>사건</t>
  </si>
  <si>
    <t>법원</t>
    <phoneticPr fontId="22" type="noConversion"/>
  </si>
  <si>
    <t>연도</t>
  </si>
  <si>
    <t>(1) 합의ㆍ단독사건의 대비</t>
  </si>
  <si>
    <t>형의면제
ㆍ면소</t>
  </si>
  <si>
    <t>형의면제ㆍ면소</t>
  </si>
  <si>
    <t>사형,무기,단기3년이상징역ㆍ금고</t>
  </si>
  <si>
    <t>주 : 치료감호사건 및 체포ㆍ구속적부심사 청구사건에 대한 변호인 선임인원은 제외됨</t>
  </si>
  <si>
    <t>환송ㆍ이송</t>
  </si>
  <si>
    <t>취하ㆍ기타</t>
  </si>
  <si>
    <t>군사재판</t>
  </si>
  <si>
    <t>공판사건</t>
  </si>
  <si>
    <t>약식명령사건</t>
  </si>
  <si>
    <t>지수</t>
  </si>
  <si>
    <t>즉결사건</t>
  </si>
  <si>
    <t>영장사건</t>
  </si>
  <si>
    <t>신청및(재)항고</t>
  </si>
  <si>
    <t>접수</t>
    <phoneticPr fontId="6" type="noConversion"/>
  </si>
  <si>
    <t>09</t>
  </si>
  <si>
    <t>10</t>
  </si>
  <si>
    <t>11</t>
  </si>
  <si>
    <t>12</t>
  </si>
  <si>
    <t>13</t>
  </si>
  <si>
    <t>14</t>
  </si>
  <si>
    <t>15</t>
  </si>
  <si>
    <t>16</t>
  </si>
  <si>
    <t>17</t>
  </si>
  <si>
    <t>18</t>
  </si>
  <si>
    <t>형사사건 사건별 추이 - 접수 (도표 25)</t>
    <phoneticPr fontId="6" type="noConversion"/>
  </si>
  <si>
    <t>구속</t>
  </si>
  <si>
    <t>불구속</t>
  </si>
  <si>
    <t>총계</t>
  </si>
  <si>
    <t>제1심계</t>
  </si>
  <si>
    <t>항소심계</t>
  </si>
  <si>
    <t>상고심계</t>
  </si>
  <si>
    <t>1심합의</t>
  </si>
  <si>
    <t>1심단독</t>
  </si>
  <si>
    <t>형법범계</t>
  </si>
  <si>
    <t>특별법범계</t>
  </si>
  <si>
    <t>국가보안법</t>
  </si>
  <si>
    <t>도로교통법</t>
  </si>
  <si>
    <t>부정수표단속법</t>
  </si>
  <si>
    <t>식품위생법</t>
  </si>
  <si>
    <t>(3) 남ㆍ여 성별 구성</t>
    <phoneticPr fontId="6" type="noConversion"/>
  </si>
  <si>
    <t>집행유예</t>
  </si>
  <si>
    <t>2018년</t>
    <phoneticPr fontId="6" type="noConversion"/>
  </si>
  <si>
    <t>계</t>
    <phoneticPr fontId="6" type="noConversion"/>
  </si>
  <si>
    <t>구분</t>
    <phoneticPr fontId="6" type="noConversion"/>
  </si>
  <si>
    <t>재산형</t>
    <phoneticPr fontId="6" type="noConversion"/>
  </si>
  <si>
    <t>(4) 죄명별 비교</t>
    <phoneticPr fontId="6" type="noConversion"/>
  </si>
  <si>
    <t>(5) 법원별 접수</t>
    <phoneticPr fontId="6" type="noConversion"/>
  </si>
  <si>
    <t>심급</t>
    <phoneticPr fontId="6" type="noConversion"/>
  </si>
  <si>
    <t>죄명</t>
    <phoneticPr fontId="6" type="noConversion"/>
  </si>
  <si>
    <t>공무방해에관한죄</t>
    <phoneticPr fontId="6" type="noConversion"/>
  </si>
  <si>
    <t>성풍속에관한죄</t>
    <phoneticPr fontId="6" type="noConversion"/>
  </si>
  <si>
    <t>도박과복표에관한죄</t>
    <phoneticPr fontId="6" type="noConversion"/>
  </si>
  <si>
    <t>상해와폭행의죄</t>
    <phoneticPr fontId="6" type="noConversion"/>
  </si>
  <si>
    <t>강간과추행의죄</t>
    <phoneticPr fontId="6" type="noConversion"/>
  </si>
  <si>
    <t>절도와강도의죄</t>
    <phoneticPr fontId="6" type="noConversion"/>
  </si>
  <si>
    <t>사기와공갈의죄</t>
    <phoneticPr fontId="6" type="noConversion"/>
  </si>
  <si>
    <t>횡령과배임의죄</t>
    <phoneticPr fontId="6" type="noConversion"/>
  </si>
  <si>
    <t>교통사고처리특례법</t>
    <phoneticPr fontId="6" type="noConversion"/>
  </si>
  <si>
    <t>특정범죄가중처벌등에관한법률</t>
    <phoneticPr fontId="6" type="noConversion"/>
  </si>
  <si>
    <t>심급</t>
    <phoneticPr fontId="6" type="noConversion"/>
  </si>
  <si>
    <t>(2) 재판결과</t>
    <phoneticPr fontId="6" type="noConversion"/>
  </si>
  <si>
    <t>내용</t>
    <phoneticPr fontId="6" type="noConversion"/>
  </si>
  <si>
    <t>형의선고</t>
    <phoneticPr fontId="6" type="noConversion"/>
  </si>
  <si>
    <t>생명형</t>
    <phoneticPr fontId="6" type="noConversion"/>
  </si>
  <si>
    <t>자유형(실형)</t>
    <phoneticPr fontId="6" type="noConversion"/>
  </si>
  <si>
    <t>집행유예</t>
    <phoneticPr fontId="6" type="noConversion"/>
  </si>
  <si>
    <t>자격형</t>
    <phoneticPr fontId="6" type="noConversion"/>
  </si>
  <si>
    <t>집행유예(재산형)</t>
    <phoneticPr fontId="6" type="noConversion"/>
  </si>
  <si>
    <t>공소기각결정</t>
    <phoneticPr fontId="6" type="noConversion"/>
  </si>
  <si>
    <t>소년부송치</t>
    <phoneticPr fontId="6" type="noConversion"/>
  </si>
  <si>
    <t>기타</t>
    <phoneticPr fontId="6" type="noConversion"/>
  </si>
  <si>
    <t>구분</t>
    <phoneticPr fontId="6" type="noConversion"/>
  </si>
  <si>
    <t>내용</t>
    <phoneticPr fontId="6" type="noConversion"/>
  </si>
  <si>
    <t>판
결</t>
    <phoneticPr fontId="6" type="noConversion"/>
  </si>
  <si>
    <t>파
기</t>
    <phoneticPr fontId="6" type="noConversion"/>
  </si>
  <si>
    <t>자
판</t>
    <phoneticPr fontId="6" type="noConversion"/>
  </si>
  <si>
    <t>형
의
선
고</t>
    <phoneticPr fontId="6" type="noConversion"/>
  </si>
  <si>
    <t>항소
기각</t>
    <phoneticPr fontId="6" type="noConversion"/>
  </si>
  <si>
    <t>배상명령사건 연도별비교-전심급 (표 125)</t>
    <phoneticPr fontId="6" type="noConversion"/>
  </si>
  <si>
    <t>인용률(%)</t>
    <phoneticPr fontId="6" type="noConversion"/>
  </si>
  <si>
    <t>항고</t>
    <phoneticPr fontId="6" type="noConversion"/>
  </si>
  <si>
    <t>변호인</t>
    <phoneticPr fontId="6" type="noConversion"/>
  </si>
  <si>
    <t>비변호인</t>
    <phoneticPr fontId="6" type="noConversion"/>
  </si>
  <si>
    <t>서울
중앙</t>
    <phoneticPr fontId="6" type="noConversion"/>
  </si>
  <si>
    <t>서울
동부</t>
    <phoneticPr fontId="6" type="noConversion"/>
  </si>
  <si>
    <t>서울
남부</t>
    <phoneticPr fontId="6" type="noConversion"/>
  </si>
  <si>
    <t>서울
북부</t>
    <phoneticPr fontId="6" type="noConversion"/>
  </si>
  <si>
    <t>서울
서부</t>
    <phoneticPr fontId="6" type="noConversion"/>
  </si>
  <si>
    <t>약식
명령</t>
    <phoneticPr fontId="6" type="noConversion"/>
  </si>
  <si>
    <t>전자
약식
명령</t>
    <phoneticPr fontId="6" type="noConversion"/>
  </si>
  <si>
    <t>주 : ( ) 내의 수는 구성비(%)임</t>
    <phoneticPr fontId="6" type="noConversion"/>
  </si>
  <si>
    <t>주 : 1. ( )내의 수는 구성비(%)임</t>
    <phoneticPr fontId="6" type="noConversion"/>
  </si>
  <si>
    <t>궐석재판 인원수</t>
    <phoneticPr fontId="6" type="noConversion"/>
  </si>
  <si>
    <t>불구속 인원수</t>
    <phoneticPr fontId="6" type="noConversion"/>
  </si>
  <si>
    <t>확정사건수</t>
    <phoneticPr fontId="22" type="noConversion"/>
  </si>
  <si>
    <t>평균처리일수</t>
    <phoneticPr fontId="22" type="noConversion"/>
  </si>
  <si>
    <t>고등법원</t>
    <phoneticPr fontId="6" type="noConversion"/>
  </si>
  <si>
    <t>지방법원</t>
    <phoneticPr fontId="6" type="noConversion"/>
  </si>
  <si>
    <t>선정사유</t>
    <phoneticPr fontId="6" type="noConversion"/>
  </si>
  <si>
    <t>사건수</t>
    <phoneticPr fontId="6" type="noConversion"/>
  </si>
  <si>
    <t>인원수</t>
    <phoneticPr fontId="6" type="noConversion"/>
  </si>
  <si>
    <t>심신장애인</t>
    <phoneticPr fontId="6" type="noConversion"/>
  </si>
  <si>
    <t>기타</t>
    <phoneticPr fontId="6" type="noConversion"/>
  </si>
  <si>
    <t>군사상고</t>
    <phoneticPr fontId="6" type="noConversion"/>
  </si>
  <si>
    <t>주 : 1. 선정사유가 중복된 경우에는 그 중 한 사유란에만 기재함</t>
    <phoneticPr fontId="6" type="noConversion"/>
  </si>
  <si>
    <t>(7) 처리기간</t>
    <phoneticPr fontId="6" type="noConversion"/>
  </si>
  <si>
    <t xml:space="preserve"> </t>
    <phoneticPr fontId="6" type="noConversion"/>
  </si>
  <si>
    <t>불구속</t>
    <phoneticPr fontId="6" type="noConversion"/>
  </si>
  <si>
    <t>주 : ( )내의 수는 구성비(%)임</t>
    <phoneticPr fontId="6" type="noConversion"/>
  </si>
  <si>
    <t>10년 이상</t>
    <phoneticPr fontId="6" type="noConversion"/>
  </si>
  <si>
    <t>5년 이상</t>
    <phoneticPr fontId="6" type="noConversion"/>
  </si>
  <si>
    <t>3년 이상</t>
    <phoneticPr fontId="6" type="noConversion"/>
  </si>
  <si>
    <t>1년 이상</t>
    <phoneticPr fontId="6" type="noConversion"/>
  </si>
  <si>
    <t>1년 미만</t>
    <phoneticPr fontId="6" type="noConversion"/>
  </si>
  <si>
    <t>정기형
(실형)</t>
    <phoneticPr fontId="6" type="noConversion"/>
  </si>
  <si>
    <t>부정기형</t>
    <phoneticPr fontId="6" type="noConversion"/>
  </si>
  <si>
    <t>집행유예</t>
    <phoneticPr fontId="6" type="noConversion"/>
  </si>
  <si>
    <t>재산형</t>
    <phoneticPr fontId="6" type="noConversion"/>
  </si>
  <si>
    <t>집행유예
(재산형)</t>
    <phoneticPr fontId="6" type="noConversion"/>
  </si>
  <si>
    <t>선고유예</t>
    <phoneticPr fontId="6" type="noConversion"/>
  </si>
  <si>
    <t>소년부송치</t>
    <phoneticPr fontId="6" type="noConversion"/>
  </si>
  <si>
    <t>죄명</t>
    <phoneticPr fontId="6" type="noConversion"/>
  </si>
  <si>
    <t>장기10년이내</t>
    <phoneticPr fontId="6" type="noConversion"/>
  </si>
  <si>
    <t>처리합계</t>
    <phoneticPr fontId="6" type="noConversion"/>
  </si>
  <si>
    <t>폭력행위등처벌에관한법률</t>
    <phoneticPr fontId="14" type="noConversion"/>
  </si>
  <si>
    <t>성폭력범죄의처벌등에관한특례법</t>
    <phoneticPr fontId="6" type="noConversion"/>
  </si>
  <si>
    <t>교통사고처리특례법</t>
    <phoneticPr fontId="6" type="noConversion"/>
  </si>
  <si>
    <t>기타</t>
    <phoneticPr fontId="6" type="noConversion"/>
  </si>
  <si>
    <t>(4) 간이공판절차</t>
    <phoneticPr fontId="6" type="noConversion"/>
  </si>
  <si>
    <t>합계</t>
    <phoneticPr fontId="6" type="noConversion"/>
  </si>
  <si>
    <t>판결</t>
    <phoneticPr fontId="6" type="noConversion"/>
  </si>
  <si>
    <t>결정</t>
    <phoneticPr fontId="6" type="noConversion"/>
  </si>
  <si>
    <t>형의선고</t>
    <phoneticPr fontId="6" type="noConversion"/>
  </si>
  <si>
    <t>선고
유예</t>
    <phoneticPr fontId="6" type="noConversion"/>
  </si>
  <si>
    <t>무죄</t>
    <phoneticPr fontId="6" type="noConversion"/>
  </si>
  <si>
    <t>관할
위반</t>
    <phoneticPr fontId="6" type="noConversion"/>
  </si>
  <si>
    <t>공소
기각</t>
    <phoneticPr fontId="6" type="noConversion"/>
  </si>
  <si>
    <t>소년부
송치</t>
    <phoneticPr fontId="6" type="noConversion"/>
  </si>
  <si>
    <t>자유형
(실형)</t>
    <phoneticPr fontId="6" type="noConversion"/>
  </si>
  <si>
    <t>집행
유예</t>
    <phoneticPr fontId="6" type="noConversion"/>
  </si>
  <si>
    <t>자격형</t>
    <phoneticPr fontId="6" type="noConversion"/>
  </si>
  <si>
    <t>재산형</t>
    <phoneticPr fontId="6" type="noConversion"/>
  </si>
  <si>
    <t>집행유예
(재산형)</t>
    <phoneticPr fontId="6" type="noConversion"/>
  </si>
  <si>
    <t>구성비(%)</t>
    <phoneticPr fontId="6" type="noConversion"/>
  </si>
  <si>
    <t>(-)</t>
    <phoneticPr fontId="6" type="noConversion"/>
  </si>
  <si>
    <t>판결대비파기율</t>
    <phoneticPr fontId="6" type="noConversion"/>
  </si>
  <si>
    <t>법원</t>
    <phoneticPr fontId="6" type="noConversion"/>
  </si>
  <si>
    <t>계</t>
    <phoneticPr fontId="6" type="noConversion"/>
  </si>
  <si>
    <t>서울중앙</t>
    <phoneticPr fontId="6" type="noConversion"/>
  </si>
  <si>
    <t>서울동부</t>
    <phoneticPr fontId="6" type="noConversion"/>
  </si>
  <si>
    <t>서울남부</t>
    <phoneticPr fontId="6" type="noConversion"/>
  </si>
  <si>
    <t>서울북부</t>
    <phoneticPr fontId="6" type="noConversion"/>
  </si>
  <si>
    <t>서울서부</t>
    <phoneticPr fontId="6" type="noConversion"/>
  </si>
  <si>
    <t>의정부</t>
    <phoneticPr fontId="6" type="noConversion"/>
  </si>
  <si>
    <t>인천</t>
    <phoneticPr fontId="6" type="noConversion"/>
  </si>
  <si>
    <t>수원</t>
    <phoneticPr fontId="6" type="noConversion"/>
  </si>
  <si>
    <t>춘천</t>
    <phoneticPr fontId="6" type="noConversion"/>
  </si>
  <si>
    <t>대전</t>
    <phoneticPr fontId="6" type="noConversion"/>
  </si>
  <si>
    <t>청주</t>
    <phoneticPr fontId="6" type="noConversion"/>
  </si>
  <si>
    <t>대구</t>
    <phoneticPr fontId="6" type="noConversion"/>
  </si>
  <si>
    <t>부산</t>
    <phoneticPr fontId="6" type="noConversion"/>
  </si>
  <si>
    <t>울산</t>
    <phoneticPr fontId="6" type="noConversion"/>
  </si>
  <si>
    <t>창원</t>
    <phoneticPr fontId="6" type="noConversion"/>
  </si>
  <si>
    <t>광주</t>
    <phoneticPr fontId="6" type="noConversion"/>
  </si>
  <si>
    <t>전주</t>
    <phoneticPr fontId="6" type="noConversion"/>
  </si>
  <si>
    <t>제주</t>
    <phoneticPr fontId="6" type="noConversion"/>
  </si>
  <si>
    <t>다. 처리상황</t>
    <phoneticPr fontId="6" type="noConversion"/>
  </si>
  <si>
    <t>(1) 처리율</t>
    <phoneticPr fontId="6" type="noConversion"/>
  </si>
  <si>
    <t>구분</t>
    <phoneticPr fontId="6" type="noConversion"/>
  </si>
  <si>
    <t>처리</t>
    <phoneticPr fontId="6" type="noConversion"/>
  </si>
  <si>
    <t>미제</t>
    <phoneticPr fontId="6" type="noConversion"/>
  </si>
  <si>
    <t>처리율(%)</t>
    <phoneticPr fontId="6" type="noConversion"/>
  </si>
  <si>
    <t>군사재판</t>
    <phoneticPr fontId="6" type="noConversion"/>
  </si>
  <si>
    <t>접수
인원수</t>
    <phoneticPr fontId="6" type="noConversion"/>
  </si>
  <si>
    <t>처리인원수</t>
    <phoneticPr fontId="6" type="noConversion"/>
  </si>
  <si>
    <t>연도</t>
    <phoneticPr fontId="6" type="noConversion"/>
  </si>
  <si>
    <t>자유형</t>
    <phoneticPr fontId="6" type="noConversion"/>
  </si>
  <si>
    <t>재산형</t>
    <phoneticPr fontId="6" type="noConversion"/>
  </si>
  <si>
    <t>집행유예
(재산형)</t>
    <phoneticPr fontId="6" type="noConversion"/>
  </si>
  <si>
    <t>선고유예</t>
    <phoneticPr fontId="6" type="noConversion"/>
  </si>
  <si>
    <t>무죄</t>
    <phoneticPr fontId="6" type="noConversion"/>
  </si>
  <si>
    <t>공소기각
판결</t>
    <phoneticPr fontId="6" type="noConversion"/>
  </si>
  <si>
    <t>재심청구
기각결정</t>
    <phoneticPr fontId="6" type="noConversion"/>
  </si>
  <si>
    <t>재심청구
취하</t>
    <phoneticPr fontId="6" type="noConversion"/>
  </si>
  <si>
    <t>기타</t>
    <phoneticPr fontId="6" type="noConversion"/>
  </si>
  <si>
    <t>폭력행위등처벌에관한법률</t>
    <phoneticPr fontId="6" type="noConversion"/>
  </si>
  <si>
    <t>항소심</t>
    <phoneticPr fontId="6" type="noConversion"/>
  </si>
  <si>
    <t>제1심합의</t>
  </si>
  <si>
    <t>제1심단독</t>
  </si>
  <si>
    <t>단순처분</t>
  </si>
  <si>
    <t>병과처분</t>
  </si>
  <si>
    <t>주 : 항소심 합의사건은 고등법원, 단독사건은 지방법원항소부 사건임</t>
    <phoneticPr fontId="6" type="noConversion"/>
  </si>
  <si>
    <t>08</t>
    <phoneticPr fontId="6" type="noConversion"/>
  </si>
  <si>
    <t>기간</t>
  </si>
  <si>
    <t>1월
이내</t>
    <phoneticPr fontId="6" type="noConversion"/>
  </si>
  <si>
    <t>2월
이내</t>
    <phoneticPr fontId="6" type="noConversion"/>
  </si>
  <si>
    <t>3월
이내</t>
    <phoneticPr fontId="6" type="noConversion"/>
  </si>
  <si>
    <t>4월
이내</t>
    <phoneticPr fontId="6" type="noConversion"/>
  </si>
  <si>
    <t>5월
이내</t>
    <phoneticPr fontId="6" type="noConversion"/>
  </si>
  <si>
    <t>6월
이내</t>
    <phoneticPr fontId="6" type="noConversion"/>
  </si>
  <si>
    <t>9월
이내</t>
    <phoneticPr fontId="6" type="noConversion"/>
  </si>
  <si>
    <t>1년
이내</t>
    <phoneticPr fontId="6" type="noConversion"/>
  </si>
  <si>
    <t>2년
이내</t>
    <phoneticPr fontId="6" type="noConversion"/>
  </si>
  <si>
    <t>2년
초과</t>
    <phoneticPr fontId="6" type="noConversion"/>
  </si>
  <si>
    <t>제1심 확정</t>
    <phoneticPr fontId="6" type="noConversion"/>
  </si>
  <si>
    <t>항소심 확정</t>
    <phoneticPr fontId="6" type="noConversion"/>
  </si>
  <si>
    <t>상고심 확정</t>
    <phoneticPr fontId="6" type="noConversion"/>
  </si>
  <si>
    <t>고법</t>
    <phoneticPr fontId="6" type="noConversion"/>
  </si>
  <si>
    <t>지법</t>
    <phoneticPr fontId="6" type="noConversion"/>
  </si>
  <si>
    <t>1심 합의</t>
    <phoneticPr fontId="6" type="noConversion"/>
  </si>
  <si>
    <t>1심 단독</t>
    <phoneticPr fontId="6" type="noConversion"/>
  </si>
  <si>
    <t>증인이 있는
사건수</t>
    <phoneticPr fontId="6" type="noConversion"/>
  </si>
  <si>
    <t>증인수</t>
    <phoneticPr fontId="6" type="noConversion"/>
  </si>
  <si>
    <t xml:space="preserve">      2. 최종공판기일에 판결선고를 한 사건 피고인수로, 기일결과는</t>
    <phoneticPr fontId="22" type="noConversion"/>
  </si>
  <si>
    <t xml:space="preserve">          '재개, 종결, 판결선고, 변론종결및판결선고, 재개ㆍ종결'인</t>
    <phoneticPr fontId="6" type="noConversion"/>
  </si>
  <si>
    <t xml:space="preserve">          판결선고기일을 포함하며, 병합된 사건을 포함함</t>
    <phoneticPr fontId="6" type="noConversion"/>
  </si>
  <si>
    <t>정지</t>
  </si>
  <si>
    <t>심리중</t>
  </si>
  <si>
    <t>(-)</t>
    <phoneticPr fontId="6" type="noConversion"/>
  </si>
  <si>
    <t>주 : ( )내의 수는 구성비(%)임</t>
    <phoneticPr fontId="6" type="noConversion"/>
  </si>
  <si>
    <t>독립청구</t>
  </si>
  <si>
    <t>기소병행청구</t>
  </si>
  <si>
    <t>벌금</t>
  </si>
  <si>
    <t>구성비(%)</t>
  </si>
  <si>
    <t>즉결심판</t>
  </si>
  <si>
    <t>07</t>
  </si>
  <si>
    <t>08</t>
  </si>
  <si>
    <t>종류</t>
  </si>
  <si>
    <t>처리계</t>
  </si>
  <si>
    <t>석방명령</t>
  </si>
  <si>
    <t>무조건부</t>
  </si>
  <si>
    <t>조건부</t>
  </si>
  <si>
    <t>청구기각</t>
  </si>
  <si>
    <t>대법원</t>
  </si>
  <si>
    <t>인용</t>
  </si>
  <si>
    <t>항고</t>
  </si>
  <si>
    <t>재항고</t>
  </si>
  <si>
    <t>청구기각
판결</t>
    <phoneticPr fontId="6" type="noConversion"/>
  </si>
  <si>
    <t>청구기각
결정</t>
    <phoneticPr fontId="6" type="noConversion"/>
  </si>
  <si>
    <t>신청</t>
    <phoneticPr fontId="6" type="noConversion"/>
  </si>
  <si>
    <t xml:space="preserve">      2. (  ) 내의 수는 구성비(%)임</t>
    <phoneticPr fontId="6" type="noConversion"/>
  </si>
  <si>
    <t>생명형</t>
  </si>
  <si>
    <t>자유형(실형)</t>
  </si>
  <si>
    <t>자격형</t>
  </si>
  <si>
    <t>재산형</t>
  </si>
  <si>
    <t>선고유예</t>
  </si>
  <si>
    <t>공소기각</t>
  </si>
  <si>
    <t>환송</t>
  </si>
  <si>
    <t>이송</t>
  </si>
  <si>
    <t>변론경유</t>
  </si>
  <si>
    <t>변론불경유</t>
  </si>
  <si>
    <t>소년부송치</t>
  </si>
  <si>
    <t>항소취하</t>
  </si>
  <si>
    <t>판결계</t>
  </si>
  <si>
    <t>관할위반</t>
  </si>
  <si>
    <t>결정계</t>
  </si>
  <si>
    <t>상고기각</t>
  </si>
  <si>
    <t>상고취하</t>
  </si>
  <si>
    <t>합계</t>
    <phoneticPr fontId="56" type="noConversion"/>
  </si>
  <si>
    <t>간이공판</t>
    <phoneticPr fontId="6" type="noConversion"/>
  </si>
  <si>
    <t>절도</t>
  </si>
  <si>
    <t>강도</t>
  </si>
  <si>
    <t>사기</t>
  </si>
  <si>
    <t>상해</t>
  </si>
  <si>
    <t>항소심(지방)</t>
    <phoneticPr fontId="6" type="noConversion"/>
  </si>
  <si>
    <t>항소심(고등)</t>
    <phoneticPr fontId="6" type="noConversion"/>
  </si>
  <si>
    <t>도표 30</t>
    <phoneticPr fontId="6" type="noConversion"/>
  </si>
  <si>
    <t>군사재판</t>
    <phoneticPr fontId="6" type="noConversion"/>
  </si>
  <si>
    <t>금년접수</t>
    <phoneticPr fontId="6" type="noConversion"/>
  </si>
  <si>
    <t>발부</t>
  </si>
  <si>
    <t>19</t>
  </si>
  <si>
    <t>2019년</t>
    <phoneticPr fontId="6" type="noConversion"/>
  </si>
  <si>
    <t>형사사건</t>
    <phoneticPr fontId="6" type="noConversion"/>
  </si>
  <si>
    <t>사건</t>
    <phoneticPr fontId="6" type="noConversion"/>
  </si>
  <si>
    <t>영장</t>
    <phoneticPr fontId="6" type="noConversion"/>
  </si>
  <si>
    <t>전체사건</t>
    <phoneticPr fontId="6" type="noConversion"/>
  </si>
  <si>
    <t>체포ㆍ구속적부심사 청구인별 처리상황</t>
    <phoneticPr fontId="6" type="noConversion"/>
  </si>
  <si>
    <t>배상명령액</t>
    <phoneticPr fontId="6" type="noConversion"/>
  </si>
  <si>
    <t>형사(재)항고사건의 추이 - 접수(도표 39)</t>
    <phoneticPr fontId="6" type="noConversion"/>
  </si>
  <si>
    <t>항고재항고</t>
    <phoneticPr fontId="6" type="noConversion"/>
  </si>
  <si>
    <t>형사(재)항고사건 처리상황 (표 126)</t>
    <phoneticPr fontId="6" type="noConversion"/>
  </si>
  <si>
    <t>약식</t>
    <phoneticPr fontId="6" type="noConversion"/>
  </si>
  <si>
    <t>사건별</t>
    <phoneticPr fontId="6" type="noConversion"/>
  </si>
  <si>
    <t>본안외사건</t>
    <phoneticPr fontId="6" type="noConversion"/>
  </si>
  <si>
    <t>공판</t>
    <phoneticPr fontId="6" type="noConversion"/>
  </si>
  <si>
    <t>상고심</t>
    <phoneticPr fontId="6" type="noConversion"/>
  </si>
  <si>
    <t>합의</t>
    <phoneticPr fontId="6" type="noConversion"/>
  </si>
  <si>
    <t>단독</t>
    <phoneticPr fontId="6" type="noConversion"/>
  </si>
  <si>
    <t>고등법원</t>
    <phoneticPr fontId="6" type="noConversion"/>
  </si>
  <si>
    <t>군사재판</t>
    <phoneticPr fontId="6" type="noConversion"/>
  </si>
  <si>
    <t>지방법원</t>
    <phoneticPr fontId="6" type="noConversion"/>
  </si>
  <si>
    <t>항소심</t>
    <phoneticPr fontId="6" type="noConversion"/>
  </si>
  <si>
    <t>대법원</t>
    <phoneticPr fontId="6" type="noConversion"/>
  </si>
  <si>
    <t>제1심</t>
    <phoneticPr fontId="6" type="noConversion"/>
  </si>
  <si>
    <t>치료감호</t>
    <phoneticPr fontId="6" type="noConversion"/>
  </si>
  <si>
    <t>신청</t>
    <phoneticPr fontId="6" type="noConversion"/>
  </si>
  <si>
    <t>약식(전자약식포함)</t>
    <phoneticPr fontId="6" type="noConversion"/>
  </si>
  <si>
    <t>신청등</t>
    <phoneticPr fontId="6" type="noConversion"/>
  </si>
  <si>
    <t>주 : 1. 영장란은 구속영장, 체포영장, 감호영장, 압수수색검증영장, 감정유치장, 통신제한조치허가서, 통신사실확인자료제공요청 등의 합산이며,</t>
    <phoneticPr fontId="6" type="noConversion"/>
  </si>
  <si>
    <t>형사사건 사건별 추이 - 접수 (도표 26)</t>
    <phoneticPr fontId="6" type="noConversion"/>
  </si>
  <si>
    <t>영장</t>
    <phoneticPr fontId="6" type="noConversion"/>
  </si>
  <si>
    <t>즉결</t>
    <phoneticPr fontId="6" type="noConversion"/>
  </si>
  <si>
    <t>약식</t>
    <phoneticPr fontId="6" type="noConversion"/>
  </si>
  <si>
    <t>계</t>
    <phoneticPr fontId="6" type="noConversion"/>
  </si>
  <si>
    <t>08</t>
    <phoneticPr fontId="6" type="noConversion"/>
  </si>
  <si>
    <t>구분</t>
    <phoneticPr fontId="6" type="noConversion"/>
  </si>
  <si>
    <t>연도</t>
    <phoneticPr fontId="6" type="noConversion"/>
  </si>
  <si>
    <t>인원수</t>
    <phoneticPr fontId="6" type="noConversion"/>
  </si>
  <si>
    <t>지수</t>
    <phoneticPr fontId="6" type="noConversion"/>
  </si>
  <si>
    <t>주 : 공판사건 인원수에는 치료감호처분사건 인원수가 포함되었음</t>
    <phoneticPr fontId="6" type="noConversion"/>
  </si>
  <si>
    <t>합계</t>
    <phoneticPr fontId="6" type="noConversion"/>
  </si>
  <si>
    <t>서울
중앙</t>
    <phoneticPr fontId="6" type="noConversion"/>
  </si>
  <si>
    <t>서울
동부</t>
    <phoneticPr fontId="6" type="noConversion"/>
  </si>
  <si>
    <t>서울
남부</t>
    <phoneticPr fontId="6" type="noConversion"/>
  </si>
  <si>
    <t>서울
북부</t>
    <phoneticPr fontId="6" type="noConversion"/>
  </si>
  <si>
    <t>서울
서부</t>
    <phoneticPr fontId="6" type="noConversion"/>
  </si>
  <si>
    <t>의정부</t>
    <phoneticPr fontId="6" type="noConversion"/>
  </si>
  <si>
    <t>인천</t>
    <phoneticPr fontId="6" type="noConversion"/>
  </si>
  <si>
    <t>수원</t>
    <phoneticPr fontId="6" type="noConversion"/>
  </si>
  <si>
    <t>춘천</t>
    <phoneticPr fontId="6" type="noConversion"/>
  </si>
  <si>
    <t>대전</t>
    <phoneticPr fontId="6" type="noConversion"/>
  </si>
  <si>
    <t>청주</t>
    <phoneticPr fontId="6" type="noConversion"/>
  </si>
  <si>
    <t>대구</t>
    <phoneticPr fontId="6" type="noConversion"/>
  </si>
  <si>
    <t>부산</t>
    <phoneticPr fontId="6" type="noConversion"/>
  </si>
  <si>
    <t>울산</t>
    <phoneticPr fontId="6" type="noConversion"/>
  </si>
  <si>
    <t>창원</t>
    <phoneticPr fontId="6" type="noConversion"/>
  </si>
  <si>
    <t>광주</t>
    <phoneticPr fontId="6" type="noConversion"/>
  </si>
  <si>
    <t>전주</t>
    <phoneticPr fontId="6" type="noConversion"/>
  </si>
  <si>
    <t>제주</t>
    <phoneticPr fontId="6" type="noConversion"/>
  </si>
  <si>
    <t>구분</t>
    <phoneticPr fontId="6" type="noConversion"/>
  </si>
  <si>
    <t>금년접수계</t>
    <phoneticPr fontId="6" type="noConversion"/>
  </si>
  <si>
    <t>기소병행청구</t>
    <phoneticPr fontId="6" type="noConversion"/>
  </si>
  <si>
    <t>처리</t>
    <phoneticPr fontId="6" type="noConversion"/>
  </si>
  <si>
    <t>다. 처리상황</t>
    <phoneticPr fontId="6" type="noConversion"/>
  </si>
  <si>
    <t>(1) 처리율</t>
    <phoneticPr fontId="6" type="noConversion"/>
  </si>
  <si>
    <t>(2) 재판결과</t>
    <phoneticPr fontId="6" type="noConversion"/>
  </si>
  <si>
    <t>금년접수</t>
    <phoneticPr fontId="6" type="noConversion"/>
  </si>
  <si>
    <t>미제</t>
    <phoneticPr fontId="6" type="noConversion"/>
  </si>
  <si>
    <t>처리율(%)</t>
    <phoneticPr fontId="6" type="noConversion"/>
  </si>
  <si>
    <t>심급</t>
    <phoneticPr fontId="6" type="noConversion"/>
  </si>
  <si>
    <t>제1심계</t>
    <phoneticPr fontId="6" type="noConversion"/>
  </si>
  <si>
    <t>독립청구</t>
    <phoneticPr fontId="6" type="noConversion"/>
  </si>
  <si>
    <t>항소심</t>
    <phoneticPr fontId="6" type="noConversion"/>
  </si>
  <si>
    <t>상고심</t>
    <phoneticPr fontId="6" type="noConversion"/>
  </si>
  <si>
    <t>공판절차
이행</t>
    <phoneticPr fontId="6" type="noConversion"/>
  </si>
  <si>
    <t>주 : (   )내의 수는 구성비(%)임(이하 같음)</t>
    <phoneticPr fontId="6" type="noConversion"/>
  </si>
  <si>
    <t>상소심</t>
    <phoneticPr fontId="6" type="noConversion"/>
  </si>
  <si>
    <t>계</t>
    <phoneticPr fontId="6" type="noConversion"/>
  </si>
  <si>
    <t>자판</t>
    <phoneticPr fontId="6" type="noConversion"/>
  </si>
  <si>
    <t>(-)</t>
    <phoneticPr fontId="6" type="noConversion"/>
  </si>
  <si>
    <t>(3) 상소율</t>
    <phoneticPr fontId="6" type="noConversion"/>
  </si>
  <si>
    <t>상소율(%)</t>
    <phoneticPr fontId="6" type="noConversion"/>
  </si>
  <si>
    <t>법원</t>
    <phoneticPr fontId="6" type="noConversion"/>
  </si>
  <si>
    <t>면소ㆍ
공소기각</t>
    <phoneticPr fontId="6" type="noConversion"/>
  </si>
  <si>
    <t>정식재판
청구</t>
    <phoneticPr fontId="6" type="noConversion"/>
  </si>
  <si>
    <t>벌금</t>
    <phoneticPr fontId="6" type="noConversion"/>
  </si>
  <si>
    <t>구류</t>
    <phoneticPr fontId="6" type="noConversion"/>
  </si>
  <si>
    <t>발부율(%)</t>
    <phoneticPr fontId="6" type="noConversion"/>
  </si>
  <si>
    <t>직권발부</t>
    <phoneticPr fontId="6" type="noConversion"/>
  </si>
  <si>
    <t>종류</t>
    <phoneticPr fontId="6" type="noConversion"/>
  </si>
  <si>
    <t>기각</t>
    <phoneticPr fontId="56" type="noConversion"/>
  </si>
  <si>
    <t>압수수색검증영장</t>
    <phoneticPr fontId="6" type="noConversion"/>
  </si>
  <si>
    <t>통신제한조치허가서</t>
    <phoneticPr fontId="6" type="noConversion"/>
  </si>
  <si>
    <t>통신사실확인자료제공요청</t>
    <phoneticPr fontId="6" type="noConversion"/>
  </si>
  <si>
    <t>디엔에이감식시료채취영장</t>
    <phoneticPr fontId="6" type="noConversion"/>
  </si>
  <si>
    <t>구인장</t>
    <phoneticPr fontId="6" type="noConversion"/>
  </si>
  <si>
    <t>유치허가장</t>
    <phoneticPr fontId="6" type="noConversion"/>
  </si>
  <si>
    <t>주 : 1. 발부율은 수사를 위한 청구인원 대 발부인원의 비율임</t>
    <phoneticPr fontId="6" type="noConversion"/>
  </si>
  <si>
    <t xml:space="preserve">      3. 통신제한조치허가서란에는 기간연장이 포함됨</t>
    <phoneticPr fontId="6" type="noConversion"/>
  </si>
  <si>
    <t>11</t>
    <phoneticPr fontId="6" type="noConversion"/>
  </si>
  <si>
    <t>도표 37</t>
    <phoneticPr fontId="6" type="noConversion"/>
  </si>
  <si>
    <t>13</t>
    <phoneticPr fontId="6" type="noConversion"/>
  </si>
  <si>
    <t>14</t>
    <phoneticPr fontId="6" type="noConversion"/>
  </si>
  <si>
    <t>15</t>
    <phoneticPr fontId="6" type="noConversion"/>
  </si>
  <si>
    <t>16</t>
    <phoneticPr fontId="6" type="noConversion"/>
  </si>
  <si>
    <t>17</t>
    <phoneticPr fontId="6" type="noConversion"/>
  </si>
  <si>
    <t>18</t>
    <phoneticPr fontId="6" type="noConversion"/>
  </si>
  <si>
    <t>19</t>
    <phoneticPr fontId="6" type="noConversion"/>
  </si>
  <si>
    <t>나. 형사신청사건의 처리상황</t>
    <phoneticPr fontId="6" type="noConversion"/>
  </si>
  <si>
    <t>제척ㆍ기피ㆍ회피</t>
    <phoneticPr fontId="6" type="noConversion"/>
  </si>
  <si>
    <t>압수물환부ㆍ가환부</t>
    <phoneticPr fontId="6" type="noConversion"/>
  </si>
  <si>
    <t>정식재판청구권회복</t>
    <phoneticPr fontId="6" type="noConversion"/>
  </si>
  <si>
    <t>사회봉사허가청구</t>
    <phoneticPr fontId="6" type="noConversion"/>
  </si>
  <si>
    <t xml:space="preserve">      2. "보석"란에는 편의상 직권보석 건수도 접수건수로 계산하였음</t>
    <phoneticPr fontId="6" type="noConversion"/>
  </si>
  <si>
    <t>변호인</t>
    <phoneticPr fontId="6" type="noConversion"/>
  </si>
  <si>
    <t>주 : (  )내의 수는 구성비(%)임</t>
    <phoneticPr fontId="6" type="noConversion"/>
  </si>
  <si>
    <t>보석청구사건 처리상황</t>
    <phoneticPr fontId="6" type="noConversion"/>
  </si>
  <si>
    <t xml:space="preserve">보석결정
평균처리
기간(일)
</t>
    <phoneticPr fontId="6" type="noConversion"/>
  </si>
  <si>
    <t>직권보석</t>
    <phoneticPr fontId="6" type="noConversion"/>
  </si>
  <si>
    <t>허가율(%)</t>
    <phoneticPr fontId="6" type="noConversion"/>
  </si>
  <si>
    <t>주 : 1. 허가율 = 허가/처리×100</t>
    <phoneticPr fontId="6" type="noConversion"/>
  </si>
  <si>
    <t>석방률(%)</t>
    <phoneticPr fontId="6" type="noConversion"/>
  </si>
  <si>
    <t>주 : 청구건수는 금년 접수건수임</t>
    <phoneticPr fontId="6" type="noConversion"/>
  </si>
  <si>
    <t>비변호인</t>
    <phoneticPr fontId="6" type="noConversion"/>
  </si>
  <si>
    <t>「소송촉진 등에 관한 특례법」에 의한 배상명령신청에 대한 처리내용 및 배상명령금액을 연도별로 비교한 내역은 표 125와 같다.</t>
    <phoneticPr fontId="6" type="noConversion"/>
  </si>
  <si>
    <t>접수</t>
    <phoneticPr fontId="6" type="noConversion"/>
  </si>
  <si>
    <t>합계</t>
    <phoneticPr fontId="6" type="noConversion"/>
  </si>
  <si>
    <t>인용</t>
    <phoneticPr fontId="6" type="noConversion"/>
  </si>
  <si>
    <t>지방법원</t>
    <phoneticPr fontId="6" type="noConversion"/>
  </si>
  <si>
    <t>전체소송</t>
    <phoneticPr fontId="6" type="noConversion"/>
  </si>
  <si>
    <t>도표 39</t>
    <phoneticPr fontId="6" type="noConversion"/>
  </si>
  <si>
    <t>재항고</t>
    <phoneticPr fontId="6" type="noConversion"/>
  </si>
  <si>
    <t>재항고</t>
    <phoneticPr fontId="56" type="noConversion"/>
  </si>
  <si>
    <t>2월
이내</t>
    <phoneticPr fontId="6" type="noConversion"/>
  </si>
  <si>
    <t>6월
이내</t>
    <phoneticPr fontId="6" type="noConversion"/>
  </si>
  <si>
    <t>(3) 19세 미만자 재판결과</t>
    <phoneticPr fontId="6" type="noConversion"/>
  </si>
  <si>
    <t>확정심급</t>
    <phoneticPr fontId="6" type="noConversion"/>
  </si>
  <si>
    <t>주 : 처리율(%) = 처리/금년접수×100</t>
    <phoneticPr fontId="6" type="noConversion"/>
  </si>
  <si>
    <t>주 : 상고심 1심 합의에는 군사재판사건이 포함됨</t>
    <phoneticPr fontId="22" type="noConversion"/>
  </si>
  <si>
    <t xml:space="preserve">      2. 상고심에서 파기환송되어 항소심에서 접수 진행된 경우, 상고심 확정사건으로 봄</t>
    <phoneticPr fontId="22" type="noConversion"/>
  </si>
  <si>
    <t xml:space="preserve">      3. 제1심 접수 피고인 중 병합심리결정, 소년부송치, 이송, 재정합의결정, 재배당 등으로 확정일자가 없는 사건은 심급별 사건수에서 제외됨</t>
    <phoneticPr fontId="22" type="noConversion"/>
  </si>
  <si>
    <t>주 : ( )내의 수는 구성비(%)임</t>
    <phoneticPr fontId="6" type="noConversion"/>
  </si>
  <si>
    <t>처리</t>
    <phoneticPr fontId="6" type="noConversion"/>
  </si>
  <si>
    <t>보호관찰∙
사회봉사명령</t>
    <phoneticPr fontId="56" type="noConversion"/>
  </si>
  <si>
    <t>보호관찰∙
수강명령</t>
    <phoneticPr fontId="56" type="noConversion"/>
  </si>
  <si>
    <t>보호관찰∙
치료명령</t>
    <phoneticPr fontId="56" type="noConversion"/>
  </si>
  <si>
    <t>사회봉사명령∙
수강명령</t>
    <phoneticPr fontId="56" type="noConversion"/>
  </si>
  <si>
    <t>보호관찰∙
사회봉사명령∙
수강명령</t>
    <phoneticPr fontId="56" type="noConversion"/>
  </si>
  <si>
    <t>보호관찰∙
사회봉사명령∙
치료명령</t>
    <phoneticPr fontId="56" type="noConversion"/>
  </si>
  <si>
    <t>보호관찰∙
수강명령∙
치료명령</t>
    <phoneticPr fontId="56" type="noConversion"/>
  </si>
  <si>
    <t>보호관찰∙
사회봉사명령∙
수강명령∙
치료명령</t>
    <phoneticPr fontId="56" type="noConversion"/>
  </si>
  <si>
    <t>주 : 종국된 사건 기준으로 기소시 불구속사건이며 종국시 최초 구속된 피고인수임.</t>
    <phoneticPr fontId="22" type="noConversion"/>
  </si>
  <si>
    <t>주 : 1. 치료감호처분사건은 제외함</t>
    <phoneticPr fontId="6" type="noConversion"/>
  </si>
  <si>
    <t>판결인원수</t>
    <phoneticPr fontId="6" type="noConversion"/>
  </si>
  <si>
    <t>항소인원수</t>
    <phoneticPr fontId="6" type="noConversion"/>
  </si>
  <si>
    <t xml:space="preserve">      2. "집행유예"에는 집행유예(재산형)이 포함됨</t>
    <phoneticPr fontId="56" type="noConversion"/>
  </si>
  <si>
    <t>주 : 1. "단순처분"은 집행유예 선고와 동시에 보호관찰, 사회봉사, 수강명령 중 어느 하나를 선고한 경우(형법 제62조의 2)로, "병과처분"은 단순처분, 치료명령(치료감호 등에 관한 법률 제44조의 2)이 병과된 경우임</t>
    <phoneticPr fontId="6" type="noConversion"/>
  </si>
  <si>
    <t>20</t>
  </si>
  <si>
    <t>2020년</t>
  </si>
  <si>
    <t>주 : 1. "금년접수"란 ( )내의 수는 구성비(%)임</t>
    <phoneticPr fontId="6" type="noConversion"/>
  </si>
  <si>
    <t xml:space="preserve">      2. 직권보석은 금년접수, 처리계란에 포함되지 않음</t>
    <phoneticPr fontId="6" type="noConversion"/>
  </si>
  <si>
    <t>직권에 의하여 발부된 영장건수도 편의상 접수건수로 포함하였으며, 부착명령, 보호관찰명령, 치료명령사건은 신청 등에 포함함</t>
    <phoneticPr fontId="6" type="noConversion"/>
  </si>
  <si>
    <t>2020년도</t>
    <phoneticPr fontId="6" type="noConversion"/>
  </si>
  <si>
    <t>주 : 인용률 = (인용/처리)×100</t>
    <phoneticPr fontId="6" type="noConversion"/>
  </si>
  <si>
    <t>다. 형사항고ㆍ재항고사건</t>
  </si>
  <si>
    <t>(-)</t>
    <phoneticPr fontId="6" type="noConversion"/>
  </si>
  <si>
    <t xml:space="preserve">      2. "법정기간"은 「소송촉진등에 관한 특례법」 제21조의 판결선고기간으로 제1심은 6월, 항소심ㆍ상고심은 각 4월임</t>
    <phoneticPr fontId="6" type="noConversion"/>
  </si>
  <si>
    <t>주 : 치료감호, 부착명령 (재)항고사건이 포함되어 있음</t>
    <phoneticPr fontId="6" type="noConversion"/>
  </si>
  <si>
    <t>신용,업무와경매에관한죄</t>
    <phoneticPr fontId="6" type="noConversion"/>
  </si>
  <si>
    <t>2021년도</t>
    <phoneticPr fontId="6" type="noConversion"/>
  </si>
  <si>
    <t>21</t>
    <phoneticPr fontId="6" type="noConversion"/>
  </si>
  <si>
    <t>20</t>
    <phoneticPr fontId="6" type="noConversion"/>
  </si>
  <si>
    <t>21</t>
    <phoneticPr fontId="6" type="noConversion"/>
  </si>
  <si>
    <t>2021년도에 접수된 형사항고ㆍ재항고사건은 모두 9,443건으로 전체 형사사건의 0.84%를 차지하고 있다. 최근 10년간의 추세는 도표 39와 같으며 형사(재)항고 사건의 접수ㆍ처리상황은 표 126과 같다.</t>
    <phoneticPr fontId="6" type="noConversion"/>
  </si>
  <si>
    <t>준항고</t>
    <phoneticPr fontId="56" type="noConversion"/>
  </si>
  <si>
    <t>평균공판기일횟수</t>
    <phoneticPr fontId="6" type="noConversion"/>
  </si>
  <si>
    <t>주 : 종국된 사건 중 기일이 있는 사건 기준임</t>
    <phoneticPr fontId="6" type="noConversion"/>
  </si>
  <si>
    <t>(단위: 회)</t>
    <phoneticPr fontId="6" type="noConversion"/>
  </si>
  <si>
    <t>형사공판 외국인 사건 추이 - 접수 (도표 27)</t>
    <phoneticPr fontId="6" type="noConversion"/>
  </si>
  <si>
    <t>전체</t>
    <phoneticPr fontId="6" type="noConversion"/>
  </si>
  <si>
    <t>변호사 선임</t>
    <phoneticPr fontId="6" type="noConversion"/>
  </si>
  <si>
    <t>Sheet명</t>
    <phoneticPr fontId="6" type="noConversion"/>
  </si>
  <si>
    <t>변경내용</t>
    <phoneticPr fontId="6" type="noConversion"/>
  </si>
  <si>
    <t>표(도표) 제목</t>
    <phoneticPr fontId="6" type="noConversion"/>
  </si>
  <si>
    <t>형사공판 외국인 사건 추이 - 접수</t>
    <phoneticPr fontId="6" type="noConversion"/>
  </si>
  <si>
    <t>도표 추가</t>
    <phoneticPr fontId="6" type="noConversion"/>
  </si>
  <si>
    <t>표 추가</t>
    <phoneticPr fontId="6" type="noConversion"/>
  </si>
  <si>
    <t>형사공판사건 평균 공판기일 횟수</t>
    <phoneticPr fontId="6" type="noConversion"/>
  </si>
  <si>
    <t>제1심 형사공판사건 변호사 선임 평균처리기간</t>
    <phoneticPr fontId="6" type="noConversion"/>
  </si>
  <si>
    <t>제1심</t>
    <phoneticPr fontId="6" type="noConversion"/>
  </si>
  <si>
    <t>배상명령액(원)</t>
    <phoneticPr fontId="6" type="noConversion"/>
  </si>
  <si>
    <t>다. 형사항고ㆍ준항고ㆍ재항고사건</t>
    <phoneticPr fontId="56" type="noConversion"/>
  </si>
  <si>
    <t>금년접수</t>
    <phoneticPr fontId="56" type="noConversion"/>
  </si>
  <si>
    <t>처리</t>
    <phoneticPr fontId="56" type="noConversion"/>
  </si>
  <si>
    <t>결정</t>
    <phoneticPr fontId="56" type="noConversion"/>
  </si>
  <si>
    <t>인용</t>
    <phoneticPr fontId="56" type="noConversion"/>
  </si>
  <si>
    <t>항고</t>
    <phoneticPr fontId="56" type="noConversion"/>
  </si>
  <si>
    <t>형사(준ㆍ재)항고사건 처리상황</t>
    <phoneticPr fontId="6" type="noConversion"/>
  </si>
  <si>
    <t>상고인원수</t>
    <phoneticPr fontId="6" type="noConversion"/>
  </si>
  <si>
    <t>즉결심판</t>
    <phoneticPr fontId="6" type="noConversion"/>
  </si>
  <si>
    <t xml:space="preserve">      2. 형사사건인원수임</t>
    <phoneticPr fontId="6" type="noConversion"/>
  </si>
  <si>
    <t>형의
면제
ㆍ면소</t>
    <phoneticPr fontId="6" type="noConversion"/>
  </si>
  <si>
    <t>즉일선고 인원수</t>
    <phoneticPr fontId="6" type="noConversion"/>
  </si>
  <si>
    <t>상소인원수</t>
    <phoneticPr fontId="6" type="noConversion"/>
  </si>
  <si>
    <t>청구
기각</t>
    <phoneticPr fontId="6" type="noConversion"/>
  </si>
  <si>
    <t>형사공판 제1심 사건 추이 - 접수 (도표 28)</t>
    <phoneticPr fontId="6" type="noConversion"/>
  </si>
  <si>
    <t>형사공판 항소심 사건 추이 - 접수 (도표 29)</t>
    <phoneticPr fontId="6" type="noConversion"/>
  </si>
  <si>
    <t>형사공판 상고심 사건 추이 - 접수 (도표 30)</t>
    <phoneticPr fontId="6" type="noConversion"/>
  </si>
  <si>
    <t>상소심 파기(취소)ㆍ기각 비교 (도표 31)</t>
    <phoneticPr fontId="6" type="noConversion"/>
  </si>
  <si>
    <t>간이공판절차에 의한 처리사건 추이(도표 32)</t>
    <phoneticPr fontId="6" type="noConversion"/>
  </si>
  <si>
    <t xml:space="preserve">최근 10년간 상소율의 추이를 보면 도표 33, 34와 같다. </t>
    <phoneticPr fontId="6" type="noConversion"/>
  </si>
  <si>
    <t>형사공판사건의 항소율 추이 (도표 33)</t>
    <phoneticPr fontId="6" type="noConversion"/>
  </si>
  <si>
    <t>형사공판사건의 상고율 추이 (도표 34)</t>
    <phoneticPr fontId="6" type="noConversion"/>
  </si>
  <si>
    <t>형사공판사건 제1심 처리기간 (도표 35)</t>
    <phoneticPr fontId="22" type="noConversion"/>
  </si>
  <si>
    <t>형사공판사건 상소심 처리기간 (도표 36)</t>
    <phoneticPr fontId="22" type="noConversion"/>
  </si>
  <si>
    <t>구속영장 발부율의 추이 - 전심급(도표 37)</t>
    <phoneticPr fontId="6" type="noConversion"/>
  </si>
  <si>
    <t>지방법원 형사신청사건의 추이 - 접수(도표 38)</t>
    <phoneticPr fontId="6" type="noConversion"/>
  </si>
  <si>
    <t>체포ㆍ구속적부심사 석방률 추이(도표 39)</t>
    <phoneticPr fontId="6" type="noConversion"/>
  </si>
  <si>
    <t>형사(재)항고사건의 추이 - 접수(도표 40)</t>
    <phoneticPr fontId="6" type="noConversion"/>
  </si>
  <si>
    <t>제7항 형사</t>
    <phoneticPr fontId="6" type="noConversion"/>
  </si>
  <si>
    <t>집행유예(재산형)</t>
    <phoneticPr fontId="56" type="noConversion"/>
  </si>
  <si>
    <t>4. 치료감호사건</t>
    <phoneticPr fontId="6" type="noConversion"/>
  </si>
  <si>
    <t>5. 약식명령사건</t>
    <phoneticPr fontId="6" type="noConversion"/>
  </si>
  <si>
    <t>6. 즉결심판사건</t>
    <phoneticPr fontId="6" type="noConversion"/>
  </si>
  <si>
    <t>7. 영장사건</t>
    <phoneticPr fontId="6" type="noConversion"/>
  </si>
  <si>
    <t>8. 형사신청ㆍ(재)항고사건</t>
    <phoneticPr fontId="6" type="noConversion"/>
  </si>
  <si>
    <t>3. 국민참여재판사건</t>
    <phoneticPr fontId="6" type="noConversion"/>
  </si>
  <si>
    <t>2012년 하반기 국민참여재판 대상사건이 모든 합의사건으로 확대되면서 국민참여재판 접수건수 및 재판건수가 증가하였다.</t>
    <phoneticPr fontId="6" type="noConversion"/>
  </si>
  <si>
    <t>연도별 국민참여재판(제1심) 접수․처리․미제 건수(표 125)</t>
    <phoneticPr fontId="6" type="noConversion"/>
  </si>
  <si>
    <t>형사공판사건 미제 기간별 인원수(표 124)</t>
    <phoneticPr fontId="6" type="noConversion"/>
  </si>
  <si>
    <t>간이공판절차에 의한 형사사건 처리기간별 인원수(표 123)</t>
    <phoneticPr fontId="6" type="noConversion"/>
  </si>
  <si>
    <t>형사사건 접수ㆍ처리 총괄(표 98)</t>
    <phoneticPr fontId="6" type="noConversion"/>
  </si>
  <si>
    <t>형사사건 연도별 비교 - 접수(표 99)</t>
    <phoneticPr fontId="6" type="noConversion"/>
  </si>
  <si>
    <t>형사사건에 대한 최근 10년간의 증감추세를 보면 도표 26 및 표 99와 같다.</t>
    <phoneticPr fontId="6" type="noConversion"/>
  </si>
  <si>
    <t>형사공판사건(인원수) 중 구속사건 비율 - 접수(표 100)</t>
    <phoneticPr fontId="6" type="noConversion"/>
  </si>
  <si>
    <t>형사공판사건의 법원별 접수내역은 표 103과 같다.</t>
    <phoneticPr fontId="6" type="noConversion"/>
  </si>
  <si>
    <t>형사공판사건 피고인 성별 비교 - 접수(표 101)</t>
    <phoneticPr fontId="6" type="noConversion"/>
  </si>
  <si>
    <t>형사공판사건 중요죄명별 - 접수(표 102)</t>
    <phoneticPr fontId="6" type="noConversion"/>
  </si>
  <si>
    <t>형사공판사건 법원별 - 접수(표 103)</t>
    <phoneticPr fontId="6" type="noConversion"/>
  </si>
  <si>
    <t>형사공판사건 접수ㆍ처리ㆍ미제 상황 (표 104)</t>
    <phoneticPr fontId="6" type="noConversion"/>
  </si>
  <si>
    <t>형사공판 재심사건의 제1심 접수 및 처리현황은 표 105와 같다.</t>
    <phoneticPr fontId="6" type="noConversion"/>
  </si>
  <si>
    <t>제1심 형사공판사건 재심 접수ㆍ처리건수(표 105)</t>
    <phoneticPr fontId="6" type="noConversion"/>
  </si>
  <si>
    <t>형사공판사건 처리결과(표 106)</t>
    <phoneticPr fontId="6" type="noConversion"/>
  </si>
  <si>
    <t>집행유예선고시 보호관찰등 처분현황(표 107)</t>
    <phoneticPr fontId="6" type="noConversion"/>
  </si>
  <si>
    <t>자유형(징역 또는 금고) 형기별 인원(표 108)</t>
    <phoneticPr fontId="6" type="noConversion"/>
  </si>
  <si>
    <t>제1심 형사공판사건 중 19세 미만자의 재판결과(표 109)</t>
    <phoneticPr fontId="6" type="noConversion"/>
  </si>
  <si>
    <t>간이공판절차에 의한 처리내역(표 110)</t>
    <phoneticPr fontId="6" type="noConversion"/>
  </si>
  <si>
    <t>형사공판사건 상소율(표 111)</t>
    <phoneticPr fontId="6" type="noConversion"/>
  </si>
  <si>
    <t>국선변호인 선정 사건수 및 피고인수(표 112)</t>
    <phoneticPr fontId="6" type="noConversion"/>
  </si>
  <si>
    <t>형사공판사건 처리기간별 인원수(표 113)</t>
    <phoneticPr fontId="6" type="noConversion"/>
  </si>
  <si>
    <t>형사공판사건의 평균처리기간 (표 114)</t>
    <phoneticPr fontId="6" type="noConversion"/>
  </si>
  <si>
    <t>형사공판사건의 확정시까지의 평균처리기간 (표 115)</t>
    <phoneticPr fontId="22" type="noConversion"/>
  </si>
  <si>
    <t>형사공판사건 평균 공판기일 횟수(표 116)</t>
    <phoneticPr fontId="6" type="noConversion"/>
  </si>
  <si>
    <t>제1심 형사공판사건 변호사 선임 평균처리기간(표 117)</t>
    <phoneticPr fontId="6" type="noConversion"/>
  </si>
  <si>
    <t>형사공판사건 변호사 선임 피고인수(표 118)</t>
    <phoneticPr fontId="6" type="noConversion"/>
  </si>
  <si>
    <t>제1심 형사공판사건 증인수(표 119)</t>
    <phoneticPr fontId="22" type="noConversion"/>
  </si>
  <si>
    <t>제1심 형사공판사건 궐석재판 피고인수 (표 120)</t>
    <phoneticPr fontId="22" type="noConversion"/>
  </si>
  <si>
    <t>제1심 형사공판사건 즉일선고 피고인수 (표 121)</t>
    <phoneticPr fontId="22" type="noConversion"/>
  </si>
  <si>
    <t>형사공판사건 법정구속 피고인수 (표 122)</t>
    <phoneticPr fontId="22" type="noConversion"/>
  </si>
  <si>
    <t>제1심 치료감호사건 법원별 처리상황(표 128)</t>
    <phoneticPr fontId="6" type="noConversion"/>
  </si>
  <si>
    <t>치료감호처분사건 접수ㆍ처리ㆍ미제 인원수(표 129)</t>
    <phoneticPr fontId="6" type="noConversion"/>
  </si>
  <si>
    <t>치료감호사건 처리 내역(표 130)</t>
    <phoneticPr fontId="6" type="noConversion"/>
  </si>
  <si>
    <t>치료감호사건 상소율(표 131)</t>
    <phoneticPr fontId="6" type="noConversion"/>
  </si>
  <si>
    <t>약식명령사건 처리상황(표 132)</t>
    <phoneticPr fontId="6" type="noConversion"/>
  </si>
  <si>
    <t>약식명령사건 법원별 처리상황(표 133)</t>
    <phoneticPr fontId="6" type="noConversion"/>
  </si>
  <si>
    <t>정식재판청구사건 처리상황(표 134)</t>
    <phoneticPr fontId="6" type="noConversion"/>
  </si>
  <si>
    <t>즉결심판사건 법원별 접수인원(표 135)</t>
    <phoneticPr fontId="6" type="noConversion"/>
  </si>
  <si>
    <t>즉결심판사건 처리내용(표 136)</t>
    <phoneticPr fontId="6" type="noConversion"/>
  </si>
  <si>
    <t>영장사건 처리상황 - 전심급(표 137)</t>
    <phoneticPr fontId="6" type="noConversion"/>
  </si>
  <si>
    <t>형사신청사건 종류별 처리상황(표 138)</t>
    <phoneticPr fontId="6" type="noConversion"/>
  </si>
  <si>
    <t>체포ㆍ구속적부심사 청구사건 청구인별 및 보석 청구사건 처리상황(표 139)</t>
    <phoneticPr fontId="6" type="noConversion"/>
  </si>
  <si>
    <t>체포ㆍ구속적부심사 청구사건 석방률 비교(표 140)</t>
    <phoneticPr fontId="6" type="noConversion"/>
  </si>
  <si>
    <t>「소송촉진 등에 관한 특례법」에 의한 배상명령신청에 대한 처리내용 및 배상명령금액을 연도별로 비교한 내역은 표 141과 같다.</t>
    <phoneticPr fontId="6" type="noConversion"/>
  </si>
  <si>
    <t>배상명령사건 연도별비교-전심급 (표 141)</t>
    <phoneticPr fontId="6" type="noConversion"/>
  </si>
  <si>
    <t>형사(재)항고사건 접수ㆍ처리상황 (표 142)</t>
    <phoneticPr fontId="6" type="noConversion"/>
  </si>
  <si>
    <t>형사(준ㆍ재)항고사건 처리상황 (표 143)</t>
    <phoneticPr fontId="6" type="noConversion"/>
  </si>
  <si>
    <t>합 계</t>
  </si>
  <si>
    <t>건 수</t>
    <phoneticPr fontId="6" type="noConversion"/>
  </si>
  <si>
    <t>비 율</t>
    <phoneticPr fontId="6" type="noConversion"/>
  </si>
  <si>
    <t>국민참여재판</t>
    <phoneticPr fontId="6" type="noConversion"/>
  </si>
  <si>
    <t>배 제</t>
    <phoneticPr fontId="6" type="noConversion"/>
  </si>
  <si>
    <t>철 회</t>
    <phoneticPr fontId="6" type="noConversion"/>
  </si>
  <si>
    <t>합 계</t>
    <phoneticPr fontId="6" type="noConversion"/>
  </si>
  <si>
    <t>접 수</t>
    <phoneticPr fontId="6" type="noConversion"/>
  </si>
  <si>
    <t>미 제</t>
    <phoneticPr fontId="6" type="noConversion"/>
  </si>
  <si>
    <t>처 리</t>
    <phoneticPr fontId="6" type="noConversion"/>
  </si>
  <si>
    <r>
      <t>2008</t>
    </r>
    <r>
      <rPr>
        <sz val="9"/>
        <color rgb="FF000000"/>
        <rFont val="굴림"/>
        <family val="3"/>
        <charset val="129"/>
      </rPr>
      <t>년</t>
    </r>
  </si>
  <si>
    <r>
      <t>2009</t>
    </r>
    <r>
      <rPr>
        <sz val="9"/>
        <color rgb="FF000000"/>
        <rFont val="굴림"/>
        <family val="3"/>
        <charset val="129"/>
      </rPr>
      <t>년</t>
    </r>
  </si>
  <si>
    <r>
      <t>2010</t>
    </r>
    <r>
      <rPr>
        <sz val="9"/>
        <color rgb="FF000000"/>
        <rFont val="굴림"/>
        <family val="3"/>
        <charset val="129"/>
      </rPr>
      <t>년</t>
    </r>
  </si>
  <si>
    <r>
      <t>2011</t>
    </r>
    <r>
      <rPr>
        <sz val="9"/>
        <color rgb="FF000000"/>
        <rFont val="굴림"/>
        <family val="3"/>
        <charset val="129"/>
      </rPr>
      <t>년</t>
    </r>
  </si>
  <si>
    <r>
      <t>2012</t>
    </r>
    <r>
      <rPr>
        <sz val="9"/>
        <color rgb="FF000000"/>
        <rFont val="굴림"/>
        <family val="3"/>
        <charset val="129"/>
      </rPr>
      <t>년</t>
    </r>
  </si>
  <si>
    <r>
      <t>2013</t>
    </r>
    <r>
      <rPr>
        <sz val="9"/>
        <color rgb="FF000000"/>
        <rFont val="굴림"/>
        <family val="3"/>
        <charset val="129"/>
      </rPr>
      <t>년</t>
    </r>
  </si>
  <si>
    <r>
      <t>2014</t>
    </r>
    <r>
      <rPr>
        <sz val="9"/>
        <color rgb="FF000000"/>
        <rFont val="굴림"/>
        <family val="3"/>
        <charset val="129"/>
      </rPr>
      <t>년</t>
    </r>
  </si>
  <si>
    <r>
      <t>2015</t>
    </r>
    <r>
      <rPr>
        <sz val="9"/>
        <color rgb="FF000000"/>
        <rFont val="굴림"/>
        <family val="3"/>
        <charset val="129"/>
      </rPr>
      <t>년</t>
    </r>
  </si>
  <si>
    <r>
      <t>2016</t>
    </r>
    <r>
      <rPr>
        <sz val="9"/>
        <color rgb="FF000000"/>
        <rFont val="굴림"/>
        <family val="3"/>
        <charset val="129"/>
      </rPr>
      <t>년</t>
    </r>
  </si>
  <si>
    <r>
      <t>2017</t>
    </r>
    <r>
      <rPr>
        <sz val="9"/>
        <color rgb="FF000000"/>
        <rFont val="굴림"/>
        <family val="3"/>
        <charset val="129"/>
      </rPr>
      <t>년</t>
    </r>
  </si>
  <si>
    <r>
      <t>2018</t>
    </r>
    <r>
      <rPr>
        <sz val="9"/>
        <color rgb="FF000000"/>
        <rFont val="굴림"/>
        <family val="3"/>
        <charset val="129"/>
      </rPr>
      <t>년</t>
    </r>
  </si>
  <si>
    <r>
      <t>2019</t>
    </r>
    <r>
      <rPr>
        <sz val="9"/>
        <color rgb="FF000000"/>
        <rFont val="굴림"/>
        <family val="3"/>
        <charset val="129"/>
      </rPr>
      <t>년</t>
    </r>
  </si>
  <si>
    <r>
      <t>2020</t>
    </r>
    <r>
      <rPr>
        <sz val="9"/>
        <color rgb="FF000000"/>
        <rFont val="굴림"/>
        <family val="3"/>
        <charset val="129"/>
      </rPr>
      <t>년</t>
    </r>
  </si>
  <si>
    <r>
      <t>2021</t>
    </r>
    <r>
      <rPr>
        <sz val="9"/>
        <color rgb="FF000000"/>
        <rFont val="굴림"/>
        <family val="3"/>
        <charset val="129"/>
      </rPr>
      <t>년</t>
    </r>
  </si>
  <si>
    <t>주 : 비율(%)=사유별 처리건수/총 처리건수×100</t>
    <phoneticPr fontId="6" type="noConversion"/>
  </si>
  <si>
    <t>법원별 국민참여재판(제1심) 접수․처리․미제 건수(표 126)</t>
    <phoneticPr fontId="6" type="noConversion"/>
  </si>
  <si>
    <t>서울중앙지법</t>
  </si>
  <si>
    <t>서울동부지법</t>
  </si>
  <si>
    <t>서울남부지법</t>
  </si>
  <si>
    <t>서울북부지법</t>
  </si>
  <si>
    <t>서울서부지법</t>
  </si>
  <si>
    <t>의정부지법</t>
  </si>
  <si>
    <t>인천지법</t>
  </si>
  <si>
    <t>수원지법</t>
  </si>
  <si>
    <t>춘천지법</t>
  </si>
  <si>
    <t>대전지법</t>
  </si>
  <si>
    <t>청주지법</t>
  </si>
  <si>
    <t>대구지법</t>
  </si>
  <si>
    <t>부산지법</t>
  </si>
  <si>
    <t>울산지법</t>
  </si>
  <si>
    <t>창원지법</t>
  </si>
  <si>
    <t>광주지법</t>
  </si>
  <si>
    <t>전주지법</t>
  </si>
  <si>
    <t>제주지법</t>
  </si>
  <si>
    <t>범죄유형별 국민참여재판(제1심) 접수․처리․미제 건수(표 127)</t>
    <phoneticPr fontId="6" type="noConversion"/>
  </si>
  <si>
    <t>살인등</t>
  </si>
  <si>
    <t>강도등</t>
  </si>
  <si>
    <t>상해등</t>
  </si>
  <si>
    <t>성범죄등</t>
  </si>
  <si>
    <t>범죄유형</t>
    <phoneticPr fontId="6" type="noConversion"/>
  </si>
  <si>
    <t>9. 증인지원제도</t>
    <phoneticPr fontId="6" type="noConversion"/>
  </si>
  <si>
    <t>가. 특별․취약증인지원 건수</t>
    <phoneticPr fontId="6" type="noConversion"/>
  </si>
  <si>
    <t>특별․취약증인지원 건수(표 144)</t>
    <phoneticPr fontId="6" type="noConversion"/>
  </si>
  <si>
    <t>나. 일반증인지원 건수</t>
    <phoneticPr fontId="6" type="noConversion"/>
  </si>
  <si>
    <t>특별증인</t>
  </si>
  <si>
    <t>취약증인</t>
  </si>
  <si>
    <t>이용자 수</t>
  </si>
  <si>
    <t>10. 양형조사</t>
    <phoneticPr fontId="6" type="noConversion"/>
  </si>
  <si>
    <t>일반증인지원 건수(표 145)</t>
    <phoneticPr fontId="6" type="noConversion"/>
  </si>
  <si>
    <t>접수건수</t>
    <phoneticPr fontId="6" type="noConversion"/>
  </si>
  <si>
    <t>양형조사명령 접수건수(표 146)</t>
    <phoneticPr fontId="6" type="noConversion"/>
  </si>
  <si>
    <t>2022년도</t>
    <phoneticPr fontId="6" type="noConversion"/>
  </si>
  <si>
    <t>2022년</t>
    <phoneticPr fontId="6" type="noConversion"/>
  </si>
  <si>
    <t>22</t>
    <phoneticPr fontId="6" type="noConversion"/>
  </si>
  <si>
    <t xml:space="preserve">형사사건에 대한 최근 10년간의 외국인 증감추세는 도표 27과 같으며, 제1심 형사공판사건으로 기소된 전체 피고인 중 외국인은 5,741명(2.6%)이다. 국적별로 보면 중국인 3,571명(62.2%), 태국인 500명(8.7%) 순이며, 자유형을 선고받은 외국인은 38.0%, 집행유예를 선고받은 외국인은 33.5%이다.
</t>
    <phoneticPr fontId="6" type="noConversion"/>
  </si>
  <si>
    <t>제1심 형사공판사건 219,908건을 사물관할별로 보면 표 98과 같이 합의사건이 21,287건, 단독사건이 198,621건으로 그 비율은 9.7 대 90.3이 된다.</t>
    <phoneticPr fontId="6" type="noConversion"/>
  </si>
  <si>
    <t>형사공판사건의 중요사건을 죄명별로 비교하여 보면 표 102와 같이 형법범과 특별법범의 비율은 52대 48이며, 사기와 공갈의 죄가 60,205건(19.4%)으로 가장 많고, 다음으로 도로교통법위반이 44,148건(14.2%), 상해와 폭행의 죄가 26,597건(8.6%), 특정범죄 가중처벌 등에 관한 법률위반이 14,038건(4.5%), 절도와 강도의 죄가 13,313건(4.3%), 교통사고처리특례법위반이 10,859건(3.5%), 강간과 추행의 죄가 10,603건(3.4%) 등의 순이다.</t>
    <phoneticPr fontId="6" type="noConversion"/>
  </si>
  <si>
    <t>형사공판사건의 처리상황은 표 104와 같다. 제1심이 101.6%, 항소심이 98.4%, 상고심이 101.3%의 처리율을 보이고 있고, 전심급 평균처리율은 100.9%이다.</t>
    <phoneticPr fontId="6" type="noConversion"/>
  </si>
  <si>
    <t>형사공판사건의 재판결과를 보면 표 106과 같다. 판결률(판결건수/처리건수×100)을 보면, 제1심은 단독사건이 93.5%, 합의사건이 94.2%이고 항소심은 고등법원이 95.3%, 지방법원 90.6%이며, 상고심은 27.2%이다.</t>
    <phoneticPr fontId="6" type="noConversion"/>
  </si>
  <si>
    <t xml:space="preserve">상소심 판결의 파기 및 기각 건수를 비교하면 도표 31과 같다. 파기율 (파기건수/판결건수×100)을 보면, 항소심의 경우 고등법원이 46.5%, 지방법원항소부가 43.5%이고, 상고심의 경우에는 10.3%이다. </t>
    <phoneticPr fontId="6" type="noConversion"/>
  </si>
  <si>
    <t xml:space="preserve">판결로 종결된 사건 중 자유형이 선고된 사건을 형기별로 분류하면 표 108과 같다. 자유형(징역ㆍ금고)이 선고된 사건 중 집행유예 선고를 받은 인원수 비율은 제1심이 53.4%, 항소심이 41.2%이다. </t>
    <phoneticPr fontId="56" type="noConversion"/>
  </si>
  <si>
    <t>처리된 제1심 형사공판사건 223,504건 중 19세 미만자 사건은 2,540건으로 1.1%를 차지하고 있고, 이에 대한 재판결과를 보면 표 109와 같다.</t>
    <phoneticPr fontId="6" type="noConversion"/>
  </si>
  <si>
    <t>21</t>
    <phoneticPr fontId="6" type="noConversion"/>
  </si>
  <si>
    <t>2021년</t>
    <phoneticPr fontId="6" type="noConversion"/>
  </si>
  <si>
    <t>제1심에서 접수된 치료감호사건은 148건인데, 공소제기와 함께 감호청구를 한 사건은 139건(93.9%)으로 공소제기와 별도로 독립하여 감호청구를 한 9건(6.1%)에 비하여 매우 높은 비율을 차지하고 있다. 제1심 치료감호사건을 법원별로 비교한 내역은 표 128과 같다.</t>
    <phoneticPr fontId="6" type="noConversion"/>
  </si>
  <si>
    <t>치료감호사건의 처리상황을 보면 표 129와 같다. 제1심이 103.4%, 항소심이 98.8%, 상고심이 89.5%의 처리율을 보이고 있고, 평균처리율은 100.8%이다.</t>
    <phoneticPr fontId="6" type="noConversion"/>
  </si>
  <si>
    <t>판결로 종결된 사건의 상소율은 표 131과 같다. 참고로 형사공판사건의 상소율은 제1심의 경우 44.3%, 항소심의 경우 31.4%이다.</t>
    <phoneticPr fontId="6" type="noConversion"/>
  </si>
  <si>
    <t>21</t>
  </si>
  <si>
    <t>21</t>
    <phoneticPr fontId="6" type="noConversion"/>
  </si>
  <si>
    <t>21</t>
    <phoneticPr fontId="6" type="noConversion"/>
  </si>
  <si>
    <t>주 : 1. 확정사건 평균처리일수는 2022년 확정된 사건의 확정심급별 1심 접수일부터 최종 심급 종국일까지의 기간으로 심급별 선고일부터 상급심 접수일까지의 기간이 포함됨</t>
    <phoneticPr fontId="22" type="noConversion"/>
  </si>
  <si>
    <t>전심급 형사공판사건의 미제는 모두 161,116건이고, 미제사건의 심리기간을 심급별로 보면 표 124와 같다. 제1심 영구미제사건은 487건으로 미제사건의 0.4%를 차지하고 있다.</t>
    <phoneticPr fontId="6" type="noConversion"/>
  </si>
  <si>
    <t>(-)</t>
  </si>
  <si>
    <t>치료감호사건의 재판결과를 보면 표 130과 같다. 처리된 사건 중 제1심의 90.2%, 항소심의 90.0%, 상고심의 52.9%가 각 판결로 종결된 것임을 알 수 있다.</t>
    <phoneticPr fontId="6" type="noConversion"/>
  </si>
  <si>
    <t>각 심급의 공판절차(치료감호사건 포함) 및 체포ㆍ구속적부심사청구절차에서 국선변호인이 선정된 사건수와 피고인수를 그 선정사유별로 보면 표 112와 같다. 전체형사공판사건(치료감호사건 포함) 피고인 310,502명 중 39.5%에 해당하는 122,541명이 국선변호인의 조력 아래 재판을 받았다{제1심 합의사건(치료감호사건 포함)의 경우에는 40.1%임}.</t>
    <phoneticPr fontId="6" type="noConversion"/>
  </si>
  <si>
    <t xml:space="preserve">      2. 치료감호처분 사건에 대한 국선변호인 25명 및 체포ㆍ구속적부심사 청구사건에 대한 국선변호인 선정인원 1,473명이 포함됨</t>
    <phoneticPr fontId="6" type="noConversion"/>
  </si>
  <si>
    <t>약식명령사건의 처리상황 내역은 표 132와 같고, 이를 다시 법원별로 비교하여 보면 표 133과 같다. 약식명령사건 중 직권으로 공판에 회부된 사건은 7,359건(1.8%)이다. 약식명령에 대하여 정식재판을 청구한 사건(직권공판회부사건은 제외)은 33,421건으로 처리된 사건 407,119건의 8.2%에 해당하고, 2022년 정식재판청구사건의 접수ㆍ처리상황은 표 134와 같다.</t>
    <phoneticPr fontId="6" type="noConversion"/>
  </si>
  <si>
    <t>즉결심판사건의 처리내용을 보면 표 136과 같다. 즉결 심판에 대한 정식재판청구건수는 199건이다.</t>
    <phoneticPr fontId="6" type="noConversion"/>
  </si>
  <si>
    <t>각종 영장의 발부율 내역은 표 137과 같다. 2022년 연간 수사를 위한 구속영장발부 인원수(18,384) 대비 구속기소 인원수(18,732)의 비율은 101.9%이다. 최근 5년간 구속영장 발부율의 추이는 도표 37과 같다.</t>
    <phoneticPr fontId="6" type="noConversion"/>
  </si>
  <si>
    <t>형사신청사건의 처리상황을 종류별로 구분하여 비교한 내역은 표 138과 같다. 지방법원 형사신청사건의 처리상황을 보면 체포ㆍ구속적부심사청구 및 보석청구사건이 7.3%에 해당하는 7,409건임을 알 수 있다.</t>
    <phoneticPr fontId="6" type="noConversion"/>
  </si>
  <si>
    <t xml:space="preserve">      2. 기각에는 일부기각이 포함되어 있음(압수수색검증영장 31,583건, 통신사실확인자료제공요청 2,341건,
         통신제한조치허가서 1건, 디엔에이감식시료채취영장 1건이 일부기각 인원임)</t>
    <phoneticPr fontId="6" type="noConversion"/>
  </si>
  <si>
    <t>형사공판사건 중 구속사건의 비율은 표 100과 같다. 제1심 형사공판사건의 경우, 18,732명(8.5%)이 구속사건인 반면, 91.5%에 이르는 201,176명은 불구속상태에서 재판이 진행되었음을 알 수 있다.</t>
    <phoneticPr fontId="6" type="noConversion"/>
  </si>
  <si>
    <t>피고인의 남ㆍ여 성별 비교내역은 표 101과 같다. 제1심 형사공판사건 경우 여자의 비율은 14.6%이다.</t>
    <phoneticPr fontId="6" type="noConversion"/>
  </si>
  <si>
    <t>주 : 1. 형법 제62조 1항, 집행유예(재산형) 2018.1.7.시행.</t>
    <phoneticPr fontId="6" type="noConversion"/>
  </si>
  <si>
    <t xml:space="preserve">      2. 무죄는 전부무죄를 의미함</t>
    <phoneticPr fontId="6" type="noConversion"/>
  </si>
  <si>
    <t>주 : 무죄는 전부무죄를 의미함</t>
    <phoneticPr fontId="6" type="noConversion"/>
  </si>
  <si>
    <t>처리된 제1심 형사공판 223,504건 중 간이공판절차에 의하여 심판된 사건은 5,631건으로 처리건수의 2.5%를 차지하고 있다. 최근 5년간 간이공판절차에 의하여 처리된 사건의 처리추이는 도표 32와 같고, 2022년의 간이공판절차에 의한 재판결과는 표 110과 같다.</t>
    <phoneticPr fontId="6" type="noConversion"/>
  </si>
  <si>
    <t>판결로 종결된 사건의 상소건수 및 상소율은 표 111과 같다. 제1심 판결에 대한 항소율(항소건수/판결건수×100)은 44.3%인데, 그 중에서도 특히 합의사건의 항소율이 62.4%로 비교적 높은 비율을 나타내고 있다.</t>
    <phoneticPr fontId="6" type="noConversion"/>
  </si>
  <si>
    <t>2022년에 접수된 치료감호사건은 248건으로 전체 형사사건 1,517,547건의 0.02%, 형사본안사건 310,502건의 0.08%를 차지하고 있다.</t>
    <phoneticPr fontId="6" type="noConversion"/>
  </si>
  <si>
    <t>2022년도에 각급 법원에 접수된 형사사건은 모두 1,517,547건으로 전체사건의 9.5%, 소송사건의 24.6%를 차지하고 있다. 형사사건을 공판사건(합의ㆍ단독사건), 치료감호사건, 약식사건, 즉결사건, 영장사건, 신청사건 등으로 구분하여 그 접수ㆍ처리 내역을 종류별로 분류한 내역은 표 98과 같다. 형사사건은 전년에 비하여 6.9%가 증가되었다. 그 내용을 보면 본안사건은 2.9% 감소하였고, 본안외 사건은 9.8%가 증가하였음을 알 수 있다. 형사사건을 종류별로 보면 도표 25와 같다.</t>
    <phoneticPr fontId="6" type="noConversion"/>
  </si>
  <si>
    <t>2022년도에 접수된 즉결심판사건은 모두 135,327건으로 전체 형사사건의 8.9%, 전체 소송사건의 2.2%를 각 차지하고 있다. 즉결심판사건에 대한 최근 10년간의 추세는 앞의 표 99 및 도표 26과 같은데, 전년도에 비하여 19.0% 증가하였음을 알 수 있다. 즉결심판사건 접수인원의 법원별 비교내역은 표 135와 같다.</t>
    <phoneticPr fontId="6" type="noConversion"/>
  </si>
  <si>
    <t>2022년도 영장 청구사건(구속영장, 체포영장, 감호영장, 압수수색검증영장, 감정유치장 등)은 모두 526,756건(직권발부 포함)으로, 전체 형사사건의 34.7%, 전체 소송사건의 8.5%, 전체사건의 3.3%를 각 차지하고 있다. 영장사건의 최근 10년간의 추세는 앞의 표 99 및 도표 26과 같은데, 전년도에 비하여 8.2%가 증가하였음을 알 수 있다.</t>
    <phoneticPr fontId="6" type="noConversion"/>
  </si>
  <si>
    <t>2022년도에 접수된 형사신청ㆍ(재)항고사건은 126,030건으로 전체 형사사건의 8.3%, 전체 소송사건의 2.0%, 전체사건의 0.8%를 각 차지하고 있다.
형사신청사건의 최근 10년간의 추세는 앞의 표 99와 같고, 지방법원 형사신청사건의 추이는 도표 38과 같다.</t>
    <phoneticPr fontId="6" type="noConversion"/>
  </si>
  <si>
    <t>2022년에 접수된 약식명령사건은 416,410건(전자약식 포함)으로, 전체사건의 2.6%, 전체소송사건의 6.8%, 전체 형사사건의 27.4%를 각 차지하고 있다.
약식명령사건의 최근 10년간의 동향은 앞의 표 99 및 도표 26에서 본 바와 같다.</t>
    <phoneticPr fontId="6" type="noConversion"/>
  </si>
  <si>
    <t>2022년도에 접수된 형사항고ㆍ준항고ㆍ재항고사건은 모두 8,097건으로 전체 형사사건의 0.5%를 차지하고 있다. 최근 10년간의 추세는 도표 40과 같으며 형사(재)항고 사건의 접수ㆍ처리상황은 표 142와 같다.</t>
    <phoneticPr fontId="6" type="noConversion"/>
  </si>
  <si>
    <t>2022년도에 접수된 형사공판사건(치료감호사건 제외)은 310,254건으로 전체사건의 1.9%, 소송사건의 5.0%를 차지하고 있다. 이를 다시 심급별로 보면 제1심이 219,908건(70.9%)이고, 항소심이 71,167건(22.9%)으로 그 중 고등법원이 10,059건(3.2%), 지방법원항소부가 61,108건(19.7%)이며, 상고심은 19,179건(6.2%)이다. 한편 그 증감추세를 보면 표 99와 같고, 이를 다시 심급별로 살펴보면 도표 28~30과 같다.</t>
    <phoneticPr fontId="6" type="noConversion"/>
  </si>
  <si>
    <t>종결된 형사공판사건의 처리기간을 각 심급별로 보면 표 113과 같다. 소송촉진 등에 관한 특례법 제21조의 판결선고 기간(제1심은 6월, 항소심ㆍ상고심은 각 4월)내에 종결된 사건은 구속ㆍ불구속 사건을 합하여 제1심의 경우 합의사건이 13,105건(66.2%), 단독사건이 139,084건(68.3%)이고, 항소심의 경우 고등법원이 4,134건(44.9%), 지방법원 항소부가 22,808건(37.5%)이며, 상고심의 경우 17,344건(89.3%)이다. 형사공판사건의 심급별 평균처리기간은 표 114와 같고, 확정시 까지의 처리기간은 표 115와 같으며, 5년간 추이를 보면 도표 35, 36과 같다.</t>
    <phoneticPr fontId="6" type="noConversion"/>
  </si>
  <si>
    <r>
      <t xml:space="preserve">2008. 1. 1. </t>
    </r>
    <r>
      <rPr>
        <sz val="9"/>
        <rFont val="MS Gothic"/>
        <family val="3"/>
        <charset val="128"/>
      </rPr>
      <t>｢</t>
    </r>
    <r>
      <rPr>
        <sz val="9"/>
        <rFont val="굴림"/>
        <family val="3"/>
        <charset val="129"/>
      </rPr>
      <t>국민의 형사재판 참여에 관한 법률</t>
    </r>
    <r>
      <rPr>
        <sz val="9"/>
        <rFont val="MS Gothic"/>
        <family val="3"/>
        <charset val="128"/>
      </rPr>
      <t>｣</t>
    </r>
    <r>
      <rPr>
        <sz val="9"/>
        <rFont val="굴림"/>
        <family val="3"/>
        <charset val="129"/>
      </rPr>
      <t>이 시행되어 국민참여재판이 실시된 이후 2022년까지 국민참여재판 희망의사 확인서가 접수된 사건은 피고인의 수를 기준으로 총 9,439건이고, 이 중에서 2,894건(30.7%)이 국민참여재판으로 진행되었다. 국민참여재판이 신청(접수)되고 이를 처리(국민참여재판 실시, 배제, 철회)한 사건들을 연도별, 법원별, 범죄유형별로 살펴보면 다음과 같다.</t>
    </r>
    <phoneticPr fontId="6" type="noConversion"/>
  </si>
  <si>
    <t>(기준일 : 2008. 1. 1. ~ 2022. 12. 31.)</t>
    <phoneticPr fontId="6" type="noConversion"/>
  </si>
  <si>
    <t>2022년</t>
    <phoneticPr fontId="6" type="noConversion"/>
  </si>
  <si>
    <r>
      <t xml:space="preserve">특별증인지원은 </t>
    </r>
    <r>
      <rPr>
        <sz val="9"/>
        <rFont val="MS Gothic"/>
        <family val="3"/>
        <charset val="128"/>
      </rPr>
      <t>｢</t>
    </r>
    <r>
      <rPr>
        <sz val="9"/>
        <rFont val="굴림"/>
        <family val="3"/>
        <charset val="129"/>
      </rPr>
      <t>성폭력범죄의 처벌 등에 관한 특례법</t>
    </r>
    <r>
      <rPr>
        <sz val="9"/>
        <rFont val="MS Gothic"/>
        <family val="3"/>
        <charset val="128"/>
      </rPr>
      <t>｣</t>
    </r>
    <r>
      <rPr>
        <sz val="9"/>
        <rFont val="굴림"/>
        <family val="3"/>
        <charset val="129"/>
      </rPr>
      <t xml:space="preserve"> , 「아동학대처벌법」 등에서 증인지원의 대상으로 정한 성폭력범죄·아동학대범죄의 피해자 증인에게 법원에서 증인 소환 시부터 귀가 시까지 제공하는 특별한 보호 및 지원을 의미한다. 취약증인지원은 그 외에 보호 및 지원이 필요하다고 재판부가 결정한 증인에 대하여 특별증인에 준하여 이루어지는 증인지원으로, 보복가능성 있는 범죄의 피해자 증인, 스토킹 범죄의 피해자 증인, 「특정범죄신고자 등 보호법」 제2조의 범죄의 피해자 증인 등이 포함될 수 있다. 최근 5년간의 특별·취약증인지원 건수는 표 144와 같다.</t>
    </r>
    <phoneticPr fontId="6" type="noConversion"/>
  </si>
  <si>
    <t>일반증인지원은 일반증인지원실을 방문하는 형사사건의 모든 증인을 대상으로 이루어지며 형사재판절차 설명, 문의사항 답변 및 대기․휴식공간 제공 등이 포함된다. 다만, 강력범죄나 스토킹 범죄와 같이 보복의 염려가 있거나 특별한 지원ㆍ보호가 필요하여 증인지원관을 통해 신청하는 경우 재판부의 결정에 따라 일반증인지원서비스가 아닌 ‘특별증인지원서비스’를 통해 특별한 신변보호, 전후 상담, 비공개 심리, 피고인 퇴정조치 등의 지원을 받을 수 있다. 최근 5년간의 일반증인지원 건수는 표 145와 같다.</t>
    <phoneticPr fontId="6" type="noConversion"/>
  </si>
  <si>
    <t>양형조사제도는 재판장이 공정하고 객관적인 양형심리를 위하여 법원조사관에게 양형에 관한 자료를 수집·조사하여 그 결과를 법원에 보고하도록 명하여 양형자료를 수집하는 제도로서, 2022. 12. 31.기준 전국 22개 법원에 48명의 법원조사관이 배치되어 양형조사업무를 담당하고 있다. 최근 5년간의 양형조사명령 접수건수는 표 146과 같다.</t>
    <phoneticPr fontId="6" type="noConversion"/>
  </si>
  <si>
    <t>형사공판사건의 처리인원수 기준으로 변호인선임 피고인수는 표 118, 제1심 사건 중 증인이 있는 사건수 현황은 표 119, 제1심 사건의 궐석재판 피고인수 현황은 표 120, 제1심 사건 중 즉일선고 피고인수는 표 121, 심급별 법정구속 피고인수는 표 122와 같다.</t>
    <phoneticPr fontId="6" type="noConversion"/>
  </si>
  <si>
    <t>간이공판절차에 의하여 종결된 사건의 처리기간별 내역은 표 123과 같다. 간이공판절차에 의하여 종결된 전체 사건 중 77.7%가 6월 이내에 처리되고 있음을 알 수 있다.</t>
    <phoneticPr fontId="6" type="noConversion"/>
  </si>
  <si>
    <t>듣거나 말하는데 장애가 있는 사람</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</si>
</sst>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1" formatCode="_-* #,##0_-;\-* #,##0_-;_-* &quot;-&quot;_-;_-@_-"/>
    <numFmt numFmtId="176" formatCode="_-* #,##0.0_-;\-* #,##0.0_-;_-* &quot;-&quot;?_-;_-@_-"/>
    <numFmt numFmtId="177" formatCode="\(0.0\)"/>
    <numFmt numFmtId="178" formatCode="_-* #,##0.0_-;\-* #,##0.0_-;_-* &quot;-&quot;_-;_-@_-"/>
    <numFmt numFmtId="179" formatCode="\(#,###.0\)"/>
    <numFmt numFmtId="180" formatCode="\(\-\)"/>
    <numFmt numFmtId="181" formatCode="000\-000"/>
    <numFmt numFmtId="182" formatCode="_ * #,##0_ ;_ * \-#,##0_ ;_ * &quot;-&quot;_ ;_ @_ "/>
    <numFmt numFmtId="183" formatCode="_ * #,##0.00_ ;_ * \-#,##0.00_ ;_ * &quot;-&quot;??_ ;_ @_ "/>
    <numFmt numFmtId="184" formatCode="_-* #,##0.00_-;\-* #,##0.00_-;_-* &quot;-&quot;_-;_-@_-"/>
    <numFmt numFmtId="185" formatCode="\(#,##0.0\)"/>
    <numFmt numFmtId="186" formatCode="0.0"/>
    <numFmt numFmtId="187" formatCode="\(0.00\)"/>
    <numFmt numFmtId="188" formatCode="0.000"/>
    <numFmt numFmtId="189" formatCode="0.0%"/>
    <numFmt numFmtId="190" formatCode="0.0_);[Red]\(0.0\)"/>
  </numFmts>
  <fonts count="79">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b/>
      <sz val="9"/>
      <color indexed="9"/>
      <name val="굴림"/>
      <family val="3"/>
      <charset val="129"/>
    </font>
    <font>
      <b/>
      <sz val="9"/>
      <name val="굴림"/>
      <family val="3"/>
      <charset val="129"/>
    </font>
    <font>
      <sz val="9"/>
      <color indexed="63"/>
      <name val="굴림"/>
      <family val="3"/>
      <charset val="129"/>
    </font>
    <font>
      <sz val="9"/>
      <name val="굴림"/>
      <family val="3"/>
      <charset val="129"/>
    </font>
    <font>
      <sz val="9"/>
      <color indexed="8"/>
      <name val="굴림"/>
      <family val="3"/>
      <charset val="129"/>
    </font>
    <font>
      <b/>
      <sz val="14"/>
      <name val="굴림"/>
      <family val="3"/>
      <charset val="129"/>
    </font>
    <font>
      <sz val="9"/>
      <color indexed="9"/>
      <name val="굴림"/>
      <family val="3"/>
      <charset val="129"/>
    </font>
    <font>
      <sz val="12"/>
      <name val="바탕체"/>
      <family val="1"/>
      <charset val="129"/>
    </font>
    <font>
      <sz val="9"/>
      <color indexed="41"/>
      <name val="굴림"/>
      <family val="3"/>
      <charset val="129"/>
    </font>
    <font>
      <sz val="11"/>
      <name val="굴림"/>
      <family val="3"/>
      <charset val="129"/>
    </font>
    <font>
      <sz val="12"/>
      <name val="굴림"/>
      <family val="3"/>
      <charset val="129"/>
    </font>
    <font>
      <b/>
      <sz val="11"/>
      <color indexed="9"/>
      <name val="굴림"/>
      <family val="3"/>
      <charset val="129"/>
    </font>
    <font>
      <sz val="11"/>
      <color indexed="8"/>
      <name val="맑은 고딕"/>
      <family val="3"/>
      <charset val="129"/>
    </font>
    <font>
      <sz val="10"/>
      <color indexed="64"/>
      <name val="Arial"/>
      <family val="2"/>
    </font>
    <font>
      <b/>
      <sz val="10"/>
      <color indexed="64"/>
      <name val="Arial"/>
      <family val="2"/>
    </font>
    <font>
      <sz val="8"/>
      <name val="맑은 고딕"/>
      <family val="3"/>
      <charset val="129"/>
    </font>
    <font>
      <sz val="10"/>
      <color theme="1"/>
      <name val="맑은 고딕"/>
      <family val="3"/>
      <charset val="129"/>
    </font>
    <font>
      <sz val="11"/>
      <color theme="1"/>
      <name val="맑은 고딕"/>
      <family val="3"/>
      <charset val="129"/>
      <scheme val="minor"/>
    </font>
    <font>
      <sz val="9"/>
      <color rgb="FFFF0000"/>
      <name val="굴림"/>
      <family val="3"/>
      <charset val="129"/>
    </font>
    <font>
      <sz val="9"/>
      <color theme="0"/>
      <name val="굴림"/>
      <family val="3"/>
      <charset val="129"/>
    </font>
    <font>
      <sz val="11"/>
      <color theme="0"/>
      <name val="굴림"/>
      <family val="3"/>
      <charset val="129"/>
    </font>
    <font>
      <sz val="9"/>
      <color theme="1"/>
      <name val="굴림"/>
      <family val="3"/>
      <charset val="129"/>
    </font>
    <font>
      <b/>
      <sz val="9"/>
      <color theme="1"/>
      <name val="굴림"/>
      <family val="3"/>
      <charset val="129"/>
    </font>
    <font>
      <sz val="11"/>
      <color theme="1"/>
      <name val="굴림"/>
      <family val="3"/>
      <charset val="129"/>
    </font>
    <font>
      <sz val="10"/>
      <color theme="1"/>
      <name val="굴림"/>
      <family val="3"/>
      <charset val="129"/>
    </font>
    <font>
      <sz val="9"/>
      <color theme="3"/>
      <name val="굴림"/>
      <family val="3"/>
      <charset val="129"/>
    </font>
    <font>
      <b/>
      <sz val="9"/>
      <color theme="3"/>
      <name val="굴림"/>
      <family val="3"/>
      <charset val="129"/>
    </font>
    <font>
      <sz val="9"/>
      <color theme="4"/>
      <name val="굴림"/>
      <family val="3"/>
      <charset val="129"/>
    </font>
    <font>
      <b/>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0"/>
      <color indexed="8"/>
      <name val="맑은 고딕"/>
      <family val="3"/>
      <charset val="129"/>
    </font>
    <font>
      <sz val="11"/>
      <color rgb="FF000000"/>
      <name val="돋움"/>
      <family val="3"/>
      <charset val="129"/>
    </font>
    <font>
      <sz val="11"/>
      <color rgb="FFFF0000"/>
      <name val="굴림"/>
      <family val="3"/>
      <charset val="129"/>
    </font>
    <font>
      <b/>
      <sz val="9"/>
      <color rgb="FFFF0000"/>
      <name val="굴림"/>
      <family val="3"/>
      <charset val="129"/>
    </font>
    <font>
      <b/>
      <sz val="9"/>
      <color rgb="FFFFFFFF"/>
      <name val="굴림"/>
      <family val="3"/>
      <charset val="129"/>
    </font>
    <font>
      <sz val="8"/>
      <name val="맑은 고딕"/>
      <family val="2"/>
      <charset val="129"/>
      <scheme val="minor"/>
    </font>
    <font>
      <sz val="10"/>
      <name val="굴림"/>
      <family val="3"/>
      <charset val="129"/>
    </font>
    <font>
      <b/>
      <sz val="10"/>
      <name val="굴림"/>
      <family val="3"/>
      <charset val="129"/>
    </font>
    <font>
      <b/>
      <sz val="10"/>
      <color theme="0"/>
      <name val="굴림"/>
      <family val="3"/>
      <charset val="129"/>
    </font>
    <font>
      <sz val="10"/>
      <color theme="0"/>
      <name val="굴림"/>
      <family val="3"/>
      <charset val="129"/>
    </font>
    <font>
      <sz val="10"/>
      <color rgb="FFFF0000"/>
      <name val="굴림"/>
      <family val="3"/>
      <charset val="129"/>
    </font>
    <font>
      <sz val="10"/>
      <color theme="3"/>
      <name val="굴림"/>
      <family val="3"/>
      <charset val="129"/>
    </font>
    <font>
      <sz val="9"/>
      <color rgb="FF000000"/>
      <name val="굴림"/>
      <family val="3"/>
      <charset val="129"/>
    </font>
    <font>
      <sz val="11"/>
      <color indexed="9"/>
      <name val="굴림"/>
      <family val="3"/>
      <charset val="129"/>
    </font>
    <font>
      <sz val="11"/>
      <color theme="3"/>
      <name val="굴림"/>
      <family val="3"/>
      <charset val="129"/>
    </font>
    <font>
      <b/>
      <sz val="10"/>
      <color rgb="FFFF0000"/>
      <name val="굴림"/>
      <family val="3"/>
      <charset val="129"/>
    </font>
    <font>
      <sz val="9"/>
      <color rgb="FFC00000"/>
      <name val="굴림"/>
      <family val="3"/>
      <charset val="129"/>
    </font>
    <font>
      <sz val="9"/>
      <color theme="4" tint="0.79998168889431442"/>
      <name val="굴림"/>
      <family val="3"/>
      <charset val="129"/>
    </font>
    <font>
      <sz val="11"/>
      <name val="맑은 고딕"/>
      <family val="3"/>
      <charset val="129"/>
      <scheme val="major"/>
    </font>
    <font>
      <b/>
      <sz val="10"/>
      <color theme="1"/>
      <name val="맑은 고딕"/>
      <family val="3"/>
      <charset val="129"/>
      <scheme val="minor"/>
    </font>
    <font>
      <sz val="10"/>
      <color theme="1"/>
      <name val="맑은 고딕"/>
      <family val="2"/>
      <charset val="129"/>
      <scheme val="minor"/>
    </font>
    <font>
      <sz val="10"/>
      <color theme="1"/>
      <name val="맑은 고딕"/>
      <family val="3"/>
      <charset val="129"/>
      <scheme val="minor"/>
    </font>
    <font>
      <b/>
      <sz val="9"/>
      <color indexed="9"/>
      <name val="맑은 고딕"/>
      <family val="3"/>
      <charset val="129"/>
    </font>
    <font>
      <sz val="9"/>
      <name val="맑은 고딕"/>
      <family val="3"/>
      <charset val="129"/>
    </font>
    <font>
      <sz val="9"/>
      <name val="맑은 고딕"/>
      <family val="3"/>
      <charset val="129"/>
      <scheme val="major"/>
    </font>
    <font>
      <b/>
      <sz val="9"/>
      <color rgb="FFFF0000"/>
      <name val="맑은 고딕"/>
      <family val="3"/>
      <charset val="129"/>
      <scheme val="minor"/>
    </font>
    <font>
      <sz val="9"/>
      <name val="MS Gothic"/>
      <family val="3"/>
      <charset val="128"/>
    </font>
    <font>
      <b/>
      <sz val="9"/>
      <name val="맑은 고딕"/>
      <family val="3"/>
      <charset val="129"/>
    </font>
  </fonts>
  <fills count="52">
    <fill>
      <patternFill patternType="none"/>
    </fill>
    <fill>
      <patternFill patternType="gray125"/>
    </fill>
    <fill>
      <patternFill patternType="solid">
        <fgColor indexed="54"/>
        <bgColor indexed="64"/>
      </patternFill>
    </fill>
    <fill>
      <patternFill patternType="solid">
        <fgColor indexed="26"/>
        <bgColor indexed="64"/>
      </patternFill>
    </fill>
    <fill>
      <patternFill patternType="solid">
        <fgColor indexed="9"/>
        <bgColor indexed="64"/>
      </patternFill>
    </fill>
    <fill>
      <patternFill patternType="solid">
        <fgColor rgb="FFFFFFCC"/>
        <bgColor indexed="64"/>
      </patternFill>
    </fill>
    <fill>
      <patternFill patternType="solid">
        <fgColor theme="0"/>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44"/>
        <bgColor indexed="64"/>
      </patternFill>
    </fill>
    <fill>
      <patternFill patternType="solid">
        <fgColor indexed="29"/>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62"/>
      </patternFill>
    </fill>
    <fill>
      <patternFill patternType="solid">
        <fgColor indexed="62"/>
        <bgColor indexed="64"/>
      </patternFill>
    </fill>
    <fill>
      <patternFill patternType="solid">
        <fgColor indexed="10"/>
      </patternFill>
    </fill>
    <fill>
      <patternFill patternType="solid">
        <fgColor indexed="10"/>
        <bgColor indexed="64"/>
      </patternFill>
    </fill>
    <fill>
      <patternFill patternType="solid">
        <fgColor indexed="57"/>
      </patternFill>
    </fill>
    <fill>
      <patternFill patternType="solid">
        <fgColor indexed="57"/>
        <bgColor indexed="64"/>
      </patternFill>
    </fill>
    <fill>
      <patternFill patternType="solid">
        <fgColor indexed="53"/>
      </patternFill>
    </fill>
    <fill>
      <patternFill patternType="solid">
        <fgColor indexed="53"/>
        <bgColor indexed="64"/>
      </patternFill>
    </fill>
    <fill>
      <patternFill patternType="solid">
        <fgColor indexed="22"/>
      </patternFill>
    </fill>
    <fill>
      <patternFill patternType="solid">
        <fgColor indexed="22"/>
        <bgColor indexed="64"/>
      </patternFill>
    </fill>
    <fill>
      <patternFill patternType="solid">
        <fgColor indexed="26"/>
      </patternFill>
    </fill>
    <fill>
      <patternFill patternType="solid">
        <fgColor indexed="43"/>
      </patternFill>
    </fill>
    <fill>
      <patternFill patternType="solid">
        <fgColor indexed="43"/>
        <bgColor indexed="64"/>
      </patternFill>
    </fill>
    <fill>
      <patternFill patternType="solid">
        <fgColor indexed="55"/>
      </patternFill>
    </fill>
    <fill>
      <patternFill patternType="solid">
        <fgColor indexed="55"/>
        <bgColor indexed="64"/>
      </patternFill>
    </fill>
    <fill>
      <patternFill patternType="solid">
        <fgColor rgb="FF666699"/>
      </patternFill>
    </fill>
    <fill>
      <patternFill patternType="solid">
        <fgColor rgb="FFFFC000"/>
        <bgColor indexed="64"/>
      </patternFill>
    </fill>
  </fills>
  <borders count="114">
    <border>
      <left/>
      <right/>
      <top/>
      <bottom/>
      <diagonal/>
    </border>
    <border>
      <left style="thin">
        <color indexed="22"/>
      </left>
      <right style="thin">
        <color indexed="22"/>
      </right>
      <top style="thin">
        <color indexed="22"/>
      </top>
      <bottom style="thin">
        <color indexed="22"/>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bottom/>
      <diagonal/>
    </border>
    <border>
      <left/>
      <right style="thin">
        <color indexed="22"/>
      </right>
      <top style="thin">
        <color indexed="22"/>
      </top>
      <bottom/>
      <diagonal/>
    </border>
    <border>
      <left style="thin">
        <color theme="0" tint="-0.24994659260841701"/>
      </left>
      <right style="thin">
        <color indexed="22"/>
      </right>
      <top style="thin">
        <color indexed="22"/>
      </top>
      <bottom style="thin">
        <color indexed="22"/>
      </bottom>
      <diagonal/>
    </border>
    <border>
      <left style="thin">
        <color indexed="22"/>
      </left>
      <right style="thin">
        <color theme="0" tint="-0.24994659260841701"/>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n">
        <color auto="1"/>
      </bottom>
      <diagonal/>
    </border>
    <border>
      <left style="thin">
        <color rgb="FFC0C0C0"/>
      </left>
      <right style="thin">
        <color rgb="FFC0C0C0"/>
      </right>
      <top/>
      <bottom/>
      <diagonal/>
    </border>
    <border>
      <left style="thin">
        <color rgb="FFC0C0C0"/>
      </left>
      <right/>
      <top/>
      <bottom/>
      <diagonal/>
    </border>
    <border>
      <left style="thin">
        <color indexed="22"/>
      </left>
      <right/>
      <top/>
      <bottom/>
      <diagonal/>
    </border>
    <border>
      <left/>
      <right style="thin">
        <color rgb="FFC0C0C0"/>
      </right>
      <top/>
      <bottom/>
      <diagonal/>
    </border>
    <border>
      <left style="thin">
        <color auto="1"/>
      </left>
      <right/>
      <top/>
      <bottom/>
      <diagonal/>
    </border>
    <border>
      <left/>
      <right/>
      <top/>
      <bottom style="thin">
        <color indexed="22"/>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indexed="22"/>
      </left>
      <right style="thin">
        <color auto="1"/>
      </right>
      <top style="thin">
        <color indexed="22"/>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auto="1"/>
      </right>
      <top/>
      <bottom/>
      <diagonal/>
    </border>
    <border>
      <left style="thin">
        <color auto="1"/>
      </left>
      <right/>
      <top/>
      <bottom style="thin">
        <color indexed="64"/>
      </bottom>
      <diagonal/>
    </border>
    <border>
      <left/>
      <right style="thin">
        <color auto="1"/>
      </right>
      <top/>
      <bottom style="thin">
        <color indexed="64"/>
      </bottom>
      <diagonal/>
    </border>
    <border>
      <left/>
      <right style="thin">
        <color auto="1"/>
      </right>
      <top/>
      <bottom/>
      <diagonal/>
    </border>
    <border>
      <left style="thin">
        <color indexed="22"/>
      </left>
      <right/>
      <top style="thin">
        <color indexed="22"/>
      </top>
      <bottom/>
      <diagonal/>
    </border>
    <border>
      <left style="thin">
        <color indexed="22"/>
      </left>
      <right style="thin">
        <color indexed="22"/>
      </right>
      <top style="thin">
        <color indexed="22"/>
      </top>
      <bottom/>
      <diagonal/>
    </border>
    <border>
      <left/>
      <right style="thin">
        <color indexed="22"/>
      </right>
      <top/>
      <bottom/>
      <diagonal/>
    </border>
    <border>
      <left/>
      <right style="thin">
        <color indexed="64"/>
      </right>
      <top/>
      <bottom/>
      <diagonal/>
    </border>
    <border>
      <left style="thin">
        <color auto="1"/>
      </left>
      <right style="thin">
        <color auto="1"/>
      </right>
      <top/>
      <bottom style="thin">
        <color indexed="64"/>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theme="0"/>
      </left>
      <right style="thin">
        <color theme="0"/>
      </right>
      <top/>
      <bottom/>
      <diagonal/>
    </border>
    <border>
      <left style="thin">
        <color theme="0" tint="-0.24994659260841701"/>
      </left>
      <right style="thin">
        <color indexed="22"/>
      </right>
      <top/>
      <bottom style="thin">
        <color indexed="22"/>
      </bottom>
      <diagonal/>
    </border>
    <border>
      <left style="thin">
        <color indexed="22"/>
      </left>
      <right style="thin">
        <color theme="0" tint="-0.24994659260841701"/>
      </right>
      <top/>
      <bottom style="thin">
        <color indexed="22"/>
      </bottom>
      <diagonal/>
    </border>
    <border>
      <left style="thin">
        <color theme="0" tint="-0.24994659260841701"/>
      </left>
      <right style="thin">
        <color indexed="22"/>
      </right>
      <top style="thin">
        <color indexed="22"/>
      </top>
      <bottom/>
      <diagonal/>
    </border>
    <border>
      <left style="thin">
        <color indexed="22"/>
      </left>
      <right style="thin">
        <color theme="0" tint="-0.24994659260841701"/>
      </right>
      <top style="thin">
        <color indexed="22"/>
      </top>
      <bottom/>
      <diagonal/>
    </border>
    <border>
      <left/>
      <right style="thin">
        <color indexed="64"/>
      </right>
      <top style="thin">
        <color indexed="64"/>
      </top>
      <bottom style="thin">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right style="thin">
        <color indexed="22"/>
      </right>
      <top style="thin">
        <color indexed="22"/>
      </top>
      <bottom/>
      <diagonal/>
    </border>
    <border>
      <left/>
      <right style="thin">
        <color theme="0" tint="-0.14990691854609822"/>
      </right>
      <top style="thin">
        <color theme="0" tint="-0.14990691854609822"/>
      </top>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right style="thin">
        <color theme="0" tint="-0.14990691854609822"/>
      </right>
      <top/>
      <bottom/>
      <diagonal/>
    </border>
    <border>
      <left/>
      <right style="thin">
        <color theme="0" tint="-0.14990691854609822"/>
      </right>
      <top/>
      <bottom style="thin">
        <color theme="0" tint="-0.14990691854609822"/>
      </bottom>
      <diagonal/>
    </border>
    <border>
      <left/>
      <right/>
      <top style="thin">
        <color theme="0" tint="-0.14990691854609822"/>
      </top>
      <bottom/>
      <diagonal/>
    </border>
    <border>
      <left style="thin">
        <color indexed="64"/>
      </left>
      <right style="thin">
        <color auto="1"/>
      </right>
      <top/>
      <bottom/>
      <diagonal/>
    </border>
    <border>
      <left style="thin">
        <color indexed="22"/>
      </left>
      <right style="thin">
        <color auto="1"/>
      </right>
      <top style="thin">
        <color auto="1"/>
      </top>
      <bottom style="thin">
        <color indexed="22"/>
      </bottom>
      <diagonal/>
    </border>
    <border>
      <left style="thin">
        <color indexed="22"/>
      </left>
      <right style="thin">
        <color auto="1"/>
      </right>
      <top/>
      <bottom style="thin">
        <color indexed="22"/>
      </bottom>
      <diagonal/>
    </border>
    <border>
      <left/>
      <right style="thin">
        <color indexed="22"/>
      </right>
      <top style="thin">
        <color auto="1"/>
      </top>
      <bottom/>
      <diagonal/>
    </border>
    <border>
      <left style="thin">
        <color indexed="22"/>
      </left>
      <right style="thin">
        <color indexed="22"/>
      </right>
      <top style="thin">
        <color auto="1"/>
      </top>
      <bottom/>
      <diagonal/>
    </border>
    <border>
      <left style="thin">
        <color indexed="22"/>
      </left>
      <right/>
      <top style="thin">
        <color auto="1"/>
      </top>
      <bottom style="thin">
        <color indexed="22"/>
      </bottom>
      <diagonal/>
    </border>
    <border>
      <left/>
      <right/>
      <top style="thin">
        <color auto="1"/>
      </top>
      <bottom style="thin">
        <color indexed="22"/>
      </bottom>
      <diagonal/>
    </border>
    <border>
      <left/>
      <right style="thin">
        <color indexed="22"/>
      </right>
      <top style="thin">
        <color auto="1"/>
      </top>
      <bottom style="thin">
        <color indexed="22"/>
      </bottom>
      <diagonal/>
    </border>
    <border>
      <left/>
      <right style="thin">
        <color indexed="22"/>
      </right>
      <top/>
      <bottom style="thin">
        <color auto="1"/>
      </bottom>
      <diagonal/>
    </border>
    <border>
      <left style="thin">
        <color indexed="22"/>
      </left>
      <right style="thin">
        <color indexed="22"/>
      </right>
      <top/>
      <bottom style="thin">
        <color auto="1"/>
      </bottom>
      <diagonal/>
    </border>
    <border>
      <left style="thin">
        <color indexed="22"/>
      </left>
      <right style="thin">
        <color indexed="22"/>
      </right>
      <top style="thin">
        <color indexed="22"/>
      </top>
      <bottom style="thin">
        <color auto="1"/>
      </bottom>
      <diagonal/>
    </border>
    <border>
      <left/>
      <right/>
      <top style="thin">
        <color indexed="64"/>
      </top>
      <bottom/>
      <diagonal/>
    </border>
    <border>
      <left style="thin">
        <color indexed="22"/>
      </left>
      <right style="thin">
        <color indexed="22"/>
      </right>
      <top style="thin">
        <color indexed="64"/>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thin">
        <color auto="1"/>
      </left>
      <right style="thin">
        <color indexed="22"/>
      </right>
      <top style="thin">
        <color indexed="22"/>
      </top>
      <bottom style="thin">
        <color indexed="22"/>
      </bottom>
      <diagonal/>
    </border>
    <border>
      <left style="thin">
        <color indexed="22"/>
      </left>
      <right style="thin">
        <color indexed="64"/>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auto="1"/>
      </left>
      <right style="thin">
        <color theme="0" tint="-0.14996795556505021"/>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thin">
        <color indexed="64"/>
      </bottom>
      <diagonal/>
    </border>
    <border>
      <left style="thin">
        <color indexed="22"/>
      </left>
      <right/>
      <top style="thin">
        <color indexed="22"/>
      </top>
      <bottom style="thin">
        <color indexed="64"/>
      </bottom>
      <diagonal/>
    </border>
    <border>
      <left style="thin">
        <color auto="1"/>
      </left>
      <right style="thin">
        <color indexed="22"/>
      </right>
      <top style="thin">
        <color indexed="22"/>
      </top>
      <bottom style="thin">
        <color indexed="64"/>
      </bottom>
      <diagonal/>
    </border>
    <border>
      <left style="thin">
        <color indexed="22"/>
      </left>
      <right style="thin">
        <color auto="1"/>
      </right>
      <top style="thin">
        <color indexed="22"/>
      </top>
      <bottom style="thin">
        <color indexed="64"/>
      </bottom>
      <diagonal/>
    </border>
    <border>
      <left/>
      <right/>
      <top/>
      <bottom style="thin">
        <color indexed="64"/>
      </bottom>
      <diagonal/>
    </border>
    <border>
      <left style="thin">
        <color indexed="22"/>
      </left>
      <right style="thin">
        <color indexed="22"/>
      </right>
      <top style="thin">
        <color indexed="64"/>
      </top>
      <bottom/>
      <diagonal/>
    </border>
    <border>
      <left/>
      <right style="thin">
        <color indexed="22"/>
      </right>
      <top style="thin">
        <color indexed="64"/>
      </top>
      <bottom style="thin">
        <color indexed="22"/>
      </bottom>
      <diagonal/>
    </border>
    <border>
      <left/>
      <right style="thin">
        <color indexed="22"/>
      </right>
      <top style="thin">
        <color indexed="22"/>
      </top>
      <bottom/>
      <diagonal/>
    </border>
    <border>
      <left/>
      <right style="thin">
        <color indexed="22"/>
      </right>
      <top style="thin">
        <color indexed="64"/>
      </top>
      <bottom/>
      <diagonal/>
    </border>
    <border>
      <left style="thin">
        <color indexed="22"/>
      </left>
      <right/>
      <top style="thin">
        <color indexed="64"/>
      </top>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style="thin">
        <color theme="0"/>
      </left>
      <right style="thin">
        <color theme="0"/>
      </right>
      <top style="thin">
        <color indexed="64"/>
      </top>
      <bottom/>
      <diagonal/>
    </border>
    <border>
      <left style="thin">
        <color indexed="22"/>
      </left>
      <right/>
      <top style="thin">
        <color indexed="22"/>
      </top>
      <bottom/>
      <diagonal/>
    </border>
    <border>
      <left/>
      <right style="thin">
        <color indexed="22"/>
      </right>
      <top/>
      <bottom style="thin">
        <color indexed="22"/>
      </bottom>
      <diagonal/>
    </border>
    <border>
      <left/>
      <right style="thin">
        <color indexed="22"/>
      </right>
      <top style="thin">
        <color indexed="22"/>
      </top>
      <bottom style="thin">
        <color indexed="64"/>
      </bottom>
      <diagonal/>
    </border>
    <border>
      <left/>
      <right style="thin">
        <color theme="0"/>
      </right>
      <top style="thin">
        <color indexed="64"/>
      </top>
      <bottom/>
      <diagonal/>
    </border>
    <border>
      <left/>
      <right style="thin">
        <color theme="0"/>
      </right>
      <top/>
      <bottom/>
      <diagonal/>
    </border>
    <border>
      <left style="thin">
        <color theme="0"/>
      </left>
      <right/>
      <top style="thin">
        <color indexed="64"/>
      </top>
      <bottom/>
      <diagonal/>
    </border>
    <border>
      <left style="thin">
        <color theme="0"/>
      </left>
      <right/>
      <top/>
      <bottom/>
      <diagonal/>
    </border>
    <border>
      <left style="thin">
        <color theme="0" tint="-0.14990691854609822"/>
      </left>
      <right/>
      <top style="thin">
        <color theme="0" tint="-0.14990691854609822"/>
      </top>
      <bottom style="thin">
        <color theme="0" tint="-0.14990691854609822"/>
      </bottom>
      <diagonal/>
    </border>
    <border>
      <left/>
      <right/>
      <top/>
      <bottom style="thin">
        <color theme="0" tint="-0.14990691854609822"/>
      </bottom>
      <diagonal/>
    </border>
  </borders>
  <cellStyleXfs count="2323">
    <xf numFmtId="0" fontId="0" fillId="0" borderId="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24" fillId="0" borderId="0" applyFont="0" applyFill="0" applyBorder="0" applyAlignment="0" applyProtection="0">
      <alignment vertical="center"/>
    </xf>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9" fillId="0" borderId="0" applyFont="0" applyFill="0" applyBorder="0" applyAlignment="0" applyProtection="0">
      <alignment vertical="center"/>
    </xf>
    <xf numFmtId="41" fontId="21" fillId="0" borderId="0" applyFont="0" applyFill="0" applyBorder="0" applyAlignment="0" applyProtection="0"/>
    <xf numFmtId="41" fontId="24" fillId="0" borderId="0" applyFont="0" applyFill="0" applyBorder="0" applyAlignment="0" applyProtection="0">
      <alignment vertical="center"/>
    </xf>
    <xf numFmtId="41" fontId="23" fillId="0" borderId="0" applyFont="0" applyFill="0" applyBorder="0" applyAlignment="0" applyProtection="0">
      <alignment vertical="center"/>
    </xf>
    <xf numFmtId="182" fontId="14" fillId="0" borderId="0" applyFont="0" applyFill="0" applyBorder="0" applyAlignment="0" applyProtection="0"/>
    <xf numFmtId="183" fontId="14" fillId="0" borderId="0" applyFont="0" applyFill="0" applyBorder="0" applyAlignment="0" applyProtection="0"/>
    <xf numFmtId="0" fontId="5" fillId="0" borderId="0">
      <alignment vertical="center"/>
    </xf>
    <xf numFmtId="0" fontId="24" fillId="0" borderId="0">
      <alignment vertical="center"/>
    </xf>
    <xf numFmtId="0" fontId="24" fillId="0" borderId="0">
      <alignment vertical="center"/>
    </xf>
    <xf numFmtId="0" fontId="5" fillId="0" borderId="0"/>
    <xf numFmtId="0" fontId="5" fillId="0" borderId="0"/>
    <xf numFmtId="0" fontId="5" fillId="0" borderId="0"/>
    <xf numFmtId="0" fontId="5" fillId="0" borderId="0"/>
    <xf numFmtId="0" fontId="5"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3" fillId="0" borderId="0">
      <alignment vertical="center"/>
    </xf>
    <xf numFmtId="0" fontId="20" fillId="0" borderId="0"/>
    <xf numFmtId="0" fontId="23" fillId="0" borderId="0">
      <alignment vertical="center"/>
    </xf>
    <xf numFmtId="0" fontId="4" fillId="0" borderId="0">
      <alignment vertical="center"/>
    </xf>
    <xf numFmtId="0" fontId="24" fillId="0" borderId="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7"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7"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5"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1"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3"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19"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0"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5"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19" fillId="26"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1"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2"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29" borderId="0" applyNumberFormat="0" applyBorder="0" applyAlignment="0" applyProtection="0">
      <alignment vertical="center"/>
    </xf>
    <xf numFmtId="0" fontId="36" fillId="29"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29"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3" borderId="0" applyNumberFormat="0" applyBorder="0" applyAlignment="0" applyProtection="0">
      <alignment vertical="center"/>
    </xf>
    <xf numFmtId="0" fontId="36" fillId="33"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3"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4"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5"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6"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7" borderId="0" applyNumberFormat="0" applyBorder="0" applyAlignment="0" applyProtection="0">
      <alignment vertical="center"/>
    </xf>
    <xf numFmtId="0" fontId="36" fillId="37"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7"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38"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39" borderId="0" applyNumberFormat="0" applyBorder="0" applyAlignment="0" applyProtection="0">
      <alignment vertical="center"/>
    </xf>
    <xf numFmtId="0" fontId="36" fillId="39"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39"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4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29" borderId="0" applyNumberFormat="0" applyBorder="0" applyAlignment="0" applyProtection="0">
      <alignment vertical="center"/>
    </xf>
    <xf numFmtId="0" fontId="36" fillId="29"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29"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0"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1"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1" borderId="0" applyNumberFormat="0" applyBorder="0" applyAlignment="0" applyProtection="0">
      <alignment vertical="center"/>
    </xf>
    <xf numFmtId="0" fontId="36" fillId="41" borderId="0" applyNumberFormat="0" applyBorder="0" applyAlignment="0" applyProtection="0">
      <alignment vertical="center"/>
    </xf>
    <xf numFmtId="0" fontId="36" fillId="41"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1"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1" borderId="0" applyNumberFormat="0" applyBorder="0" applyAlignment="0" applyProtection="0">
      <alignment vertical="center"/>
    </xf>
    <xf numFmtId="0" fontId="36" fillId="41"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6" fillId="42" borderId="0" applyNumberFormat="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3"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3" borderId="19" applyNumberFormat="0" applyAlignment="0" applyProtection="0">
      <alignment vertical="center"/>
    </xf>
    <xf numFmtId="0" fontId="38" fillId="43" borderId="19" applyNumberFormat="0" applyAlignment="0" applyProtection="0">
      <alignment vertical="center"/>
    </xf>
    <xf numFmtId="0" fontId="38" fillId="43"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3"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3" borderId="19" applyNumberFormat="0" applyAlignment="0" applyProtection="0">
      <alignment vertical="center"/>
    </xf>
    <xf numFmtId="0" fontId="38" fillId="43"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8" fillId="44" borderId="19" applyNumberFormat="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9"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9"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9" borderId="0" applyNumberFormat="0" applyBorder="0" applyAlignment="0" applyProtection="0">
      <alignment vertical="center"/>
    </xf>
    <xf numFmtId="0" fontId="39" fillId="9"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45"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45" borderId="1" applyNumberFormat="0" applyFont="0" applyAlignment="0" applyProtection="0">
      <alignment vertical="center"/>
    </xf>
    <xf numFmtId="0" fontId="5" fillId="45" borderId="1" applyNumberFormat="0" applyFont="0" applyAlignment="0" applyProtection="0">
      <alignment vertical="center"/>
    </xf>
    <xf numFmtId="0" fontId="5" fillId="45"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45"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45" borderId="1" applyNumberFormat="0" applyFont="0" applyAlignment="0" applyProtection="0">
      <alignment vertical="center"/>
    </xf>
    <xf numFmtId="0" fontId="5" fillId="45"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5" fillId="3" borderId="1" applyNumberFormat="0" applyFont="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6" borderId="0" applyNumberFormat="0" applyBorder="0" applyAlignment="0" applyProtection="0">
      <alignment vertical="center"/>
    </xf>
    <xf numFmtId="0" fontId="40" fillId="46"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0" fillId="47" borderId="0" applyNumberFormat="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8"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8" borderId="20" applyNumberFormat="0" applyAlignment="0" applyProtection="0">
      <alignment vertical="center"/>
    </xf>
    <xf numFmtId="0" fontId="42" fillId="48" borderId="20" applyNumberFormat="0" applyAlignment="0" applyProtection="0">
      <alignment vertical="center"/>
    </xf>
    <xf numFmtId="0" fontId="42" fillId="48"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8"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8" borderId="20" applyNumberFormat="0" applyAlignment="0" applyProtection="0">
      <alignment vertical="center"/>
    </xf>
    <xf numFmtId="0" fontId="42" fillId="48"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0" fontId="42" fillId="49" borderId="20" applyNumberFormat="0" applyAlignment="0" applyProtection="0">
      <alignment vertical="center"/>
    </xf>
    <xf numFmtId="41" fontId="19" fillId="0" borderId="0" applyFont="0" applyFill="0" applyBorder="0" applyAlignment="0" applyProtection="0">
      <alignment vertical="center"/>
    </xf>
    <xf numFmtId="41" fontId="52" fillId="0" borderId="0">
      <alignment vertical="center"/>
    </xf>
    <xf numFmtId="41" fontId="52" fillId="0" borderId="0">
      <alignment vertical="center"/>
    </xf>
    <xf numFmtId="41" fontId="52" fillId="0" borderId="0">
      <alignment vertical="center"/>
    </xf>
    <xf numFmtId="41" fontId="52" fillId="0" borderId="0">
      <alignment vertical="center"/>
    </xf>
    <xf numFmtId="41" fontId="52" fillId="0" borderId="0">
      <alignment vertical="center"/>
    </xf>
    <xf numFmtId="41" fontId="52" fillId="0" borderId="0">
      <alignment vertical="center"/>
    </xf>
    <xf numFmtId="41" fontId="52" fillId="0" borderId="0">
      <alignment vertical="center"/>
    </xf>
    <xf numFmtId="41" fontId="52" fillId="0" borderId="0">
      <alignment vertical="center"/>
    </xf>
    <xf numFmtId="41" fontId="52" fillId="0" borderId="0">
      <alignment vertical="center"/>
    </xf>
    <xf numFmtId="41" fontId="52" fillId="0" borderId="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2" fillId="0" borderId="0">
      <alignment vertical="center"/>
    </xf>
    <xf numFmtId="41" fontId="52" fillId="0" borderId="0">
      <alignment vertical="center"/>
    </xf>
    <xf numFmtId="41" fontId="52" fillId="0" borderId="0">
      <alignment vertical="center"/>
    </xf>
    <xf numFmtId="41" fontId="5" fillId="0" borderId="0" applyFont="0" applyFill="0" applyBorder="0" applyAlignment="0" applyProtection="0">
      <alignment vertical="center"/>
    </xf>
    <xf numFmtId="41" fontId="19" fillId="0" borderId="0" applyFont="0" applyFill="0" applyBorder="0" applyAlignment="0" applyProtection="0">
      <alignment vertical="center"/>
    </xf>
    <xf numFmtId="41" fontId="5" fillId="0" borderId="0" applyFont="0" applyFill="0" applyBorder="0" applyAlignment="0" applyProtection="0"/>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5" fillId="0" borderId="0" applyFont="0" applyFill="0" applyBorder="0" applyAlignment="0" applyProtection="0"/>
    <xf numFmtId="41" fontId="5" fillId="0" borderId="0" applyFont="0" applyFill="0" applyBorder="0" applyAlignment="0" applyProtection="0"/>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5"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5"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5"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19" fillId="0" borderId="0" applyFont="0" applyFill="0" applyBorder="0" applyAlignment="0" applyProtection="0">
      <alignment vertical="center"/>
    </xf>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51" fillId="0" borderId="0" applyFont="0" applyFill="0" applyBorder="0" applyAlignment="0" applyProtection="0">
      <alignment vertical="center"/>
    </xf>
    <xf numFmtId="41" fontId="19" fillId="0" borderId="0" applyFont="0" applyFill="0" applyBorder="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43" fillId="0" borderId="21"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35" fillId="0" borderId="22" applyNumberFormat="0" applyFill="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7"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7" borderId="19" applyNumberFormat="0" applyAlignment="0" applyProtection="0">
      <alignment vertical="center"/>
    </xf>
    <xf numFmtId="0" fontId="44" fillId="17" borderId="19" applyNumberFormat="0" applyAlignment="0" applyProtection="0">
      <alignment vertical="center"/>
    </xf>
    <xf numFmtId="0" fontId="44" fillId="17"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7"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7" borderId="19" applyNumberFormat="0" applyAlignment="0" applyProtection="0">
      <alignment vertical="center"/>
    </xf>
    <xf numFmtId="0" fontId="44" fillId="17"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4" fillId="18" borderId="19" applyNumberFormat="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5" fillId="0" borderId="23"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6" fillId="0" borderId="24"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7" fillId="0" borderId="25"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1" borderId="0" applyNumberFormat="0" applyBorder="0" applyAlignment="0" applyProtection="0">
      <alignment vertical="center"/>
    </xf>
    <xf numFmtId="0" fontId="49" fillId="11" borderId="0" applyNumberFormat="0" applyBorder="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1" borderId="0" applyNumberFormat="0" applyBorder="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3"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3" borderId="26" applyNumberFormat="0" applyAlignment="0" applyProtection="0">
      <alignment vertical="center"/>
    </xf>
    <xf numFmtId="0" fontId="50" fillId="43" borderId="26" applyNumberFormat="0" applyAlignment="0" applyProtection="0">
      <alignment vertical="center"/>
    </xf>
    <xf numFmtId="0" fontId="50" fillId="43"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3"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3" borderId="26" applyNumberFormat="0" applyAlignment="0" applyProtection="0">
      <alignment vertical="center"/>
    </xf>
    <xf numFmtId="0" fontId="50" fillId="43"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50" fillId="44" borderId="26" applyNumberFormat="0" applyAlignment="0" applyProtection="0">
      <alignment vertical="center"/>
    </xf>
    <xf numFmtId="0" fontId="24" fillId="0" borderId="0">
      <alignment vertical="center"/>
    </xf>
    <xf numFmtId="0" fontId="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 fillId="0" borderId="0">
      <alignment vertical="center"/>
    </xf>
    <xf numFmtId="0" fontId="52" fillId="0" borderId="0">
      <alignment vertical="center"/>
    </xf>
    <xf numFmtId="0" fontId="52" fillId="0" borderId="0">
      <alignment vertical="center"/>
    </xf>
    <xf numFmtId="0" fontId="52" fillId="0" borderId="0">
      <alignment vertical="center"/>
    </xf>
    <xf numFmtId="0" fontId="5" fillId="0" borderId="0">
      <alignment vertical="center"/>
    </xf>
    <xf numFmtId="0" fontId="5" fillId="0" borderId="0">
      <alignment vertical="center"/>
    </xf>
    <xf numFmtId="0" fontId="5"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xf numFmtId="0" fontId="24" fillId="0" borderId="0">
      <alignment vertical="center"/>
    </xf>
    <xf numFmtId="0" fontId="24" fillId="0" borderId="0">
      <alignment vertical="center"/>
    </xf>
    <xf numFmtId="0" fontId="24" fillId="0" borderId="0">
      <alignment vertical="center"/>
    </xf>
    <xf numFmtId="0" fontId="5" fillId="0" borderId="0"/>
    <xf numFmtId="0" fontId="5" fillId="0" borderId="0"/>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5" fillId="0" borderId="0">
      <alignment vertical="center"/>
    </xf>
    <xf numFmtId="0" fontId="5" fillId="0" borderId="0"/>
    <xf numFmtId="0" fontId="5" fillId="0" borderId="0"/>
    <xf numFmtId="0" fontId="5" fillId="0" borderId="0">
      <alignment vertical="center"/>
    </xf>
    <xf numFmtId="0" fontId="5" fillId="0" borderId="0">
      <alignment vertical="center"/>
    </xf>
    <xf numFmtId="0" fontId="5" fillId="0" borderId="0">
      <alignment vertical="center"/>
    </xf>
    <xf numFmtId="0" fontId="24" fillId="0" borderId="0">
      <alignment vertical="center"/>
    </xf>
    <xf numFmtId="0" fontId="5" fillId="0" borderId="0"/>
    <xf numFmtId="0" fontId="5" fillId="0" borderId="0"/>
    <xf numFmtId="0" fontId="5" fillId="0" borderId="0"/>
    <xf numFmtId="0" fontId="24" fillId="0" borderId="0">
      <alignment vertical="center"/>
    </xf>
    <xf numFmtId="0" fontId="24" fillId="0" borderId="0">
      <alignment vertical="center"/>
    </xf>
    <xf numFmtId="0" fontId="5" fillId="0" borderId="0">
      <alignment vertical="center"/>
    </xf>
    <xf numFmtId="0" fontId="24" fillId="0" borderId="0">
      <alignment vertical="center"/>
    </xf>
    <xf numFmtId="0" fontId="23"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41" fontId="19" fillId="0" borderId="0" applyFont="0" applyFill="0" applyBorder="0" applyAlignment="0" applyProtection="0">
      <alignment vertical="center"/>
    </xf>
    <xf numFmtId="41" fontId="5" fillId="0" borderId="0" applyFont="0" applyFill="0" applyBorder="0" applyAlignment="0" applyProtection="0">
      <alignment vertical="center"/>
    </xf>
    <xf numFmtId="41" fontId="19" fillId="0" borderId="0" applyFont="0" applyFill="0" applyBorder="0" applyAlignment="0" applyProtection="0">
      <alignment vertical="center"/>
    </xf>
    <xf numFmtId="0" fontId="24" fillId="0" borderId="0">
      <alignment vertical="center"/>
    </xf>
    <xf numFmtId="0" fontId="24" fillId="0" borderId="0">
      <alignment vertical="center"/>
    </xf>
    <xf numFmtId="0" fontId="5" fillId="0" borderId="0">
      <alignment vertical="center"/>
    </xf>
    <xf numFmtId="0" fontId="4" fillId="0" borderId="0">
      <alignment vertical="center"/>
    </xf>
    <xf numFmtId="0" fontId="24" fillId="0" borderId="0">
      <alignment vertical="center"/>
    </xf>
    <xf numFmtId="0" fontId="24" fillId="0" borderId="0">
      <alignment vertical="center"/>
    </xf>
    <xf numFmtId="0" fontId="24" fillId="0" borderId="0">
      <alignment vertical="center"/>
    </xf>
    <xf numFmtId="0" fontId="3" fillId="0" borderId="0">
      <alignment vertical="center"/>
    </xf>
    <xf numFmtId="0" fontId="3" fillId="0" borderId="0">
      <alignment vertical="center"/>
    </xf>
    <xf numFmtId="0" fontId="2" fillId="0" borderId="0">
      <alignment vertical="center"/>
    </xf>
    <xf numFmtId="41" fontId="2" fillId="0" borderId="0" applyFont="0" applyFill="0" applyBorder="0" applyAlignment="0" applyProtection="0">
      <alignment vertical="center"/>
    </xf>
    <xf numFmtId="41" fontId="23" fillId="0" borderId="0" applyFont="0" applyFill="0" applyBorder="0" applyAlignment="0" applyProtection="0">
      <alignment vertical="center"/>
    </xf>
    <xf numFmtId="41" fontId="24" fillId="0" borderId="0" applyFont="0" applyFill="0" applyBorder="0" applyAlignment="0" applyProtection="0">
      <alignment vertical="center"/>
    </xf>
    <xf numFmtId="0" fontId="1" fillId="0" borderId="0">
      <alignment vertical="center"/>
    </xf>
    <xf numFmtId="0" fontId="1" fillId="0" borderId="0">
      <alignment vertical="center"/>
    </xf>
  </cellStyleXfs>
  <cellXfs count="690">
    <xf numFmtId="0" fontId="0" fillId="0" borderId="0" xfId="0">
      <alignment vertical="center"/>
    </xf>
    <xf numFmtId="41" fontId="10" fillId="4" borderId="0" xfId="2" applyFont="1" applyFill="1" applyAlignment="1">
      <alignment vertical="center"/>
    </xf>
    <xf numFmtId="0" fontId="10" fillId="0" borderId="0" xfId="0" applyFont="1" applyAlignment="1">
      <alignment vertical="center"/>
    </xf>
    <xf numFmtId="0" fontId="10" fillId="4" borderId="0" xfId="2" applyNumberFormat="1" applyFont="1" applyFill="1" applyAlignment="1">
      <alignment vertical="center"/>
    </xf>
    <xf numFmtId="41" fontId="10" fillId="4" borderId="0" xfId="2" applyFont="1" applyFill="1" applyBorder="1" applyAlignment="1">
      <alignment vertical="center"/>
    </xf>
    <xf numFmtId="179" fontId="10" fillId="4" borderId="0" xfId="2" applyNumberFormat="1" applyFont="1" applyFill="1" applyBorder="1" applyAlignment="1">
      <alignment vertical="center"/>
    </xf>
    <xf numFmtId="0" fontId="10" fillId="4" borderId="0" xfId="0" applyFont="1" applyFill="1" applyAlignment="1">
      <alignment vertical="center"/>
    </xf>
    <xf numFmtId="177" fontId="10" fillId="4" borderId="0" xfId="2" applyNumberFormat="1" applyFont="1" applyFill="1" applyAlignment="1">
      <alignment vertical="center"/>
    </xf>
    <xf numFmtId="177" fontId="8" fillId="4" borderId="0" xfId="2" applyNumberFormat="1" applyFont="1" applyFill="1" applyBorder="1" applyAlignment="1">
      <alignment vertical="center"/>
    </xf>
    <xf numFmtId="177" fontId="10" fillId="4" borderId="0" xfId="2" applyNumberFormat="1" applyFont="1" applyFill="1" applyBorder="1" applyAlignment="1">
      <alignment vertical="center"/>
    </xf>
    <xf numFmtId="178" fontId="10" fillId="4" borderId="0" xfId="2" applyNumberFormat="1" applyFont="1" applyFill="1" applyAlignment="1">
      <alignment vertical="center"/>
    </xf>
    <xf numFmtId="179" fontId="10" fillId="4" borderId="0" xfId="2" applyNumberFormat="1" applyFont="1" applyFill="1" applyAlignment="1">
      <alignment vertical="center"/>
    </xf>
    <xf numFmtId="41" fontId="10" fillId="3" borderId="0" xfId="2" applyFont="1" applyFill="1" applyBorder="1" applyAlignment="1">
      <alignment horizontal="right" vertical="center"/>
    </xf>
    <xf numFmtId="41" fontId="25" fillId="4" borderId="0" xfId="2" applyFont="1" applyFill="1" applyAlignment="1">
      <alignment vertical="center"/>
    </xf>
    <xf numFmtId="41" fontId="10" fillId="0" borderId="0" xfId="2" applyFont="1" applyFill="1" applyBorder="1" applyAlignment="1">
      <alignment vertical="center"/>
    </xf>
    <xf numFmtId="41" fontId="26" fillId="4" borderId="0" xfId="2" applyFont="1" applyFill="1" applyAlignment="1">
      <alignment vertical="center"/>
    </xf>
    <xf numFmtId="178" fontId="26" fillId="4" borderId="0" xfId="2" applyNumberFormat="1" applyFont="1" applyFill="1" applyAlignment="1">
      <alignment vertical="center"/>
    </xf>
    <xf numFmtId="41" fontId="10" fillId="0" borderId="0" xfId="2" applyFont="1" applyFill="1" applyAlignment="1">
      <alignment vertical="center"/>
    </xf>
    <xf numFmtId="178" fontId="10" fillId="0" borderId="0" xfId="2" applyNumberFormat="1" applyFont="1" applyFill="1" applyAlignment="1">
      <alignment vertical="center"/>
    </xf>
    <xf numFmtId="179" fontId="10" fillId="0" borderId="0" xfId="2" applyNumberFormat="1" applyFont="1" applyFill="1" applyBorder="1" applyAlignment="1">
      <alignment vertical="center"/>
    </xf>
    <xf numFmtId="41" fontId="25" fillId="0" borderId="0" xfId="2" applyFont="1" applyFill="1" applyAlignment="1">
      <alignment vertical="center"/>
    </xf>
    <xf numFmtId="180" fontId="10" fillId="4" borderId="0" xfId="2" applyNumberFormat="1" applyFont="1" applyFill="1" applyAlignment="1">
      <alignment vertical="center"/>
    </xf>
    <xf numFmtId="179" fontId="25" fillId="0" borderId="0" xfId="2" applyNumberFormat="1" applyFont="1" applyFill="1" applyAlignment="1">
      <alignment vertical="center"/>
    </xf>
    <xf numFmtId="179" fontId="25" fillId="0" borderId="0" xfId="2" applyNumberFormat="1" applyFont="1" applyFill="1" applyBorder="1" applyAlignment="1">
      <alignment vertical="center"/>
    </xf>
    <xf numFmtId="0" fontId="25" fillId="0" borderId="0" xfId="0" applyFont="1" applyAlignment="1">
      <alignment vertical="center"/>
    </xf>
    <xf numFmtId="41" fontId="32" fillId="4" borderId="0" xfId="2" applyFont="1" applyFill="1" applyAlignment="1">
      <alignment vertical="center"/>
    </xf>
    <xf numFmtId="0" fontId="32" fillId="4" borderId="0" xfId="0" applyFont="1" applyFill="1" applyAlignment="1">
      <alignment vertical="center"/>
    </xf>
    <xf numFmtId="41" fontId="32" fillId="4" borderId="0" xfId="2" applyFont="1" applyFill="1" applyAlignment="1">
      <alignment horizontal="center" vertical="center"/>
    </xf>
    <xf numFmtId="41" fontId="32" fillId="4" borderId="0" xfId="2" applyFont="1" applyFill="1" applyAlignment="1">
      <alignment horizontal="left" vertical="center"/>
    </xf>
    <xf numFmtId="178" fontId="10" fillId="0" borderId="0" xfId="2" applyNumberFormat="1" applyFont="1" applyFill="1" applyBorder="1" applyAlignment="1">
      <alignment vertical="center"/>
    </xf>
    <xf numFmtId="177" fontId="10" fillId="3" borderId="0" xfId="2" applyNumberFormat="1" applyFont="1" applyFill="1" applyBorder="1" applyAlignment="1">
      <alignment horizontal="center" vertical="center"/>
    </xf>
    <xf numFmtId="177" fontId="8" fillId="3" borderId="0" xfId="2" applyNumberFormat="1" applyFont="1" applyFill="1" applyBorder="1" applyAlignment="1">
      <alignment horizontal="center" vertical="center"/>
    </xf>
    <xf numFmtId="179" fontId="8" fillId="3" borderId="0" xfId="2" applyNumberFormat="1" applyFont="1" applyFill="1" applyBorder="1" applyAlignment="1">
      <alignment horizontal="center" vertical="center"/>
    </xf>
    <xf numFmtId="177" fontId="10" fillId="3" borderId="0" xfId="2" applyNumberFormat="1" applyFont="1" applyFill="1" applyBorder="1" applyAlignment="1">
      <alignment horizontal="right" vertical="center"/>
    </xf>
    <xf numFmtId="178" fontId="25" fillId="4" borderId="0" xfId="2" applyNumberFormat="1" applyFont="1" applyFill="1" applyAlignment="1">
      <alignment vertical="center"/>
    </xf>
    <xf numFmtId="178" fontId="25" fillId="6" borderId="0" xfId="2" applyNumberFormat="1" applyFont="1" applyFill="1" applyAlignment="1">
      <alignment vertical="center"/>
    </xf>
    <xf numFmtId="41" fontId="8" fillId="0" borderId="0" xfId="2" applyFont="1" applyFill="1" applyBorder="1" applyAlignment="1">
      <alignment vertical="center"/>
    </xf>
    <xf numFmtId="179" fontId="8" fillId="0" borderId="0" xfId="2" applyNumberFormat="1" applyFont="1" applyFill="1" applyBorder="1" applyAlignment="1">
      <alignment vertical="center"/>
    </xf>
    <xf numFmtId="41" fontId="10" fillId="0" borderId="4" xfId="2" applyFont="1" applyFill="1" applyBorder="1" applyAlignment="1">
      <alignment vertical="center"/>
    </xf>
    <xf numFmtId="41" fontId="28" fillId="0" borderId="0" xfId="2" applyFont="1" applyFill="1" applyBorder="1" applyAlignment="1">
      <alignment vertical="center"/>
    </xf>
    <xf numFmtId="178" fontId="28" fillId="0" borderId="0" xfId="2" applyNumberFormat="1" applyFont="1" applyFill="1" applyBorder="1" applyAlignment="1">
      <alignment vertical="center"/>
    </xf>
    <xf numFmtId="178" fontId="8" fillId="0" borderId="0" xfId="2" applyNumberFormat="1" applyFont="1" applyFill="1" applyBorder="1" applyAlignment="1">
      <alignment vertical="center"/>
    </xf>
    <xf numFmtId="178" fontId="10" fillId="0" borderId="4" xfId="2" applyNumberFormat="1" applyFont="1" applyFill="1" applyBorder="1" applyAlignment="1">
      <alignment vertical="center"/>
    </xf>
    <xf numFmtId="0" fontId="32" fillId="0" borderId="0" xfId="2" applyNumberFormat="1" applyFont="1" applyFill="1" applyAlignment="1">
      <alignment vertical="center"/>
    </xf>
    <xf numFmtId="177" fontId="10" fillId="0" borderId="0" xfId="2" applyNumberFormat="1" applyFont="1" applyFill="1" applyBorder="1" applyAlignment="1">
      <alignment vertical="center"/>
    </xf>
    <xf numFmtId="177" fontId="10" fillId="0" borderId="4" xfId="2" applyNumberFormat="1" applyFont="1" applyFill="1" applyBorder="1" applyAlignment="1">
      <alignment vertical="center"/>
    </xf>
    <xf numFmtId="177" fontId="8" fillId="0" borderId="0" xfId="2" applyNumberFormat="1" applyFont="1" applyFill="1" applyBorder="1" applyAlignment="1">
      <alignment vertical="center"/>
    </xf>
    <xf numFmtId="41" fontId="10" fillId="0" borderId="8" xfId="2" applyFont="1" applyFill="1" applyBorder="1" applyAlignment="1">
      <alignment vertical="center"/>
    </xf>
    <xf numFmtId="41" fontId="8" fillId="0" borderId="6" xfId="2" applyFont="1" applyFill="1" applyBorder="1" applyAlignment="1">
      <alignment vertical="center"/>
    </xf>
    <xf numFmtId="180" fontId="10" fillId="0" borderId="0" xfId="2" applyNumberFormat="1" applyFont="1" applyFill="1" applyBorder="1" applyAlignment="1">
      <alignment horizontal="right" vertical="center"/>
    </xf>
    <xf numFmtId="41" fontId="10" fillId="0" borderId="27" xfId="2" applyFont="1" applyFill="1" applyBorder="1" applyAlignment="1">
      <alignment vertical="center"/>
    </xf>
    <xf numFmtId="0" fontId="10" fillId="0" borderId="0" xfId="0" applyFont="1" applyFill="1" applyAlignment="1">
      <alignment vertical="center"/>
    </xf>
    <xf numFmtId="181" fontId="10" fillId="0" borderId="0" xfId="2" applyNumberFormat="1" applyFont="1" applyFill="1" applyAlignment="1">
      <alignment vertical="center"/>
    </xf>
    <xf numFmtId="0" fontId="25" fillId="0" borderId="0" xfId="0" applyFont="1" applyBorder="1" applyAlignment="1">
      <alignment vertical="center"/>
    </xf>
    <xf numFmtId="41" fontId="25" fillId="4" borderId="0" xfId="2" applyFont="1" applyFill="1" applyBorder="1" applyAlignment="1">
      <alignment vertical="center"/>
    </xf>
    <xf numFmtId="0" fontId="32" fillId="0" borderId="0" xfId="2" applyNumberFormat="1" applyFont="1" applyFill="1" applyBorder="1" applyAlignment="1">
      <alignment vertical="center"/>
    </xf>
    <xf numFmtId="0" fontId="53" fillId="0" borderId="0" xfId="0" applyFont="1" applyAlignment="1">
      <alignment vertical="center"/>
    </xf>
    <xf numFmtId="41" fontId="25" fillId="0" borderId="0" xfId="0" applyNumberFormat="1" applyFont="1" applyAlignment="1">
      <alignment vertical="center"/>
    </xf>
    <xf numFmtId="0" fontId="25" fillId="4" borderId="0" xfId="2" applyNumberFormat="1" applyFont="1" applyFill="1" applyAlignment="1">
      <alignment vertical="center"/>
    </xf>
    <xf numFmtId="0" fontId="10" fillId="4" borderId="0" xfId="2" applyNumberFormat="1" applyFont="1" applyFill="1" applyBorder="1" applyAlignment="1">
      <alignment vertical="center"/>
    </xf>
    <xf numFmtId="0" fontId="34" fillId="0" borderId="0" xfId="2" applyNumberFormat="1" applyFont="1" applyFill="1" applyBorder="1" applyAlignment="1">
      <alignment vertical="center"/>
    </xf>
    <xf numFmtId="0" fontId="10" fillId="0" borderId="0" xfId="2" applyNumberFormat="1" applyFont="1" applyFill="1" applyBorder="1" applyAlignment="1">
      <alignment vertical="center"/>
    </xf>
    <xf numFmtId="41" fontId="25" fillId="0" borderId="0" xfId="2" applyFont="1" applyBorder="1" applyAlignment="1">
      <alignment vertical="center"/>
    </xf>
    <xf numFmtId="176" fontId="25" fillId="4" borderId="0" xfId="2" applyNumberFormat="1" applyFont="1" applyFill="1" applyAlignment="1">
      <alignment vertical="center"/>
    </xf>
    <xf numFmtId="179" fontId="25" fillId="4" borderId="0" xfId="2" applyNumberFormat="1" applyFont="1" applyFill="1" applyBorder="1" applyAlignment="1">
      <alignment vertical="center"/>
    </xf>
    <xf numFmtId="176" fontId="25" fillId="0" borderId="0" xfId="2" applyNumberFormat="1" applyFont="1" applyFill="1" applyAlignment="1">
      <alignment vertical="center"/>
    </xf>
    <xf numFmtId="0" fontId="10" fillId="0" borderId="0" xfId="2" applyNumberFormat="1" applyFont="1" applyFill="1" applyAlignment="1">
      <alignment vertical="center"/>
    </xf>
    <xf numFmtId="178" fontId="25" fillId="0" borderId="0" xfId="2" applyNumberFormat="1" applyFont="1" applyFill="1" applyAlignment="1">
      <alignment horizontal="center" vertical="center"/>
    </xf>
    <xf numFmtId="0" fontId="25" fillId="0" borderId="0" xfId="2" applyNumberFormat="1" applyFont="1" applyFill="1" applyBorder="1" applyAlignment="1">
      <alignment vertical="center"/>
    </xf>
    <xf numFmtId="178" fontId="25" fillId="4" borderId="0" xfId="2" applyNumberFormat="1" applyFont="1" applyFill="1" applyAlignment="1">
      <alignment horizontal="center" vertical="center"/>
    </xf>
    <xf numFmtId="41" fontId="8" fillId="0" borderId="0" xfId="2" applyFont="1" applyFill="1" applyBorder="1" applyAlignment="1">
      <alignment horizontal="right" vertical="center"/>
    </xf>
    <xf numFmtId="41" fontId="10" fillId="0" borderId="0" xfId="2" applyFont="1" applyFill="1" applyBorder="1" applyAlignment="1">
      <alignment horizontal="right" vertical="center"/>
    </xf>
    <xf numFmtId="177" fontId="10" fillId="0" borderId="0" xfId="2" applyNumberFormat="1" applyFont="1" applyFill="1" applyAlignment="1">
      <alignment vertical="center"/>
    </xf>
    <xf numFmtId="0" fontId="10" fillId="3" borderId="0" xfId="2" applyNumberFormat="1" applyFont="1" applyFill="1" applyBorder="1" applyAlignment="1">
      <alignment horizontal="center" vertical="center"/>
    </xf>
    <xf numFmtId="0" fontId="8" fillId="3" borderId="0" xfId="2" applyNumberFormat="1" applyFont="1" applyFill="1" applyBorder="1" applyAlignment="1">
      <alignment horizontal="center" vertical="center"/>
    </xf>
    <xf numFmtId="0" fontId="10" fillId="3" borderId="4" xfId="2" applyNumberFormat="1" applyFont="1" applyFill="1" applyBorder="1" applyAlignment="1">
      <alignment horizontal="center" vertical="center"/>
    </xf>
    <xf numFmtId="0" fontId="10" fillId="0" borderId="0" xfId="2" applyNumberFormat="1" applyFont="1" applyFill="1" applyAlignment="1">
      <alignment horizontal="left" vertical="center"/>
    </xf>
    <xf numFmtId="177" fontId="10" fillId="0" borderId="0" xfId="2" applyNumberFormat="1" applyFont="1" applyFill="1" applyBorder="1" applyAlignment="1">
      <alignment horizontal="right" vertical="center"/>
    </xf>
    <xf numFmtId="41" fontId="8" fillId="3" borderId="0" xfId="2" applyFont="1" applyFill="1" applyBorder="1" applyAlignment="1">
      <alignment horizontal="center" vertical="center"/>
    </xf>
    <xf numFmtId="0" fontId="10" fillId="3" borderId="0" xfId="2" applyNumberFormat="1" applyFont="1" applyFill="1" applyBorder="1" applyAlignment="1">
      <alignment horizontal="center" vertical="center"/>
    </xf>
    <xf numFmtId="0" fontId="10" fillId="3" borderId="4" xfId="2" applyNumberFormat="1" applyFont="1" applyFill="1" applyBorder="1" applyAlignment="1">
      <alignment horizontal="center" vertical="center"/>
    </xf>
    <xf numFmtId="0" fontId="8" fillId="3" borderId="0" xfId="2" applyNumberFormat="1" applyFont="1" applyFill="1" applyBorder="1" applyAlignment="1">
      <alignment horizontal="center" vertical="center"/>
    </xf>
    <xf numFmtId="0" fontId="8" fillId="4" borderId="0" xfId="2" applyNumberFormat="1" applyFont="1" applyFill="1" applyAlignment="1">
      <alignment vertical="center"/>
    </xf>
    <xf numFmtId="0" fontId="25" fillId="4" borderId="0" xfId="2" applyNumberFormat="1" applyFont="1" applyFill="1" applyBorder="1" applyAlignment="1">
      <alignment vertical="center"/>
    </xf>
    <xf numFmtId="0" fontId="26" fillId="4" borderId="0" xfId="2" applyNumberFormat="1" applyFont="1" applyFill="1" applyAlignment="1">
      <alignment vertical="center"/>
    </xf>
    <xf numFmtId="0" fontId="25" fillId="4" borderId="0" xfId="2" applyNumberFormat="1" applyFont="1" applyFill="1" applyBorder="1" applyAlignment="1">
      <alignment horizontal="center" vertical="center"/>
    </xf>
    <xf numFmtId="0" fontId="10" fillId="0" borderId="0" xfId="0" applyNumberFormat="1" applyFont="1" applyAlignment="1">
      <alignment vertical="center"/>
    </xf>
    <xf numFmtId="0" fontId="25" fillId="0" borderId="0" xfId="0" applyNumberFormat="1" applyFont="1" applyAlignment="1">
      <alignment vertical="center"/>
    </xf>
    <xf numFmtId="0" fontId="25" fillId="4" borderId="0" xfId="2" applyNumberFormat="1" applyFont="1" applyFill="1" applyAlignment="1">
      <alignment horizontal="center" vertical="center"/>
    </xf>
    <xf numFmtId="0" fontId="10" fillId="4" borderId="0" xfId="2" applyNumberFormat="1" applyFont="1" applyFill="1" applyAlignment="1">
      <alignment horizontal="center" vertical="center"/>
    </xf>
    <xf numFmtId="41" fontId="10" fillId="0" borderId="32" xfId="2" applyFont="1" applyFill="1" applyBorder="1" applyAlignment="1">
      <alignment vertical="center"/>
    </xf>
    <xf numFmtId="41" fontId="8" fillId="0" borderId="32" xfId="2" applyFont="1" applyFill="1" applyBorder="1" applyAlignment="1">
      <alignment vertical="center"/>
    </xf>
    <xf numFmtId="0" fontId="12" fillId="4" borderId="0" xfId="2" applyNumberFormat="1" applyFont="1" applyFill="1" applyAlignment="1">
      <alignment vertical="center"/>
    </xf>
    <xf numFmtId="0" fontId="10" fillId="4" borderId="0" xfId="1" applyNumberFormat="1" applyFont="1" applyFill="1" applyAlignment="1">
      <alignment vertical="center"/>
    </xf>
    <xf numFmtId="0" fontId="10" fillId="4" borderId="0" xfId="2" applyNumberFormat="1" applyFont="1" applyFill="1" applyAlignment="1">
      <alignment horizontal="left" vertical="center"/>
    </xf>
    <xf numFmtId="0" fontId="10" fillId="0" borderId="3" xfId="2" applyNumberFormat="1" applyFont="1" applyFill="1" applyBorder="1" applyAlignment="1">
      <alignment vertical="center"/>
    </xf>
    <xf numFmtId="0" fontId="10" fillId="0" borderId="0" xfId="2" applyNumberFormat="1" applyFont="1" applyAlignment="1">
      <alignment vertical="center"/>
    </xf>
    <xf numFmtId="0" fontId="26" fillId="0" borderId="0" xfId="2" applyNumberFormat="1" applyFont="1" applyFill="1" applyBorder="1" applyAlignment="1">
      <alignment vertical="center"/>
    </xf>
    <xf numFmtId="0" fontId="26" fillId="0" borderId="0" xfId="2" applyNumberFormat="1" applyFont="1" applyFill="1" applyAlignment="1">
      <alignment vertical="center"/>
    </xf>
    <xf numFmtId="179" fontId="8" fillId="0" borderId="34" xfId="2" applyNumberFormat="1" applyFont="1" applyFill="1" applyBorder="1" applyAlignment="1">
      <alignment vertical="center"/>
    </xf>
    <xf numFmtId="41" fontId="10" fillId="0" borderId="34" xfId="2" applyFont="1" applyFill="1" applyBorder="1" applyAlignment="1">
      <alignment vertical="center"/>
    </xf>
    <xf numFmtId="41" fontId="8" fillId="0" borderId="34" xfId="2" applyFont="1" applyFill="1" applyBorder="1" applyAlignment="1">
      <alignment vertical="center"/>
    </xf>
    <xf numFmtId="41" fontId="10" fillId="0" borderId="35" xfId="2" applyFont="1" applyFill="1" applyBorder="1" applyAlignment="1">
      <alignment vertical="center"/>
    </xf>
    <xf numFmtId="0" fontId="26" fillId="4" borderId="0" xfId="2" applyNumberFormat="1" applyFont="1" applyFill="1" applyBorder="1" applyAlignment="1">
      <alignment vertical="center"/>
    </xf>
    <xf numFmtId="0" fontId="10" fillId="4" borderId="0" xfId="2" applyNumberFormat="1" applyFont="1" applyFill="1" applyBorder="1" applyAlignment="1">
      <alignment horizontal="center" vertical="center"/>
    </xf>
    <xf numFmtId="0" fontId="8" fillId="4" borderId="0" xfId="2" applyNumberFormat="1" applyFont="1" applyFill="1" applyBorder="1" applyAlignment="1">
      <alignment vertical="center"/>
    </xf>
    <xf numFmtId="0" fontId="59" fillId="0" borderId="0" xfId="13" applyNumberFormat="1" applyFont="1" applyBorder="1" applyAlignment="1">
      <alignment horizontal="right" vertical="center"/>
    </xf>
    <xf numFmtId="0" fontId="59" fillId="0" borderId="0" xfId="0" applyNumberFormat="1" applyFont="1" applyFill="1" applyBorder="1" applyAlignment="1">
      <alignment horizontal="right" vertical="center"/>
    </xf>
    <xf numFmtId="0" fontId="60" fillId="0" borderId="0" xfId="13" applyNumberFormat="1" applyFont="1" applyBorder="1" applyAlignment="1">
      <alignment horizontal="right" vertical="center"/>
    </xf>
    <xf numFmtId="0" fontId="60" fillId="0" borderId="0" xfId="0" applyNumberFormat="1" applyFont="1" applyFill="1" applyBorder="1" applyAlignment="1">
      <alignment horizontal="right" vertical="center"/>
    </xf>
    <xf numFmtId="0" fontId="8" fillId="0" borderId="0" xfId="0" applyNumberFormat="1" applyFont="1" applyAlignment="1">
      <alignment vertical="center"/>
    </xf>
    <xf numFmtId="0" fontId="28" fillId="0" borderId="0" xfId="17" applyNumberFormat="1" applyFont="1" applyAlignment="1">
      <alignment vertical="center"/>
    </xf>
    <xf numFmtId="0" fontId="25" fillId="0" borderId="0" xfId="0" applyNumberFormat="1" applyFont="1" applyAlignment="1"/>
    <xf numFmtId="41" fontId="61" fillId="4" borderId="0" xfId="2" applyFont="1" applyFill="1">
      <alignment vertical="center"/>
    </xf>
    <xf numFmtId="0" fontId="16" fillId="4" borderId="0" xfId="0" applyFont="1" applyFill="1" applyAlignment="1">
      <alignment vertical="center"/>
    </xf>
    <xf numFmtId="0" fontId="53" fillId="4" borderId="0" xfId="0" applyFont="1" applyFill="1" applyBorder="1" applyAlignment="1">
      <alignment vertical="center"/>
    </xf>
    <xf numFmtId="41" fontId="28" fillId="0" borderId="0" xfId="2" applyFont="1" applyFill="1" applyBorder="1" applyAlignment="1">
      <alignment horizontal="center" vertical="center"/>
    </xf>
    <xf numFmtId="41" fontId="29" fillId="0" borderId="0" xfId="2" applyFont="1" applyFill="1" applyBorder="1" applyAlignment="1">
      <alignment vertical="center"/>
    </xf>
    <xf numFmtId="0" fontId="16" fillId="0" borderId="0" xfId="0" applyNumberFormat="1" applyFont="1" applyAlignment="1">
      <alignment vertical="center"/>
    </xf>
    <xf numFmtId="0" fontId="17" fillId="4" borderId="0" xfId="2" applyNumberFormat="1" applyFont="1" applyFill="1" applyAlignment="1">
      <alignment vertical="center"/>
    </xf>
    <xf numFmtId="0" fontId="25" fillId="0" borderId="0" xfId="2" applyNumberFormat="1" applyFont="1" applyFill="1" applyAlignment="1">
      <alignment vertical="center"/>
    </xf>
    <xf numFmtId="0" fontId="25" fillId="0" borderId="0" xfId="0" applyNumberFormat="1" applyFont="1" applyFill="1" applyAlignment="1">
      <alignment vertical="center"/>
    </xf>
    <xf numFmtId="0" fontId="10" fillId="4" borderId="0" xfId="0" applyNumberFormat="1" applyFont="1" applyFill="1" applyAlignment="1">
      <alignment vertical="center"/>
    </xf>
    <xf numFmtId="0" fontId="55" fillId="50" borderId="28" xfId="2" applyNumberFormat="1" applyFont="1" applyFill="1" applyBorder="1" applyAlignment="1">
      <alignment horizontal="center" vertical="center" wrapText="1"/>
    </xf>
    <xf numFmtId="0" fontId="55" fillId="50" borderId="29" xfId="2" applyNumberFormat="1" applyFont="1" applyFill="1" applyBorder="1" applyAlignment="1">
      <alignment horizontal="center" vertical="center" wrapText="1"/>
    </xf>
    <xf numFmtId="0" fontId="10" fillId="4" borderId="3" xfId="2" applyNumberFormat="1" applyFont="1" applyFill="1" applyBorder="1" applyAlignment="1">
      <alignment vertical="center"/>
    </xf>
    <xf numFmtId="0" fontId="25" fillId="0" borderId="0" xfId="2" applyNumberFormat="1" applyFont="1" applyFill="1" applyAlignment="1">
      <alignment vertical="center" wrapText="1"/>
    </xf>
    <xf numFmtId="0" fontId="58" fillId="4" borderId="0" xfId="2" applyNumberFormat="1" applyFont="1" applyFill="1" applyBorder="1" applyAlignment="1">
      <alignment horizontal="left" vertical="center"/>
    </xf>
    <xf numFmtId="0" fontId="16" fillId="4" borderId="0" xfId="0" applyNumberFormat="1" applyFont="1" applyFill="1" applyAlignment="1">
      <alignment vertical="center"/>
    </xf>
    <xf numFmtId="0" fontId="53" fillId="4" borderId="0" xfId="0" applyNumberFormat="1" applyFont="1" applyFill="1" applyAlignment="1">
      <alignment vertical="center"/>
    </xf>
    <xf numFmtId="0" fontId="57" fillId="4" borderId="0" xfId="0" applyNumberFormat="1" applyFont="1" applyFill="1" applyAlignment="1">
      <alignment horizontal="center" vertical="center"/>
    </xf>
    <xf numFmtId="0" fontId="57" fillId="4" borderId="0" xfId="0" applyNumberFormat="1" applyFont="1" applyFill="1" applyAlignment="1">
      <alignment vertical="center"/>
    </xf>
    <xf numFmtId="0" fontId="64" fillId="4" borderId="0" xfId="0" applyNumberFormat="1" applyFont="1" applyFill="1" applyAlignment="1">
      <alignment vertical="center"/>
    </xf>
    <xf numFmtId="0" fontId="13" fillId="4" borderId="0" xfId="2" applyNumberFormat="1" applyFont="1" applyFill="1" applyAlignment="1">
      <alignment vertical="center"/>
    </xf>
    <xf numFmtId="0" fontId="65" fillId="4" borderId="0" xfId="0" applyNumberFormat="1" applyFont="1" applyFill="1" applyAlignment="1">
      <alignment vertical="center"/>
    </xf>
    <xf numFmtId="0" fontId="27" fillId="4" borderId="0" xfId="0" applyNumberFormat="1" applyFont="1" applyFill="1" applyAlignment="1">
      <alignment vertical="center"/>
    </xf>
    <xf numFmtId="0" fontId="10" fillId="0" borderId="0" xfId="2" applyNumberFormat="1" applyFont="1" applyFill="1" applyBorder="1" applyAlignment="1">
      <alignment horizontal="left" vertical="center"/>
    </xf>
    <xf numFmtId="0" fontId="11" fillId="4" borderId="0" xfId="2" applyNumberFormat="1" applyFont="1" applyFill="1" applyAlignment="1">
      <alignment vertical="center"/>
    </xf>
    <xf numFmtId="0" fontId="7" fillId="2" borderId="0" xfId="2" applyNumberFormat="1" applyFont="1" applyFill="1" applyBorder="1" applyAlignment="1">
      <alignment vertical="center"/>
    </xf>
    <xf numFmtId="0" fontId="10" fillId="0" borderId="6" xfId="2" applyNumberFormat="1" applyFont="1" applyFill="1" applyBorder="1" applyAlignment="1">
      <alignment horizontal="center" vertical="center"/>
    </xf>
    <xf numFmtId="0" fontId="10" fillId="0" borderId="3" xfId="2" applyNumberFormat="1" applyFont="1" applyFill="1" applyBorder="1" applyAlignment="1">
      <alignment horizontal="center" vertical="center"/>
    </xf>
    <xf numFmtId="177" fontId="8" fillId="3" borderId="4" xfId="2" applyNumberFormat="1" applyFont="1" applyFill="1" applyBorder="1" applyAlignment="1">
      <alignment horizontal="center" vertical="center"/>
    </xf>
    <xf numFmtId="0" fontId="10" fillId="4" borderId="0" xfId="2" applyNumberFormat="1" applyFont="1" applyFill="1" applyBorder="1" applyAlignment="1">
      <alignment horizontal="right" vertical="center"/>
    </xf>
    <xf numFmtId="0" fontId="15" fillId="4" borderId="3" xfId="2" applyNumberFormat="1" applyFont="1" applyFill="1" applyBorder="1" applyAlignment="1">
      <alignment vertical="center"/>
    </xf>
    <xf numFmtId="0" fontId="15" fillId="4" borderId="0" xfId="2" applyNumberFormat="1" applyFont="1" applyFill="1" applyBorder="1" applyAlignment="1">
      <alignment horizontal="left" vertical="center"/>
    </xf>
    <xf numFmtId="0" fontId="8" fillId="0" borderId="0" xfId="3" applyNumberFormat="1" applyFont="1" applyFill="1" applyAlignment="1">
      <alignment vertical="center"/>
    </xf>
    <xf numFmtId="0" fontId="28" fillId="0" borderId="0" xfId="0" applyNumberFormat="1" applyFont="1" applyFill="1" applyAlignment="1">
      <alignment vertical="center"/>
    </xf>
    <xf numFmtId="0" fontId="28" fillId="0" borderId="0" xfId="0" applyNumberFormat="1" applyFont="1" applyAlignment="1">
      <alignment vertical="center"/>
    </xf>
    <xf numFmtId="0" fontId="28" fillId="0" borderId="0" xfId="0" applyNumberFormat="1" applyFont="1" applyAlignment="1">
      <alignment horizontal="right" vertical="center"/>
    </xf>
    <xf numFmtId="0" fontId="25" fillId="4" borderId="0" xfId="0" applyNumberFormat="1" applyFont="1" applyFill="1" applyAlignment="1">
      <alignment vertical="center"/>
    </xf>
    <xf numFmtId="0" fontId="32" fillId="4" borderId="0" xfId="0" applyNumberFormat="1" applyFont="1" applyFill="1" applyAlignment="1">
      <alignment vertical="center"/>
    </xf>
    <xf numFmtId="0" fontId="32" fillId="4" borderId="0" xfId="0" applyNumberFormat="1" applyFont="1" applyFill="1" applyAlignment="1">
      <alignment horizontal="center" vertical="center"/>
    </xf>
    <xf numFmtId="0" fontId="32" fillId="4" borderId="0" xfId="2" applyNumberFormat="1" applyFont="1" applyFill="1" applyAlignment="1">
      <alignment horizontal="center" vertical="center"/>
    </xf>
    <xf numFmtId="0" fontId="32" fillId="4" borderId="0" xfId="2" applyNumberFormat="1" applyFont="1" applyFill="1" applyAlignment="1">
      <alignment vertical="center"/>
    </xf>
    <xf numFmtId="178" fontId="32" fillId="4" borderId="0" xfId="2" applyNumberFormat="1" applyFont="1" applyFill="1" applyAlignment="1">
      <alignment horizontal="center" vertical="center"/>
    </xf>
    <xf numFmtId="0" fontId="63" fillId="0" borderId="0" xfId="0" applyNumberFormat="1" applyFont="1" applyAlignment="1">
      <alignment vertical="center"/>
    </xf>
    <xf numFmtId="0" fontId="28" fillId="0" borderId="0" xfId="16" applyNumberFormat="1" applyFont="1" applyAlignment="1">
      <alignment vertical="center"/>
    </xf>
    <xf numFmtId="0" fontId="15" fillId="4" borderId="0" xfId="2" applyNumberFormat="1" applyFont="1" applyFill="1" applyBorder="1" applyAlignment="1">
      <alignment vertical="center"/>
    </xf>
    <xf numFmtId="0" fontId="10" fillId="3" borderId="0" xfId="2" applyNumberFormat="1" applyFont="1" applyFill="1" applyBorder="1" applyAlignment="1">
      <alignment horizontal="center" vertical="center"/>
    </xf>
    <xf numFmtId="0" fontId="8" fillId="3" borderId="0" xfId="2" applyNumberFormat="1" applyFont="1" applyFill="1" applyBorder="1" applyAlignment="1">
      <alignment horizontal="center" vertical="center"/>
    </xf>
    <xf numFmtId="0" fontId="10" fillId="3" borderId="4" xfId="2" applyNumberFormat="1" applyFont="1" applyFill="1" applyBorder="1" applyAlignment="1">
      <alignment horizontal="center" vertical="center"/>
    </xf>
    <xf numFmtId="0" fontId="8" fillId="4" borderId="0" xfId="3" applyNumberFormat="1" applyFont="1" applyFill="1" applyAlignment="1">
      <alignment horizontal="left" vertical="center"/>
    </xf>
    <xf numFmtId="0" fontId="30" fillId="0" borderId="0" xfId="0" applyNumberFormat="1" applyFont="1" applyAlignment="1">
      <alignment vertical="center"/>
    </xf>
    <xf numFmtId="0" fontId="31" fillId="0" borderId="0" xfId="0" applyNumberFormat="1" applyFont="1" applyAlignment="1">
      <alignment vertical="center"/>
    </xf>
    <xf numFmtId="0" fontId="7" fillId="2" borderId="31" xfId="2" applyNumberFormat="1" applyFont="1" applyFill="1" applyBorder="1" applyAlignment="1">
      <alignment horizontal="right" vertical="center"/>
    </xf>
    <xf numFmtId="0" fontId="7" fillId="2" borderId="0" xfId="2" applyNumberFormat="1" applyFont="1" applyFill="1" applyBorder="1" applyAlignment="1">
      <alignment horizontal="right" vertical="center"/>
    </xf>
    <xf numFmtId="0" fontId="8" fillId="3" borderId="0" xfId="2" applyNumberFormat="1" applyFont="1" applyFill="1" applyBorder="1" applyAlignment="1">
      <alignment horizontal="center" vertical="center"/>
    </xf>
    <xf numFmtId="0" fontId="7" fillId="2" borderId="16" xfId="2" applyNumberFormat="1" applyFont="1" applyFill="1" applyBorder="1" applyAlignment="1">
      <alignment horizontal="center" vertical="center"/>
    </xf>
    <xf numFmtId="0" fontId="10" fillId="3" borderId="0" xfId="3" applyNumberFormat="1" applyFont="1" applyFill="1" applyBorder="1" applyAlignment="1">
      <alignment horizontal="center" vertical="center"/>
    </xf>
    <xf numFmtId="178" fontId="10" fillId="0" borderId="0" xfId="2" applyNumberFormat="1" applyFont="1" applyFill="1" applyBorder="1" applyAlignment="1">
      <alignment horizontal="center" vertical="center"/>
    </xf>
    <xf numFmtId="177" fontId="10" fillId="0" borderId="34" xfId="2" applyNumberFormat="1" applyFont="1" applyFill="1" applyBorder="1" applyAlignment="1">
      <alignment vertical="center"/>
    </xf>
    <xf numFmtId="177" fontId="8" fillId="0" borderId="35" xfId="2" applyNumberFormat="1" applyFont="1" applyFill="1" applyBorder="1" applyAlignment="1">
      <alignment vertical="center"/>
    </xf>
    <xf numFmtId="178" fontId="10" fillId="0" borderId="39" xfId="2" applyNumberFormat="1" applyFont="1" applyFill="1" applyBorder="1" applyAlignment="1">
      <alignment vertical="center"/>
    </xf>
    <xf numFmtId="41" fontId="10" fillId="0" borderId="40" xfId="2" applyFont="1" applyFill="1" applyBorder="1" applyAlignment="1">
      <alignment vertical="center"/>
    </xf>
    <xf numFmtId="41" fontId="10" fillId="0" borderId="38" xfId="2" applyFont="1" applyFill="1" applyBorder="1" applyAlignment="1">
      <alignment vertical="center"/>
    </xf>
    <xf numFmtId="178" fontId="10" fillId="0" borderId="41" xfId="2" applyNumberFormat="1" applyFont="1" applyFill="1" applyBorder="1" applyAlignment="1">
      <alignment vertical="center"/>
    </xf>
    <xf numFmtId="41" fontId="10" fillId="0" borderId="39" xfId="2" applyFont="1" applyFill="1" applyBorder="1" applyAlignment="1">
      <alignment vertical="center"/>
    </xf>
    <xf numFmtId="41" fontId="10" fillId="0" borderId="41" xfId="2" applyFont="1" applyFill="1" applyBorder="1" applyAlignment="1">
      <alignment vertical="center"/>
    </xf>
    <xf numFmtId="177" fontId="8" fillId="0" borderId="34" xfId="2" applyNumberFormat="1" applyFont="1" applyFill="1" applyBorder="1" applyAlignment="1">
      <alignment vertical="center"/>
    </xf>
    <xf numFmtId="0" fontId="10" fillId="3" borderId="38" xfId="2" applyNumberFormat="1" applyFont="1" applyFill="1" applyBorder="1" applyAlignment="1">
      <alignment horizontal="center" vertical="center"/>
    </xf>
    <xf numFmtId="178" fontId="10" fillId="0" borderId="38" xfId="2" applyNumberFormat="1" applyFont="1" applyFill="1" applyBorder="1" applyAlignment="1">
      <alignment vertical="center"/>
    </xf>
    <xf numFmtId="0" fontId="10" fillId="3" borderId="38" xfId="3" applyNumberFormat="1" applyFont="1" applyFill="1" applyBorder="1" applyAlignment="1">
      <alignment horizontal="center" vertical="center"/>
    </xf>
    <xf numFmtId="178" fontId="10" fillId="0" borderId="40" xfId="2" applyNumberFormat="1" applyFont="1" applyFill="1" applyBorder="1" applyAlignment="1">
      <alignment vertical="center"/>
    </xf>
    <xf numFmtId="41" fontId="10" fillId="0" borderId="34" xfId="2" applyFont="1" applyFill="1" applyBorder="1" applyAlignment="1">
      <alignment horizontal="center" vertical="center"/>
    </xf>
    <xf numFmtId="0" fontId="8" fillId="0" borderId="0" xfId="2" applyNumberFormat="1" applyFont="1" applyFill="1" applyBorder="1" applyAlignment="1">
      <alignment vertical="center"/>
    </xf>
    <xf numFmtId="0" fontId="8" fillId="0" borderId="34" xfId="2" applyNumberFormat="1" applyFont="1" applyFill="1" applyBorder="1" applyAlignment="1">
      <alignment vertical="center"/>
    </xf>
    <xf numFmtId="177" fontId="10" fillId="0" borderId="35" xfId="2" applyNumberFormat="1" applyFont="1" applyFill="1" applyBorder="1" applyAlignment="1">
      <alignment vertical="center"/>
    </xf>
    <xf numFmtId="177" fontId="8" fillId="0" borderId="32" xfId="2" applyNumberFormat="1" applyFont="1" applyFill="1" applyBorder="1" applyAlignment="1">
      <alignment vertical="center"/>
    </xf>
    <xf numFmtId="177" fontId="8" fillId="0" borderId="39" xfId="2" applyNumberFormat="1" applyFont="1" applyFill="1" applyBorder="1" applyAlignment="1">
      <alignment vertical="center"/>
    </xf>
    <xf numFmtId="0" fontId="8" fillId="0" borderId="32" xfId="2" applyNumberFormat="1" applyFont="1" applyFill="1" applyBorder="1" applyAlignment="1">
      <alignment vertical="center"/>
    </xf>
    <xf numFmtId="0" fontId="8" fillId="0" borderId="39" xfId="2" applyNumberFormat="1" applyFont="1" applyFill="1" applyBorder="1" applyAlignment="1">
      <alignment vertical="center"/>
    </xf>
    <xf numFmtId="41" fontId="8" fillId="0" borderId="39" xfId="2" applyFont="1" applyFill="1" applyBorder="1" applyAlignment="1">
      <alignment vertical="center"/>
    </xf>
    <xf numFmtId="177" fontId="10" fillId="0" borderId="32" xfId="2" applyNumberFormat="1" applyFont="1" applyFill="1" applyBorder="1" applyAlignment="1">
      <alignment vertical="center"/>
    </xf>
    <xf numFmtId="177" fontId="10" fillId="0" borderId="39" xfId="2" applyNumberFormat="1" applyFont="1" applyFill="1" applyBorder="1" applyAlignment="1">
      <alignment vertical="center"/>
    </xf>
    <xf numFmtId="177" fontId="10" fillId="0" borderId="40" xfId="2" applyNumberFormat="1" applyFont="1" applyFill="1" applyBorder="1" applyAlignment="1">
      <alignment vertical="center"/>
    </xf>
    <xf numFmtId="0" fontId="10" fillId="4" borderId="0" xfId="2" applyNumberFormat="1" applyFont="1" applyFill="1" applyAlignment="1">
      <alignment horizontal="left" vertical="center"/>
    </xf>
    <xf numFmtId="0" fontId="8" fillId="4" borderId="0" xfId="2" applyNumberFormat="1" applyFont="1" applyFill="1" applyBorder="1" applyAlignment="1">
      <alignment horizontal="center" vertical="center"/>
    </xf>
    <xf numFmtId="0" fontId="10" fillId="3" borderId="42" xfId="2" applyNumberFormat="1" applyFont="1" applyFill="1" applyBorder="1" applyAlignment="1">
      <alignment horizontal="center" vertical="center"/>
    </xf>
    <xf numFmtId="0" fontId="10" fillId="3" borderId="41" xfId="2" applyNumberFormat="1" applyFont="1" applyFill="1" applyBorder="1" applyAlignment="1">
      <alignment horizontal="center" vertical="center"/>
    </xf>
    <xf numFmtId="0" fontId="8" fillId="4" borderId="0" xfId="2" applyNumberFormat="1" applyFont="1" applyFill="1" applyBorder="1" applyAlignment="1">
      <alignment horizontal="left" vertical="center"/>
    </xf>
    <xf numFmtId="0" fontId="26" fillId="4" borderId="0" xfId="1" applyNumberFormat="1" applyFont="1" applyFill="1" applyAlignment="1">
      <alignment vertical="center"/>
    </xf>
    <xf numFmtId="177" fontId="10" fillId="3" borderId="38" xfId="2" applyNumberFormat="1" applyFont="1" applyFill="1" applyBorder="1" applyAlignment="1">
      <alignment horizontal="right" vertical="center"/>
    </xf>
    <xf numFmtId="178" fontId="10" fillId="0" borderId="38" xfId="2" applyNumberFormat="1" applyFont="1" applyFill="1" applyBorder="1" applyAlignment="1">
      <alignment horizontal="center" vertical="center"/>
    </xf>
    <xf numFmtId="41" fontId="10" fillId="0" borderId="34" xfId="2" applyNumberFormat="1" applyFont="1" applyFill="1" applyBorder="1" applyAlignment="1">
      <alignment horizontal="center" vertical="center"/>
    </xf>
    <xf numFmtId="0" fontId="10" fillId="5" borderId="34" xfId="2" applyNumberFormat="1" applyFont="1" applyFill="1" applyBorder="1" applyAlignment="1">
      <alignment horizontal="center" vertical="center"/>
    </xf>
    <xf numFmtId="177" fontId="10" fillId="3" borderId="38" xfId="2" applyNumberFormat="1" applyFont="1" applyFill="1" applyBorder="1" applyAlignment="1">
      <alignment horizontal="center" vertical="center"/>
    </xf>
    <xf numFmtId="0" fontId="7" fillId="2" borderId="45" xfId="2" applyNumberFormat="1" applyFont="1" applyFill="1" applyBorder="1" applyAlignment="1">
      <alignment horizontal="right" vertical="center"/>
    </xf>
    <xf numFmtId="0" fontId="7" fillId="2" borderId="45" xfId="2" applyNumberFormat="1" applyFont="1" applyFill="1" applyBorder="1" applyAlignment="1">
      <alignment vertical="center"/>
    </xf>
    <xf numFmtId="0" fontId="7" fillId="2" borderId="44" xfId="2" applyNumberFormat="1" applyFont="1" applyFill="1" applyBorder="1" applyAlignment="1">
      <alignment horizontal="center" vertical="center"/>
    </xf>
    <xf numFmtId="0" fontId="10" fillId="4" borderId="0" xfId="1" applyNumberFormat="1" applyFont="1" applyFill="1" applyBorder="1" applyAlignment="1">
      <alignment vertical="center"/>
    </xf>
    <xf numFmtId="0" fontId="8" fillId="0" borderId="0" xfId="2" applyNumberFormat="1" applyFont="1" applyFill="1" applyAlignment="1">
      <alignment vertical="center"/>
    </xf>
    <xf numFmtId="41" fontId="10" fillId="3" borderId="46" xfId="2" applyFont="1" applyFill="1" applyBorder="1" applyAlignment="1">
      <alignment horizontal="center" vertical="center"/>
    </xf>
    <xf numFmtId="0" fontId="25" fillId="0" borderId="0" xfId="2" applyNumberFormat="1" applyFont="1" applyAlignment="1">
      <alignment vertical="center"/>
    </xf>
    <xf numFmtId="0" fontId="8" fillId="4" borderId="0" xfId="0" applyNumberFormat="1" applyFont="1" applyFill="1" applyAlignment="1">
      <alignment vertical="center"/>
    </xf>
    <xf numFmtId="0" fontId="10" fillId="4" borderId="0" xfId="0" applyNumberFormat="1" applyFont="1" applyFill="1" applyAlignment="1">
      <alignment horizontal="center" vertical="center"/>
    </xf>
    <xf numFmtId="0" fontId="10" fillId="4" borderId="0" xfId="0" applyNumberFormat="1" applyFont="1" applyFill="1" applyAlignment="1">
      <alignment horizontal="left" vertical="center"/>
    </xf>
    <xf numFmtId="49" fontId="25" fillId="0" borderId="0" xfId="2" applyNumberFormat="1" applyFont="1" applyFill="1" applyAlignment="1">
      <alignment horizontal="center" vertical="center"/>
    </xf>
    <xf numFmtId="0" fontId="62" fillId="4" borderId="0" xfId="2" applyNumberFormat="1" applyFont="1" applyFill="1" applyAlignment="1">
      <alignment horizontal="center" vertical="center"/>
    </xf>
    <xf numFmtId="0" fontId="62" fillId="4" borderId="0" xfId="2" applyNumberFormat="1" applyFont="1" applyFill="1">
      <alignment vertical="center"/>
    </xf>
    <xf numFmtId="49" fontId="61" fillId="4" borderId="0" xfId="2" applyNumberFormat="1" applyFont="1" applyFill="1" applyAlignment="1">
      <alignment horizontal="center" vertical="center"/>
    </xf>
    <xf numFmtId="41" fontId="8" fillId="0" borderId="46" xfId="2" applyFont="1" applyFill="1" applyBorder="1" applyAlignment="1">
      <alignment vertical="center"/>
    </xf>
    <xf numFmtId="0" fontId="7" fillId="2" borderId="43" xfId="2" applyNumberFormat="1" applyFont="1" applyFill="1" applyBorder="1" applyAlignment="1">
      <alignment horizontal="center" vertical="center"/>
    </xf>
    <xf numFmtId="0" fontId="25" fillId="6" borderId="0" xfId="2" applyNumberFormat="1" applyFont="1" applyFill="1" applyAlignment="1">
      <alignment vertical="center"/>
    </xf>
    <xf numFmtId="0" fontId="10" fillId="3" borderId="0" xfId="2" applyNumberFormat="1" applyFont="1" applyFill="1" applyBorder="1" applyAlignment="1">
      <alignment vertical="center"/>
    </xf>
    <xf numFmtId="0" fontId="33" fillId="4" borderId="0" xfId="2" applyNumberFormat="1" applyFont="1" applyFill="1" applyAlignment="1">
      <alignment vertical="center"/>
    </xf>
    <xf numFmtId="178" fontId="8" fillId="0" borderId="46" xfId="2" applyNumberFormat="1" applyFont="1" applyFill="1" applyBorder="1" applyAlignment="1">
      <alignment vertical="center"/>
    </xf>
    <xf numFmtId="178" fontId="10" fillId="0" borderId="46" xfId="2" applyNumberFormat="1" applyFont="1" applyFill="1" applyBorder="1" applyAlignment="1">
      <alignment vertical="center"/>
    </xf>
    <xf numFmtId="0" fontId="13" fillId="2" borderId="0" xfId="2" applyNumberFormat="1" applyFont="1" applyFill="1" applyBorder="1" applyAlignment="1">
      <alignment vertical="center"/>
    </xf>
    <xf numFmtId="0" fontId="7" fillId="2" borderId="0" xfId="2" applyNumberFormat="1" applyFont="1" applyFill="1" applyBorder="1" applyAlignment="1">
      <alignment vertical="center" wrapText="1"/>
    </xf>
    <xf numFmtId="49" fontId="32" fillId="4" borderId="0" xfId="2" applyNumberFormat="1" applyFont="1" applyFill="1" applyAlignment="1">
      <alignment horizontal="center" vertical="center"/>
    </xf>
    <xf numFmtId="41" fontId="10" fillId="0" borderId="5" xfId="2" applyFont="1" applyFill="1" applyBorder="1" applyAlignment="1">
      <alignment vertical="center"/>
    </xf>
    <xf numFmtId="41" fontId="10" fillId="0" borderId="47" xfId="2" applyFont="1" applyFill="1" applyBorder="1" applyAlignment="1">
      <alignment vertical="center"/>
    </xf>
    <xf numFmtId="0" fontId="7" fillId="2" borderId="44" xfId="2" applyNumberFormat="1" applyFont="1" applyFill="1" applyBorder="1" applyAlignment="1">
      <alignment horizontal="center" vertical="center" wrapText="1"/>
    </xf>
    <xf numFmtId="0" fontId="7" fillId="2" borderId="54" xfId="2" applyNumberFormat="1" applyFont="1" applyFill="1" applyBorder="1" applyAlignment="1">
      <alignment horizontal="center" vertical="center"/>
    </xf>
    <xf numFmtId="0" fontId="7" fillId="2" borderId="55" xfId="2" applyNumberFormat="1" applyFont="1" applyFill="1" applyBorder="1" applyAlignment="1">
      <alignment horizontal="center" vertical="center"/>
    </xf>
    <xf numFmtId="178" fontId="10" fillId="0" borderId="32" xfId="2" applyNumberFormat="1" applyFont="1" applyFill="1" applyBorder="1" applyAlignment="1">
      <alignment vertical="center"/>
    </xf>
    <xf numFmtId="0" fontId="7" fillId="2" borderId="31" xfId="2" applyNumberFormat="1" applyFont="1" applyFill="1" applyBorder="1" applyAlignment="1">
      <alignment vertical="center"/>
    </xf>
    <xf numFmtId="41" fontId="8" fillId="4" borderId="0" xfId="2" applyFont="1" applyFill="1" applyAlignment="1">
      <alignment horizontal="center" vertical="center"/>
    </xf>
    <xf numFmtId="0" fontId="8" fillId="4" borderId="0" xfId="0" applyNumberFormat="1" applyFont="1" applyFill="1" applyAlignment="1">
      <alignment horizontal="center" vertical="center"/>
    </xf>
    <xf numFmtId="0" fontId="8" fillId="4" borderId="0" xfId="2" applyNumberFormat="1" applyFont="1" applyFill="1" applyAlignment="1">
      <alignment horizontal="center" vertical="center"/>
    </xf>
    <xf numFmtId="178" fontId="8" fillId="4" borderId="0" xfId="2" applyNumberFormat="1" applyFont="1" applyFill="1" applyAlignment="1">
      <alignment horizontal="center" vertical="center"/>
    </xf>
    <xf numFmtId="177" fontId="8" fillId="3" borderId="46" xfId="2" applyNumberFormat="1" applyFont="1" applyFill="1" applyBorder="1" applyAlignment="1">
      <alignment horizontal="center" vertical="center"/>
    </xf>
    <xf numFmtId="41" fontId="10" fillId="0" borderId="0" xfId="2" applyFont="1" applyFill="1" applyBorder="1" applyAlignment="1">
      <alignment vertical="center"/>
    </xf>
    <xf numFmtId="41" fontId="8" fillId="0" borderId="0" xfId="2" applyFont="1" applyFill="1" applyBorder="1" applyAlignment="1">
      <alignment vertical="center"/>
    </xf>
    <xf numFmtId="41" fontId="10" fillId="0" borderId="6" xfId="2" applyFont="1" applyFill="1" applyBorder="1" applyAlignment="1">
      <alignment vertical="center"/>
    </xf>
    <xf numFmtId="41" fontId="32" fillId="4" borderId="0" xfId="2" applyFont="1" applyFill="1" applyBorder="1" applyAlignment="1">
      <alignment horizontal="center" vertical="center"/>
    </xf>
    <xf numFmtId="41" fontId="32" fillId="4" borderId="0" xfId="2" applyFont="1" applyFill="1" applyBorder="1" applyAlignment="1">
      <alignment vertical="center"/>
    </xf>
    <xf numFmtId="0" fontId="65" fillId="0" borderId="0" xfId="0" applyNumberFormat="1" applyFont="1" applyAlignment="1">
      <alignment vertical="center"/>
    </xf>
    <xf numFmtId="179" fontId="10" fillId="3" borderId="41" xfId="2" applyNumberFormat="1" applyFont="1" applyFill="1" applyBorder="1" applyAlignment="1">
      <alignment horizontal="center" vertical="center"/>
    </xf>
    <xf numFmtId="179" fontId="8" fillId="0" borderId="47" xfId="2" applyNumberFormat="1" applyFont="1" applyFill="1" applyBorder="1" applyAlignment="1">
      <alignment vertical="center"/>
    </xf>
    <xf numFmtId="0" fontId="61" fillId="0" borderId="0" xfId="0" applyNumberFormat="1" applyFont="1" applyFill="1" applyAlignment="1">
      <alignment vertical="center"/>
    </xf>
    <xf numFmtId="0" fontId="57" fillId="0" borderId="0" xfId="0" applyNumberFormat="1" applyFont="1" applyAlignment="1">
      <alignment vertical="center"/>
    </xf>
    <xf numFmtId="0" fontId="61" fillId="0" borderId="0" xfId="2" applyNumberFormat="1" applyFont="1" applyFill="1" applyAlignment="1">
      <alignment vertical="center"/>
    </xf>
    <xf numFmtId="0" fontId="57" fillId="4" borderId="0" xfId="2" applyNumberFormat="1" applyFont="1" applyFill="1" applyAlignment="1">
      <alignment vertical="center"/>
    </xf>
    <xf numFmtId="0" fontId="61" fillId="0" borderId="0" xfId="2" applyNumberFormat="1" applyFont="1" applyFill="1" applyAlignment="1">
      <alignment vertical="center" wrapText="1"/>
    </xf>
    <xf numFmtId="0" fontId="61" fillId="0" borderId="0" xfId="2" applyNumberFormat="1" applyFont="1" applyFill="1" applyBorder="1" applyAlignment="1">
      <alignment vertical="center"/>
    </xf>
    <xf numFmtId="0" fontId="61" fillId="0" borderId="0" xfId="2" applyNumberFormat="1" applyFont="1" applyFill="1" applyBorder="1" applyAlignment="1">
      <alignment horizontal="center" vertical="center"/>
    </xf>
    <xf numFmtId="41" fontId="10" fillId="0" borderId="46" xfId="2" applyFont="1" applyFill="1" applyBorder="1" applyAlignment="1">
      <alignment vertical="center"/>
    </xf>
    <xf numFmtId="177" fontId="10" fillId="0" borderId="38" xfId="2" applyNumberFormat="1" applyFont="1" applyFill="1" applyBorder="1" applyAlignment="1">
      <alignment horizontal="right" vertical="center"/>
    </xf>
    <xf numFmtId="41" fontId="10" fillId="3" borderId="46" xfId="2" applyFont="1" applyFill="1" applyBorder="1" applyAlignment="1">
      <alignment vertical="center"/>
    </xf>
    <xf numFmtId="41" fontId="10" fillId="3" borderId="38" xfId="2" applyFont="1" applyFill="1" applyBorder="1" applyAlignment="1">
      <alignment horizontal="right" vertical="center"/>
    </xf>
    <xf numFmtId="41" fontId="10" fillId="3" borderId="41" xfId="2" applyFont="1" applyFill="1" applyBorder="1" applyAlignment="1">
      <alignment vertical="center"/>
    </xf>
    <xf numFmtId="41" fontId="8" fillId="0" borderId="40" xfId="2" applyFont="1" applyFill="1" applyBorder="1" applyAlignment="1">
      <alignment vertical="center"/>
    </xf>
    <xf numFmtId="41" fontId="8" fillId="0" borderId="38" xfId="2" applyFont="1" applyFill="1" applyBorder="1" applyAlignment="1">
      <alignment vertical="center"/>
    </xf>
    <xf numFmtId="178" fontId="8" fillId="0" borderId="41" xfId="2" applyNumberFormat="1" applyFont="1" applyFill="1" applyBorder="1" applyAlignment="1">
      <alignment vertical="center"/>
    </xf>
    <xf numFmtId="41" fontId="8" fillId="0" borderId="42" xfId="2" applyFont="1" applyFill="1" applyBorder="1" applyAlignment="1">
      <alignment vertical="center"/>
    </xf>
    <xf numFmtId="41" fontId="10" fillId="0" borderId="42" xfId="2" applyFont="1" applyFill="1" applyBorder="1" applyAlignment="1">
      <alignment vertical="center"/>
    </xf>
    <xf numFmtId="41" fontId="32" fillId="0" borderId="0" xfId="2" applyFont="1" applyFill="1" applyBorder="1" applyAlignment="1">
      <alignment horizontal="center" vertical="center"/>
    </xf>
    <xf numFmtId="41" fontId="32" fillId="0" borderId="0" xfId="2" applyFont="1" applyBorder="1" applyAlignment="1">
      <alignment horizontal="center" vertical="center"/>
    </xf>
    <xf numFmtId="49" fontId="32" fillId="4" borderId="0" xfId="2" applyNumberFormat="1" applyFont="1" applyFill="1" applyBorder="1" applyAlignment="1">
      <alignment horizontal="center" vertical="center"/>
    </xf>
    <xf numFmtId="0" fontId="32" fillId="0" borderId="0" xfId="0" applyFont="1" applyBorder="1" applyAlignment="1">
      <alignment vertical="center"/>
    </xf>
    <xf numFmtId="0" fontId="32" fillId="0" borderId="0" xfId="0" applyFont="1" applyBorder="1" applyAlignment="1">
      <alignment horizontal="center" vertical="center"/>
    </xf>
    <xf numFmtId="178" fontId="32" fillId="0" borderId="0" xfId="2" applyNumberFormat="1" applyFont="1" applyBorder="1" applyAlignment="1">
      <alignment horizontal="center"/>
    </xf>
    <xf numFmtId="0" fontId="7" fillId="2" borderId="15" xfId="2" applyNumberFormat="1" applyFont="1" applyFill="1" applyBorder="1" applyAlignment="1">
      <alignment horizontal="center" vertical="center"/>
    </xf>
    <xf numFmtId="0" fontId="7" fillId="2" borderId="44" xfId="2" applyNumberFormat="1" applyFont="1" applyFill="1" applyBorder="1" applyAlignment="1">
      <alignment horizontal="center" vertical="center"/>
    </xf>
    <xf numFmtId="0" fontId="7" fillId="2" borderId="43" xfId="2" applyNumberFormat="1" applyFont="1" applyFill="1" applyBorder="1" applyAlignment="1">
      <alignment horizontal="center" vertical="center"/>
    </xf>
    <xf numFmtId="0" fontId="7" fillId="2" borderId="0" xfId="2" applyNumberFormat="1" applyFont="1" applyFill="1" applyBorder="1" applyAlignment="1">
      <alignment horizontal="left" vertical="center"/>
    </xf>
    <xf numFmtId="0" fontId="7" fillId="2" borderId="0" xfId="2" applyNumberFormat="1" applyFont="1" applyFill="1" applyBorder="1" applyAlignment="1">
      <alignment horizontal="right" vertical="center"/>
    </xf>
    <xf numFmtId="0" fontId="7" fillId="2" borderId="45" xfId="2" applyNumberFormat="1" applyFont="1" applyFill="1" applyBorder="1" applyAlignment="1">
      <alignment horizontal="right" vertical="center"/>
    </xf>
    <xf numFmtId="0" fontId="10" fillId="3" borderId="0" xfId="2" applyNumberFormat="1" applyFont="1" applyFill="1" applyBorder="1" applyAlignment="1">
      <alignment horizontal="center" vertical="center"/>
    </xf>
    <xf numFmtId="0" fontId="8" fillId="3" borderId="0" xfId="2" applyNumberFormat="1" applyFont="1" applyFill="1" applyBorder="1" applyAlignment="1">
      <alignment horizontal="center" vertical="center"/>
    </xf>
    <xf numFmtId="41" fontId="10" fillId="0" borderId="0" xfId="2" applyFont="1" applyFill="1" applyBorder="1" applyAlignment="1">
      <alignment horizontal="center" vertical="center"/>
    </xf>
    <xf numFmtId="177" fontId="10" fillId="0" borderId="38" xfId="2" applyNumberFormat="1" applyFont="1" applyFill="1" applyBorder="1" applyAlignment="1">
      <alignment vertical="center"/>
    </xf>
    <xf numFmtId="177" fontId="10" fillId="0" borderId="0" xfId="2" applyNumberFormat="1" applyFont="1" applyFill="1" applyBorder="1" applyAlignment="1">
      <alignment vertical="center"/>
    </xf>
    <xf numFmtId="0" fontId="10" fillId="3" borderId="46" xfId="2" applyNumberFormat="1" applyFont="1" applyFill="1" applyBorder="1" applyAlignment="1">
      <alignment horizontal="center" vertical="center"/>
    </xf>
    <xf numFmtId="0" fontId="8" fillId="3" borderId="46" xfId="2" applyNumberFormat="1" applyFont="1" applyFill="1" applyBorder="1" applyAlignment="1">
      <alignment horizontal="center" vertical="center"/>
    </xf>
    <xf numFmtId="0" fontId="10" fillId="0" borderId="0" xfId="2" applyNumberFormat="1" applyFont="1" applyFill="1" applyBorder="1" applyAlignment="1">
      <alignment horizontal="center" vertical="center"/>
    </xf>
    <xf numFmtId="0" fontId="10" fillId="0" borderId="38" xfId="2" applyNumberFormat="1" applyFont="1" applyFill="1" applyBorder="1" applyAlignment="1">
      <alignment horizontal="center" vertical="center"/>
    </xf>
    <xf numFmtId="178" fontId="29" fillId="0" borderId="42" xfId="2" applyNumberFormat="1" applyFont="1" applyFill="1" applyBorder="1" applyAlignment="1">
      <alignment vertical="center"/>
    </xf>
    <xf numFmtId="178" fontId="10" fillId="0" borderId="42" xfId="2" applyNumberFormat="1" applyFont="1" applyFill="1" applyBorder="1" applyAlignment="1">
      <alignment vertical="center"/>
    </xf>
    <xf numFmtId="0" fontId="8" fillId="3" borderId="41" xfId="2" applyNumberFormat="1" applyFont="1" applyFill="1" applyBorder="1" applyAlignment="1">
      <alignment horizontal="center" vertical="center"/>
    </xf>
    <xf numFmtId="41" fontId="8" fillId="0" borderId="47" xfId="2" applyFont="1" applyFill="1" applyBorder="1" applyAlignment="1">
      <alignment vertical="center"/>
    </xf>
    <xf numFmtId="178" fontId="8" fillId="0" borderId="38" xfId="2" applyNumberFormat="1" applyFont="1" applyFill="1" applyBorder="1" applyAlignment="1">
      <alignment vertical="center"/>
    </xf>
    <xf numFmtId="177" fontId="8" fillId="0" borderId="0" xfId="2" applyNumberFormat="1" applyFont="1" applyFill="1" applyBorder="1" applyAlignment="1">
      <alignment horizontal="right" vertical="center"/>
    </xf>
    <xf numFmtId="41" fontId="10" fillId="3" borderId="38" xfId="2" applyFont="1" applyFill="1" applyBorder="1" applyAlignment="1">
      <alignment horizontal="center" vertical="center"/>
    </xf>
    <xf numFmtId="177" fontId="8" fillId="0" borderId="47" xfId="2" applyNumberFormat="1" applyFont="1" applyFill="1" applyBorder="1" applyAlignment="1">
      <alignment vertical="center"/>
    </xf>
    <xf numFmtId="41" fontId="10" fillId="0" borderId="38" xfId="2" applyFont="1" applyFill="1" applyBorder="1" applyAlignment="1">
      <alignment horizontal="center" vertical="center"/>
    </xf>
    <xf numFmtId="0" fontId="32" fillId="0" borderId="0" xfId="0" applyFont="1" applyFill="1" applyBorder="1" applyAlignment="1">
      <alignment horizontal="center" vertical="center"/>
    </xf>
    <xf numFmtId="186" fontId="10" fillId="4" borderId="0" xfId="2" applyNumberFormat="1" applyFont="1" applyFill="1" applyAlignment="1">
      <alignment vertical="center"/>
    </xf>
    <xf numFmtId="41" fontId="8" fillId="0" borderId="0" xfId="2" applyFont="1" applyFill="1" applyBorder="1" applyAlignment="1">
      <alignment horizontal="center" vertical="center"/>
    </xf>
    <xf numFmtId="0" fontId="67" fillId="0" borderId="0" xfId="0" applyFont="1" applyAlignment="1">
      <alignment vertical="center"/>
    </xf>
    <xf numFmtId="177" fontId="10" fillId="0" borderId="0" xfId="2" applyNumberFormat="1" applyFont="1" applyFill="1" applyBorder="1" applyAlignment="1">
      <alignment vertical="center"/>
    </xf>
    <xf numFmtId="0" fontId="10" fillId="3" borderId="47" xfId="2" applyNumberFormat="1" applyFont="1" applyFill="1" applyBorder="1" applyAlignment="1">
      <alignment horizontal="center" vertical="center"/>
    </xf>
    <xf numFmtId="41" fontId="10" fillId="0" borderId="59" xfId="2" applyFont="1" applyFill="1" applyBorder="1" applyAlignment="1">
      <alignment vertical="center"/>
    </xf>
    <xf numFmtId="178" fontId="10" fillId="0" borderId="57" xfId="2" applyNumberFormat="1" applyFont="1" applyFill="1" applyBorder="1" applyAlignment="1">
      <alignment vertical="center"/>
    </xf>
    <xf numFmtId="41" fontId="10" fillId="0" borderId="0" xfId="2" applyFont="1" applyFill="1" applyAlignment="1">
      <alignment horizontal="center" vertical="center"/>
    </xf>
    <xf numFmtId="41" fontId="10" fillId="0" borderId="32" xfId="2" applyFont="1" applyFill="1" applyBorder="1" applyAlignment="1">
      <alignment horizontal="right" vertical="center"/>
    </xf>
    <xf numFmtId="41" fontId="8" fillId="0" borderId="32" xfId="2" applyFont="1" applyFill="1" applyBorder="1" applyAlignment="1">
      <alignment horizontal="right" vertical="center"/>
    </xf>
    <xf numFmtId="41" fontId="10" fillId="0" borderId="40" xfId="2" applyFont="1" applyFill="1" applyBorder="1" applyAlignment="1">
      <alignment horizontal="right" vertical="center"/>
    </xf>
    <xf numFmtId="41" fontId="10" fillId="0" borderId="38" xfId="2" applyFont="1" applyFill="1" applyBorder="1" applyAlignment="1">
      <alignment horizontal="right" vertical="center"/>
    </xf>
    <xf numFmtId="177" fontId="10" fillId="0" borderId="0" xfId="2" applyNumberFormat="1" applyFont="1" applyFill="1" applyBorder="1" applyAlignment="1">
      <alignment vertical="center"/>
    </xf>
    <xf numFmtId="41" fontId="10" fillId="0" borderId="0" xfId="2" applyFont="1" applyFill="1" applyBorder="1" applyAlignment="1">
      <alignment horizontal="center" vertical="center"/>
    </xf>
    <xf numFmtId="177" fontId="10" fillId="0" borderId="4" xfId="2" applyNumberFormat="1" applyFont="1" applyFill="1" applyBorder="1" applyAlignment="1">
      <alignment horizontal="right" vertical="center"/>
    </xf>
    <xf numFmtId="177" fontId="10" fillId="0" borderId="2" xfId="2" applyNumberFormat="1" applyFont="1" applyFill="1" applyBorder="1" applyAlignment="1">
      <alignment vertical="center"/>
    </xf>
    <xf numFmtId="177" fontId="10" fillId="0" borderId="8" xfId="2" applyNumberFormat="1" applyFont="1" applyFill="1" applyBorder="1" applyAlignment="1">
      <alignment vertical="center"/>
    </xf>
    <xf numFmtId="187" fontId="25" fillId="0" borderId="0" xfId="2" applyNumberFormat="1" applyFont="1" applyFill="1" applyAlignment="1">
      <alignment vertical="center"/>
    </xf>
    <xf numFmtId="177" fontId="8" fillId="0" borderId="4" xfId="2" applyNumberFormat="1" applyFont="1" applyFill="1" applyBorder="1" applyAlignment="1">
      <alignment vertical="center"/>
    </xf>
    <xf numFmtId="187" fontId="10" fillId="0" borderId="0" xfId="2" applyNumberFormat="1" applyFont="1" applyFill="1" applyAlignment="1">
      <alignment vertical="center"/>
    </xf>
    <xf numFmtId="185" fontId="10" fillId="0" borderId="38" xfId="2" applyNumberFormat="1" applyFont="1" applyFill="1" applyBorder="1" applyAlignment="1">
      <alignment vertical="center"/>
    </xf>
    <xf numFmtId="41" fontId="10" fillId="0" borderId="4" xfId="2" applyFont="1" applyFill="1" applyBorder="1" applyAlignment="1">
      <alignment horizontal="center" vertical="center"/>
    </xf>
    <xf numFmtId="0" fontId="25" fillId="4" borderId="3" xfId="2" applyNumberFormat="1" applyFont="1" applyFill="1" applyBorder="1" applyAlignment="1">
      <alignment vertical="center"/>
    </xf>
    <xf numFmtId="0" fontId="7" fillId="2" borderId="44" xfId="2" applyNumberFormat="1" applyFont="1" applyFill="1" applyBorder="1" applyAlignment="1">
      <alignment horizontal="center" vertical="center"/>
    </xf>
    <xf numFmtId="0" fontId="7" fillId="2" borderId="0" xfId="2" applyNumberFormat="1" applyFont="1" applyFill="1" applyBorder="1" applyAlignment="1">
      <alignment horizontal="right" vertical="center"/>
    </xf>
    <xf numFmtId="0" fontId="10" fillId="0" borderId="0" xfId="2" applyNumberFormat="1" applyFont="1" applyFill="1" applyBorder="1" applyAlignment="1">
      <alignment horizontal="center" vertical="center"/>
    </xf>
    <xf numFmtId="0" fontId="10" fillId="3" borderId="0" xfId="2" applyNumberFormat="1" applyFont="1" applyFill="1" applyBorder="1" applyAlignment="1">
      <alignment horizontal="center" vertical="center"/>
    </xf>
    <xf numFmtId="41" fontId="68" fillId="4" borderId="0" xfId="2" applyFont="1" applyFill="1" applyAlignment="1">
      <alignment horizontal="center" vertical="center"/>
    </xf>
    <xf numFmtId="0" fontId="68" fillId="0" borderId="11" xfId="2" applyNumberFormat="1" applyFont="1" applyFill="1" applyBorder="1" applyAlignment="1">
      <alignment horizontal="center" vertical="center"/>
    </xf>
    <xf numFmtId="41" fontId="68" fillId="0" borderId="11" xfId="2" applyFont="1" applyFill="1" applyBorder="1" applyAlignment="1">
      <alignment horizontal="center" vertical="center"/>
    </xf>
    <xf numFmtId="184" fontId="68" fillId="0" borderId="11" xfId="2" applyNumberFormat="1" applyFont="1" applyFill="1" applyBorder="1" applyAlignment="1">
      <alignment horizontal="center" vertical="center"/>
    </xf>
    <xf numFmtId="0" fontId="10" fillId="0" borderId="0" xfId="2" applyNumberFormat="1" applyFont="1" applyFill="1" applyAlignment="1">
      <alignment horizontal="left" vertical="center"/>
    </xf>
    <xf numFmtId="41" fontId="28" fillId="0" borderId="59" xfId="2" applyFont="1" applyFill="1" applyBorder="1" applyAlignment="1">
      <alignment vertical="center"/>
    </xf>
    <xf numFmtId="41" fontId="28" fillId="0" borderId="27" xfId="2" applyFont="1" applyFill="1" applyBorder="1" applyAlignment="1">
      <alignment vertical="center"/>
    </xf>
    <xf numFmtId="178" fontId="28" fillId="0" borderId="27" xfId="2" applyNumberFormat="1" applyFont="1" applyFill="1" applyBorder="1" applyAlignment="1">
      <alignment vertical="center"/>
    </xf>
    <xf numFmtId="41" fontId="32" fillId="4" borderId="0" xfId="2" applyNumberFormat="1" applyFont="1" applyFill="1" applyBorder="1" applyAlignment="1">
      <alignment vertical="center"/>
    </xf>
    <xf numFmtId="177" fontId="10" fillId="0" borderId="0" xfId="2" applyNumberFormat="1" applyFont="1" applyFill="1" applyBorder="1" applyAlignment="1">
      <alignment vertical="center"/>
    </xf>
    <xf numFmtId="178" fontId="25" fillId="4" borderId="0" xfId="0" applyNumberFormat="1" applyFont="1" applyFill="1" applyAlignment="1">
      <alignment vertical="center"/>
    </xf>
    <xf numFmtId="177" fontId="10" fillId="0" borderId="0" xfId="2" applyNumberFormat="1" applyFont="1" applyFill="1" applyBorder="1" applyAlignment="1">
      <alignment vertical="center"/>
    </xf>
    <xf numFmtId="188" fontId="10" fillId="4" borderId="0" xfId="2" applyNumberFormat="1" applyFont="1" applyFill="1" applyAlignment="1">
      <alignment vertical="center"/>
    </xf>
    <xf numFmtId="184" fontId="25" fillId="4" borderId="0" xfId="2" applyNumberFormat="1" applyFont="1" applyFill="1" applyAlignment="1">
      <alignment vertical="center"/>
    </xf>
    <xf numFmtId="177" fontId="10" fillId="0" borderId="0" xfId="2" applyNumberFormat="1" applyFont="1" applyFill="1" applyBorder="1" applyAlignment="1">
      <alignment vertical="center"/>
    </xf>
    <xf numFmtId="0" fontId="10" fillId="4" borderId="0" xfId="2" applyNumberFormat="1" applyFont="1" applyFill="1" applyAlignment="1">
      <alignment horizontal="left" vertical="center"/>
    </xf>
    <xf numFmtId="0" fontId="10" fillId="4" borderId="0" xfId="2" applyNumberFormat="1" applyFont="1" applyFill="1" applyBorder="1" applyAlignment="1">
      <alignment horizontal="left" vertical="center"/>
    </xf>
    <xf numFmtId="0" fontId="7" fillId="2" borderId="45" xfId="2" applyNumberFormat="1" applyFont="1" applyFill="1" applyBorder="1" applyAlignment="1">
      <alignment horizontal="right" vertical="center"/>
    </xf>
    <xf numFmtId="0" fontId="10" fillId="0" borderId="0" xfId="2" applyNumberFormat="1" applyFont="1" applyFill="1" applyBorder="1" applyAlignment="1">
      <alignment vertical="center" wrapText="1"/>
    </xf>
    <xf numFmtId="0" fontId="10" fillId="4" borderId="0" xfId="2" applyNumberFormat="1" applyFont="1" applyFill="1" applyBorder="1" applyAlignment="1">
      <alignment vertical="center" wrapText="1"/>
    </xf>
    <xf numFmtId="0" fontId="7" fillId="2" borderId="62" xfId="2" applyNumberFormat="1" applyFont="1" applyFill="1" applyBorder="1" applyAlignment="1">
      <alignment horizontal="center" vertical="center"/>
    </xf>
    <xf numFmtId="177" fontId="10" fillId="0" borderId="38" xfId="2" applyNumberFormat="1" applyFont="1" applyFill="1" applyBorder="1" applyAlignment="1">
      <alignment vertical="center"/>
    </xf>
    <xf numFmtId="177" fontId="10" fillId="0" borderId="0" xfId="2" applyNumberFormat="1" applyFont="1" applyFill="1" applyBorder="1" applyAlignment="1">
      <alignment vertical="center"/>
    </xf>
    <xf numFmtId="0" fontId="10" fillId="3" borderId="46" xfId="2" applyNumberFormat="1" applyFont="1" applyFill="1" applyBorder="1" applyAlignment="1">
      <alignment horizontal="center" vertical="center"/>
    </xf>
    <xf numFmtId="0" fontId="8" fillId="3" borderId="46" xfId="2" applyNumberFormat="1" applyFont="1" applyFill="1" applyBorder="1" applyAlignment="1">
      <alignment horizontal="center" vertical="center"/>
    </xf>
    <xf numFmtId="178" fontId="33" fillId="4" borderId="0" xfId="2" applyNumberFormat="1" applyFont="1" applyFill="1" applyAlignment="1">
      <alignment vertical="center"/>
    </xf>
    <xf numFmtId="0" fontId="10" fillId="3" borderId="0" xfId="2" applyNumberFormat="1" applyFont="1" applyFill="1" applyBorder="1" applyAlignment="1">
      <alignment horizontal="center" vertical="center"/>
    </xf>
    <xf numFmtId="0" fontId="7" fillId="2" borderId="45" xfId="2" applyNumberFormat="1" applyFont="1" applyFill="1" applyBorder="1" applyAlignment="1">
      <alignment horizontal="right" vertical="center"/>
    </xf>
    <xf numFmtId="177" fontId="10" fillId="0" borderId="38" xfId="2" applyNumberFormat="1" applyFont="1" applyFill="1" applyBorder="1" applyAlignment="1">
      <alignment vertical="center"/>
    </xf>
    <xf numFmtId="177" fontId="10" fillId="0" borderId="0" xfId="2" applyNumberFormat="1" applyFont="1" applyFill="1" applyBorder="1" applyAlignment="1">
      <alignment vertical="center"/>
    </xf>
    <xf numFmtId="0" fontId="7" fillId="2" borderId="62" xfId="2" applyNumberFormat="1" applyFont="1" applyFill="1" applyBorder="1" applyAlignment="1">
      <alignment horizontal="center" vertical="center"/>
    </xf>
    <xf numFmtId="41" fontId="10" fillId="0" borderId="47" xfId="2" applyNumberFormat="1" applyFont="1" applyFill="1" applyBorder="1" applyAlignment="1">
      <alignment horizontal="center" vertical="center"/>
    </xf>
    <xf numFmtId="0" fontId="10" fillId="5" borderId="47" xfId="2" applyNumberFormat="1" applyFont="1" applyFill="1" applyBorder="1" applyAlignment="1">
      <alignment horizontal="center" vertical="center"/>
    </xf>
    <xf numFmtId="41" fontId="10" fillId="0" borderId="60" xfId="2" applyFont="1" applyFill="1" applyBorder="1" applyAlignment="1">
      <alignment vertical="center"/>
    </xf>
    <xf numFmtId="0" fontId="7" fillId="2" borderId="62" xfId="2" applyNumberFormat="1" applyFont="1" applyFill="1" applyBorder="1" applyAlignment="1">
      <alignment horizontal="center" vertical="center" wrapText="1"/>
    </xf>
    <xf numFmtId="0" fontId="7" fillId="2" borderId="63" xfId="2" applyNumberFormat="1" applyFont="1" applyFill="1" applyBorder="1" applyAlignment="1">
      <alignment horizontal="center" vertical="center"/>
    </xf>
    <xf numFmtId="177" fontId="10" fillId="0" borderId="59" xfId="2" applyNumberFormat="1" applyFont="1" applyFill="1" applyBorder="1" applyAlignment="1">
      <alignment vertical="center"/>
    </xf>
    <xf numFmtId="177" fontId="10" fillId="0" borderId="0" xfId="0" applyNumberFormat="1" applyFont="1" applyAlignment="1">
      <alignment vertical="center"/>
    </xf>
    <xf numFmtId="177" fontId="10" fillId="0" borderId="27" xfId="2" applyNumberFormat="1" applyFont="1" applyFill="1" applyBorder="1" applyAlignment="1">
      <alignment vertical="center"/>
    </xf>
    <xf numFmtId="0" fontId="28" fillId="0" borderId="0" xfId="0" applyNumberFormat="1" applyFont="1" applyAlignment="1">
      <alignment horizontal="left" vertical="center"/>
    </xf>
    <xf numFmtId="41" fontId="29" fillId="0" borderId="32" xfId="2" applyFont="1" applyFill="1" applyBorder="1" applyAlignment="1">
      <alignment vertical="center"/>
    </xf>
    <xf numFmtId="177" fontId="28" fillId="0" borderId="32" xfId="2" applyNumberFormat="1" applyFont="1" applyFill="1" applyBorder="1" applyAlignment="1">
      <alignment vertical="center"/>
    </xf>
    <xf numFmtId="177" fontId="28" fillId="0" borderId="0" xfId="2" applyNumberFormat="1" applyFont="1" applyFill="1" applyBorder="1" applyAlignment="1">
      <alignment vertical="center"/>
    </xf>
    <xf numFmtId="41" fontId="28" fillId="0" borderId="32" xfId="2" applyFont="1" applyFill="1" applyBorder="1" applyAlignment="1">
      <alignment vertical="center"/>
    </xf>
    <xf numFmtId="177" fontId="28" fillId="0" borderId="40" xfId="2" applyNumberFormat="1" applyFont="1" applyFill="1" applyBorder="1" applyAlignment="1">
      <alignment vertical="center"/>
    </xf>
    <xf numFmtId="177" fontId="28" fillId="0" borderId="38" xfId="2" applyNumberFormat="1" applyFont="1" applyFill="1" applyBorder="1" applyAlignment="1">
      <alignment vertical="center"/>
    </xf>
    <xf numFmtId="178" fontId="28" fillId="0" borderId="38" xfId="2" applyNumberFormat="1" applyFont="1" applyFill="1" applyBorder="1" applyAlignment="1">
      <alignment vertical="center"/>
    </xf>
    <xf numFmtId="0" fontId="10" fillId="4" borderId="0" xfId="2" applyNumberFormat="1" applyFont="1" applyFill="1" applyAlignment="1">
      <alignment horizontal="left" vertical="center"/>
    </xf>
    <xf numFmtId="41" fontId="32" fillId="4" borderId="0" xfId="2" applyFont="1" applyFill="1" applyBorder="1" applyAlignment="1">
      <alignment horizontal="center" vertical="center"/>
    </xf>
    <xf numFmtId="0" fontId="10" fillId="0" borderId="0" xfId="2" applyNumberFormat="1" applyFont="1" applyFill="1" applyAlignment="1">
      <alignment vertical="center" wrapText="1"/>
    </xf>
    <xf numFmtId="0" fontId="7" fillId="2" borderId="44" xfId="2" applyNumberFormat="1" applyFont="1" applyFill="1" applyBorder="1" applyAlignment="1">
      <alignment horizontal="center" vertical="center"/>
    </xf>
    <xf numFmtId="0" fontId="7" fillId="2" borderId="43" xfId="2" applyNumberFormat="1" applyFont="1" applyFill="1" applyBorder="1" applyAlignment="1">
      <alignment horizontal="center" vertical="center"/>
    </xf>
    <xf numFmtId="0" fontId="10" fillId="3" borderId="0" xfId="2" applyNumberFormat="1" applyFont="1" applyFill="1" applyBorder="1" applyAlignment="1">
      <alignment horizontal="center" vertical="center"/>
    </xf>
    <xf numFmtId="0" fontId="7" fillId="2" borderId="45" xfId="2" applyNumberFormat="1" applyFont="1" applyFill="1" applyBorder="1" applyAlignment="1">
      <alignment horizontal="right" vertical="center"/>
    </xf>
    <xf numFmtId="0" fontId="10" fillId="3" borderId="4" xfId="2" applyNumberFormat="1" applyFont="1" applyFill="1" applyBorder="1" applyAlignment="1">
      <alignment horizontal="center" vertical="center"/>
    </xf>
    <xf numFmtId="41" fontId="32" fillId="0" borderId="0" xfId="2" applyFont="1" applyFill="1" applyBorder="1" applyAlignment="1">
      <alignment horizontal="center" vertical="center"/>
    </xf>
    <xf numFmtId="41" fontId="10" fillId="0" borderId="0" xfId="2" applyFont="1" applyFill="1" applyBorder="1" applyAlignment="1">
      <alignment horizontal="center" vertical="center"/>
    </xf>
    <xf numFmtId="184" fontId="10" fillId="0" borderId="59" xfId="2" applyNumberFormat="1" applyFont="1" applyFill="1" applyBorder="1" applyAlignment="1">
      <alignment vertical="center"/>
    </xf>
    <xf numFmtId="184" fontId="10" fillId="0" borderId="38" xfId="2" applyNumberFormat="1" applyFont="1" applyFill="1" applyBorder="1" applyAlignment="1">
      <alignment vertical="center"/>
    </xf>
    <xf numFmtId="184" fontId="10" fillId="0" borderId="41" xfId="2" applyNumberFormat="1" applyFont="1" applyFill="1" applyBorder="1" applyAlignment="1">
      <alignment vertical="center"/>
    </xf>
    <xf numFmtId="0" fontId="54" fillId="4" borderId="0" xfId="2" applyNumberFormat="1" applyFont="1" applyFill="1" applyAlignment="1">
      <alignment vertical="center"/>
    </xf>
    <xf numFmtId="0" fontId="69" fillId="0" borderId="0" xfId="0" applyFont="1">
      <alignment vertical="center"/>
    </xf>
    <xf numFmtId="0" fontId="1" fillId="0" borderId="0" xfId="2322">
      <alignment vertical="center"/>
    </xf>
    <xf numFmtId="0" fontId="70" fillId="0" borderId="11" xfId="2322" applyFont="1" applyBorder="1" applyAlignment="1">
      <alignment horizontal="center" vertical="center"/>
    </xf>
    <xf numFmtId="0" fontId="71" fillId="0" borderId="11" xfId="2322" applyFont="1" applyBorder="1" applyAlignment="1">
      <alignment horizontal="center" vertical="center"/>
    </xf>
    <xf numFmtId="0" fontId="72" fillId="0" borderId="11" xfId="2322" applyFont="1" applyBorder="1">
      <alignment vertical="center"/>
    </xf>
    <xf numFmtId="0" fontId="72" fillId="0" borderId="11" xfId="2322" applyFont="1" applyBorder="1" applyAlignment="1">
      <alignment vertical="center"/>
    </xf>
    <xf numFmtId="0" fontId="71" fillId="0" borderId="0" xfId="2322" applyFont="1" applyAlignment="1">
      <alignment horizontal="center" vertical="center"/>
    </xf>
    <xf numFmtId="0" fontId="72" fillId="0" borderId="0" xfId="2322" applyFont="1">
      <alignment vertical="center"/>
    </xf>
    <xf numFmtId="0" fontId="72" fillId="0" borderId="0" xfId="2322" applyFont="1" applyAlignment="1">
      <alignment vertical="center"/>
    </xf>
    <xf numFmtId="41" fontId="8" fillId="0" borderId="5" xfId="2" applyFont="1" applyFill="1" applyBorder="1" applyAlignment="1">
      <alignment horizontal="center" vertical="center"/>
    </xf>
    <xf numFmtId="41" fontId="8" fillId="0" borderId="47" xfId="2" applyFont="1" applyFill="1" applyBorder="1" applyAlignment="1">
      <alignment horizontal="center" vertical="center"/>
    </xf>
    <xf numFmtId="41" fontId="8" fillId="0" borderId="59" xfId="2" applyFont="1" applyFill="1" applyBorder="1" applyAlignment="1">
      <alignment horizontal="center" vertical="center"/>
    </xf>
    <xf numFmtId="49" fontId="10" fillId="0" borderId="0" xfId="2" applyNumberFormat="1" applyFont="1" applyFill="1" applyAlignment="1">
      <alignment horizontal="center" vertical="center"/>
    </xf>
    <xf numFmtId="41" fontId="10" fillId="4" borderId="11" xfId="2" applyFont="1" applyFill="1" applyBorder="1" applyAlignment="1">
      <alignment horizontal="center" vertical="center"/>
    </xf>
    <xf numFmtId="41" fontId="10" fillId="0" borderId="11" xfId="2" applyFont="1" applyFill="1" applyBorder="1" applyAlignment="1">
      <alignment horizontal="center" vertical="center"/>
    </xf>
    <xf numFmtId="49" fontId="10" fillId="0" borderId="11" xfId="2" applyNumberFormat="1" applyFont="1" applyFill="1" applyBorder="1" applyAlignment="1">
      <alignment horizontal="center" vertical="center"/>
    </xf>
    <xf numFmtId="0" fontId="7" fillId="2" borderId="45" xfId="2" applyNumberFormat="1" applyFont="1" applyFill="1" applyBorder="1" applyAlignment="1">
      <alignment horizontal="right" vertical="center"/>
    </xf>
    <xf numFmtId="0" fontId="7" fillId="2" borderId="62" xfId="2" applyNumberFormat="1" applyFont="1" applyFill="1" applyBorder="1" applyAlignment="1">
      <alignment horizontal="center" vertical="center"/>
    </xf>
    <xf numFmtId="0" fontId="10" fillId="0" borderId="0" xfId="2" applyNumberFormat="1" applyFont="1" applyFill="1" applyBorder="1" applyAlignment="1">
      <alignment horizontal="center" vertical="center"/>
    </xf>
    <xf numFmtId="0" fontId="10" fillId="0" borderId="38" xfId="2" applyNumberFormat="1" applyFont="1" applyFill="1" applyBorder="1" applyAlignment="1">
      <alignment horizontal="center" vertical="center"/>
    </xf>
    <xf numFmtId="41" fontId="10" fillId="0" borderId="57" xfId="2" applyFont="1" applyFill="1" applyBorder="1" applyAlignment="1">
      <alignment vertical="center"/>
    </xf>
    <xf numFmtId="0" fontId="7" fillId="2" borderId="67" xfId="2" applyNumberFormat="1" applyFont="1" applyFill="1" applyBorder="1" applyAlignment="1">
      <alignment horizontal="right" vertical="center"/>
    </xf>
    <xf numFmtId="41" fontId="74" fillId="0" borderId="5" xfId="2" applyFont="1" applyFill="1" applyBorder="1" applyAlignment="1">
      <alignment horizontal="center" vertical="center"/>
    </xf>
    <xf numFmtId="41" fontId="74" fillId="0" borderId="0" xfId="2" applyFont="1" applyFill="1" applyBorder="1" applyAlignment="1">
      <alignment horizontal="center" vertical="center"/>
    </xf>
    <xf numFmtId="41" fontId="75" fillId="0" borderId="47" xfId="2" applyFont="1" applyFill="1" applyBorder="1" applyAlignment="1">
      <alignment horizontal="center" vertical="center"/>
    </xf>
    <xf numFmtId="41" fontId="75" fillId="0" borderId="27" xfId="2" applyFont="1" applyFill="1" applyBorder="1" applyAlignment="1">
      <alignment horizontal="center" vertical="center"/>
    </xf>
    <xf numFmtId="0" fontId="7" fillId="2" borderId="44" xfId="2" applyNumberFormat="1" applyFont="1" applyFill="1" applyBorder="1" applyAlignment="1">
      <alignment horizontal="center" vertical="center"/>
    </xf>
    <xf numFmtId="0" fontId="7" fillId="2" borderId="43" xfId="2" applyNumberFormat="1" applyFont="1" applyFill="1" applyBorder="1" applyAlignment="1">
      <alignment horizontal="center" vertical="center"/>
    </xf>
    <xf numFmtId="177" fontId="10" fillId="0" borderId="38" xfId="2" applyNumberFormat="1" applyFont="1" applyFill="1" applyBorder="1" applyAlignment="1">
      <alignment vertical="center"/>
    </xf>
    <xf numFmtId="177" fontId="10" fillId="0" borderId="0" xfId="2" applyNumberFormat="1" applyFont="1" applyFill="1" applyBorder="1" applyAlignment="1">
      <alignment vertical="center"/>
    </xf>
    <xf numFmtId="0" fontId="10" fillId="3" borderId="46" xfId="2" applyNumberFormat="1" applyFont="1" applyFill="1" applyBorder="1" applyAlignment="1">
      <alignment horizontal="center" vertical="center"/>
    </xf>
    <xf numFmtId="0" fontId="10" fillId="4" borderId="0" xfId="2" applyNumberFormat="1" applyFont="1" applyFill="1" applyAlignment="1">
      <alignment horizontal="left" vertical="center" indent="2"/>
    </xf>
    <xf numFmtId="0" fontId="10" fillId="3" borderId="70" xfId="3" applyNumberFormat="1" applyFont="1" applyFill="1" applyBorder="1" applyAlignment="1">
      <alignment horizontal="center" vertical="center"/>
    </xf>
    <xf numFmtId="0" fontId="10" fillId="3" borderId="47" xfId="3" applyNumberFormat="1" applyFont="1" applyFill="1" applyBorder="1" applyAlignment="1">
      <alignment horizontal="center" vertical="center"/>
    </xf>
    <xf numFmtId="0" fontId="10" fillId="3" borderId="57" xfId="2" applyNumberFormat="1" applyFont="1" applyFill="1" applyBorder="1" applyAlignment="1">
      <alignment horizontal="center" vertical="center"/>
    </xf>
    <xf numFmtId="177" fontId="29" fillId="0" borderId="32" xfId="2" applyNumberFormat="1" applyFont="1" applyFill="1" applyBorder="1" applyAlignment="1">
      <alignment vertical="center"/>
    </xf>
    <xf numFmtId="177" fontId="29" fillId="0" borderId="0" xfId="2" applyNumberFormat="1" applyFont="1" applyFill="1" applyBorder="1" applyAlignment="1">
      <alignment vertical="center"/>
    </xf>
    <xf numFmtId="41" fontId="10" fillId="0" borderId="6" xfId="2" applyFont="1" applyFill="1" applyBorder="1" applyAlignment="1">
      <alignment horizontal="center" vertical="center"/>
    </xf>
    <xf numFmtId="41" fontId="10" fillId="0" borderId="59" xfId="2" applyFont="1" applyFill="1" applyBorder="1" applyAlignment="1">
      <alignment horizontal="center" vertical="center"/>
    </xf>
    <xf numFmtId="0" fontId="10" fillId="0" borderId="0" xfId="2" applyNumberFormat="1" applyFont="1" applyFill="1" applyAlignment="1">
      <alignment vertical="center" wrapText="1"/>
    </xf>
    <xf numFmtId="0" fontId="76" fillId="0" borderId="0" xfId="0" applyFont="1" applyAlignment="1">
      <alignment vertical="center"/>
    </xf>
    <xf numFmtId="0" fontId="29" fillId="4" borderId="0" xfId="2" applyNumberFormat="1" applyFont="1" applyFill="1" applyAlignment="1">
      <alignment vertical="center"/>
    </xf>
    <xf numFmtId="0" fontId="10" fillId="3" borderId="0" xfId="2" applyNumberFormat="1" applyFont="1" applyFill="1" applyBorder="1" applyAlignment="1">
      <alignment horizontal="center" vertical="center"/>
    </xf>
    <xf numFmtId="0" fontId="7" fillId="2" borderId="45" xfId="2" applyNumberFormat="1" applyFont="1" applyFill="1" applyBorder="1" applyAlignment="1">
      <alignment horizontal="right" vertical="center"/>
    </xf>
    <xf numFmtId="0" fontId="10" fillId="3" borderId="27" xfId="2" applyNumberFormat="1" applyFont="1" applyFill="1" applyBorder="1" applyAlignment="1">
      <alignment horizontal="center" vertical="center"/>
    </xf>
    <xf numFmtId="0" fontId="7" fillId="2" borderId="62" xfId="2" applyNumberFormat="1" applyFont="1" applyFill="1" applyBorder="1" applyAlignment="1">
      <alignment horizontal="center" vertical="center"/>
    </xf>
    <xf numFmtId="189" fontId="10" fillId="0" borderId="0" xfId="1" applyNumberFormat="1" applyFont="1" applyFill="1" applyBorder="1" applyAlignment="1">
      <alignment vertical="center"/>
    </xf>
    <xf numFmtId="0" fontId="7" fillId="2" borderId="73" xfId="2" applyNumberFormat="1" applyFont="1" applyFill="1" applyBorder="1" applyAlignment="1">
      <alignment horizontal="right" vertical="center"/>
    </xf>
    <xf numFmtId="189" fontId="10" fillId="0" borderId="27" xfId="1" applyNumberFormat="1" applyFont="1" applyFill="1" applyBorder="1" applyAlignment="1">
      <alignment vertical="center"/>
    </xf>
    <xf numFmtId="41" fontId="10" fillId="0" borderId="58" xfId="2" applyFont="1" applyFill="1" applyBorder="1" applyAlignment="1">
      <alignment vertical="center"/>
    </xf>
    <xf numFmtId="0" fontId="10" fillId="4" borderId="0" xfId="2" applyNumberFormat="1" applyFont="1" applyFill="1" applyAlignment="1">
      <alignment horizontal="right" vertical="center"/>
    </xf>
    <xf numFmtId="0" fontId="7" fillId="2" borderId="78" xfId="2" applyNumberFormat="1" applyFont="1" applyFill="1" applyBorder="1" applyAlignment="1">
      <alignment vertical="center"/>
    </xf>
    <xf numFmtId="0" fontId="7" fillId="2" borderId="80" xfId="2" applyNumberFormat="1" applyFont="1" applyFill="1" applyBorder="1" applyAlignment="1">
      <alignment horizontal="center" vertical="center"/>
    </xf>
    <xf numFmtId="41" fontId="32" fillId="0" borderId="0" xfId="2" applyFont="1" applyFill="1" applyBorder="1" applyAlignment="1">
      <alignment horizontal="center" vertical="center"/>
    </xf>
    <xf numFmtId="177" fontId="10" fillId="0" borderId="0" xfId="2" applyNumberFormat="1" applyFont="1" applyFill="1" applyBorder="1" applyAlignment="1">
      <alignment vertical="center"/>
    </xf>
    <xf numFmtId="0" fontId="10" fillId="3" borderId="0" xfId="2" applyNumberFormat="1" applyFont="1" applyFill="1" applyBorder="1" applyAlignment="1">
      <alignment horizontal="center" vertical="center"/>
    </xf>
    <xf numFmtId="41" fontId="10" fillId="0" borderId="0" xfId="2" applyFont="1" applyFill="1" applyBorder="1" applyAlignment="1">
      <alignment horizontal="center" vertical="center"/>
    </xf>
    <xf numFmtId="177" fontId="10" fillId="0" borderId="38" xfId="2" applyNumberFormat="1" applyFont="1" applyFill="1" applyBorder="1" applyAlignment="1">
      <alignment vertical="center"/>
    </xf>
    <xf numFmtId="177" fontId="10" fillId="0" borderId="0" xfId="2" applyNumberFormat="1" applyFont="1" applyFill="1" applyBorder="1" applyAlignment="1">
      <alignment vertical="center"/>
    </xf>
    <xf numFmtId="41" fontId="10" fillId="4" borderId="0" xfId="2" applyNumberFormat="1" applyFont="1" applyFill="1" applyBorder="1" applyAlignment="1">
      <alignment vertical="center"/>
    </xf>
    <xf numFmtId="177" fontId="10" fillId="0" borderId="0" xfId="2" applyNumberFormat="1" applyFont="1" applyFill="1" applyBorder="1" applyAlignment="1">
      <alignment vertical="center"/>
    </xf>
    <xf numFmtId="0" fontId="10" fillId="0" borderId="0" xfId="2" applyNumberFormat="1" applyFont="1" applyFill="1" applyAlignment="1">
      <alignment vertical="center" wrapText="1"/>
    </xf>
    <xf numFmtId="177" fontId="10" fillId="0" borderId="38" xfId="2" applyNumberFormat="1" applyFont="1" applyFill="1" applyBorder="1" applyAlignment="1">
      <alignment vertical="center"/>
    </xf>
    <xf numFmtId="177" fontId="10" fillId="0" borderId="41" xfId="2" applyNumberFormat="1" applyFont="1" applyFill="1" applyBorder="1" applyAlignment="1">
      <alignment vertical="center"/>
    </xf>
    <xf numFmtId="177" fontId="10" fillId="0" borderId="0" xfId="2" applyNumberFormat="1" applyFont="1" applyFill="1" applyBorder="1" applyAlignment="1">
      <alignment vertical="center"/>
    </xf>
    <xf numFmtId="41" fontId="61" fillId="4" borderId="0" xfId="2" applyNumberFormat="1" applyFont="1" applyFill="1" applyAlignment="1">
      <alignment vertical="center"/>
    </xf>
    <xf numFmtId="188" fontId="66" fillId="0" borderId="0" xfId="2" applyNumberFormat="1" applyFont="1" applyFill="1" applyBorder="1" applyAlignment="1">
      <alignment vertical="center"/>
    </xf>
    <xf numFmtId="41" fontId="78" fillId="0" borderId="5" xfId="2" applyFont="1" applyFill="1" applyBorder="1" applyAlignment="1">
      <alignment horizontal="center" vertical="center"/>
    </xf>
    <xf numFmtId="41" fontId="78" fillId="0" borderId="69" xfId="2" applyFont="1" applyFill="1" applyBorder="1" applyAlignment="1">
      <alignment horizontal="center" vertical="center"/>
    </xf>
    <xf numFmtId="0" fontId="10" fillId="0" borderId="0" xfId="2" applyNumberFormat="1" applyFont="1" applyFill="1" applyBorder="1" applyAlignment="1">
      <alignment horizontal="right" vertical="center"/>
    </xf>
    <xf numFmtId="190" fontId="10" fillId="4" borderId="0" xfId="2" applyNumberFormat="1" applyFont="1" applyFill="1" applyAlignment="1">
      <alignment vertical="center"/>
    </xf>
    <xf numFmtId="190" fontId="25" fillId="4" borderId="0" xfId="2" applyNumberFormat="1" applyFont="1" applyFill="1" applyAlignment="1">
      <alignment vertical="center"/>
    </xf>
    <xf numFmtId="177" fontId="8" fillId="0" borderId="38" xfId="2" applyNumberFormat="1" applyFont="1" applyFill="1" applyBorder="1" applyAlignment="1">
      <alignment vertical="center"/>
    </xf>
    <xf numFmtId="0" fontId="10" fillId="3" borderId="0" xfId="2" applyNumberFormat="1" applyFont="1" applyFill="1" applyBorder="1" applyAlignment="1">
      <alignment horizontal="center" vertical="center"/>
    </xf>
    <xf numFmtId="0" fontId="10" fillId="3" borderId="27" xfId="2" applyNumberFormat="1" applyFont="1" applyFill="1" applyBorder="1" applyAlignment="1">
      <alignment horizontal="center" vertical="center"/>
    </xf>
    <xf numFmtId="0" fontId="10" fillId="3" borderId="0" xfId="2" applyNumberFormat="1" applyFont="1" applyFill="1" applyBorder="1" applyAlignment="1">
      <alignment horizontal="center" vertical="center"/>
    </xf>
    <xf numFmtId="0" fontId="8" fillId="3" borderId="0" xfId="2" applyNumberFormat="1" applyFont="1" applyFill="1" applyBorder="1" applyAlignment="1">
      <alignment horizontal="center" vertical="center"/>
    </xf>
    <xf numFmtId="0" fontId="7" fillId="2" borderId="0" xfId="2" applyNumberFormat="1" applyFont="1" applyFill="1" applyBorder="1" applyAlignment="1">
      <alignment horizontal="right" vertical="center"/>
    </xf>
    <xf numFmtId="0" fontId="7" fillId="2" borderId="45" xfId="2" applyNumberFormat="1" applyFont="1" applyFill="1" applyBorder="1" applyAlignment="1">
      <alignment horizontal="right" vertical="center"/>
    </xf>
    <xf numFmtId="0" fontId="10" fillId="3" borderId="5" xfId="2" applyNumberFormat="1" applyFont="1" applyFill="1" applyBorder="1" applyAlignment="1">
      <alignment horizontal="center" vertical="center"/>
    </xf>
    <xf numFmtId="0" fontId="10" fillId="3" borderId="5" xfId="0" applyNumberFormat="1" applyFont="1" applyFill="1" applyBorder="1" applyAlignment="1">
      <alignment horizontal="center" vertical="center"/>
    </xf>
    <xf numFmtId="0" fontId="10" fillId="3" borderId="27" xfId="2" applyNumberFormat="1" applyFont="1" applyFill="1" applyBorder="1" applyAlignment="1">
      <alignment horizontal="center" vertical="center"/>
    </xf>
    <xf numFmtId="41" fontId="8" fillId="0" borderId="6" xfId="2" applyFont="1" applyFill="1" applyBorder="1" applyAlignment="1">
      <alignment horizontal="center" vertical="center"/>
    </xf>
    <xf numFmtId="0" fontId="10" fillId="3" borderId="7" xfId="0" applyNumberFormat="1" applyFont="1" applyFill="1" applyBorder="1" applyAlignment="1">
      <alignment horizontal="center" vertical="center"/>
    </xf>
    <xf numFmtId="41" fontId="10" fillId="0" borderId="0" xfId="2" applyFont="1" applyFill="1" applyBorder="1" applyAlignment="1">
      <alignment horizontal="center" vertical="center"/>
    </xf>
    <xf numFmtId="0" fontId="10" fillId="3" borderId="46" xfId="2" applyNumberFormat="1" applyFont="1" applyFill="1" applyBorder="1" applyAlignment="1">
      <alignment horizontal="center" vertical="center"/>
    </xf>
    <xf numFmtId="0" fontId="8" fillId="3" borderId="46" xfId="2" applyNumberFormat="1" applyFont="1" applyFill="1" applyBorder="1" applyAlignment="1">
      <alignment horizontal="center" vertical="center"/>
    </xf>
    <xf numFmtId="0" fontId="7" fillId="2" borderId="66" xfId="2" applyNumberFormat="1" applyFont="1" applyFill="1" applyBorder="1" applyAlignment="1">
      <alignment horizontal="center" vertical="center"/>
    </xf>
    <xf numFmtId="0" fontId="7" fillId="2" borderId="81" xfId="2" applyNumberFormat="1" applyFont="1" applyFill="1" applyBorder="1" applyAlignment="1">
      <alignment vertical="center"/>
    </xf>
    <xf numFmtId="0" fontId="7" fillId="2" borderId="83" xfId="2" applyNumberFormat="1" applyFont="1" applyFill="1" applyBorder="1" applyAlignment="1">
      <alignment horizontal="center" vertical="center"/>
    </xf>
    <xf numFmtId="41" fontId="8" fillId="0" borderId="86" xfId="2" applyFont="1" applyFill="1" applyBorder="1" applyAlignment="1">
      <alignment horizontal="center" vertical="center"/>
    </xf>
    <xf numFmtId="41" fontId="8" fillId="0" borderId="87" xfId="2" applyFont="1" applyFill="1" applyBorder="1" applyAlignment="1">
      <alignment horizontal="center" vertical="center"/>
    </xf>
    <xf numFmtId="0" fontId="10" fillId="3" borderId="89" xfId="2" applyNumberFormat="1" applyFont="1" applyFill="1" applyBorder="1" applyAlignment="1">
      <alignment horizontal="center" vertical="center"/>
    </xf>
    <xf numFmtId="41" fontId="10" fillId="0" borderId="86" xfId="2" applyFont="1" applyFill="1" applyBorder="1" applyAlignment="1">
      <alignment horizontal="center" vertical="center"/>
    </xf>
    <xf numFmtId="41" fontId="10" fillId="0" borderId="87" xfId="2" applyFont="1" applyFill="1" applyBorder="1" applyAlignment="1">
      <alignment horizontal="center" vertical="center"/>
    </xf>
    <xf numFmtId="41" fontId="10" fillId="0" borderId="90" xfId="2" applyFont="1" applyFill="1" applyBorder="1" applyAlignment="1">
      <alignment horizontal="center" vertical="center"/>
    </xf>
    <xf numFmtId="41" fontId="10" fillId="0" borderId="91" xfId="2" applyFont="1" applyFill="1" applyBorder="1" applyAlignment="1">
      <alignment horizontal="center" vertical="center"/>
    </xf>
    <xf numFmtId="41" fontId="10" fillId="0" borderId="94" xfId="2" applyFont="1" applyFill="1" applyBorder="1" applyAlignment="1">
      <alignment horizontal="center" vertical="center"/>
    </xf>
    <xf numFmtId="41" fontId="10" fillId="0" borderId="95" xfId="2" applyFont="1" applyFill="1" applyBorder="1" applyAlignment="1">
      <alignment horizontal="center" vertical="center"/>
    </xf>
    <xf numFmtId="41" fontId="8" fillId="0" borderId="5" xfId="2" applyFont="1" applyFill="1" applyBorder="1" applyAlignment="1">
      <alignment vertical="center"/>
    </xf>
    <xf numFmtId="179" fontId="8" fillId="0" borderId="5" xfId="2" applyNumberFormat="1" applyFont="1" applyFill="1" applyBorder="1" applyAlignment="1">
      <alignment vertical="center"/>
    </xf>
    <xf numFmtId="41" fontId="10" fillId="0" borderId="96" xfId="2" applyFont="1" applyFill="1" applyBorder="1" applyAlignment="1">
      <alignment vertical="center"/>
    </xf>
    <xf numFmtId="179" fontId="10" fillId="0" borderId="5" xfId="2" applyNumberFormat="1" applyFont="1" applyFill="1" applyBorder="1" applyAlignment="1">
      <alignment vertical="center"/>
    </xf>
    <xf numFmtId="179" fontId="10" fillId="0" borderId="47" xfId="2" applyNumberFormat="1" applyFont="1" applyFill="1" applyBorder="1" applyAlignment="1">
      <alignment vertical="center"/>
    </xf>
    <xf numFmtId="179" fontId="10" fillId="0" borderId="59" xfId="2" applyNumberFormat="1" applyFont="1" applyFill="1" applyBorder="1" applyAlignment="1">
      <alignment vertical="center"/>
    </xf>
    <xf numFmtId="0" fontId="7" fillId="2" borderId="83" xfId="2" applyNumberFormat="1" applyFont="1" applyFill="1" applyBorder="1" applyAlignment="1">
      <alignment horizontal="center" vertical="center" wrapText="1"/>
    </xf>
    <xf numFmtId="177" fontId="8" fillId="0" borderId="5" xfId="2" applyNumberFormat="1" applyFont="1" applyFill="1" applyBorder="1" applyAlignment="1">
      <alignment vertical="center"/>
    </xf>
    <xf numFmtId="0" fontId="7" fillId="2" borderId="81" xfId="2" applyNumberFormat="1" applyFont="1" applyFill="1" applyBorder="1" applyAlignment="1">
      <alignment horizontal="right" vertical="center"/>
    </xf>
    <xf numFmtId="0" fontId="10" fillId="3" borderId="96" xfId="2" applyNumberFormat="1" applyFont="1" applyFill="1" applyBorder="1" applyAlignment="1">
      <alignment horizontal="center" vertical="center"/>
    </xf>
    <xf numFmtId="179" fontId="10" fillId="0" borderId="96" xfId="2" applyNumberFormat="1" applyFont="1" applyFill="1" applyBorder="1" applyAlignment="1">
      <alignment vertical="center"/>
    </xf>
    <xf numFmtId="0" fontId="7" fillId="2" borderId="100" xfId="2" applyNumberFormat="1" applyFont="1" applyFill="1" applyBorder="1" applyAlignment="1">
      <alignment horizontal="right" vertical="center"/>
    </xf>
    <xf numFmtId="0" fontId="7" fillId="2" borderId="105" xfId="2" applyNumberFormat="1" applyFont="1" applyFill="1" applyBorder="1" applyAlignment="1">
      <alignment horizontal="center" vertical="center"/>
    </xf>
    <xf numFmtId="41" fontId="8" fillId="0" borderId="89" xfId="2" applyFont="1" applyFill="1" applyBorder="1" applyAlignment="1">
      <alignment horizontal="center" vertical="center"/>
    </xf>
    <xf numFmtId="41" fontId="10" fillId="0" borderId="89" xfId="2" applyFont="1" applyFill="1" applyBorder="1" applyAlignment="1">
      <alignment horizontal="center" vertical="center"/>
    </xf>
    <xf numFmtId="41" fontId="10" fillId="0" borderId="93" xfId="2" applyFont="1" applyFill="1" applyBorder="1" applyAlignment="1">
      <alignment horizontal="center" vertical="center"/>
    </xf>
    <xf numFmtId="0" fontId="8" fillId="3" borderId="42" xfId="2" applyNumberFormat="1" applyFont="1" applyFill="1" applyBorder="1" applyAlignment="1">
      <alignment horizontal="center" vertical="center"/>
    </xf>
    <xf numFmtId="178" fontId="10" fillId="0" borderId="27" xfId="2" applyNumberFormat="1" applyFont="1" applyFill="1" applyBorder="1" applyAlignment="1">
      <alignment vertical="center"/>
    </xf>
    <xf numFmtId="41" fontId="10" fillId="0" borderId="27" xfId="2" applyFont="1" applyFill="1" applyBorder="1" applyAlignment="1">
      <alignment horizontal="center" vertical="center"/>
    </xf>
    <xf numFmtId="0" fontId="7" fillId="2" borderId="108" xfId="2" applyNumberFormat="1" applyFont="1" applyFill="1" applyBorder="1" applyAlignment="1">
      <alignment horizontal="right" vertical="center"/>
    </xf>
    <xf numFmtId="0" fontId="7" fillId="2" borderId="109" xfId="2" applyNumberFormat="1" applyFont="1" applyFill="1" applyBorder="1" applyAlignment="1">
      <alignment vertical="center"/>
    </xf>
    <xf numFmtId="41" fontId="78" fillId="0" borderId="6" xfId="2" applyFont="1" applyFill="1" applyBorder="1" applyAlignment="1">
      <alignment horizontal="center" vertical="center"/>
    </xf>
    <xf numFmtId="41" fontId="78" fillId="0" borderId="0" xfId="2" applyFont="1" applyFill="1" applyBorder="1" applyAlignment="1">
      <alignment horizontal="center" vertical="center"/>
    </xf>
    <xf numFmtId="41" fontId="74" fillId="0" borderId="6" xfId="2" applyFont="1" applyFill="1" applyBorder="1" applyAlignment="1">
      <alignment horizontal="center" vertical="center"/>
    </xf>
    <xf numFmtId="41" fontId="29" fillId="0" borderId="27" xfId="2" applyFont="1" applyFill="1" applyBorder="1" applyAlignment="1">
      <alignment vertical="center"/>
    </xf>
    <xf numFmtId="178" fontId="29" fillId="0" borderId="57" xfId="2" applyNumberFormat="1" applyFont="1" applyFill="1" applyBorder="1" applyAlignment="1">
      <alignment vertical="center"/>
    </xf>
    <xf numFmtId="178" fontId="28" fillId="0" borderId="46" xfId="2" applyNumberFormat="1" applyFont="1" applyFill="1" applyBorder="1" applyAlignment="1">
      <alignment vertical="center"/>
    </xf>
    <xf numFmtId="178" fontId="28" fillId="0" borderId="57" xfId="2" applyNumberFormat="1" applyFont="1" applyFill="1" applyBorder="1" applyAlignment="1">
      <alignment vertical="center"/>
    </xf>
    <xf numFmtId="0" fontId="7" fillId="2" borderId="82" xfId="2" applyNumberFormat="1" applyFont="1" applyFill="1" applyBorder="1" applyAlignment="1">
      <alignment horizontal="center" vertical="center"/>
    </xf>
    <xf numFmtId="0" fontId="7" fillId="2" borderId="102" xfId="2" applyNumberFormat="1" applyFont="1" applyFill="1" applyBorder="1" applyAlignment="1">
      <alignment horizontal="center" vertical="center"/>
    </xf>
    <xf numFmtId="0" fontId="8" fillId="3" borderId="91" xfId="2" applyNumberFormat="1" applyFont="1" applyFill="1" applyBorder="1" applyAlignment="1">
      <alignment horizontal="center" vertical="center"/>
    </xf>
    <xf numFmtId="0" fontId="8" fillId="3" borderId="88" xfId="2" applyNumberFormat="1" applyFont="1" applyFill="1" applyBorder="1" applyAlignment="1">
      <alignment horizontal="center" vertical="center"/>
    </xf>
    <xf numFmtId="0" fontId="8" fillId="3" borderId="89" xfId="2" applyNumberFormat="1" applyFont="1" applyFill="1" applyBorder="1" applyAlignment="1">
      <alignment horizontal="center" vertical="center"/>
    </xf>
    <xf numFmtId="0" fontId="7" fillId="2" borderId="84" xfId="2" applyNumberFormat="1" applyFont="1" applyFill="1" applyBorder="1" applyAlignment="1">
      <alignment horizontal="center" vertical="center"/>
    </xf>
    <xf numFmtId="0" fontId="7" fillId="2" borderId="85" xfId="2" applyNumberFormat="1" applyFont="1" applyFill="1" applyBorder="1" applyAlignment="1">
      <alignment horizontal="center" vertical="center"/>
    </xf>
    <xf numFmtId="0" fontId="9" fillId="3" borderId="88" xfId="2" applyNumberFormat="1" applyFont="1" applyFill="1" applyBorder="1" applyAlignment="1">
      <alignment horizontal="center" vertical="center"/>
    </xf>
    <xf numFmtId="0" fontId="9" fillId="3" borderId="89" xfId="2" applyNumberFormat="1" applyFont="1" applyFill="1" applyBorder="1" applyAlignment="1">
      <alignment horizontal="center" vertical="center"/>
    </xf>
    <xf numFmtId="0" fontId="10" fillId="3" borderId="88" xfId="2" applyNumberFormat="1" applyFont="1" applyFill="1" applyBorder="1" applyAlignment="1">
      <alignment horizontal="center" vertical="center"/>
    </xf>
    <xf numFmtId="0" fontId="10" fillId="5" borderId="89" xfId="2" applyNumberFormat="1" applyFont="1" applyFill="1" applyBorder="1" applyAlignment="1">
      <alignment horizontal="center" vertical="center"/>
    </xf>
    <xf numFmtId="0" fontId="10" fillId="4" borderId="0" xfId="2" applyNumberFormat="1" applyFont="1" applyFill="1" applyAlignment="1">
      <alignment horizontal="left" vertical="center"/>
    </xf>
    <xf numFmtId="0" fontId="9" fillId="3" borderId="91" xfId="2" applyNumberFormat="1" applyFont="1" applyFill="1" applyBorder="1" applyAlignment="1">
      <alignment horizontal="center" vertical="center"/>
    </xf>
    <xf numFmtId="0" fontId="9" fillId="3" borderId="107" xfId="2" applyNumberFormat="1" applyFont="1" applyFill="1" applyBorder="1" applyAlignment="1">
      <alignment horizontal="center" vertical="center"/>
    </xf>
    <xf numFmtId="0" fontId="9" fillId="3" borderId="92" xfId="2" applyNumberFormat="1" applyFont="1" applyFill="1" applyBorder="1" applyAlignment="1">
      <alignment horizontal="center" vertical="center"/>
    </xf>
    <xf numFmtId="0" fontId="9" fillId="3" borderId="93" xfId="2" applyNumberFormat="1" applyFont="1" applyFill="1" applyBorder="1" applyAlignment="1">
      <alignment horizontal="center" vertical="center"/>
    </xf>
    <xf numFmtId="0" fontId="10" fillId="0" borderId="0" xfId="2" applyNumberFormat="1" applyFont="1" applyFill="1" applyAlignment="1">
      <alignment vertical="center" wrapText="1"/>
    </xf>
    <xf numFmtId="0" fontId="10" fillId="5" borderId="91" xfId="2" applyNumberFormat="1" applyFont="1" applyFill="1" applyBorder="1" applyAlignment="1">
      <alignment horizontal="center" vertical="center"/>
    </xf>
    <xf numFmtId="0" fontId="8" fillId="3" borderId="106" xfId="2" applyNumberFormat="1" applyFont="1" applyFill="1" applyBorder="1" applyAlignment="1">
      <alignment horizontal="center" vertical="center"/>
    </xf>
    <xf numFmtId="0" fontId="8" fillId="3" borderId="84" xfId="2" applyNumberFormat="1" applyFont="1" applyFill="1" applyBorder="1" applyAlignment="1">
      <alignment horizontal="center" vertical="center"/>
    </xf>
    <xf numFmtId="0" fontId="8" fillId="3" borderId="85" xfId="2" applyNumberFormat="1" applyFont="1" applyFill="1" applyBorder="1" applyAlignment="1">
      <alignment horizontal="center" vertical="center"/>
    </xf>
    <xf numFmtId="0" fontId="10" fillId="3" borderId="91" xfId="2" applyNumberFormat="1" applyFont="1" applyFill="1" applyBorder="1" applyAlignment="1">
      <alignment horizontal="center" vertical="center"/>
    </xf>
    <xf numFmtId="0" fontId="10" fillId="4" borderId="0" xfId="2" applyNumberFormat="1" applyFont="1" applyFill="1" applyBorder="1" applyAlignment="1">
      <alignment horizontal="left" vertical="center"/>
    </xf>
    <xf numFmtId="0" fontId="7" fillId="2" borderId="97" xfId="2" applyNumberFormat="1" applyFont="1" applyFill="1" applyBorder="1" applyAlignment="1">
      <alignment horizontal="center" vertical="center"/>
    </xf>
    <xf numFmtId="0" fontId="7" fillId="2" borderId="15" xfId="2" applyNumberFormat="1" applyFont="1" applyFill="1" applyBorder="1" applyAlignment="1">
      <alignment horizontal="center" vertical="center"/>
    </xf>
    <xf numFmtId="0" fontId="7" fillId="2" borderId="101" xfId="2" applyNumberFormat="1" applyFont="1" applyFill="1" applyBorder="1" applyAlignment="1">
      <alignment horizontal="center" vertical="center"/>
    </xf>
    <xf numFmtId="0" fontId="7" fillId="2" borderId="30" xfId="2" applyNumberFormat="1" applyFont="1" applyFill="1" applyBorder="1" applyAlignment="1">
      <alignment horizontal="center" vertical="center"/>
    </xf>
    <xf numFmtId="0" fontId="7" fillId="2" borderId="97" xfId="2" applyNumberFormat="1" applyFont="1" applyFill="1" applyBorder="1" applyAlignment="1">
      <alignment horizontal="center" vertical="center" wrapText="1"/>
    </xf>
    <xf numFmtId="0" fontId="10" fillId="0" borderId="0" xfId="2" applyNumberFormat="1" applyFont="1" applyFill="1" applyAlignment="1">
      <alignment horizontal="left" vertical="center" wrapText="1"/>
    </xf>
    <xf numFmtId="0" fontId="7" fillId="2" borderId="98" xfId="2" applyNumberFormat="1" applyFont="1" applyFill="1" applyBorder="1" applyAlignment="1">
      <alignment horizontal="center" vertical="center" wrapText="1"/>
    </xf>
    <xf numFmtId="0" fontId="7" fillId="2" borderId="99" xfId="2" applyNumberFormat="1" applyFont="1" applyFill="1" applyBorder="1" applyAlignment="1">
      <alignment horizontal="center" vertical="center"/>
    </xf>
    <xf numFmtId="0" fontId="7" fillId="2" borderId="83" xfId="2" applyNumberFormat="1" applyFont="1" applyFill="1" applyBorder="1" applyAlignment="1">
      <alignment horizontal="center" vertical="center"/>
    </xf>
    <xf numFmtId="0" fontId="7" fillId="2" borderId="105" xfId="2" applyNumberFormat="1" applyFont="1" applyFill="1" applyBorder="1" applyAlignment="1">
      <alignment horizontal="center" vertical="center"/>
    </xf>
    <xf numFmtId="0" fontId="10" fillId="3" borderId="10" xfId="2" applyNumberFormat="1" applyFont="1" applyFill="1" applyBorder="1" applyAlignment="1">
      <alignment horizontal="center" vertical="center"/>
    </xf>
    <xf numFmtId="0" fontId="10" fillId="3" borderId="37" xfId="2" applyNumberFormat="1" applyFont="1" applyFill="1" applyBorder="1" applyAlignment="1">
      <alignment horizontal="center" vertical="center"/>
    </xf>
    <xf numFmtId="0" fontId="10" fillId="3" borderId="0" xfId="2" applyNumberFormat="1" applyFont="1" applyFill="1" applyBorder="1" applyAlignment="1">
      <alignment horizontal="center" vertical="center"/>
    </xf>
    <xf numFmtId="0" fontId="18" fillId="2" borderId="82" xfId="0" applyNumberFormat="1" applyFont="1" applyFill="1" applyBorder="1" applyAlignment="1">
      <alignment vertical="center"/>
    </xf>
    <xf numFmtId="0" fontId="18" fillId="2" borderId="102" xfId="0" applyNumberFormat="1" applyFont="1" applyFill="1" applyBorder="1" applyAlignment="1">
      <alignment vertical="center"/>
    </xf>
    <xf numFmtId="0" fontId="8" fillId="3" borderId="0" xfId="2" applyNumberFormat="1" applyFont="1" applyFill="1" applyBorder="1" applyAlignment="1">
      <alignment horizontal="center" vertical="center"/>
    </xf>
    <xf numFmtId="0" fontId="7" fillId="2" borderId="81" xfId="2" applyNumberFormat="1" applyFont="1" applyFill="1" applyBorder="1" applyAlignment="1">
      <alignment horizontal="right" vertical="center"/>
    </xf>
    <xf numFmtId="0" fontId="7" fillId="2" borderId="100" xfId="2" applyNumberFormat="1" applyFont="1" applyFill="1" applyBorder="1" applyAlignment="1">
      <alignment horizontal="right" vertical="center"/>
    </xf>
    <xf numFmtId="0" fontId="7" fillId="2" borderId="0" xfId="2" applyNumberFormat="1" applyFont="1" applyFill="1" applyBorder="1" applyAlignment="1">
      <alignment horizontal="left" vertical="center"/>
    </xf>
    <xf numFmtId="0" fontId="7" fillId="2" borderId="45" xfId="2" applyNumberFormat="1" applyFont="1" applyFill="1" applyBorder="1" applyAlignment="1">
      <alignment horizontal="left" vertical="center"/>
    </xf>
    <xf numFmtId="0" fontId="10" fillId="3" borderId="27" xfId="2" applyNumberFormat="1" applyFont="1" applyFill="1" applyBorder="1" applyAlignment="1">
      <alignment horizontal="center" vertical="center"/>
    </xf>
    <xf numFmtId="0" fontId="8" fillId="3" borderId="27" xfId="2" applyNumberFormat="1" applyFont="1" applyFill="1" applyBorder="1" applyAlignment="1">
      <alignment horizontal="center" vertical="center"/>
    </xf>
    <xf numFmtId="0" fontId="8" fillId="3" borderId="9" xfId="2" applyNumberFormat="1" applyFont="1" applyFill="1" applyBorder="1" applyAlignment="1">
      <alignment horizontal="center" vertical="center"/>
    </xf>
    <xf numFmtId="0" fontId="8" fillId="3" borderId="81" xfId="2" applyNumberFormat="1" applyFont="1" applyFill="1" applyBorder="1" applyAlignment="1">
      <alignment horizontal="center" vertical="center"/>
    </xf>
    <xf numFmtId="0" fontId="10" fillId="3" borderId="56" xfId="2" applyNumberFormat="1" applyFont="1" applyFill="1" applyBorder="1" applyAlignment="1">
      <alignment horizontal="center" vertical="center" wrapText="1"/>
    </xf>
    <xf numFmtId="0" fontId="10" fillId="3" borderId="56" xfId="2" applyNumberFormat="1" applyFont="1" applyFill="1" applyBorder="1" applyAlignment="1">
      <alignment horizontal="center" vertical="center"/>
    </xf>
    <xf numFmtId="0" fontId="10" fillId="3" borderId="11" xfId="2" applyNumberFormat="1" applyFont="1" applyFill="1" applyBorder="1" applyAlignment="1">
      <alignment horizontal="center" vertical="center" wrapText="1"/>
    </xf>
    <xf numFmtId="0" fontId="10" fillId="3" borderId="11" xfId="2" applyNumberFormat="1" applyFont="1" applyFill="1" applyBorder="1" applyAlignment="1">
      <alignment horizontal="center" vertical="center"/>
    </xf>
    <xf numFmtId="0" fontId="10" fillId="3" borderId="61" xfId="2" applyNumberFormat="1" applyFont="1" applyFill="1" applyBorder="1" applyAlignment="1">
      <alignment horizontal="center" vertical="center" wrapText="1"/>
    </xf>
    <xf numFmtId="0" fontId="10" fillId="3" borderId="46" xfId="2" applyNumberFormat="1" applyFont="1" applyFill="1" applyBorder="1" applyAlignment="1">
      <alignment horizontal="center" vertical="center"/>
    </xf>
    <xf numFmtId="0" fontId="10" fillId="3" borderId="57" xfId="2" applyNumberFormat="1" applyFont="1" applyFill="1" applyBorder="1" applyAlignment="1">
      <alignment horizontal="center" vertical="center"/>
    </xf>
    <xf numFmtId="0" fontId="10" fillId="3" borderId="5" xfId="2" applyNumberFormat="1" applyFont="1" applyFill="1" applyBorder="1" applyAlignment="1">
      <alignment horizontal="center" vertical="center" wrapText="1"/>
    </xf>
    <xf numFmtId="0" fontId="10" fillId="3" borderId="5" xfId="2" applyNumberFormat="1" applyFont="1" applyFill="1" applyBorder="1" applyAlignment="1">
      <alignment horizontal="center" vertical="center"/>
    </xf>
    <xf numFmtId="0" fontId="7" fillId="2" borderId="82" xfId="0" applyNumberFormat="1" applyFont="1" applyFill="1" applyBorder="1" applyAlignment="1">
      <alignment vertical="center"/>
    </xf>
    <xf numFmtId="0" fontId="7" fillId="2" borderId="102" xfId="0" applyNumberFormat="1" applyFont="1" applyFill="1" applyBorder="1" applyAlignment="1">
      <alignment vertical="center"/>
    </xf>
    <xf numFmtId="0" fontId="55" fillId="50" borderId="101" xfId="2" applyNumberFormat="1" applyFont="1" applyFill="1" applyBorder="1" applyAlignment="1">
      <alignment horizontal="center" vertical="center"/>
    </xf>
    <xf numFmtId="0" fontId="55" fillId="50" borderId="30" xfId="2" applyNumberFormat="1" applyFont="1" applyFill="1" applyBorder="1" applyAlignment="1">
      <alignment horizontal="center" vertical="center"/>
    </xf>
    <xf numFmtId="0" fontId="7" fillId="2" borderId="103" xfId="2" applyNumberFormat="1" applyFont="1" applyFill="1" applyBorder="1" applyAlignment="1">
      <alignment horizontal="center" vertical="center"/>
    </xf>
    <xf numFmtId="0" fontId="7" fillId="2" borderId="98" xfId="2" applyNumberFormat="1" applyFont="1" applyFill="1" applyBorder="1" applyAlignment="1">
      <alignment horizontal="center" vertical="center"/>
    </xf>
    <xf numFmtId="0" fontId="10" fillId="3" borderId="6" xfId="2" applyNumberFormat="1" applyFont="1" applyFill="1" applyBorder="1" applyAlignment="1">
      <alignment horizontal="center" vertical="center"/>
    </xf>
    <xf numFmtId="0" fontId="0" fillId="0" borderId="81" xfId="0" applyBorder="1">
      <alignment vertical="center"/>
    </xf>
    <xf numFmtId="0" fontId="0" fillId="0" borderId="30" xfId="0" applyBorder="1">
      <alignment vertical="center"/>
    </xf>
    <xf numFmtId="0" fontId="0" fillId="0" borderId="0" xfId="0" applyBorder="1">
      <alignment vertical="center"/>
    </xf>
    <xf numFmtId="0" fontId="10" fillId="3" borderId="46" xfId="0" applyNumberFormat="1" applyFont="1" applyFill="1" applyBorder="1" applyAlignment="1">
      <alignment horizontal="center" vertical="center"/>
    </xf>
    <xf numFmtId="0" fontId="10" fillId="3" borderId="5" xfId="0" applyNumberFormat="1" applyFont="1" applyFill="1" applyBorder="1" applyAlignment="1">
      <alignment horizontal="center" vertical="center"/>
    </xf>
    <xf numFmtId="0" fontId="10" fillId="3" borderId="6" xfId="0" applyNumberFormat="1" applyFont="1" applyFill="1" applyBorder="1" applyAlignment="1">
      <alignment horizontal="center" vertical="center"/>
    </xf>
    <xf numFmtId="0" fontId="10" fillId="3" borderId="57" xfId="0" applyNumberFormat="1" applyFont="1" applyFill="1" applyBorder="1" applyAlignment="1">
      <alignment horizontal="center" vertical="center"/>
    </xf>
    <xf numFmtId="0" fontId="10" fillId="3" borderId="47" xfId="0" applyNumberFormat="1" applyFont="1" applyFill="1" applyBorder="1" applyAlignment="1">
      <alignment horizontal="center" vertical="center"/>
    </xf>
    <xf numFmtId="0" fontId="10" fillId="3" borderId="59" xfId="0" applyNumberFormat="1" applyFont="1" applyFill="1" applyBorder="1" applyAlignment="1">
      <alignment horizontal="center" vertical="center"/>
    </xf>
    <xf numFmtId="0" fontId="10" fillId="3" borderId="61" xfId="0" applyNumberFormat="1" applyFont="1" applyFill="1" applyBorder="1" applyAlignment="1">
      <alignment horizontal="center" vertical="center" wrapText="1"/>
    </xf>
    <xf numFmtId="0" fontId="10" fillId="3" borderId="7" xfId="0" applyNumberFormat="1" applyFont="1" applyFill="1" applyBorder="1" applyAlignment="1">
      <alignment horizontal="center" vertical="center" wrapText="1"/>
    </xf>
    <xf numFmtId="0" fontId="10" fillId="3" borderId="5" xfId="0" applyNumberFormat="1" applyFont="1" applyFill="1" applyBorder="1" applyAlignment="1">
      <alignment horizontal="center" vertical="center" wrapText="1"/>
    </xf>
    <xf numFmtId="0" fontId="10" fillId="3" borderId="47" xfId="0" applyNumberFormat="1" applyFont="1" applyFill="1" applyBorder="1" applyAlignment="1">
      <alignment horizontal="center" vertical="center" wrapText="1"/>
    </xf>
    <xf numFmtId="0" fontId="8" fillId="3" borderId="47" xfId="0" applyNumberFormat="1" applyFont="1" applyFill="1" applyBorder="1" applyAlignment="1">
      <alignment horizontal="center" vertical="center"/>
    </xf>
    <xf numFmtId="0" fontId="8" fillId="3" borderId="59" xfId="0" applyNumberFormat="1" applyFont="1" applyFill="1" applyBorder="1" applyAlignment="1">
      <alignment horizontal="center" vertical="center"/>
    </xf>
    <xf numFmtId="0" fontId="8" fillId="3" borderId="57" xfId="0" applyNumberFormat="1" applyFont="1" applyFill="1" applyBorder="1" applyAlignment="1">
      <alignment horizontal="center" vertical="center"/>
    </xf>
    <xf numFmtId="0" fontId="8" fillId="3" borderId="6" xfId="0" applyNumberFormat="1" applyFont="1" applyFill="1" applyBorder="1" applyAlignment="1">
      <alignment horizontal="center" vertical="center"/>
    </xf>
    <xf numFmtId="0" fontId="8" fillId="3" borderId="46" xfId="2" applyNumberFormat="1" applyFont="1" applyFill="1" applyBorder="1" applyAlignment="1">
      <alignment horizontal="center" vertical="center"/>
    </xf>
    <xf numFmtId="41" fontId="8" fillId="0" borderId="6" xfId="2" applyFont="1" applyFill="1" applyBorder="1" applyAlignment="1">
      <alignment horizontal="center" vertical="center"/>
    </xf>
    <xf numFmtId="0" fontId="0" fillId="0" borderId="46" xfId="0" applyBorder="1">
      <alignment vertical="center"/>
    </xf>
    <xf numFmtId="41" fontId="10" fillId="0" borderId="6" xfId="2" applyFont="1" applyFill="1" applyBorder="1" applyAlignment="1">
      <alignment horizontal="center" vertical="center"/>
    </xf>
    <xf numFmtId="41" fontId="10" fillId="0" borderId="59" xfId="2" applyFont="1" applyFill="1" applyBorder="1" applyAlignment="1">
      <alignment horizontal="center" vertical="center"/>
    </xf>
    <xf numFmtId="0" fontId="0" fillId="0" borderId="57" xfId="0" applyBorder="1">
      <alignment vertical="center"/>
    </xf>
    <xf numFmtId="0" fontId="10" fillId="5" borderId="47" xfId="2" applyNumberFormat="1" applyFont="1" applyFill="1" applyBorder="1" applyAlignment="1">
      <alignment horizontal="center" vertical="center"/>
    </xf>
    <xf numFmtId="0" fontId="10" fillId="5" borderId="59" xfId="2" applyNumberFormat="1" applyFont="1" applyFill="1" applyBorder="1" applyAlignment="1">
      <alignment horizontal="center" vertical="center"/>
    </xf>
    <xf numFmtId="0" fontId="10" fillId="3" borderId="7" xfId="0" applyNumberFormat="1" applyFont="1" applyFill="1" applyBorder="1" applyAlignment="1">
      <alignment horizontal="center" vertical="center"/>
    </xf>
    <xf numFmtId="0" fontId="10" fillId="3" borderId="9" xfId="0" applyNumberFormat="1" applyFont="1" applyFill="1" applyBorder="1" applyAlignment="1">
      <alignment horizontal="center" vertical="center"/>
    </xf>
    <xf numFmtId="0" fontId="7" fillId="2" borderId="81" xfId="0" applyNumberFormat="1" applyFont="1" applyFill="1" applyBorder="1" applyAlignment="1">
      <alignment horizontal="right" vertical="center"/>
    </xf>
    <xf numFmtId="0" fontId="7" fillId="2" borderId="100" xfId="0" applyNumberFormat="1" applyFont="1" applyFill="1" applyBorder="1" applyAlignment="1">
      <alignment horizontal="right" vertical="center"/>
    </xf>
    <xf numFmtId="0" fontId="7" fillId="2" borderId="0" xfId="0" applyNumberFormat="1" applyFont="1" applyFill="1" applyBorder="1" applyAlignment="1">
      <alignment horizontal="left" vertical="center"/>
    </xf>
    <xf numFmtId="0" fontId="7" fillId="2" borderId="45" xfId="0" applyNumberFormat="1" applyFont="1" applyFill="1" applyBorder="1" applyAlignment="1">
      <alignment horizontal="left" vertical="center"/>
    </xf>
    <xf numFmtId="177" fontId="10" fillId="0" borderId="0" xfId="2" applyNumberFormat="1" applyFont="1" applyFill="1" applyBorder="1" applyAlignment="1">
      <alignment vertical="center" wrapText="1"/>
    </xf>
    <xf numFmtId="0" fontId="7" fillId="2" borderId="104" xfId="2" applyNumberFormat="1" applyFont="1" applyFill="1" applyBorder="1" applyAlignment="1">
      <alignment horizontal="center" vertical="center"/>
    </xf>
    <xf numFmtId="0" fontId="7" fillId="2" borderId="51" xfId="2" applyNumberFormat="1" applyFont="1" applyFill="1" applyBorder="1" applyAlignment="1">
      <alignment horizontal="center" vertical="center"/>
    </xf>
    <xf numFmtId="0" fontId="7" fillId="2" borderId="110" xfId="2" applyNumberFormat="1" applyFont="1" applyFill="1" applyBorder="1" applyAlignment="1">
      <alignment horizontal="center" vertical="center"/>
    </xf>
    <xf numFmtId="0" fontId="7" fillId="2" borderId="111" xfId="2" applyNumberFormat="1" applyFont="1" applyFill="1" applyBorder="1" applyAlignment="1">
      <alignment horizontal="center" vertical="center"/>
    </xf>
    <xf numFmtId="0" fontId="7" fillId="2" borderId="104" xfId="2" applyNumberFormat="1" applyFont="1" applyFill="1" applyBorder="1" applyAlignment="1">
      <alignment horizontal="center" vertical="center" wrapText="1"/>
    </xf>
    <xf numFmtId="0" fontId="10" fillId="0" borderId="0" xfId="2" applyNumberFormat="1" applyFont="1" applyFill="1" applyBorder="1" applyAlignment="1">
      <alignment vertical="center" wrapText="1"/>
    </xf>
    <xf numFmtId="0" fontId="7" fillId="2" borderId="49" xfId="2" applyNumberFormat="1" applyFont="1" applyFill="1" applyBorder="1" applyAlignment="1">
      <alignment horizontal="center" vertical="center"/>
    </xf>
    <xf numFmtId="0" fontId="7" fillId="2" borderId="50" xfId="2" applyNumberFormat="1" applyFont="1" applyFill="1" applyBorder="1" applyAlignment="1">
      <alignment horizontal="center" vertical="center"/>
    </xf>
    <xf numFmtId="0" fontId="7" fillId="2" borderId="1" xfId="2" applyNumberFormat="1" applyFont="1" applyFill="1" applyBorder="1" applyAlignment="1">
      <alignment horizontal="center" vertical="center"/>
    </xf>
    <xf numFmtId="0" fontId="7" fillId="2" borderId="44" xfId="2" applyNumberFormat="1" applyFont="1" applyFill="1" applyBorder="1" applyAlignment="1">
      <alignment horizontal="center" vertical="center"/>
    </xf>
    <xf numFmtId="0" fontId="7" fillId="2" borderId="49" xfId="0" applyNumberFormat="1" applyFont="1" applyFill="1" applyBorder="1" applyAlignment="1">
      <alignment vertical="center"/>
    </xf>
    <xf numFmtId="0" fontId="7" fillId="2" borderId="1" xfId="2" applyNumberFormat="1" applyFont="1" applyFill="1" applyBorder="1" applyAlignment="1">
      <alignment horizontal="center" vertical="center" wrapText="1"/>
    </xf>
    <xf numFmtId="0" fontId="7" fillId="2" borderId="44" xfId="2" applyNumberFormat="1" applyFont="1" applyFill="1" applyBorder="1" applyAlignment="1">
      <alignment horizontal="center" vertical="center" wrapText="1"/>
    </xf>
    <xf numFmtId="0" fontId="7" fillId="2" borderId="33" xfId="2" applyNumberFormat="1" applyFont="1" applyFill="1" applyBorder="1" applyAlignment="1">
      <alignment horizontal="center" vertical="center"/>
    </xf>
    <xf numFmtId="0" fontId="7" fillId="2" borderId="48" xfId="2" applyNumberFormat="1" applyFont="1" applyFill="1" applyBorder="1" applyAlignment="1">
      <alignment horizontal="center" vertical="center"/>
    </xf>
    <xf numFmtId="0" fontId="7" fillId="2" borderId="43" xfId="2" applyNumberFormat="1" applyFont="1" applyFill="1" applyBorder="1" applyAlignment="1">
      <alignment horizontal="center" vertical="center"/>
    </xf>
    <xf numFmtId="0" fontId="7" fillId="2" borderId="12" xfId="2" applyNumberFormat="1" applyFont="1" applyFill="1" applyBorder="1" applyAlignment="1">
      <alignment horizontal="center" vertical="center"/>
    </xf>
    <xf numFmtId="0" fontId="7" fillId="2" borderId="16" xfId="2" applyNumberFormat="1" applyFont="1" applyFill="1" applyBorder="1" applyAlignment="1">
      <alignment horizontal="center" vertical="center"/>
    </xf>
    <xf numFmtId="0" fontId="7" fillId="2" borderId="14" xfId="2" applyNumberFormat="1" applyFont="1" applyFill="1" applyBorder="1" applyAlignment="1">
      <alignment horizontal="center" vertical="center"/>
    </xf>
    <xf numFmtId="0" fontId="7" fillId="2" borderId="30" xfId="2" applyNumberFormat="1" applyFont="1" applyFill="1" applyBorder="1" applyAlignment="1">
      <alignment horizontal="center" vertical="center" wrapText="1"/>
    </xf>
    <xf numFmtId="0" fontId="7" fillId="2" borderId="13" xfId="2" applyNumberFormat="1" applyFont="1" applyFill="1" applyBorder="1" applyAlignment="1">
      <alignment horizontal="center" vertical="center"/>
    </xf>
    <xf numFmtId="0" fontId="7" fillId="2" borderId="15" xfId="2" applyNumberFormat="1" applyFont="1" applyFill="1" applyBorder="1" applyAlignment="1">
      <alignment horizontal="center" vertical="center" wrapText="1"/>
    </xf>
    <xf numFmtId="0" fontId="7" fillId="2" borderId="52" xfId="2" applyNumberFormat="1" applyFont="1" applyFill="1" applyBorder="1" applyAlignment="1">
      <alignment horizontal="center" vertical="center"/>
    </xf>
    <xf numFmtId="0" fontId="7" fillId="2" borderId="53" xfId="2" applyNumberFormat="1" applyFont="1" applyFill="1" applyBorder="1" applyAlignment="1">
      <alignment horizontal="center" vertical="center"/>
    </xf>
    <xf numFmtId="0" fontId="7" fillId="2" borderId="17" xfId="2" applyNumberFormat="1" applyFont="1" applyFill="1" applyBorder="1" applyAlignment="1">
      <alignment horizontal="center" vertical="center"/>
    </xf>
    <xf numFmtId="0" fontId="7" fillId="2" borderId="18" xfId="2" applyNumberFormat="1" applyFont="1" applyFill="1" applyBorder="1" applyAlignment="1">
      <alignment horizontal="center" vertical="center"/>
    </xf>
    <xf numFmtId="0" fontId="10" fillId="3" borderId="57" xfId="3" applyNumberFormat="1" applyFont="1" applyFill="1" applyBorder="1" applyAlignment="1">
      <alignment horizontal="center" vertical="center"/>
    </xf>
    <xf numFmtId="0" fontId="10" fillId="3" borderId="58" xfId="3" applyNumberFormat="1" applyFont="1" applyFill="1" applyBorder="1" applyAlignment="1">
      <alignment horizontal="center" vertical="center"/>
    </xf>
    <xf numFmtId="0" fontId="10" fillId="3" borderId="72" xfId="2" applyNumberFormat="1" applyFont="1" applyFill="1" applyBorder="1" applyAlignment="1">
      <alignment horizontal="center" vertical="center"/>
    </xf>
    <xf numFmtId="0" fontId="10" fillId="3" borderId="36" xfId="2" applyNumberFormat="1" applyFont="1" applyFill="1" applyBorder="1" applyAlignment="1">
      <alignment horizontal="center" vertical="center"/>
    </xf>
    <xf numFmtId="0" fontId="10" fillId="3" borderId="41" xfId="3" applyNumberFormat="1" applyFont="1" applyFill="1" applyBorder="1" applyAlignment="1">
      <alignment horizontal="center" vertical="center"/>
    </xf>
    <xf numFmtId="0" fontId="10" fillId="3" borderId="56" xfId="3" applyNumberFormat="1" applyFont="1" applyFill="1" applyBorder="1" applyAlignment="1">
      <alignment horizontal="center" vertical="center"/>
    </xf>
    <xf numFmtId="0" fontId="7" fillId="2" borderId="28" xfId="2" applyNumberFormat="1" applyFont="1" applyFill="1" applyBorder="1" applyAlignment="1">
      <alignment horizontal="center" vertical="center"/>
    </xf>
    <xf numFmtId="0" fontId="7" fillId="2" borderId="29" xfId="2" applyNumberFormat="1" applyFont="1" applyFill="1" applyBorder="1" applyAlignment="1">
      <alignment horizontal="center" vertical="center"/>
    </xf>
    <xf numFmtId="0" fontId="10" fillId="3" borderId="71" xfId="2" applyNumberFormat="1" applyFont="1" applyFill="1" applyBorder="1" applyAlignment="1">
      <alignment horizontal="center" vertical="center"/>
    </xf>
    <xf numFmtId="0" fontId="7" fillId="2" borderId="28" xfId="2" applyNumberFormat="1" applyFont="1" applyFill="1" applyBorder="1" applyAlignment="1">
      <alignment horizontal="center" vertical="center" wrapText="1"/>
    </xf>
    <xf numFmtId="0" fontId="7" fillId="2" borderId="0" xfId="2" applyNumberFormat="1" applyFont="1" applyFill="1" applyBorder="1" applyAlignment="1">
      <alignment horizontal="center" vertical="center"/>
    </xf>
    <xf numFmtId="0" fontId="10" fillId="4" borderId="0" xfId="2" applyNumberFormat="1" applyFont="1" applyFill="1" applyBorder="1" applyAlignment="1">
      <alignment vertical="center" wrapText="1"/>
    </xf>
    <xf numFmtId="0" fontId="7" fillId="2" borderId="74" xfId="2" applyNumberFormat="1" applyFont="1" applyFill="1" applyBorder="1" applyAlignment="1">
      <alignment horizontal="center" vertical="center"/>
    </xf>
    <xf numFmtId="0" fontId="7" fillId="2" borderId="79" xfId="2" applyNumberFormat="1" applyFont="1" applyFill="1" applyBorder="1" applyAlignment="1">
      <alignment horizontal="center" vertical="center"/>
    </xf>
    <xf numFmtId="0" fontId="7" fillId="2" borderId="75" xfId="2" applyNumberFormat="1" applyFont="1" applyFill="1" applyBorder="1" applyAlignment="1">
      <alignment horizontal="center" vertical="center"/>
    </xf>
    <xf numFmtId="0" fontId="7" fillId="2" borderId="76" xfId="2" applyNumberFormat="1" applyFont="1" applyFill="1" applyBorder="1" applyAlignment="1">
      <alignment horizontal="center" vertical="center"/>
    </xf>
    <xf numFmtId="0" fontId="7" fillId="2" borderId="77" xfId="2" applyNumberFormat="1" applyFont="1" applyFill="1" applyBorder="1" applyAlignment="1">
      <alignment horizontal="center" vertical="center"/>
    </xf>
    <xf numFmtId="41" fontId="10" fillId="0" borderId="0" xfId="2" applyFont="1" applyFill="1" applyBorder="1" applyAlignment="1">
      <alignment horizontal="center" vertical="center"/>
    </xf>
    <xf numFmtId="41" fontId="10" fillId="0" borderId="42" xfId="2" applyFont="1" applyFill="1" applyBorder="1" applyAlignment="1">
      <alignment horizontal="center" vertical="center"/>
    </xf>
    <xf numFmtId="177" fontId="10" fillId="0" borderId="38" xfId="2" applyNumberFormat="1" applyFont="1" applyFill="1" applyBorder="1" applyAlignment="1">
      <alignment vertical="center"/>
    </xf>
    <xf numFmtId="177" fontId="10" fillId="0" borderId="41" xfId="2" applyNumberFormat="1" applyFont="1" applyFill="1" applyBorder="1" applyAlignment="1">
      <alignment vertical="center"/>
    </xf>
    <xf numFmtId="177" fontId="10" fillId="0" borderId="0" xfId="2" applyNumberFormat="1" applyFont="1" applyFill="1" applyBorder="1" applyAlignment="1">
      <alignment vertical="center"/>
    </xf>
    <xf numFmtId="177" fontId="10" fillId="0" borderId="42" xfId="2" applyNumberFormat="1" applyFont="1" applyFill="1" applyBorder="1" applyAlignment="1">
      <alignment vertical="center"/>
    </xf>
    <xf numFmtId="0" fontId="7" fillId="2" borderId="62" xfId="2" applyNumberFormat="1" applyFont="1" applyFill="1" applyBorder="1" applyAlignment="1">
      <alignment horizontal="center" vertical="center"/>
    </xf>
    <xf numFmtId="0" fontId="7" fillId="2" borderId="63" xfId="2" applyNumberFormat="1" applyFont="1" applyFill="1" applyBorder="1" applyAlignment="1">
      <alignment horizontal="center" vertical="center" wrapText="1"/>
    </xf>
    <xf numFmtId="0" fontId="7" fillId="2" borderId="64" xfId="2" applyNumberFormat="1" applyFont="1" applyFill="1" applyBorder="1" applyAlignment="1">
      <alignment horizontal="center" vertical="center" wrapText="1"/>
    </xf>
    <xf numFmtId="0" fontId="7" fillId="2" borderId="45" xfId="2" applyNumberFormat="1" applyFont="1" applyFill="1" applyBorder="1" applyAlignment="1">
      <alignment horizontal="center" vertical="center" wrapText="1"/>
    </xf>
    <xf numFmtId="0" fontId="7" fillId="2" borderId="0" xfId="2" applyNumberFormat="1" applyFont="1" applyFill="1" applyBorder="1" applyAlignment="1">
      <alignment horizontal="right" vertical="center"/>
    </xf>
    <xf numFmtId="0" fontId="7" fillId="2" borderId="45" xfId="2" applyNumberFormat="1" applyFont="1" applyFill="1" applyBorder="1" applyAlignment="1">
      <alignment horizontal="right" vertical="center"/>
    </xf>
    <xf numFmtId="0" fontId="10" fillId="5" borderId="42" xfId="2" applyNumberFormat="1" applyFont="1" applyFill="1" applyBorder="1" applyAlignment="1">
      <alignment horizontal="center" vertical="center" wrapText="1"/>
    </xf>
    <xf numFmtId="0" fontId="10" fillId="5" borderId="41" xfId="2" applyNumberFormat="1" applyFont="1" applyFill="1" applyBorder="1" applyAlignment="1">
      <alignment horizontal="center" vertical="center" wrapText="1"/>
    </xf>
    <xf numFmtId="0" fontId="10" fillId="5" borderId="61" xfId="2" applyNumberFormat="1" applyFont="1" applyFill="1" applyBorder="1" applyAlignment="1">
      <alignment horizontal="center" vertical="center" wrapText="1"/>
    </xf>
    <xf numFmtId="0" fontId="7" fillId="2" borderId="45" xfId="2" applyNumberFormat="1" applyFont="1" applyFill="1" applyBorder="1" applyAlignment="1">
      <alignment horizontal="center" vertical="center"/>
    </xf>
    <xf numFmtId="0" fontId="10" fillId="0" borderId="0" xfId="2" applyNumberFormat="1" applyFont="1" applyFill="1" applyBorder="1" applyAlignment="1">
      <alignment horizontal="left" vertical="center" wrapText="1"/>
    </xf>
    <xf numFmtId="0" fontId="7" fillId="2" borderId="49" xfId="2" applyNumberFormat="1" applyFont="1" applyFill="1" applyBorder="1" applyAlignment="1">
      <alignment horizontal="center" vertical="center" wrapText="1"/>
    </xf>
    <xf numFmtId="0" fontId="10" fillId="0" borderId="0" xfId="2" applyNumberFormat="1" applyFont="1" applyFill="1" applyAlignment="1">
      <alignment horizontal="left" vertical="center"/>
    </xf>
    <xf numFmtId="0" fontId="7" fillId="2" borderId="50" xfId="2" applyNumberFormat="1" applyFont="1" applyFill="1" applyBorder="1" applyAlignment="1">
      <alignment horizontal="center" vertical="center" wrapText="1"/>
    </xf>
    <xf numFmtId="0" fontId="10" fillId="51" borderId="0" xfId="2" applyNumberFormat="1" applyFont="1" applyFill="1" applyAlignment="1">
      <alignment horizontal="left" vertical="center" wrapText="1"/>
    </xf>
    <xf numFmtId="0" fontId="10" fillId="0" borderId="0" xfId="2" applyNumberFormat="1" applyFont="1" applyFill="1" applyBorder="1" applyAlignment="1">
      <alignment horizontal="center" vertical="center"/>
    </xf>
    <xf numFmtId="0" fontId="0" fillId="0" borderId="0" xfId="0">
      <alignment vertical="center"/>
    </xf>
    <xf numFmtId="0" fontId="10" fillId="0" borderId="38" xfId="2" applyNumberFormat="1" applyFont="1" applyFill="1" applyBorder="1" applyAlignment="1">
      <alignment horizontal="center" vertical="center"/>
    </xf>
    <xf numFmtId="0" fontId="0" fillId="0" borderId="38" xfId="0" applyBorder="1">
      <alignment vertical="center"/>
    </xf>
    <xf numFmtId="0" fontId="8" fillId="0" borderId="0" xfId="2" applyNumberFormat="1" applyFont="1" applyFill="1" applyBorder="1" applyAlignment="1">
      <alignment horizontal="center" vertical="center"/>
    </xf>
    <xf numFmtId="0" fontId="8" fillId="0" borderId="46" xfId="2" applyNumberFormat="1" applyFont="1" applyFill="1" applyBorder="1" applyAlignment="1">
      <alignment horizontal="center" vertical="center"/>
    </xf>
    <xf numFmtId="0" fontId="10" fillId="0" borderId="46" xfId="2" applyNumberFormat="1" applyFont="1" applyFill="1" applyBorder="1" applyAlignment="1">
      <alignment horizontal="center" vertical="center"/>
    </xf>
    <xf numFmtId="0" fontId="10" fillId="0" borderId="27" xfId="2" applyNumberFormat="1" applyFont="1" applyFill="1" applyBorder="1" applyAlignment="1">
      <alignment horizontal="center" vertical="center"/>
    </xf>
    <xf numFmtId="0" fontId="10" fillId="0" borderId="57" xfId="2" applyNumberFormat="1" applyFont="1" applyFill="1" applyBorder="1" applyAlignment="1">
      <alignment horizontal="center" vertical="center"/>
    </xf>
    <xf numFmtId="0" fontId="0" fillId="0" borderId="27" xfId="0" applyBorder="1">
      <alignment vertical="center"/>
    </xf>
    <xf numFmtId="0" fontId="7" fillId="2" borderId="69" xfId="2" applyNumberFormat="1" applyFont="1" applyFill="1" applyBorder="1" applyAlignment="1">
      <alignment horizontal="right" vertical="center"/>
    </xf>
    <xf numFmtId="0" fontId="7" fillId="2" borderId="65" xfId="2" applyNumberFormat="1" applyFont="1" applyFill="1" applyBorder="1" applyAlignment="1">
      <alignment horizontal="right" vertical="center"/>
    </xf>
    <xf numFmtId="0" fontId="7" fillId="2" borderId="66" xfId="2" applyNumberFormat="1" applyFont="1" applyFill="1" applyBorder="1" applyAlignment="1">
      <alignment horizontal="center" vertical="center"/>
    </xf>
    <xf numFmtId="0" fontId="7" fillId="2" borderId="112" xfId="2" applyNumberFormat="1" applyFont="1" applyFill="1" applyBorder="1" applyAlignment="1">
      <alignment horizontal="center" vertical="center"/>
    </xf>
    <xf numFmtId="41" fontId="73" fillId="2" borderId="112" xfId="2" applyFont="1" applyFill="1" applyBorder="1" applyAlignment="1">
      <alignment horizontal="center" vertical="center"/>
    </xf>
    <xf numFmtId="0" fontId="7" fillId="2" borderId="113" xfId="2" applyNumberFormat="1" applyFont="1" applyFill="1" applyBorder="1" applyAlignment="1">
      <alignment horizontal="left" vertical="center"/>
    </xf>
    <xf numFmtId="0" fontId="7" fillId="2" borderId="68" xfId="2" applyNumberFormat="1" applyFont="1" applyFill="1" applyBorder="1" applyAlignment="1">
      <alignment horizontal="left" vertical="center"/>
    </xf>
    <xf numFmtId="0" fontId="7" fillId="2" borderId="63" xfId="2" applyNumberFormat="1" applyFont="1" applyFill="1" applyBorder="1" applyAlignment="1">
      <alignment horizontal="center" vertical="center"/>
    </xf>
  </cellXfs>
  <cellStyles count="2323">
    <cellStyle name="20% - 강조색1 10" xfId="33"/>
    <cellStyle name="20% - 강조색1 11" xfId="34"/>
    <cellStyle name="20% - 강조색1 12" xfId="35"/>
    <cellStyle name="20% - 강조색1 13" xfId="36"/>
    <cellStyle name="20% - 강조색1 14" xfId="37"/>
    <cellStyle name="20% - 강조색1 15" xfId="38"/>
    <cellStyle name="20% - 강조색1 16" xfId="39"/>
    <cellStyle name="20% - 강조색1 17" xfId="40"/>
    <cellStyle name="20% - 강조색1 18" xfId="41"/>
    <cellStyle name="20% - 강조색1 19" xfId="42"/>
    <cellStyle name="20% - 강조색1 2" xfId="43"/>
    <cellStyle name="20% - 강조색1 2 2" xfId="44"/>
    <cellStyle name="20% - 강조색1 2 3" xfId="45"/>
    <cellStyle name="20% - 강조색1 2 4" xfId="46"/>
    <cellStyle name="20% - 강조색1 20" xfId="47"/>
    <cellStyle name="20% - 강조색1 21" xfId="48"/>
    <cellStyle name="20% - 강조색1 22" xfId="49"/>
    <cellStyle name="20% - 강조색1 23" xfId="50"/>
    <cellStyle name="20% - 강조색1 24" xfId="51"/>
    <cellStyle name="20% - 강조색1 25" xfId="52"/>
    <cellStyle name="20% - 강조색1 26" xfId="53"/>
    <cellStyle name="20% - 강조색1 27" xfId="54"/>
    <cellStyle name="20% - 강조색1 28" xfId="55"/>
    <cellStyle name="20% - 강조색1 29" xfId="56"/>
    <cellStyle name="20% - 강조색1 3" xfId="57"/>
    <cellStyle name="20% - 강조색1 3 2" xfId="58"/>
    <cellStyle name="20% - 강조색1 3 3" xfId="59"/>
    <cellStyle name="20% - 강조색1 3 4" xfId="60"/>
    <cellStyle name="20% - 강조색1 30" xfId="61"/>
    <cellStyle name="20% - 강조색1 31" xfId="62"/>
    <cellStyle name="20% - 강조색1 32" xfId="63"/>
    <cellStyle name="20% - 강조색1 33" xfId="64"/>
    <cellStyle name="20% - 강조색1 34" xfId="65"/>
    <cellStyle name="20% - 강조색1 35" xfId="66"/>
    <cellStyle name="20% - 강조색1 36" xfId="67"/>
    <cellStyle name="20% - 강조색1 37" xfId="68"/>
    <cellStyle name="20% - 강조색1 38" xfId="69"/>
    <cellStyle name="20% - 강조색1 39" xfId="70"/>
    <cellStyle name="20% - 강조색1 4" xfId="71"/>
    <cellStyle name="20% - 강조색1 4 2" xfId="72"/>
    <cellStyle name="20% - 강조색1 4 3" xfId="73"/>
    <cellStyle name="20% - 강조색1 4 4" xfId="74"/>
    <cellStyle name="20% - 강조색1 40" xfId="75"/>
    <cellStyle name="20% - 강조색1 41" xfId="76"/>
    <cellStyle name="20% - 강조색1 42" xfId="77"/>
    <cellStyle name="20% - 강조색1 43" xfId="78"/>
    <cellStyle name="20% - 강조색1 44" xfId="79"/>
    <cellStyle name="20% - 강조색1 45" xfId="80"/>
    <cellStyle name="20% - 강조색1 46" xfId="81"/>
    <cellStyle name="20% - 강조색1 47" xfId="82"/>
    <cellStyle name="20% - 강조색1 48" xfId="83"/>
    <cellStyle name="20% - 강조색1 5" xfId="84"/>
    <cellStyle name="20% - 강조색1 6" xfId="85"/>
    <cellStyle name="20% - 강조색1 7" xfId="86"/>
    <cellStyle name="20% - 강조색1 8" xfId="87"/>
    <cellStyle name="20% - 강조색1 9" xfId="88"/>
    <cellStyle name="20% - 강조색2 10" xfId="89"/>
    <cellStyle name="20% - 강조색2 11" xfId="90"/>
    <cellStyle name="20% - 강조색2 12" xfId="91"/>
    <cellStyle name="20% - 강조색2 13" xfId="92"/>
    <cellStyle name="20% - 강조색2 14" xfId="93"/>
    <cellStyle name="20% - 강조색2 15" xfId="94"/>
    <cellStyle name="20% - 강조색2 16" xfId="95"/>
    <cellStyle name="20% - 강조색2 17" xfId="96"/>
    <cellStyle name="20% - 강조색2 18" xfId="97"/>
    <cellStyle name="20% - 강조색2 19" xfId="98"/>
    <cellStyle name="20% - 강조색2 2" xfId="99"/>
    <cellStyle name="20% - 강조색2 2 2" xfId="100"/>
    <cellStyle name="20% - 강조색2 2 3" xfId="101"/>
    <cellStyle name="20% - 강조색2 2 4" xfId="102"/>
    <cellStyle name="20% - 강조색2 20" xfId="103"/>
    <cellStyle name="20% - 강조색2 21" xfId="104"/>
    <cellStyle name="20% - 강조색2 22" xfId="105"/>
    <cellStyle name="20% - 강조색2 23" xfId="106"/>
    <cellStyle name="20% - 강조색2 24" xfId="107"/>
    <cellStyle name="20% - 강조색2 25" xfId="108"/>
    <cellStyle name="20% - 강조색2 26" xfId="109"/>
    <cellStyle name="20% - 강조색2 27" xfId="110"/>
    <cellStyle name="20% - 강조색2 28" xfId="111"/>
    <cellStyle name="20% - 강조색2 29" xfId="112"/>
    <cellStyle name="20% - 강조색2 3" xfId="113"/>
    <cellStyle name="20% - 강조색2 3 2" xfId="114"/>
    <cellStyle name="20% - 강조색2 3 3" xfId="115"/>
    <cellStyle name="20% - 강조색2 3 4" xfId="116"/>
    <cellStyle name="20% - 강조색2 30" xfId="117"/>
    <cellStyle name="20% - 강조색2 31" xfId="118"/>
    <cellStyle name="20% - 강조색2 32" xfId="119"/>
    <cellStyle name="20% - 강조색2 33" xfId="120"/>
    <cellStyle name="20% - 강조색2 34" xfId="121"/>
    <cellStyle name="20% - 강조색2 35" xfId="122"/>
    <cellStyle name="20% - 강조색2 36" xfId="123"/>
    <cellStyle name="20% - 강조색2 37" xfId="124"/>
    <cellStyle name="20% - 강조색2 38" xfId="125"/>
    <cellStyle name="20% - 강조색2 39" xfId="126"/>
    <cellStyle name="20% - 강조색2 4" xfId="127"/>
    <cellStyle name="20% - 강조색2 4 2" xfId="128"/>
    <cellStyle name="20% - 강조색2 4 3" xfId="129"/>
    <cellStyle name="20% - 강조색2 4 4" xfId="130"/>
    <cellStyle name="20% - 강조색2 40" xfId="131"/>
    <cellStyle name="20% - 강조색2 41" xfId="132"/>
    <cellStyle name="20% - 강조색2 42" xfId="133"/>
    <cellStyle name="20% - 강조색2 43" xfId="134"/>
    <cellStyle name="20% - 강조색2 44" xfId="135"/>
    <cellStyle name="20% - 강조색2 45" xfId="136"/>
    <cellStyle name="20% - 강조색2 46" xfId="137"/>
    <cellStyle name="20% - 강조색2 47" xfId="138"/>
    <cellStyle name="20% - 강조색2 48" xfId="139"/>
    <cellStyle name="20% - 강조색2 5" xfId="140"/>
    <cellStyle name="20% - 강조색2 6" xfId="141"/>
    <cellStyle name="20% - 강조색2 7" xfId="142"/>
    <cellStyle name="20% - 강조색2 8" xfId="143"/>
    <cellStyle name="20% - 강조색2 9" xfId="144"/>
    <cellStyle name="20% - 강조색3 10" xfId="145"/>
    <cellStyle name="20% - 강조색3 11" xfId="146"/>
    <cellStyle name="20% - 강조색3 12" xfId="147"/>
    <cellStyle name="20% - 강조색3 13" xfId="148"/>
    <cellStyle name="20% - 강조색3 14" xfId="149"/>
    <cellStyle name="20% - 강조색3 15" xfId="150"/>
    <cellStyle name="20% - 강조색3 16" xfId="151"/>
    <cellStyle name="20% - 강조색3 17" xfId="152"/>
    <cellStyle name="20% - 강조색3 18" xfId="153"/>
    <cellStyle name="20% - 강조색3 19" xfId="154"/>
    <cellStyle name="20% - 강조색3 2" xfId="155"/>
    <cellStyle name="20% - 강조색3 2 2" xfId="156"/>
    <cellStyle name="20% - 강조색3 2 3" xfId="157"/>
    <cellStyle name="20% - 강조색3 2 4" xfId="158"/>
    <cellStyle name="20% - 강조색3 20" xfId="159"/>
    <cellStyle name="20% - 강조색3 21" xfId="160"/>
    <cellStyle name="20% - 강조색3 22" xfId="161"/>
    <cellStyle name="20% - 강조색3 23" xfId="162"/>
    <cellStyle name="20% - 강조색3 24" xfId="163"/>
    <cellStyle name="20% - 강조색3 25" xfId="164"/>
    <cellStyle name="20% - 강조색3 26" xfId="165"/>
    <cellStyle name="20% - 강조색3 27" xfId="166"/>
    <cellStyle name="20% - 강조색3 28" xfId="167"/>
    <cellStyle name="20% - 강조색3 29" xfId="168"/>
    <cellStyle name="20% - 강조색3 3" xfId="169"/>
    <cellStyle name="20% - 강조색3 3 2" xfId="170"/>
    <cellStyle name="20% - 강조색3 3 3" xfId="171"/>
    <cellStyle name="20% - 강조색3 3 4" xfId="172"/>
    <cellStyle name="20% - 강조색3 30" xfId="173"/>
    <cellStyle name="20% - 강조색3 31" xfId="174"/>
    <cellStyle name="20% - 강조색3 32" xfId="175"/>
    <cellStyle name="20% - 강조색3 33" xfId="176"/>
    <cellStyle name="20% - 강조색3 34" xfId="177"/>
    <cellStyle name="20% - 강조색3 35" xfId="178"/>
    <cellStyle name="20% - 강조색3 36" xfId="179"/>
    <cellStyle name="20% - 강조색3 37" xfId="180"/>
    <cellStyle name="20% - 강조색3 38" xfId="181"/>
    <cellStyle name="20% - 강조색3 39" xfId="182"/>
    <cellStyle name="20% - 강조색3 4" xfId="183"/>
    <cellStyle name="20% - 강조색3 4 2" xfId="184"/>
    <cellStyle name="20% - 강조색3 4 3" xfId="185"/>
    <cellStyle name="20% - 강조색3 4 4" xfId="186"/>
    <cellStyle name="20% - 강조색3 40" xfId="187"/>
    <cellStyle name="20% - 강조색3 41" xfId="188"/>
    <cellStyle name="20% - 강조색3 42" xfId="189"/>
    <cellStyle name="20% - 강조색3 43" xfId="190"/>
    <cellStyle name="20% - 강조색3 44" xfId="191"/>
    <cellStyle name="20% - 강조색3 45" xfId="192"/>
    <cellStyle name="20% - 강조색3 46" xfId="193"/>
    <cellStyle name="20% - 강조색3 47" xfId="194"/>
    <cellStyle name="20% - 강조색3 48" xfId="195"/>
    <cellStyle name="20% - 강조색3 5" xfId="196"/>
    <cellStyle name="20% - 강조색3 6" xfId="197"/>
    <cellStyle name="20% - 강조색3 7" xfId="198"/>
    <cellStyle name="20% - 강조색3 8" xfId="199"/>
    <cellStyle name="20% - 강조색3 9" xfId="200"/>
    <cellStyle name="20% - 강조색4 10" xfId="201"/>
    <cellStyle name="20% - 강조색4 11" xfId="202"/>
    <cellStyle name="20% - 강조색4 12" xfId="203"/>
    <cellStyle name="20% - 강조색4 13" xfId="204"/>
    <cellStyle name="20% - 강조색4 14" xfId="205"/>
    <cellStyle name="20% - 강조색4 15" xfId="206"/>
    <cellStyle name="20% - 강조색4 16" xfId="207"/>
    <cellStyle name="20% - 강조색4 17" xfId="208"/>
    <cellStyle name="20% - 강조색4 18" xfId="209"/>
    <cellStyle name="20% - 강조색4 19" xfId="210"/>
    <cellStyle name="20% - 강조색4 2" xfId="211"/>
    <cellStyle name="20% - 강조색4 2 2" xfId="212"/>
    <cellStyle name="20% - 강조색4 2 3" xfId="213"/>
    <cellStyle name="20% - 강조색4 2 4" xfId="214"/>
    <cellStyle name="20% - 강조색4 20" xfId="215"/>
    <cellStyle name="20% - 강조색4 21" xfId="216"/>
    <cellStyle name="20% - 강조색4 22" xfId="217"/>
    <cellStyle name="20% - 강조색4 23" xfId="218"/>
    <cellStyle name="20% - 강조색4 24" xfId="219"/>
    <cellStyle name="20% - 강조색4 25" xfId="220"/>
    <cellStyle name="20% - 강조색4 26" xfId="221"/>
    <cellStyle name="20% - 강조색4 27" xfId="222"/>
    <cellStyle name="20% - 강조색4 28" xfId="223"/>
    <cellStyle name="20% - 강조색4 29" xfId="224"/>
    <cellStyle name="20% - 강조색4 3" xfId="225"/>
    <cellStyle name="20% - 강조색4 3 2" xfId="226"/>
    <cellStyle name="20% - 강조색4 3 3" xfId="227"/>
    <cellStyle name="20% - 강조색4 3 4" xfId="228"/>
    <cellStyle name="20% - 강조색4 30" xfId="229"/>
    <cellStyle name="20% - 강조색4 31" xfId="230"/>
    <cellStyle name="20% - 강조색4 32" xfId="231"/>
    <cellStyle name="20% - 강조색4 33" xfId="232"/>
    <cellStyle name="20% - 강조색4 34" xfId="233"/>
    <cellStyle name="20% - 강조색4 35" xfId="234"/>
    <cellStyle name="20% - 강조색4 36" xfId="235"/>
    <cellStyle name="20% - 강조색4 37" xfId="236"/>
    <cellStyle name="20% - 강조색4 38" xfId="237"/>
    <cellStyle name="20% - 강조색4 39" xfId="238"/>
    <cellStyle name="20% - 강조색4 4" xfId="239"/>
    <cellStyle name="20% - 강조색4 4 2" xfId="240"/>
    <cellStyle name="20% - 강조색4 4 3" xfId="241"/>
    <cellStyle name="20% - 강조색4 4 4" xfId="242"/>
    <cellStyle name="20% - 강조색4 40" xfId="243"/>
    <cellStyle name="20% - 강조색4 41" xfId="244"/>
    <cellStyle name="20% - 강조색4 42" xfId="245"/>
    <cellStyle name="20% - 강조색4 43" xfId="246"/>
    <cellStyle name="20% - 강조색4 44" xfId="247"/>
    <cellStyle name="20% - 강조색4 45" xfId="248"/>
    <cellStyle name="20% - 강조색4 46" xfId="249"/>
    <cellStyle name="20% - 강조색4 47" xfId="250"/>
    <cellStyle name="20% - 강조색4 48" xfId="251"/>
    <cellStyle name="20% - 강조색4 5" xfId="252"/>
    <cellStyle name="20% - 강조색4 6" xfId="253"/>
    <cellStyle name="20% - 강조색4 7" xfId="254"/>
    <cellStyle name="20% - 강조색4 8" xfId="255"/>
    <cellStyle name="20% - 강조색4 9" xfId="256"/>
    <cellStyle name="20% - 강조색5 10" xfId="257"/>
    <cellStyle name="20% - 강조색5 11" xfId="258"/>
    <cellStyle name="20% - 강조색5 12" xfId="259"/>
    <cellStyle name="20% - 강조색5 13" xfId="260"/>
    <cellStyle name="20% - 강조색5 14" xfId="261"/>
    <cellStyle name="20% - 강조색5 15" xfId="262"/>
    <cellStyle name="20% - 강조색5 16" xfId="263"/>
    <cellStyle name="20% - 강조색5 17" xfId="264"/>
    <cellStyle name="20% - 강조색5 18" xfId="265"/>
    <cellStyle name="20% - 강조색5 19" xfId="266"/>
    <cellStyle name="20% - 강조색5 2" xfId="267"/>
    <cellStyle name="20% - 강조색5 2 2" xfId="268"/>
    <cellStyle name="20% - 강조색5 2 3" xfId="269"/>
    <cellStyle name="20% - 강조색5 2 4" xfId="270"/>
    <cellStyle name="20% - 강조색5 20" xfId="271"/>
    <cellStyle name="20% - 강조색5 21" xfId="272"/>
    <cellStyle name="20% - 강조색5 22" xfId="273"/>
    <cellStyle name="20% - 강조색5 23" xfId="274"/>
    <cellStyle name="20% - 강조색5 24" xfId="275"/>
    <cellStyle name="20% - 강조색5 25" xfId="276"/>
    <cellStyle name="20% - 강조색5 26" xfId="277"/>
    <cellStyle name="20% - 강조색5 27" xfId="278"/>
    <cellStyle name="20% - 강조색5 28" xfId="279"/>
    <cellStyle name="20% - 강조색5 29" xfId="280"/>
    <cellStyle name="20% - 강조색5 3" xfId="281"/>
    <cellStyle name="20% - 강조색5 3 2" xfId="282"/>
    <cellStyle name="20% - 강조색5 3 3" xfId="283"/>
    <cellStyle name="20% - 강조색5 3 4" xfId="284"/>
    <cellStyle name="20% - 강조색5 30" xfId="285"/>
    <cellStyle name="20% - 강조색5 31" xfId="286"/>
    <cellStyle name="20% - 강조색5 32" xfId="287"/>
    <cellStyle name="20% - 강조색5 33" xfId="288"/>
    <cellStyle name="20% - 강조색5 34" xfId="289"/>
    <cellStyle name="20% - 강조색5 35" xfId="290"/>
    <cellStyle name="20% - 강조색5 36" xfId="291"/>
    <cellStyle name="20% - 강조색5 37" xfId="292"/>
    <cellStyle name="20% - 강조색5 38" xfId="293"/>
    <cellStyle name="20% - 강조색5 39" xfId="294"/>
    <cellStyle name="20% - 강조색5 4" xfId="295"/>
    <cellStyle name="20% - 강조색5 4 2" xfId="296"/>
    <cellStyle name="20% - 강조색5 4 3" xfId="297"/>
    <cellStyle name="20% - 강조색5 4 4" xfId="298"/>
    <cellStyle name="20% - 강조색5 40" xfId="299"/>
    <cellStyle name="20% - 강조색5 41" xfId="300"/>
    <cellStyle name="20% - 강조색5 42" xfId="301"/>
    <cellStyle name="20% - 강조색5 43" xfId="302"/>
    <cellStyle name="20% - 강조색5 44" xfId="303"/>
    <cellStyle name="20% - 강조색5 45" xfId="304"/>
    <cellStyle name="20% - 강조색5 46" xfId="305"/>
    <cellStyle name="20% - 강조색5 47" xfId="306"/>
    <cellStyle name="20% - 강조색5 48" xfId="307"/>
    <cellStyle name="20% - 강조색5 5" xfId="308"/>
    <cellStyle name="20% - 강조색5 6" xfId="309"/>
    <cellStyle name="20% - 강조색5 7" xfId="310"/>
    <cellStyle name="20% - 강조색5 8" xfId="311"/>
    <cellStyle name="20% - 강조색5 9" xfId="312"/>
    <cellStyle name="20% - 강조색6 10" xfId="313"/>
    <cellStyle name="20% - 강조색6 11" xfId="314"/>
    <cellStyle name="20% - 강조색6 12" xfId="315"/>
    <cellStyle name="20% - 강조색6 13" xfId="316"/>
    <cellStyle name="20% - 강조색6 14" xfId="317"/>
    <cellStyle name="20% - 강조색6 15" xfId="318"/>
    <cellStyle name="20% - 강조색6 16" xfId="319"/>
    <cellStyle name="20% - 강조색6 17" xfId="320"/>
    <cellStyle name="20% - 강조색6 18" xfId="321"/>
    <cellStyle name="20% - 강조색6 19" xfId="322"/>
    <cellStyle name="20% - 강조색6 2" xfId="323"/>
    <cellStyle name="20% - 강조색6 2 2" xfId="324"/>
    <cellStyle name="20% - 강조색6 2 3" xfId="325"/>
    <cellStyle name="20% - 강조색6 2 4" xfId="326"/>
    <cellStyle name="20% - 강조색6 20" xfId="327"/>
    <cellStyle name="20% - 강조색6 21" xfId="328"/>
    <cellStyle name="20% - 강조색6 22" xfId="329"/>
    <cellStyle name="20% - 강조색6 23" xfId="330"/>
    <cellStyle name="20% - 강조색6 24" xfId="331"/>
    <cellStyle name="20% - 강조색6 25" xfId="332"/>
    <cellStyle name="20% - 강조색6 26" xfId="333"/>
    <cellStyle name="20% - 강조색6 27" xfId="334"/>
    <cellStyle name="20% - 강조색6 28" xfId="335"/>
    <cellStyle name="20% - 강조색6 29" xfId="336"/>
    <cellStyle name="20% - 강조색6 3" xfId="337"/>
    <cellStyle name="20% - 강조색6 3 2" xfId="338"/>
    <cellStyle name="20% - 강조색6 3 3" xfId="339"/>
    <cellStyle name="20% - 강조색6 3 4" xfId="340"/>
    <cellStyle name="20% - 강조색6 30" xfId="341"/>
    <cellStyle name="20% - 강조색6 31" xfId="342"/>
    <cellStyle name="20% - 강조색6 32" xfId="343"/>
    <cellStyle name="20% - 강조색6 33" xfId="344"/>
    <cellStyle name="20% - 강조색6 34" xfId="345"/>
    <cellStyle name="20% - 강조색6 35" xfId="346"/>
    <cellStyle name="20% - 강조색6 36" xfId="347"/>
    <cellStyle name="20% - 강조색6 37" xfId="348"/>
    <cellStyle name="20% - 강조색6 38" xfId="349"/>
    <cellStyle name="20% - 강조색6 39" xfId="350"/>
    <cellStyle name="20% - 강조색6 4" xfId="351"/>
    <cellStyle name="20% - 강조색6 4 2" xfId="352"/>
    <cellStyle name="20% - 강조색6 4 3" xfId="353"/>
    <cellStyle name="20% - 강조색6 4 4" xfId="354"/>
    <cellStyle name="20% - 강조색6 40" xfId="355"/>
    <cellStyle name="20% - 강조색6 41" xfId="356"/>
    <cellStyle name="20% - 강조색6 42" xfId="357"/>
    <cellStyle name="20% - 강조색6 43" xfId="358"/>
    <cellStyle name="20% - 강조색6 44" xfId="359"/>
    <cellStyle name="20% - 강조색6 45" xfId="360"/>
    <cellStyle name="20% - 강조색6 46" xfId="361"/>
    <cellStyle name="20% - 강조색6 47" xfId="362"/>
    <cellStyle name="20% - 강조색6 48" xfId="363"/>
    <cellStyle name="20% - 강조색6 5" xfId="364"/>
    <cellStyle name="20% - 강조색6 6" xfId="365"/>
    <cellStyle name="20% - 강조색6 7" xfId="366"/>
    <cellStyle name="20% - 강조색6 8" xfId="367"/>
    <cellStyle name="20% - 강조색6 9" xfId="368"/>
    <cellStyle name="40% - 강조색1 10" xfId="369"/>
    <cellStyle name="40% - 강조색1 11" xfId="370"/>
    <cellStyle name="40% - 강조색1 12" xfId="371"/>
    <cellStyle name="40% - 강조색1 13" xfId="372"/>
    <cellStyle name="40% - 강조색1 14" xfId="373"/>
    <cellStyle name="40% - 강조색1 15" xfId="374"/>
    <cellStyle name="40% - 강조색1 16" xfId="375"/>
    <cellStyle name="40% - 강조색1 17" xfId="376"/>
    <cellStyle name="40% - 강조색1 18" xfId="377"/>
    <cellStyle name="40% - 강조색1 19" xfId="378"/>
    <cellStyle name="40% - 강조색1 2" xfId="379"/>
    <cellStyle name="40% - 강조색1 2 2" xfId="380"/>
    <cellStyle name="40% - 강조색1 2 3" xfId="381"/>
    <cellStyle name="40% - 강조색1 2 4" xfId="382"/>
    <cellStyle name="40% - 강조색1 20" xfId="383"/>
    <cellStyle name="40% - 강조색1 21" xfId="384"/>
    <cellStyle name="40% - 강조색1 22" xfId="385"/>
    <cellStyle name="40% - 강조색1 23" xfId="386"/>
    <cellStyle name="40% - 강조색1 24" xfId="387"/>
    <cellStyle name="40% - 강조색1 25" xfId="388"/>
    <cellStyle name="40% - 강조색1 26" xfId="389"/>
    <cellStyle name="40% - 강조색1 27" xfId="390"/>
    <cellStyle name="40% - 강조색1 28" xfId="391"/>
    <cellStyle name="40% - 강조색1 29" xfId="392"/>
    <cellStyle name="40% - 강조색1 3" xfId="393"/>
    <cellStyle name="40% - 강조색1 3 2" xfId="394"/>
    <cellStyle name="40% - 강조색1 3 3" xfId="395"/>
    <cellStyle name="40% - 강조색1 3 4" xfId="396"/>
    <cellStyle name="40% - 강조색1 30" xfId="397"/>
    <cellStyle name="40% - 강조색1 31" xfId="398"/>
    <cellStyle name="40% - 강조색1 32" xfId="399"/>
    <cellStyle name="40% - 강조색1 33" xfId="400"/>
    <cellStyle name="40% - 강조색1 34" xfId="401"/>
    <cellStyle name="40% - 강조색1 35" xfId="402"/>
    <cellStyle name="40% - 강조색1 36" xfId="403"/>
    <cellStyle name="40% - 강조색1 37" xfId="404"/>
    <cellStyle name="40% - 강조색1 38" xfId="405"/>
    <cellStyle name="40% - 강조색1 39" xfId="406"/>
    <cellStyle name="40% - 강조색1 4" xfId="407"/>
    <cellStyle name="40% - 강조색1 4 2" xfId="408"/>
    <cellStyle name="40% - 강조색1 4 3" xfId="409"/>
    <cellStyle name="40% - 강조색1 4 4" xfId="410"/>
    <cellStyle name="40% - 강조색1 40" xfId="411"/>
    <cellStyle name="40% - 강조색1 41" xfId="412"/>
    <cellStyle name="40% - 강조색1 42" xfId="413"/>
    <cellStyle name="40% - 강조색1 43" xfId="414"/>
    <cellStyle name="40% - 강조색1 44" xfId="415"/>
    <cellStyle name="40% - 강조색1 45" xfId="416"/>
    <cellStyle name="40% - 강조색1 46" xfId="417"/>
    <cellStyle name="40% - 강조색1 47" xfId="418"/>
    <cellStyle name="40% - 강조색1 48" xfId="419"/>
    <cellStyle name="40% - 강조색1 5" xfId="420"/>
    <cellStyle name="40% - 강조색1 6" xfId="421"/>
    <cellStyle name="40% - 강조색1 7" xfId="422"/>
    <cellStyle name="40% - 강조색1 8" xfId="423"/>
    <cellStyle name="40% - 강조색1 9" xfId="424"/>
    <cellStyle name="40% - 강조색2 10" xfId="425"/>
    <cellStyle name="40% - 강조색2 11" xfId="426"/>
    <cellStyle name="40% - 강조색2 12" xfId="427"/>
    <cellStyle name="40% - 강조색2 13" xfId="428"/>
    <cellStyle name="40% - 강조색2 14" xfId="429"/>
    <cellStyle name="40% - 강조색2 15" xfId="430"/>
    <cellStyle name="40% - 강조색2 16" xfId="431"/>
    <cellStyle name="40% - 강조색2 17" xfId="432"/>
    <cellStyle name="40% - 강조색2 18" xfId="433"/>
    <cellStyle name="40% - 강조색2 19" xfId="434"/>
    <cellStyle name="40% - 강조색2 2" xfId="435"/>
    <cellStyle name="40% - 강조색2 2 2" xfId="436"/>
    <cellStyle name="40% - 강조색2 2 3" xfId="437"/>
    <cellStyle name="40% - 강조색2 2 4" xfId="438"/>
    <cellStyle name="40% - 강조색2 20" xfId="439"/>
    <cellStyle name="40% - 강조색2 21" xfId="440"/>
    <cellStyle name="40% - 강조색2 22" xfId="441"/>
    <cellStyle name="40% - 강조색2 23" xfId="442"/>
    <cellStyle name="40% - 강조색2 24" xfId="443"/>
    <cellStyle name="40% - 강조색2 25" xfId="444"/>
    <cellStyle name="40% - 강조색2 26" xfId="445"/>
    <cellStyle name="40% - 강조색2 27" xfId="446"/>
    <cellStyle name="40% - 강조색2 28" xfId="447"/>
    <cellStyle name="40% - 강조색2 29" xfId="448"/>
    <cellStyle name="40% - 강조색2 3" xfId="449"/>
    <cellStyle name="40% - 강조색2 3 2" xfId="450"/>
    <cellStyle name="40% - 강조색2 3 3" xfId="451"/>
    <cellStyle name="40% - 강조색2 3 4" xfId="452"/>
    <cellStyle name="40% - 강조색2 30" xfId="453"/>
    <cellStyle name="40% - 강조색2 31" xfId="454"/>
    <cellStyle name="40% - 강조색2 32" xfId="455"/>
    <cellStyle name="40% - 강조색2 33" xfId="456"/>
    <cellStyle name="40% - 강조색2 34" xfId="457"/>
    <cellStyle name="40% - 강조색2 35" xfId="458"/>
    <cellStyle name="40% - 강조색2 36" xfId="459"/>
    <cellStyle name="40% - 강조색2 37" xfId="460"/>
    <cellStyle name="40% - 강조색2 38" xfId="461"/>
    <cellStyle name="40% - 강조색2 39" xfId="462"/>
    <cellStyle name="40% - 강조색2 4" xfId="463"/>
    <cellStyle name="40% - 강조색2 4 2" xfId="464"/>
    <cellStyle name="40% - 강조색2 4 3" xfId="465"/>
    <cellStyle name="40% - 강조색2 4 4" xfId="466"/>
    <cellStyle name="40% - 강조색2 40" xfId="467"/>
    <cellStyle name="40% - 강조색2 41" xfId="468"/>
    <cellStyle name="40% - 강조색2 42" xfId="469"/>
    <cellStyle name="40% - 강조색2 43" xfId="470"/>
    <cellStyle name="40% - 강조색2 44" xfId="471"/>
    <cellStyle name="40% - 강조색2 45" xfId="472"/>
    <cellStyle name="40% - 강조색2 46" xfId="473"/>
    <cellStyle name="40% - 강조색2 47" xfId="474"/>
    <cellStyle name="40% - 강조색2 48" xfId="475"/>
    <cellStyle name="40% - 강조색2 5" xfId="476"/>
    <cellStyle name="40% - 강조색2 6" xfId="477"/>
    <cellStyle name="40% - 강조색2 7" xfId="478"/>
    <cellStyle name="40% - 강조색2 8" xfId="479"/>
    <cellStyle name="40% - 강조색2 9" xfId="480"/>
    <cellStyle name="40% - 강조색3 10" xfId="481"/>
    <cellStyle name="40% - 강조색3 11" xfId="482"/>
    <cellStyle name="40% - 강조색3 12" xfId="483"/>
    <cellStyle name="40% - 강조색3 13" xfId="484"/>
    <cellStyle name="40% - 강조색3 14" xfId="485"/>
    <cellStyle name="40% - 강조색3 15" xfId="486"/>
    <cellStyle name="40% - 강조색3 16" xfId="487"/>
    <cellStyle name="40% - 강조색3 17" xfId="488"/>
    <cellStyle name="40% - 강조색3 18" xfId="489"/>
    <cellStyle name="40% - 강조색3 19" xfId="490"/>
    <cellStyle name="40% - 강조색3 2" xfId="491"/>
    <cellStyle name="40% - 강조색3 2 2" xfId="492"/>
    <cellStyle name="40% - 강조색3 2 3" xfId="493"/>
    <cellStyle name="40% - 강조색3 2 4" xfId="494"/>
    <cellStyle name="40% - 강조색3 20" xfId="495"/>
    <cellStyle name="40% - 강조색3 21" xfId="496"/>
    <cellStyle name="40% - 강조색3 22" xfId="497"/>
    <cellStyle name="40% - 강조색3 23" xfId="498"/>
    <cellStyle name="40% - 강조색3 24" xfId="499"/>
    <cellStyle name="40% - 강조색3 25" xfId="500"/>
    <cellStyle name="40% - 강조색3 26" xfId="501"/>
    <cellStyle name="40% - 강조색3 27" xfId="502"/>
    <cellStyle name="40% - 강조색3 28" xfId="503"/>
    <cellStyle name="40% - 강조색3 29" xfId="504"/>
    <cellStyle name="40% - 강조색3 3" xfId="505"/>
    <cellStyle name="40% - 강조색3 3 2" xfId="506"/>
    <cellStyle name="40% - 강조색3 3 3" xfId="507"/>
    <cellStyle name="40% - 강조색3 3 4" xfId="508"/>
    <cellStyle name="40% - 강조색3 30" xfId="509"/>
    <cellStyle name="40% - 강조색3 31" xfId="510"/>
    <cellStyle name="40% - 강조색3 32" xfId="511"/>
    <cellStyle name="40% - 강조색3 33" xfId="512"/>
    <cellStyle name="40% - 강조색3 34" xfId="513"/>
    <cellStyle name="40% - 강조색3 35" xfId="514"/>
    <cellStyle name="40% - 강조색3 36" xfId="515"/>
    <cellStyle name="40% - 강조색3 37" xfId="516"/>
    <cellStyle name="40% - 강조색3 38" xfId="517"/>
    <cellStyle name="40% - 강조색3 39" xfId="518"/>
    <cellStyle name="40% - 강조색3 4" xfId="519"/>
    <cellStyle name="40% - 강조색3 4 2" xfId="520"/>
    <cellStyle name="40% - 강조색3 4 3" xfId="521"/>
    <cellStyle name="40% - 강조색3 4 4" xfId="522"/>
    <cellStyle name="40% - 강조색3 40" xfId="523"/>
    <cellStyle name="40% - 강조색3 41" xfId="524"/>
    <cellStyle name="40% - 강조색3 42" xfId="525"/>
    <cellStyle name="40% - 강조색3 43" xfId="526"/>
    <cellStyle name="40% - 강조색3 44" xfId="527"/>
    <cellStyle name="40% - 강조색3 45" xfId="528"/>
    <cellStyle name="40% - 강조색3 46" xfId="529"/>
    <cellStyle name="40% - 강조색3 47" xfId="530"/>
    <cellStyle name="40% - 강조색3 48" xfId="531"/>
    <cellStyle name="40% - 강조색3 5" xfId="532"/>
    <cellStyle name="40% - 강조색3 6" xfId="533"/>
    <cellStyle name="40% - 강조색3 7" xfId="534"/>
    <cellStyle name="40% - 강조색3 8" xfId="535"/>
    <cellStyle name="40% - 강조색3 9" xfId="536"/>
    <cellStyle name="40% - 강조색4 10" xfId="537"/>
    <cellStyle name="40% - 강조색4 11" xfId="538"/>
    <cellStyle name="40% - 강조색4 12" xfId="539"/>
    <cellStyle name="40% - 강조색4 13" xfId="540"/>
    <cellStyle name="40% - 강조색4 14" xfId="541"/>
    <cellStyle name="40% - 강조색4 15" xfId="542"/>
    <cellStyle name="40% - 강조색4 16" xfId="543"/>
    <cellStyle name="40% - 강조색4 17" xfId="544"/>
    <cellStyle name="40% - 강조색4 18" xfId="545"/>
    <cellStyle name="40% - 강조색4 19" xfId="546"/>
    <cellStyle name="40% - 강조색4 2" xfId="547"/>
    <cellStyle name="40% - 강조색4 2 2" xfId="548"/>
    <cellStyle name="40% - 강조색4 2 3" xfId="549"/>
    <cellStyle name="40% - 강조색4 2 4" xfId="550"/>
    <cellStyle name="40% - 강조색4 20" xfId="551"/>
    <cellStyle name="40% - 강조색4 21" xfId="552"/>
    <cellStyle name="40% - 강조색4 22" xfId="553"/>
    <cellStyle name="40% - 강조색4 23" xfId="554"/>
    <cellStyle name="40% - 강조색4 24" xfId="555"/>
    <cellStyle name="40% - 강조색4 25" xfId="556"/>
    <cellStyle name="40% - 강조색4 26" xfId="557"/>
    <cellStyle name="40% - 강조색4 27" xfId="558"/>
    <cellStyle name="40% - 강조색4 28" xfId="559"/>
    <cellStyle name="40% - 강조색4 29" xfId="560"/>
    <cellStyle name="40% - 강조색4 3" xfId="561"/>
    <cellStyle name="40% - 강조색4 3 2" xfId="562"/>
    <cellStyle name="40% - 강조색4 3 3" xfId="563"/>
    <cellStyle name="40% - 강조색4 3 4" xfId="564"/>
    <cellStyle name="40% - 강조색4 30" xfId="565"/>
    <cellStyle name="40% - 강조색4 31" xfId="566"/>
    <cellStyle name="40% - 강조색4 32" xfId="567"/>
    <cellStyle name="40% - 강조색4 33" xfId="568"/>
    <cellStyle name="40% - 강조색4 34" xfId="569"/>
    <cellStyle name="40% - 강조색4 35" xfId="570"/>
    <cellStyle name="40% - 강조색4 36" xfId="571"/>
    <cellStyle name="40% - 강조색4 37" xfId="572"/>
    <cellStyle name="40% - 강조색4 38" xfId="573"/>
    <cellStyle name="40% - 강조색4 39" xfId="574"/>
    <cellStyle name="40% - 강조색4 4" xfId="575"/>
    <cellStyle name="40% - 강조색4 4 2" xfId="576"/>
    <cellStyle name="40% - 강조색4 4 3" xfId="577"/>
    <cellStyle name="40% - 강조색4 4 4" xfId="578"/>
    <cellStyle name="40% - 강조색4 40" xfId="579"/>
    <cellStyle name="40% - 강조색4 41" xfId="580"/>
    <cellStyle name="40% - 강조색4 42" xfId="581"/>
    <cellStyle name="40% - 강조색4 43" xfId="582"/>
    <cellStyle name="40% - 강조색4 44" xfId="583"/>
    <cellStyle name="40% - 강조색4 45" xfId="584"/>
    <cellStyle name="40% - 강조색4 46" xfId="585"/>
    <cellStyle name="40% - 강조색4 47" xfId="586"/>
    <cellStyle name="40% - 강조색4 48" xfId="587"/>
    <cellStyle name="40% - 강조색4 5" xfId="588"/>
    <cellStyle name="40% - 강조색4 6" xfId="589"/>
    <cellStyle name="40% - 강조색4 7" xfId="590"/>
    <cellStyle name="40% - 강조색4 8" xfId="591"/>
    <cellStyle name="40% - 강조색4 9" xfId="592"/>
    <cellStyle name="40% - 강조색5 10" xfId="593"/>
    <cellStyle name="40% - 강조색5 11" xfId="594"/>
    <cellStyle name="40% - 강조색5 12" xfId="595"/>
    <cellStyle name="40% - 강조색5 13" xfId="596"/>
    <cellStyle name="40% - 강조색5 14" xfId="597"/>
    <cellStyle name="40% - 강조색5 15" xfId="598"/>
    <cellStyle name="40% - 강조색5 16" xfId="599"/>
    <cellStyle name="40% - 강조색5 17" xfId="600"/>
    <cellStyle name="40% - 강조색5 18" xfId="601"/>
    <cellStyle name="40% - 강조색5 19" xfId="602"/>
    <cellStyle name="40% - 강조색5 2" xfId="603"/>
    <cellStyle name="40% - 강조색5 2 2" xfId="604"/>
    <cellStyle name="40% - 강조색5 2 3" xfId="605"/>
    <cellStyle name="40% - 강조색5 2 4" xfId="606"/>
    <cellStyle name="40% - 강조색5 20" xfId="607"/>
    <cellStyle name="40% - 강조색5 21" xfId="608"/>
    <cellStyle name="40% - 강조색5 22" xfId="609"/>
    <cellStyle name="40% - 강조색5 23" xfId="610"/>
    <cellStyle name="40% - 강조색5 24" xfId="611"/>
    <cellStyle name="40% - 강조색5 25" xfId="612"/>
    <cellStyle name="40% - 강조색5 26" xfId="613"/>
    <cellStyle name="40% - 강조색5 27" xfId="614"/>
    <cellStyle name="40% - 강조색5 28" xfId="615"/>
    <cellStyle name="40% - 강조색5 29" xfId="616"/>
    <cellStyle name="40% - 강조색5 3" xfId="617"/>
    <cellStyle name="40% - 강조색5 3 2" xfId="618"/>
    <cellStyle name="40% - 강조색5 3 3" xfId="619"/>
    <cellStyle name="40% - 강조색5 3 4" xfId="620"/>
    <cellStyle name="40% - 강조색5 30" xfId="621"/>
    <cellStyle name="40% - 강조색5 31" xfId="622"/>
    <cellStyle name="40% - 강조색5 32" xfId="623"/>
    <cellStyle name="40% - 강조색5 33" xfId="624"/>
    <cellStyle name="40% - 강조색5 34" xfId="625"/>
    <cellStyle name="40% - 강조색5 35" xfId="626"/>
    <cellStyle name="40% - 강조색5 36" xfId="627"/>
    <cellStyle name="40% - 강조색5 37" xfId="628"/>
    <cellStyle name="40% - 강조색5 38" xfId="629"/>
    <cellStyle name="40% - 강조색5 39" xfId="630"/>
    <cellStyle name="40% - 강조색5 4" xfId="631"/>
    <cellStyle name="40% - 강조색5 4 2" xfId="632"/>
    <cellStyle name="40% - 강조색5 4 3" xfId="633"/>
    <cellStyle name="40% - 강조색5 4 4" xfId="634"/>
    <cellStyle name="40% - 강조색5 40" xfId="635"/>
    <cellStyle name="40% - 강조색5 41" xfId="636"/>
    <cellStyle name="40% - 강조색5 42" xfId="637"/>
    <cellStyle name="40% - 강조색5 43" xfId="638"/>
    <cellStyle name="40% - 강조색5 44" xfId="639"/>
    <cellStyle name="40% - 강조색5 45" xfId="640"/>
    <cellStyle name="40% - 강조색5 46" xfId="641"/>
    <cellStyle name="40% - 강조색5 47" xfId="642"/>
    <cellStyle name="40% - 강조색5 48" xfId="643"/>
    <cellStyle name="40% - 강조색5 5" xfId="644"/>
    <cellStyle name="40% - 강조색5 6" xfId="645"/>
    <cellStyle name="40% - 강조색5 7" xfId="646"/>
    <cellStyle name="40% - 강조색5 8" xfId="647"/>
    <cellStyle name="40% - 강조색5 9" xfId="648"/>
    <cellStyle name="40% - 강조색6 10" xfId="649"/>
    <cellStyle name="40% - 강조색6 11" xfId="650"/>
    <cellStyle name="40% - 강조색6 12" xfId="651"/>
    <cellStyle name="40% - 강조색6 13" xfId="652"/>
    <cellStyle name="40% - 강조색6 14" xfId="653"/>
    <cellStyle name="40% - 강조색6 15" xfId="654"/>
    <cellStyle name="40% - 강조색6 16" xfId="655"/>
    <cellStyle name="40% - 강조색6 17" xfId="656"/>
    <cellStyle name="40% - 강조색6 18" xfId="657"/>
    <cellStyle name="40% - 강조색6 19" xfId="658"/>
    <cellStyle name="40% - 강조색6 2" xfId="659"/>
    <cellStyle name="40% - 강조색6 2 2" xfId="660"/>
    <cellStyle name="40% - 강조색6 2 3" xfId="661"/>
    <cellStyle name="40% - 강조색6 2 4" xfId="662"/>
    <cellStyle name="40% - 강조색6 20" xfId="663"/>
    <cellStyle name="40% - 강조색6 21" xfId="664"/>
    <cellStyle name="40% - 강조색6 22" xfId="665"/>
    <cellStyle name="40% - 강조색6 23" xfId="666"/>
    <cellStyle name="40% - 강조색6 24" xfId="667"/>
    <cellStyle name="40% - 강조색6 25" xfId="668"/>
    <cellStyle name="40% - 강조색6 26" xfId="669"/>
    <cellStyle name="40% - 강조색6 27" xfId="670"/>
    <cellStyle name="40% - 강조색6 28" xfId="671"/>
    <cellStyle name="40% - 강조색6 29" xfId="672"/>
    <cellStyle name="40% - 강조색6 3" xfId="673"/>
    <cellStyle name="40% - 강조색6 3 2" xfId="674"/>
    <cellStyle name="40% - 강조색6 3 3" xfId="675"/>
    <cellStyle name="40% - 강조색6 3 4" xfId="676"/>
    <cellStyle name="40% - 강조색6 30" xfId="677"/>
    <cellStyle name="40% - 강조색6 31" xfId="678"/>
    <cellStyle name="40% - 강조색6 32" xfId="679"/>
    <cellStyle name="40% - 강조색6 33" xfId="680"/>
    <cellStyle name="40% - 강조색6 34" xfId="681"/>
    <cellStyle name="40% - 강조색6 35" xfId="682"/>
    <cellStyle name="40% - 강조색6 36" xfId="683"/>
    <cellStyle name="40% - 강조색6 37" xfId="684"/>
    <cellStyle name="40% - 강조색6 38" xfId="685"/>
    <cellStyle name="40% - 강조색6 39" xfId="686"/>
    <cellStyle name="40% - 강조색6 4" xfId="687"/>
    <cellStyle name="40% - 강조색6 4 2" xfId="688"/>
    <cellStyle name="40% - 강조색6 4 3" xfId="689"/>
    <cellStyle name="40% - 강조색6 4 4" xfId="690"/>
    <cellStyle name="40% - 강조색6 40" xfId="691"/>
    <cellStyle name="40% - 강조색6 41" xfId="692"/>
    <cellStyle name="40% - 강조색6 42" xfId="693"/>
    <cellStyle name="40% - 강조색6 43" xfId="694"/>
    <cellStyle name="40% - 강조색6 44" xfId="695"/>
    <cellStyle name="40% - 강조색6 45" xfId="696"/>
    <cellStyle name="40% - 강조색6 46" xfId="697"/>
    <cellStyle name="40% - 강조색6 47" xfId="698"/>
    <cellStyle name="40% - 강조색6 48" xfId="699"/>
    <cellStyle name="40% - 강조색6 5" xfId="700"/>
    <cellStyle name="40% - 강조색6 6" xfId="701"/>
    <cellStyle name="40% - 강조색6 7" xfId="702"/>
    <cellStyle name="40% - 강조색6 8" xfId="703"/>
    <cellStyle name="40% - 강조색6 9" xfId="704"/>
    <cellStyle name="60% - 강조색1 10" xfId="705"/>
    <cellStyle name="60% - 강조색1 11" xfId="706"/>
    <cellStyle name="60% - 강조색1 12" xfId="707"/>
    <cellStyle name="60% - 강조색1 13" xfId="708"/>
    <cellStyle name="60% - 강조색1 14" xfId="709"/>
    <cellStyle name="60% - 강조색1 15" xfId="710"/>
    <cellStyle name="60% - 강조색1 16" xfId="711"/>
    <cellStyle name="60% - 강조색1 17" xfId="712"/>
    <cellStyle name="60% - 강조색1 18" xfId="713"/>
    <cellStyle name="60% - 강조색1 19" xfId="714"/>
    <cellStyle name="60% - 강조색1 2" xfId="715"/>
    <cellStyle name="60% - 강조색1 2 2" xfId="716"/>
    <cellStyle name="60% - 강조색1 2 3" xfId="717"/>
    <cellStyle name="60% - 강조색1 2 4" xfId="718"/>
    <cellStyle name="60% - 강조색1 20" xfId="719"/>
    <cellStyle name="60% - 강조색1 21" xfId="720"/>
    <cellStyle name="60% - 강조색1 22" xfId="721"/>
    <cellStyle name="60% - 강조색1 23" xfId="722"/>
    <cellStyle name="60% - 강조색1 24" xfId="723"/>
    <cellStyle name="60% - 강조색1 25" xfId="724"/>
    <cellStyle name="60% - 강조색1 26" xfId="725"/>
    <cellStyle name="60% - 강조색1 27" xfId="726"/>
    <cellStyle name="60% - 강조색1 28" xfId="727"/>
    <cellStyle name="60% - 강조색1 29" xfId="728"/>
    <cellStyle name="60% - 강조색1 3" xfId="729"/>
    <cellStyle name="60% - 강조색1 3 2" xfId="730"/>
    <cellStyle name="60% - 강조색1 3 3" xfId="731"/>
    <cellStyle name="60% - 강조색1 3 4" xfId="732"/>
    <cellStyle name="60% - 강조색1 30" xfId="733"/>
    <cellStyle name="60% - 강조색1 31" xfId="734"/>
    <cellStyle name="60% - 강조색1 32" xfId="735"/>
    <cellStyle name="60% - 강조색1 33" xfId="736"/>
    <cellStyle name="60% - 강조색1 34" xfId="737"/>
    <cellStyle name="60% - 강조색1 35" xfId="738"/>
    <cellStyle name="60% - 강조색1 36" xfId="739"/>
    <cellStyle name="60% - 강조색1 37" xfId="740"/>
    <cellStyle name="60% - 강조색1 38" xfId="741"/>
    <cellStyle name="60% - 강조색1 39" xfId="742"/>
    <cellStyle name="60% - 강조색1 4" xfId="743"/>
    <cellStyle name="60% - 강조색1 4 2" xfId="744"/>
    <cellStyle name="60% - 강조색1 4 3" xfId="745"/>
    <cellStyle name="60% - 강조색1 4 4" xfId="746"/>
    <cellStyle name="60% - 강조색1 40" xfId="747"/>
    <cellStyle name="60% - 강조색1 41" xfId="748"/>
    <cellStyle name="60% - 강조색1 42" xfId="749"/>
    <cellStyle name="60% - 강조색1 43" xfId="750"/>
    <cellStyle name="60% - 강조색1 44" xfId="751"/>
    <cellStyle name="60% - 강조색1 45" xfId="752"/>
    <cellStyle name="60% - 강조색1 46" xfId="753"/>
    <cellStyle name="60% - 강조색1 47" xfId="754"/>
    <cellStyle name="60% - 강조색1 48" xfId="755"/>
    <cellStyle name="60% - 강조색1 5" xfId="756"/>
    <cellStyle name="60% - 강조색1 6" xfId="757"/>
    <cellStyle name="60% - 강조색1 7" xfId="758"/>
    <cellStyle name="60% - 강조색1 8" xfId="759"/>
    <cellStyle name="60% - 강조색1 9" xfId="760"/>
    <cellStyle name="60% - 강조색2 10" xfId="761"/>
    <cellStyle name="60% - 강조색2 11" xfId="762"/>
    <cellStyle name="60% - 강조색2 12" xfId="763"/>
    <cellStyle name="60% - 강조색2 13" xfId="764"/>
    <cellStyle name="60% - 강조색2 14" xfId="765"/>
    <cellStyle name="60% - 강조색2 15" xfId="766"/>
    <cellStyle name="60% - 강조색2 16" xfId="767"/>
    <cellStyle name="60% - 강조색2 17" xfId="768"/>
    <cellStyle name="60% - 강조색2 18" xfId="769"/>
    <cellStyle name="60% - 강조색2 19" xfId="770"/>
    <cellStyle name="60% - 강조색2 2" xfId="771"/>
    <cellStyle name="60% - 강조색2 2 2" xfId="772"/>
    <cellStyle name="60% - 강조색2 2 3" xfId="773"/>
    <cellStyle name="60% - 강조색2 2 4" xfId="774"/>
    <cellStyle name="60% - 강조색2 20" xfId="775"/>
    <cellStyle name="60% - 강조색2 21" xfId="776"/>
    <cellStyle name="60% - 강조색2 22" xfId="777"/>
    <cellStyle name="60% - 강조색2 23" xfId="778"/>
    <cellStyle name="60% - 강조색2 24" xfId="779"/>
    <cellStyle name="60% - 강조색2 25" xfId="780"/>
    <cellStyle name="60% - 강조색2 26" xfId="781"/>
    <cellStyle name="60% - 강조색2 27" xfId="782"/>
    <cellStyle name="60% - 강조색2 28" xfId="783"/>
    <cellStyle name="60% - 강조색2 29" xfId="784"/>
    <cellStyle name="60% - 강조색2 3" xfId="785"/>
    <cellStyle name="60% - 강조색2 3 2" xfId="786"/>
    <cellStyle name="60% - 강조색2 3 3" xfId="787"/>
    <cellStyle name="60% - 강조색2 3 4" xfId="788"/>
    <cellStyle name="60% - 강조색2 30" xfId="789"/>
    <cellStyle name="60% - 강조색2 31" xfId="790"/>
    <cellStyle name="60% - 강조색2 32" xfId="791"/>
    <cellStyle name="60% - 강조색2 33" xfId="792"/>
    <cellStyle name="60% - 강조색2 34" xfId="793"/>
    <cellStyle name="60% - 강조색2 35" xfId="794"/>
    <cellStyle name="60% - 강조색2 36" xfId="795"/>
    <cellStyle name="60% - 강조색2 37" xfId="796"/>
    <cellStyle name="60% - 강조색2 38" xfId="797"/>
    <cellStyle name="60% - 강조색2 39" xfId="798"/>
    <cellStyle name="60% - 강조색2 4" xfId="799"/>
    <cellStyle name="60% - 강조색2 4 2" xfId="800"/>
    <cellStyle name="60% - 강조색2 4 3" xfId="801"/>
    <cellStyle name="60% - 강조색2 4 4" xfId="802"/>
    <cellStyle name="60% - 강조색2 40" xfId="803"/>
    <cellStyle name="60% - 강조색2 41" xfId="804"/>
    <cellStyle name="60% - 강조색2 42" xfId="805"/>
    <cellStyle name="60% - 강조색2 43" xfId="806"/>
    <cellStyle name="60% - 강조색2 44" xfId="807"/>
    <cellStyle name="60% - 강조색2 45" xfId="808"/>
    <cellStyle name="60% - 강조색2 46" xfId="809"/>
    <cellStyle name="60% - 강조색2 47" xfId="810"/>
    <cellStyle name="60% - 강조색2 48" xfId="811"/>
    <cellStyle name="60% - 강조색2 5" xfId="812"/>
    <cellStyle name="60% - 강조색2 6" xfId="813"/>
    <cellStyle name="60% - 강조색2 7" xfId="814"/>
    <cellStyle name="60% - 강조색2 8" xfId="815"/>
    <cellStyle name="60% - 강조색2 9" xfId="816"/>
    <cellStyle name="60% - 강조색3 10" xfId="817"/>
    <cellStyle name="60% - 강조색3 11" xfId="818"/>
    <cellStyle name="60% - 강조색3 12" xfId="819"/>
    <cellStyle name="60% - 강조색3 13" xfId="820"/>
    <cellStyle name="60% - 강조색3 14" xfId="821"/>
    <cellStyle name="60% - 강조색3 15" xfId="822"/>
    <cellStyle name="60% - 강조색3 16" xfId="823"/>
    <cellStyle name="60% - 강조색3 17" xfId="824"/>
    <cellStyle name="60% - 강조색3 18" xfId="825"/>
    <cellStyle name="60% - 강조색3 19" xfId="826"/>
    <cellStyle name="60% - 강조색3 2" xfId="827"/>
    <cellStyle name="60% - 강조색3 2 2" xfId="828"/>
    <cellStyle name="60% - 강조색3 2 3" xfId="829"/>
    <cellStyle name="60% - 강조색3 2 4" xfId="830"/>
    <cellStyle name="60% - 강조색3 20" xfId="831"/>
    <cellStyle name="60% - 강조색3 21" xfId="832"/>
    <cellStyle name="60% - 강조색3 22" xfId="833"/>
    <cellStyle name="60% - 강조색3 23" xfId="834"/>
    <cellStyle name="60% - 강조색3 24" xfId="835"/>
    <cellStyle name="60% - 강조색3 25" xfId="836"/>
    <cellStyle name="60% - 강조색3 26" xfId="837"/>
    <cellStyle name="60% - 강조색3 27" xfId="838"/>
    <cellStyle name="60% - 강조색3 28" xfId="839"/>
    <cellStyle name="60% - 강조색3 29" xfId="840"/>
    <cellStyle name="60% - 강조색3 3" xfId="841"/>
    <cellStyle name="60% - 강조색3 3 2" xfId="842"/>
    <cellStyle name="60% - 강조색3 3 3" xfId="843"/>
    <cellStyle name="60% - 강조색3 3 4" xfId="844"/>
    <cellStyle name="60% - 강조색3 30" xfId="845"/>
    <cellStyle name="60% - 강조색3 31" xfId="846"/>
    <cellStyle name="60% - 강조색3 32" xfId="847"/>
    <cellStyle name="60% - 강조색3 33" xfId="848"/>
    <cellStyle name="60% - 강조색3 34" xfId="849"/>
    <cellStyle name="60% - 강조색3 35" xfId="850"/>
    <cellStyle name="60% - 강조색3 36" xfId="851"/>
    <cellStyle name="60% - 강조색3 37" xfId="852"/>
    <cellStyle name="60% - 강조색3 38" xfId="853"/>
    <cellStyle name="60% - 강조색3 39" xfId="854"/>
    <cellStyle name="60% - 강조색3 4" xfId="855"/>
    <cellStyle name="60% - 강조색3 4 2" xfId="856"/>
    <cellStyle name="60% - 강조색3 4 3" xfId="857"/>
    <cellStyle name="60% - 강조색3 4 4" xfId="858"/>
    <cellStyle name="60% - 강조색3 40" xfId="859"/>
    <cellStyle name="60% - 강조색3 41" xfId="860"/>
    <cellStyle name="60% - 강조색3 42" xfId="861"/>
    <cellStyle name="60% - 강조색3 43" xfId="862"/>
    <cellStyle name="60% - 강조색3 44" xfId="863"/>
    <cellStyle name="60% - 강조색3 45" xfId="864"/>
    <cellStyle name="60% - 강조색3 46" xfId="865"/>
    <cellStyle name="60% - 강조색3 47" xfId="866"/>
    <cellStyle name="60% - 강조색3 48" xfId="867"/>
    <cellStyle name="60% - 강조색3 5" xfId="868"/>
    <cellStyle name="60% - 강조색3 6" xfId="869"/>
    <cellStyle name="60% - 강조색3 7" xfId="870"/>
    <cellStyle name="60% - 강조색3 8" xfId="871"/>
    <cellStyle name="60% - 강조색3 9" xfId="872"/>
    <cellStyle name="60% - 강조색4 10" xfId="873"/>
    <cellStyle name="60% - 강조색4 11" xfId="874"/>
    <cellStyle name="60% - 강조색4 12" xfId="875"/>
    <cellStyle name="60% - 강조색4 13" xfId="876"/>
    <cellStyle name="60% - 강조색4 14" xfId="877"/>
    <cellStyle name="60% - 강조색4 15" xfId="878"/>
    <cellStyle name="60% - 강조색4 16" xfId="879"/>
    <cellStyle name="60% - 강조색4 17" xfId="880"/>
    <cellStyle name="60% - 강조색4 18" xfId="881"/>
    <cellStyle name="60% - 강조색4 19" xfId="882"/>
    <cellStyle name="60% - 강조색4 2" xfId="883"/>
    <cellStyle name="60% - 강조색4 2 2" xfId="884"/>
    <cellStyle name="60% - 강조색4 2 3" xfId="885"/>
    <cellStyle name="60% - 강조색4 2 4" xfId="886"/>
    <cellStyle name="60% - 강조색4 20" xfId="887"/>
    <cellStyle name="60% - 강조색4 21" xfId="888"/>
    <cellStyle name="60% - 강조색4 22" xfId="889"/>
    <cellStyle name="60% - 강조색4 23" xfId="890"/>
    <cellStyle name="60% - 강조색4 24" xfId="891"/>
    <cellStyle name="60% - 강조색4 25" xfId="892"/>
    <cellStyle name="60% - 강조색4 26" xfId="893"/>
    <cellStyle name="60% - 강조색4 27" xfId="894"/>
    <cellStyle name="60% - 강조색4 28" xfId="895"/>
    <cellStyle name="60% - 강조색4 29" xfId="896"/>
    <cellStyle name="60% - 강조색4 3" xfId="897"/>
    <cellStyle name="60% - 강조색4 3 2" xfId="898"/>
    <cellStyle name="60% - 강조색4 3 3" xfId="899"/>
    <cellStyle name="60% - 강조색4 3 4" xfId="900"/>
    <cellStyle name="60% - 강조색4 30" xfId="901"/>
    <cellStyle name="60% - 강조색4 31" xfId="902"/>
    <cellStyle name="60% - 강조색4 32" xfId="903"/>
    <cellStyle name="60% - 강조색4 33" xfId="904"/>
    <cellStyle name="60% - 강조색4 34" xfId="905"/>
    <cellStyle name="60% - 강조색4 35" xfId="906"/>
    <cellStyle name="60% - 강조색4 36" xfId="907"/>
    <cellStyle name="60% - 강조색4 37" xfId="908"/>
    <cellStyle name="60% - 강조색4 38" xfId="909"/>
    <cellStyle name="60% - 강조색4 39" xfId="910"/>
    <cellStyle name="60% - 강조색4 4" xfId="911"/>
    <cellStyle name="60% - 강조색4 4 2" xfId="912"/>
    <cellStyle name="60% - 강조색4 4 3" xfId="913"/>
    <cellStyle name="60% - 강조색4 4 4" xfId="914"/>
    <cellStyle name="60% - 강조색4 40" xfId="915"/>
    <cellStyle name="60% - 강조색4 41" xfId="916"/>
    <cellStyle name="60% - 강조색4 42" xfId="917"/>
    <cellStyle name="60% - 강조색4 43" xfId="918"/>
    <cellStyle name="60% - 강조색4 44" xfId="919"/>
    <cellStyle name="60% - 강조색4 45" xfId="920"/>
    <cellStyle name="60% - 강조색4 46" xfId="921"/>
    <cellStyle name="60% - 강조색4 47" xfId="922"/>
    <cellStyle name="60% - 강조색4 48" xfId="923"/>
    <cellStyle name="60% - 강조색4 5" xfId="924"/>
    <cellStyle name="60% - 강조색4 6" xfId="925"/>
    <cellStyle name="60% - 강조색4 7" xfId="926"/>
    <cellStyle name="60% - 강조색4 8" xfId="927"/>
    <cellStyle name="60% - 강조색4 9" xfId="928"/>
    <cellStyle name="60% - 강조색5 10" xfId="929"/>
    <cellStyle name="60% - 강조색5 11" xfId="930"/>
    <cellStyle name="60% - 강조색5 12" xfId="931"/>
    <cellStyle name="60% - 강조색5 13" xfId="932"/>
    <cellStyle name="60% - 강조색5 14" xfId="933"/>
    <cellStyle name="60% - 강조색5 15" xfId="934"/>
    <cellStyle name="60% - 강조색5 16" xfId="935"/>
    <cellStyle name="60% - 강조색5 17" xfId="936"/>
    <cellStyle name="60% - 강조색5 18" xfId="937"/>
    <cellStyle name="60% - 강조색5 19" xfId="938"/>
    <cellStyle name="60% - 강조색5 2" xfId="939"/>
    <cellStyle name="60% - 강조색5 2 2" xfId="940"/>
    <cellStyle name="60% - 강조색5 2 3" xfId="941"/>
    <cellStyle name="60% - 강조색5 2 4" xfId="942"/>
    <cellStyle name="60% - 강조색5 20" xfId="943"/>
    <cellStyle name="60% - 강조색5 21" xfId="944"/>
    <cellStyle name="60% - 강조색5 22" xfId="945"/>
    <cellStyle name="60% - 강조색5 23" xfId="946"/>
    <cellStyle name="60% - 강조색5 24" xfId="947"/>
    <cellStyle name="60% - 강조색5 25" xfId="948"/>
    <cellStyle name="60% - 강조색5 26" xfId="949"/>
    <cellStyle name="60% - 강조색5 27" xfId="950"/>
    <cellStyle name="60% - 강조색5 28" xfId="951"/>
    <cellStyle name="60% - 강조색5 29" xfId="952"/>
    <cellStyle name="60% - 강조색5 3" xfId="953"/>
    <cellStyle name="60% - 강조색5 3 2" xfId="954"/>
    <cellStyle name="60% - 강조색5 3 3" xfId="955"/>
    <cellStyle name="60% - 강조색5 3 4" xfId="956"/>
    <cellStyle name="60% - 강조색5 30" xfId="957"/>
    <cellStyle name="60% - 강조색5 31" xfId="958"/>
    <cellStyle name="60% - 강조색5 32" xfId="959"/>
    <cellStyle name="60% - 강조색5 33" xfId="960"/>
    <cellStyle name="60% - 강조색5 34" xfId="961"/>
    <cellStyle name="60% - 강조색5 35" xfId="962"/>
    <cellStyle name="60% - 강조색5 36" xfId="963"/>
    <cellStyle name="60% - 강조색5 37" xfId="964"/>
    <cellStyle name="60% - 강조색5 38" xfId="965"/>
    <cellStyle name="60% - 강조색5 39" xfId="966"/>
    <cellStyle name="60% - 강조색5 4" xfId="967"/>
    <cellStyle name="60% - 강조색5 4 2" xfId="968"/>
    <cellStyle name="60% - 강조색5 4 3" xfId="969"/>
    <cellStyle name="60% - 강조색5 4 4" xfId="970"/>
    <cellStyle name="60% - 강조색5 40" xfId="971"/>
    <cellStyle name="60% - 강조색5 41" xfId="972"/>
    <cellStyle name="60% - 강조색5 42" xfId="973"/>
    <cellStyle name="60% - 강조색5 43" xfId="974"/>
    <cellStyle name="60% - 강조색5 44" xfId="975"/>
    <cellStyle name="60% - 강조색5 45" xfId="976"/>
    <cellStyle name="60% - 강조색5 46" xfId="977"/>
    <cellStyle name="60% - 강조색5 47" xfId="978"/>
    <cellStyle name="60% - 강조색5 48" xfId="979"/>
    <cellStyle name="60% - 강조색5 5" xfId="980"/>
    <cellStyle name="60% - 강조색5 6" xfId="981"/>
    <cellStyle name="60% - 강조색5 7" xfId="982"/>
    <cellStyle name="60% - 강조색5 8" xfId="983"/>
    <cellStyle name="60% - 강조색5 9" xfId="984"/>
    <cellStyle name="60% - 강조색6 10" xfId="985"/>
    <cellStyle name="60% - 강조색6 11" xfId="986"/>
    <cellStyle name="60% - 강조색6 12" xfId="987"/>
    <cellStyle name="60% - 강조색6 13" xfId="988"/>
    <cellStyle name="60% - 강조색6 14" xfId="989"/>
    <cellStyle name="60% - 강조색6 15" xfId="990"/>
    <cellStyle name="60% - 강조색6 16" xfId="991"/>
    <cellStyle name="60% - 강조색6 17" xfId="992"/>
    <cellStyle name="60% - 강조색6 18" xfId="993"/>
    <cellStyle name="60% - 강조색6 19" xfId="994"/>
    <cellStyle name="60% - 강조색6 2" xfId="995"/>
    <cellStyle name="60% - 강조색6 2 2" xfId="996"/>
    <cellStyle name="60% - 강조색6 2 3" xfId="997"/>
    <cellStyle name="60% - 강조색6 2 4" xfId="998"/>
    <cellStyle name="60% - 강조색6 20" xfId="999"/>
    <cellStyle name="60% - 강조색6 21" xfId="1000"/>
    <cellStyle name="60% - 강조색6 22" xfId="1001"/>
    <cellStyle name="60% - 강조색6 23" xfId="1002"/>
    <cellStyle name="60% - 강조색6 24" xfId="1003"/>
    <cellStyle name="60% - 강조색6 25" xfId="1004"/>
    <cellStyle name="60% - 강조색6 26" xfId="1005"/>
    <cellStyle name="60% - 강조색6 27" xfId="1006"/>
    <cellStyle name="60% - 강조색6 28" xfId="1007"/>
    <cellStyle name="60% - 강조색6 29" xfId="1008"/>
    <cellStyle name="60% - 강조색6 3" xfId="1009"/>
    <cellStyle name="60% - 강조색6 3 2" xfId="1010"/>
    <cellStyle name="60% - 강조색6 3 3" xfId="1011"/>
    <cellStyle name="60% - 강조색6 3 4" xfId="1012"/>
    <cellStyle name="60% - 강조색6 30" xfId="1013"/>
    <cellStyle name="60% - 강조색6 31" xfId="1014"/>
    <cellStyle name="60% - 강조색6 32" xfId="1015"/>
    <cellStyle name="60% - 강조색6 33" xfId="1016"/>
    <cellStyle name="60% - 강조색6 34" xfId="1017"/>
    <cellStyle name="60% - 강조색6 35" xfId="1018"/>
    <cellStyle name="60% - 강조색6 36" xfId="1019"/>
    <cellStyle name="60% - 강조색6 37" xfId="1020"/>
    <cellStyle name="60% - 강조색6 38" xfId="1021"/>
    <cellStyle name="60% - 강조색6 39" xfId="1022"/>
    <cellStyle name="60% - 강조색6 4" xfId="1023"/>
    <cellStyle name="60% - 강조색6 4 2" xfId="1024"/>
    <cellStyle name="60% - 강조색6 4 3" xfId="1025"/>
    <cellStyle name="60% - 강조색6 4 4" xfId="1026"/>
    <cellStyle name="60% - 강조색6 40" xfId="1027"/>
    <cellStyle name="60% - 강조색6 41" xfId="1028"/>
    <cellStyle name="60% - 강조색6 42" xfId="1029"/>
    <cellStyle name="60% - 강조색6 43" xfId="1030"/>
    <cellStyle name="60% - 강조색6 44" xfId="1031"/>
    <cellStyle name="60% - 강조색6 45" xfId="1032"/>
    <cellStyle name="60% - 강조색6 46" xfId="1033"/>
    <cellStyle name="60% - 강조색6 47" xfId="1034"/>
    <cellStyle name="60% - 강조색6 48" xfId="1035"/>
    <cellStyle name="60% - 강조색6 5" xfId="1036"/>
    <cellStyle name="60% - 강조색6 6" xfId="1037"/>
    <cellStyle name="60% - 강조색6 7" xfId="1038"/>
    <cellStyle name="60% - 강조색6 8" xfId="1039"/>
    <cellStyle name="60% - 강조색6 9" xfId="1040"/>
    <cellStyle name="강조색1 10" xfId="1041"/>
    <cellStyle name="강조색1 11" xfId="1042"/>
    <cellStyle name="강조색1 12" xfId="1043"/>
    <cellStyle name="강조색1 13" xfId="1044"/>
    <cellStyle name="강조색1 14" xfId="1045"/>
    <cellStyle name="강조색1 15" xfId="1046"/>
    <cellStyle name="강조색1 16" xfId="1047"/>
    <cellStyle name="강조색1 17" xfId="1048"/>
    <cellStyle name="강조색1 18" xfId="1049"/>
    <cellStyle name="강조색1 19" xfId="1050"/>
    <cellStyle name="강조색1 2" xfId="1051"/>
    <cellStyle name="강조색1 2 2" xfId="1052"/>
    <cellStyle name="강조색1 2 3" xfId="1053"/>
    <cellStyle name="강조색1 2 4" xfId="1054"/>
    <cellStyle name="강조색1 20" xfId="1055"/>
    <cellStyle name="강조색1 21" xfId="1056"/>
    <cellStyle name="강조색1 22" xfId="1057"/>
    <cellStyle name="강조색1 23" xfId="1058"/>
    <cellStyle name="강조색1 24" xfId="1059"/>
    <cellStyle name="강조색1 25" xfId="1060"/>
    <cellStyle name="강조색1 26" xfId="1061"/>
    <cellStyle name="강조색1 27" xfId="1062"/>
    <cellStyle name="강조색1 28" xfId="1063"/>
    <cellStyle name="강조색1 29" xfId="1064"/>
    <cellStyle name="강조색1 3" xfId="1065"/>
    <cellStyle name="강조색1 3 2" xfId="1066"/>
    <cellStyle name="강조색1 3 3" xfId="1067"/>
    <cellStyle name="강조색1 3 4" xfId="1068"/>
    <cellStyle name="강조색1 30" xfId="1069"/>
    <cellStyle name="강조색1 31" xfId="1070"/>
    <cellStyle name="강조색1 32" xfId="1071"/>
    <cellStyle name="강조색1 33" xfId="1072"/>
    <cellStyle name="강조색1 34" xfId="1073"/>
    <cellStyle name="강조색1 35" xfId="1074"/>
    <cellStyle name="강조색1 36" xfId="1075"/>
    <cellStyle name="강조색1 37" xfId="1076"/>
    <cellStyle name="강조색1 38" xfId="1077"/>
    <cellStyle name="강조색1 39" xfId="1078"/>
    <cellStyle name="강조색1 4" xfId="1079"/>
    <cellStyle name="강조색1 4 2" xfId="1080"/>
    <cellStyle name="강조색1 4 3" xfId="1081"/>
    <cellStyle name="강조색1 4 4" xfId="1082"/>
    <cellStyle name="강조색1 40" xfId="1083"/>
    <cellStyle name="강조색1 41" xfId="1084"/>
    <cellStyle name="강조색1 42" xfId="1085"/>
    <cellStyle name="강조색1 43" xfId="1086"/>
    <cellStyle name="강조색1 44" xfId="1087"/>
    <cellStyle name="강조색1 45" xfId="1088"/>
    <cellStyle name="강조색1 46" xfId="1089"/>
    <cellStyle name="강조색1 47" xfId="1090"/>
    <cellStyle name="강조색1 48" xfId="1091"/>
    <cellStyle name="강조색1 5" xfId="1092"/>
    <cellStyle name="강조색1 6" xfId="1093"/>
    <cellStyle name="강조색1 7" xfId="1094"/>
    <cellStyle name="강조색1 8" xfId="1095"/>
    <cellStyle name="강조색1 9" xfId="1096"/>
    <cellStyle name="강조색2 10" xfId="1097"/>
    <cellStyle name="강조색2 11" xfId="1098"/>
    <cellStyle name="강조색2 12" xfId="1099"/>
    <cellStyle name="강조색2 13" xfId="1100"/>
    <cellStyle name="강조색2 14" xfId="1101"/>
    <cellStyle name="강조색2 15" xfId="1102"/>
    <cellStyle name="강조색2 16" xfId="1103"/>
    <cellStyle name="강조색2 17" xfId="1104"/>
    <cellStyle name="강조색2 18" xfId="1105"/>
    <cellStyle name="강조색2 19" xfId="1106"/>
    <cellStyle name="강조색2 2" xfId="1107"/>
    <cellStyle name="강조색2 2 2" xfId="1108"/>
    <cellStyle name="강조색2 2 3" xfId="1109"/>
    <cellStyle name="강조색2 2 4" xfId="1110"/>
    <cellStyle name="강조색2 20" xfId="1111"/>
    <cellStyle name="강조색2 21" xfId="1112"/>
    <cellStyle name="강조색2 22" xfId="1113"/>
    <cellStyle name="강조색2 23" xfId="1114"/>
    <cellStyle name="강조색2 24" xfId="1115"/>
    <cellStyle name="강조색2 25" xfId="1116"/>
    <cellStyle name="강조색2 26" xfId="1117"/>
    <cellStyle name="강조색2 27" xfId="1118"/>
    <cellStyle name="강조색2 28" xfId="1119"/>
    <cellStyle name="강조색2 29" xfId="1120"/>
    <cellStyle name="강조색2 3" xfId="1121"/>
    <cellStyle name="강조색2 3 2" xfId="1122"/>
    <cellStyle name="강조색2 3 3" xfId="1123"/>
    <cellStyle name="강조색2 3 4" xfId="1124"/>
    <cellStyle name="강조색2 30" xfId="1125"/>
    <cellStyle name="강조색2 31" xfId="1126"/>
    <cellStyle name="강조색2 32" xfId="1127"/>
    <cellStyle name="강조색2 33" xfId="1128"/>
    <cellStyle name="강조색2 34" xfId="1129"/>
    <cellStyle name="강조색2 35" xfId="1130"/>
    <cellStyle name="강조색2 36" xfId="1131"/>
    <cellStyle name="강조색2 37" xfId="1132"/>
    <cellStyle name="강조색2 38" xfId="1133"/>
    <cellStyle name="강조색2 39" xfId="1134"/>
    <cellStyle name="강조색2 4" xfId="1135"/>
    <cellStyle name="강조색2 4 2" xfId="1136"/>
    <cellStyle name="강조색2 4 3" xfId="1137"/>
    <cellStyle name="강조색2 4 4" xfId="1138"/>
    <cellStyle name="강조색2 40" xfId="1139"/>
    <cellStyle name="강조색2 41" xfId="1140"/>
    <cellStyle name="강조색2 42" xfId="1141"/>
    <cellStyle name="강조색2 43" xfId="1142"/>
    <cellStyle name="강조색2 44" xfId="1143"/>
    <cellStyle name="강조색2 45" xfId="1144"/>
    <cellStyle name="강조색2 46" xfId="1145"/>
    <cellStyle name="강조색2 47" xfId="1146"/>
    <cellStyle name="강조색2 48" xfId="1147"/>
    <cellStyle name="강조색2 5" xfId="1148"/>
    <cellStyle name="강조색2 6" xfId="1149"/>
    <cellStyle name="강조색2 7" xfId="1150"/>
    <cellStyle name="강조색2 8" xfId="1151"/>
    <cellStyle name="강조색2 9" xfId="1152"/>
    <cellStyle name="강조색3 10" xfId="1153"/>
    <cellStyle name="강조색3 11" xfId="1154"/>
    <cellStyle name="강조색3 12" xfId="1155"/>
    <cellStyle name="강조색3 13" xfId="1156"/>
    <cellStyle name="강조색3 14" xfId="1157"/>
    <cellStyle name="강조색3 15" xfId="1158"/>
    <cellStyle name="강조색3 16" xfId="1159"/>
    <cellStyle name="강조색3 17" xfId="1160"/>
    <cellStyle name="강조색3 18" xfId="1161"/>
    <cellStyle name="강조색3 19" xfId="1162"/>
    <cellStyle name="강조색3 2" xfId="1163"/>
    <cellStyle name="강조색3 2 2" xfId="1164"/>
    <cellStyle name="강조색3 2 3" xfId="1165"/>
    <cellStyle name="강조색3 2 4" xfId="1166"/>
    <cellStyle name="강조색3 20" xfId="1167"/>
    <cellStyle name="강조색3 21" xfId="1168"/>
    <cellStyle name="강조색3 22" xfId="1169"/>
    <cellStyle name="강조색3 23" xfId="1170"/>
    <cellStyle name="강조색3 24" xfId="1171"/>
    <cellStyle name="강조색3 25" xfId="1172"/>
    <cellStyle name="강조색3 26" xfId="1173"/>
    <cellStyle name="강조색3 27" xfId="1174"/>
    <cellStyle name="강조색3 28" xfId="1175"/>
    <cellStyle name="강조색3 29" xfId="1176"/>
    <cellStyle name="강조색3 3" xfId="1177"/>
    <cellStyle name="강조색3 3 2" xfId="1178"/>
    <cellStyle name="강조색3 3 3" xfId="1179"/>
    <cellStyle name="강조색3 3 4" xfId="1180"/>
    <cellStyle name="강조색3 30" xfId="1181"/>
    <cellStyle name="강조색3 31" xfId="1182"/>
    <cellStyle name="강조색3 32" xfId="1183"/>
    <cellStyle name="강조색3 33" xfId="1184"/>
    <cellStyle name="강조색3 34" xfId="1185"/>
    <cellStyle name="강조색3 35" xfId="1186"/>
    <cellStyle name="강조색3 36" xfId="1187"/>
    <cellStyle name="강조색3 37" xfId="1188"/>
    <cellStyle name="강조색3 38" xfId="1189"/>
    <cellStyle name="강조색3 39" xfId="1190"/>
    <cellStyle name="강조색3 4" xfId="1191"/>
    <cellStyle name="강조색3 4 2" xfId="1192"/>
    <cellStyle name="강조색3 4 3" xfId="1193"/>
    <cellStyle name="강조색3 4 4" xfId="1194"/>
    <cellStyle name="강조색3 40" xfId="1195"/>
    <cellStyle name="강조색3 41" xfId="1196"/>
    <cellStyle name="강조색3 42" xfId="1197"/>
    <cellStyle name="강조색3 43" xfId="1198"/>
    <cellStyle name="강조색3 44" xfId="1199"/>
    <cellStyle name="강조색3 45" xfId="1200"/>
    <cellStyle name="강조색3 46" xfId="1201"/>
    <cellStyle name="강조색3 47" xfId="1202"/>
    <cellStyle name="강조색3 48" xfId="1203"/>
    <cellStyle name="강조색3 5" xfId="1204"/>
    <cellStyle name="강조색3 6" xfId="1205"/>
    <cellStyle name="강조색3 7" xfId="1206"/>
    <cellStyle name="강조색3 8" xfId="1207"/>
    <cellStyle name="강조색3 9" xfId="1208"/>
    <cellStyle name="강조색4 10" xfId="1209"/>
    <cellStyle name="강조색4 11" xfId="1210"/>
    <cellStyle name="강조색4 12" xfId="1211"/>
    <cellStyle name="강조색4 13" xfId="1212"/>
    <cellStyle name="강조색4 14" xfId="1213"/>
    <cellStyle name="강조색4 15" xfId="1214"/>
    <cellStyle name="강조색4 16" xfId="1215"/>
    <cellStyle name="강조색4 17" xfId="1216"/>
    <cellStyle name="강조색4 18" xfId="1217"/>
    <cellStyle name="강조색4 19" xfId="1218"/>
    <cellStyle name="강조색4 2" xfId="1219"/>
    <cellStyle name="강조색4 2 2" xfId="1220"/>
    <cellStyle name="강조색4 2 3" xfId="1221"/>
    <cellStyle name="강조색4 2 4" xfId="1222"/>
    <cellStyle name="강조색4 20" xfId="1223"/>
    <cellStyle name="강조색4 21" xfId="1224"/>
    <cellStyle name="강조색4 22" xfId="1225"/>
    <cellStyle name="강조색4 23" xfId="1226"/>
    <cellStyle name="강조색4 24" xfId="1227"/>
    <cellStyle name="강조색4 25" xfId="1228"/>
    <cellStyle name="강조색4 26" xfId="1229"/>
    <cellStyle name="강조색4 27" xfId="1230"/>
    <cellStyle name="강조색4 28" xfId="1231"/>
    <cellStyle name="강조색4 29" xfId="1232"/>
    <cellStyle name="강조색4 3" xfId="1233"/>
    <cellStyle name="강조색4 3 2" xfId="1234"/>
    <cellStyle name="강조색4 3 3" xfId="1235"/>
    <cellStyle name="강조색4 3 4" xfId="1236"/>
    <cellStyle name="강조색4 30" xfId="1237"/>
    <cellStyle name="강조색4 31" xfId="1238"/>
    <cellStyle name="강조색4 32" xfId="1239"/>
    <cellStyle name="강조색4 33" xfId="1240"/>
    <cellStyle name="강조색4 34" xfId="1241"/>
    <cellStyle name="강조색4 35" xfId="1242"/>
    <cellStyle name="강조색4 36" xfId="1243"/>
    <cellStyle name="강조색4 37" xfId="1244"/>
    <cellStyle name="강조색4 38" xfId="1245"/>
    <cellStyle name="강조색4 39" xfId="1246"/>
    <cellStyle name="강조색4 4" xfId="1247"/>
    <cellStyle name="강조색4 4 2" xfId="1248"/>
    <cellStyle name="강조색4 4 3" xfId="1249"/>
    <cellStyle name="강조색4 4 4" xfId="1250"/>
    <cellStyle name="강조색4 40" xfId="1251"/>
    <cellStyle name="강조색4 41" xfId="1252"/>
    <cellStyle name="강조색4 42" xfId="1253"/>
    <cellStyle name="강조색4 43" xfId="1254"/>
    <cellStyle name="강조색4 44" xfId="1255"/>
    <cellStyle name="강조색4 45" xfId="1256"/>
    <cellStyle name="강조색4 46" xfId="1257"/>
    <cellStyle name="강조색4 47" xfId="1258"/>
    <cellStyle name="강조색4 48" xfId="1259"/>
    <cellStyle name="강조색4 5" xfId="1260"/>
    <cellStyle name="강조색4 6" xfId="1261"/>
    <cellStyle name="강조색4 7" xfId="1262"/>
    <cellStyle name="강조색4 8" xfId="1263"/>
    <cellStyle name="강조색4 9" xfId="1264"/>
    <cellStyle name="강조색5 10" xfId="1265"/>
    <cellStyle name="강조색5 11" xfId="1266"/>
    <cellStyle name="강조색5 12" xfId="1267"/>
    <cellStyle name="강조색5 13" xfId="1268"/>
    <cellStyle name="강조색5 14" xfId="1269"/>
    <cellStyle name="강조색5 15" xfId="1270"/>
    <cellStyle name="강조색5 16" xfId="1271"/>
    <cellStyle name="강조색5 17" xfId="1272"/>
    <cellStyle name="강조색5 18" xfId="1273"/>
    <cellStyle name="강조색5 19" xfId="1274"/>
    <cellStyle name="강조색5 2" xfId="1275"/>
    <cellStyle name="강조색5 2 2" xfId="1276"/>
    <cellStyle name="강조색5 2 3" xfId="1277"/>
    <cellStyle name="강조색5 2 4" xfId="1278"/>
    <cellStyle name="강조색5 20" xfId="1279"/>
    <cellStyle name="강조색5 21" xfId="1280"/>
    <cellStyle name="강조색5 22" xfId="1281"/>
    <cellStyle name="강조색5 23" xfId="1282"/>
    <cellStyle name="강조색5 24" xfId="1283"/>
    <cellStyle name="강조색5 25" xfId="1284"/>
    <cellStyle name="강조색5 26" xfId="1285"/>
    <cellStyle name="강조색5 27" xfId="1286"/>
    <cellStyle name="강조색5 28" xfId="1287"/>
    <cellStyle name="강조색5 29" xfId="1288"/>
    <cellStyle name="강조색5 3" xfId="1289"/>
    <cellStyle name="강조색5 3 2" xfId="1290"/>
    <cellStyle name="강조색5 3 3" xfId="1291"/>
    <cellStyle name="강조색5 3 4" xfId="1292"/>
    <cellStyle name="강조색5 30" xfId="1293"/>
    <cellStyle name="강조색5 31" xfId="1294"/>
    <cellStyle name="강조색5 32" xfId="1295"/>
    <cellStyle name="강조색5 33" xfId="1296"/>
    <cellStyle name="강조색5 34" xfId="1297"/>
    <cellStyle name="강조색5 35" xfId="1298"/>
    <cellStyle name="강조색5 36" xfId="1299"/>
    <cellStyle name="강조색5 37" xfId="1300"/>
    <cellStyle name="강조색5 38" xfId="1301"/>
    <cellStyle name="강조색5 39" xfId="1302"/>
    <cellStyle name="강조색5 4" xfId="1303"/>
    <cellStyle name="강조색5 4 2" xfId="1304"/>
    <cellStyle name="강조색5 4 3" xfId="1305"/>
    <cellStyle name="강조색5 4 4" xfId="1306"/>
    <cellStyle name="강조색5 40" xfId="1307"/>
    <cellStyle name="강조색5 41" xfId="1308"/>
    <cellStyle name="강조색5 42" xfId="1309"/>
    <cellStyle name="강조색5 43" xfId="1310"/>
    <cellStyle name="강조색5 44" xfId="1311"/>
    <cellStyle name="강조색5 45" xfId="1312"/>
    <cellStyle name="강조색5 46" xfId="1313"/>
    <cellStyle name="강조색5 47" xfId="1314"/>
    <cellStyle name="강조색5 48" xfId="1315"/>
    <cellStyle name="강조색5 5" xfId="1316"/>
    <cellStyle name="강조색5 6" xfId="1317"/>
    <cellStyle name="강조색5 7" xfId="1318"/>
    <cellStyle name="강조색5 8" xfId="1319"/>
    <cellStyle name="강조색5 9" xfId="1320"/>
    <cellStyle name="강조색6 10" xfId="1321"/>
    <cellStyle name="강조색6 11" xfId="1322"/>
    <cellStyle name="강조색6 12" xfId="1323"/>
    <cellStyle name="강조색6 13" xfId="1324"/>
    <cellStyle name="강조색6 14" xfId="1325"/>
    <cellStyle name="강조색6 15" xfId="1326"/>
    <cellStyle name="강조색6 16" xfId="1327"/>
    <cellStyle name="강조색6 17" xfId="1328"/>
    <cellStyle name="강조색6 18" xfId="1329"/>
    <cellStyle name="강조색6 19" xfId="1330"/>
    <cellStyle name="강조색6 2" xfId="1331"/>
    <cellStyle name="강조색6 2 2" xfId="1332"/>
    <cellStyle name="강조색6 2 3" xfId="1333"/>
    <cellStyle name="강조색6 2 4" xfId="1334"/>
    <cellStyle name="강조색6 20" xfId="1335"/>
    <cellStyle name="강조색6 21" xfId="1336"/>
    <cellStyle name="강조색6 22" xfId="1337"/>
    <cellStyle name="강조색6 23" xfId="1338"/>
    <cellStyle name="강조색6 24" xfId="1339"/>
    <cellStyle name="강조색6 25" xfId="1340"/>
    <cellStyle name="강조색6 26" xfId="1341"/>
    <cellStyle name="강조색6 27" xfId="1342"/>
    <cellStyle name="강조색6 28" xfId="1343"/>
    <cellStyle name="강조색6 29" xfId="1344"/>
    <cellStyle name="강조색6 3" xfId="1345"/>
    <cellStyle name="강조색6 3 2" xfId="1346"/>
    <cellStyle name="강조색6 3 3" xfId="1347"/>
    <cellStyle name="강조색6 3 4" xfId="1348"/>
    <cellStyle name="강조색6 30" xfId="1349"/>
    <cellStyle name="강조색6 31" xfId="1350"/>
    <cellStyle name="강조색6 32" xfId="1351"/>
    <cellStyle name="강조색6 33" xfId="1352"/>
    <cellStyle name="강조색6 34" xfId="1353"/>
    <cellStyle name="강조색6 35" xfId="1354"/>
    <cellStyle name="강조색6 36" xfId="1355"/>
    <cellStyle name="강조색6 37" xfId="1356"/>
    <cellStyle name="강조색6 38" xfId="1357"/>
    <cellStyle name="강조색6 39" xfId="1358"/>
    <cellStyle name="강조색6 4" xfId="1359"/>
    <cellStyle name="강조색6 4 2" xfId="1360"/>
    <cellStyle name="강조색6 4 3" xfId="1361"/>
    <cellStyle name="강조색6 4 4" xfId="1362"/>
    <cellStyle name="강조색6 40" xfId="1363"/>
    <cellStyle name="강조색6 41" xfId="1364"/>
    <cellStyle name="강조색6 42" xfId="1365"/>
    <cellStyle name="강조색6 43" xfId="1366"/>
    <cellStyle name="강조색6 44" xfId="1367"/>
    <cellStyle name="강조색6 45" xfId="1368"/>
    <cellStyle name="강조색6 46" xfId="1369"/>
    <cellStyle name="강조색6 47" xfId="1370"/>
    <cellStyle name="강조색6 48" xfId="1371"/>
    <cellStyle name="강조색6 5" xfId="1372"/>
    <cellStyle name="강조색6 6" xfId="1373"/>
    <cellStyle name="강조색6 7" xfId="1374"/>
    <cellStyle name="강조색6 8" xfId="1375"/>
    <cellStyle name="강조색6 9" xfId="1376"/>
    <cellStyle name="경고문 10" xfId="1377"/>
    <cellStyle name="경고문 11" xfId="1378"/>
    <cellStyle name="경고문 12" xfId="1379"/>
    <cellStyle name="경고문 13" xfId="1380"/>
    <cellStyle name="경고문 14" xfId="1381"/>
    <cellStyle name="경고문 15" xfId="1382"/>
    <cellStyle name="경고문 16" xfId="1383"/>
    <cellStyle name="경고문 17" xfId="1384"/>
    <cellStyle name="경고문 18" xfId="1385"/>
    <cellStyle name="경고문 19" xfId="1386"/>
    <cellStyle name="경고문 2" xfId="1387"/>
    <cellStyle name="경고문 20" xfId="1388"/>
    <cellStyle name="경고문 21" xfId="1389"/>
    <cellStyle name="경고문 22" xfId="1390"/>
    <cellStyle name="경고문 23" xfId="1391"/>
    <cellStyle name="경고문 24" xfId="1392"/>
    <cellStyle name="경고문 25" xfId="1393"/>
    <cellStyle name="경고문 26" xfId="1394"/>
    <cellStyle name="경고문 27" xfId="1395"/>
    <cellStyle name="경고문 28" xfId="1396"/>
    <cellStyle name="경고문 29" xfId="1397"/>
    <cellStyle name="경고문 3" xfId="1398"/>
    <cellStyle name="경고문 3 2" xfId="1399"/>
    <cellStyle name="경고문 3 3" xfId="1400"/>
    <cellStyle name="경고문 3 4" xfId="1401"/>
    <cellStyle name="경고문 4" xfId="1402"/>
    <cellStyle name="경고문 5" xfId="1403"/>
    <cellStyle name="경고문 6" xfId="1404"/>
    <cellStyle name="경고문 7" xfId="1405"/>
    <cellStyle name="경고문 8" xfId="1406"/>
    <cellStyle name="경고문 9" xfId="1407"/>
    <cellStyle name="계산 10" xfId="1408"/>
    <cellStyle name="계산 11" xfId="1409"/>
    <cellStyle name="계산 12" xfId="1410"/>
    <cellStyle name="계산 13" xfId="1411"/>
    <cellStyle name="계산 14" xfId="1412"/>
    <cellStyle name="계산 15" xfId="1413"/>
    <cellStyle name="계산 16" xfId="1414"/>
    <cellStyle name="계산 17" xfId="1415"/>
    <cellStyle name="계산 18" xfId="1416"/>
    <cellStyle name="계산 19" xfId="1417"/>
    <cellStyle name="계산 2" xfId="1418"/>
    <cellStyle name="계산 2 2" xfId="1419"/>
    <cellStyle name="계산 2 3" xfId="1420"/>
    <cellStyle name="계산 2 4" xfId="1421"/>
    <cellStyle name="계산 20" xfId="1422"/>
    <cellStyle name="계산 21" xfId="1423"/>
    <cellStyle name="계산 22" xfId="1424"/>
    <cellStyle name="계산 23" xfId="1425"/>
    <cellStyle name="계산 24" xfId="1426"/>
    <cellStyle name="계산 25" xfId="1427"/>
    <cellStyle name="계산 26" xfId="1428"/>
    <cellStyle name="계산 27" xfId="1429"/>
    <cellStyle name="계산 28" xfId="1430"/>
    <cellStyle name="계산 29" xfId="1431"/>
    <cellStyle name="계산 3" xfId="1432"/>
    <cellStyle name="계산 3 2" xfId="1433"/>
    <cellStyle name="계산 3 3" xfId="1434"/>
    <cellStyle name="계산 3 4" xfId="1435"/>
    <cellStyle name="계산 30" xfId="1436"/>
    <cellStyle name="계산 31" xfId="1437"/>
    <cellStyle name="계산 32" xfId="1438"/>
    <cellStyle name="계산 33" xfId="1439"/>
    <cellStyle name="계산 34" xfId="1440"/>
    <cellStyle name="계산 35" xfId="1441"/>
    <cellStyle name="계산 36" xfId="1442"/>
    <cellStyle name="계산 37" xfId="1443"/>
    <cellStyle name="계산 38" xfId="1444"/>
    <cellStyle name="계산 39" xfId="1445"/>
    <cellStyle name="계산 4" xfId="1446"/>
    <cellStyle name="계산 4 2" xfId="1447"/>
    <cellStyle name="계산 4 3" xfId="1448"/>
    <cellStyle name="계산 4 4" xfId="1449"/>
    <cellStyle name="계산 40" xfId="1450"/>
    <cellStyle name="계산 41" xfId="1451"/>
    <cellStyle name="계산 42" xfId="1452"/>
    <cellStyle name="계산 43" xfId="1453"/>
    <cellStyle name="계산 44" xfId="1454"/>
    <cellStyle name="계산 45" xfId="1455"/>
    <cellStyle name="계산 46" xfId="1456"/>
    <cellStyle name="계산 47" xfId="1457"/>
    <cellStyle name="계산 48" xfId="1458"/>
    <cellStyle name="계산 5" xfId="1459"/>
    <cellStyle name="계산 6" xfId="1460"/>
    <cellStyle name="계산 7" xfId="1461"/>
    <cellStyle name="계산 8" xfId="1462"/>
    <cellStyle name="계산 9" xfId="1463"/>
    <cellStyle name="나쁨 10" xfId="1464"/>
    <cellStyle name="나쁨 11" xfId="1465"/>
    <cellStyle name="나쁨 12" xfId="1466"/>
    <cellStyle name="나쁨 13" xfId="1467"/>
    <cellStyle name="나쁨 14" xfId="1468"/>
    <cellStyle name="나쁨 15" xfId="1469"/>
    <cellStyle name="나쁨 16" xfId="1470"/>
    <cellStyle name="나쁨 17" xfId="1471"/>
    <cellStyle name="나쁨 18" xfId="1472"/>
    <cellStyle name="나쁨 19" xfId="1473"/>
    <cellStyle name="나쁨 2" xfId="1474"/>
    <cellStyle name="나쁨 2 2" xfId="1475"/>
    <cellStyle name="나쁨 2 3" xfId="1476"/>
    <cellStyle name="나쁨 2 4" xfId="1477"/>
    <cellStyle name="나쁨 20" xfId="1478"/>
    <cellStyle name="나쁨 21" xfId="1479"/>
    <cellStyle name="나쁨 22" xfId="1480"/>
    <cellStyle name="나쁨 23" xfId="1481"/>
    <cellStyle name="나쁨 24" xfId="1482"/>
    <cellStyle name="나쁨 25" xfId="1483"/>
    <cellStyle name="나쁨 26" xfId="1484"/>
    <cellStyle name="나쁨 27" xfId="1485"/>
    <cellStyle name="나쁨 28" xfId="1486"/>
    <cellStyle name="나쁨 29" xfId="1487"/>
    <cellStyle name="나쁨 3" xfId="1488"/>
    <cellStyle name="나쁨 3 2" xfId="1489"/>
    <cellStyle name="나쁨 3 3" xfId="1490"/>
    <cellStyle name="나쁨 3 4" xfId="1491"/>
    <cellStyle name="나쁨 30" xfId="1492"/>
    <cellStyle name="나쁨 31" xfId="1493"/>
    <cellStyle name="나쁨 32" xfId="1494"/>
    <cellStyle name="나쁨 33" xfId="1495"/>
    <cellStyle name="나쁨 34" xfId="1496"/>
    <cellStyle name="나쁨 35" xfId="1497"/>
    <cellStyle name="나쁨 36" xfId="1498"/>
    <cellStyle name="나쁨 37" xfId="1499"/>
    <cellStyle name="나쁨 38" xfId="1500"/>
    <cellStyle name="나쁨 39" xfId="1501"/>
    <cellStyle name="나쁨 4" xfId="1502"/>
    <cellStyle name="나쁨 4 2" xfId="1503"/>
    <cellStyle name="나쁨 4 3" xfId="1504"/>
    <cellStyle name="나쁨 4 4" xfId="1505"/>
    <cellStyle name="나쁨 40" xfId="1506"/>
    <cellStyle name="나쁨 41" xfId="1507"/>
    <cellStyle name="나쁨 42" xfId="1508"/>
    <cellStyle name="나쁨 43" xfId="1509"/>
    <cellStyle name="나쁨 44" xfId="1510"/>
    <cellStyle name="나쁨 45" xfId="1511"/>
    <cellStyle name="나쁨 46" xfId="1512"/>
    <cellStyle name="나쁨 47" xfId="1513"/>
    <cellStyle name="나쁨 48" xfId="1514"/>
    <cellStyle name="나쁨 5" xfId="1515"/>
    <cellStyle name="나쁨 6" xfId="1516"/>
    <cellStyle name="나쁨 7" xfId="1517"/>
    <cellStyle name="나쁨 8" xfId="1518"/>
    <cellStyle name="나쁨 9" xfId="1519"/>
    <cellStyle name="메모 10" xfId="1520"/>
    <cellStyle name="메모 11" xfId="1521"/>
    <cellStyle name="메모 12" xfId="1522"/>
    <cellStyle name="메모 13" xfId="1523"/>
    <cellStyle name="메모 14" xfId="1524"/>
    <cellStyle name="메모 15" xfId="1525"/>
    <cellStyle name="메모 16" xfId="1526"/>
    <cellStyle name="메모 17" xfId="1527"/>
    <cellStyle name="메모 18" xfId="1528"/>
    <cellStyle name="메모 19" xfId="1529"/>
    <cellStyle name="메모 2" xfId="1530"/>
    <cellStyle name="메모 2 2" xfId="1531"/>
    <cellStyle name="메모 2 3" xfId="1532"/>
    <cellStyle name="메모 2 4" xfId="1533"/>
    <cellStyle name="메모 20" xfId="1534"/>
    <cellStyle name="메모 21" xfId="1535"/>
    <cellStyle name="메모 22" xfId="1536"/>
    <cellStyle name="메모 23" xfId="1537"/>
    <cellStyle name="메모 24" xfId="1538"/>
    <cellStyle name="메모 25" xfId="1539"/>
    <cellStyle name="메모 26" xfId="1540"/>
    <cellStyle name="메모 27" xfId="1541"/>
    <cellStyle name="메모 28" xfId="1542"/>
    <cellStyle name="메모 29" xfId="1543"/>
    <cellStyle name="메모 3" xfId="1544"/>
    <cellStyle name="메모 3 2" xfId="1545"/>
    <cellStyle name="메모 3 3" xfId="1546"/>
    <cellStyle name="메모 3 4" xfId="1547"/>
    <cellStyle name="메모 30" xfId="1548"/>
    <cellStyle name="메모 31" xfId="1549"/>
    <cellStyle name="메모 32" xfId="1550"/>
    <cellStyle name="메모 33" xfId="1551"/>
    <cellStyle name="메모 34" xfId="1552"/>
    <cellStyle name="메모 35" xfId="1553"/>
    <cellStyle name="메모 36" xfId="1554"/>
    <cellStyle name="메모 37" xfId="1555"/>
    <cellStyle name="메모 38" xfId="1556"/>
    <cellStyle name="메모 39" xfId="1557"/>
    <cellStyle name="메모 4" xfId="1558"/>
    <cellStyle name="메모 4 2" xfId="1559"/>
    <cellStyle name="메모 4 3" xfId="1560"/>
    <cellStyle name="메모 4 4" xfId="1561"/>
    <cellStyle name="메모 40" xfId="1562"/>
    <cellStyle name="메모 41" xfId="1563"/>
    <cellStyle name="메모 42" xfId="1564"/>
    <cellStyle name="메모 43" xfId="1565"/>
    <cellStyle name="메모 44" xfId="1566"/>
    <cellStyle name="메모 45" xfId="1567"/>
    <cellStyle name="메모 46" xfId="1568"/>
    <cellStyle name="메모 47" xfId="1569"/>
    <cellStyle name="메모 48" xfId="1570"/>
    <cellStyle name="메모 5" xfId="1571"/>
    <cellStyle name="메모 6" xfId="1572"/>
    <cellStyle name="메모 7" xfId="1573"/>
    <cellStyle name="메모 8" xfId="1574"/>
    <cellStyle name="메모 9" xfId="1575"/>
    <cellStyle name="백분율" xfId="1" builtinId="5"/>
    <cellStyle name="보통 10" xfId="1576"/>
    <cellStyle name="보통 11" xfId="1577"/>
    <cellStyle name="보통 12" xfId="1578"/>
    <cellStyle name="보통 13" xfId="1579"/>
    <cellStyle name="보통 14" xfId="1580"/>
    <cellStyle name="보통 15" xfId="1581"/>
    <cellStyle name="보통 16" xfId="1582"/>
    <cellStyle name="보통 17" xfId="1583"/>
    <cellStyle name="보통 18" xfId="1584"/>
    <cellStyle name="보통 19" xfId="1585"/>
    <cellStyle name="보통 2" xfId="1586"/>
    <cellStyle name="보통 2 2" xfId="1587"/>
    <cellStyle name="보통 2 3" xfId="1588"/>
    <cellStyle name="보통 2 4" xfId="1589"/>
    <cellStyle name="보통 20" xfId="1590"/>
    <cellStyle name="보통 21" xfId="1591"/>
    <cellStyle name="보통 22" xfId="1592"/>
    <cellStyle name="보통 23" xfId="1593"/>
    <cellStyle name="보통 24" xfId="1594"/>
    <cellStyle name="보통 25" xfId="1595"/>
    <cellStyle name="보통 26" xfId="1596"/>
    <cellStyle name="보통 27" xfId="1597"/>
    <cellStyle name="보통 28" xfId="1598"/>
    <cellStyle name="보통 29" xfId="1599"/>
    <cellStyle name="보통 3" xfId="1600"/>
    <cellStyle name="보통 3 2" xfId="1601"/>
    <cellStyle name="보통 3 3" xfId="1602"/>
    <cellStyle name="보통 3 4" xfId="1603"/>
    <cellStyle name="보통 30" xfId="1604"/>
    <cellStyle name="보통 31" xfId="1605"/>
    <cellStyle name="보통 32" xfId="1606"/>
    <cellStyle name="보통 33" xfId="1607"/>
    <cellStyle name="보통 34" xfId="1608"/>
    <cellStyle name="보통 35" xfId="1609"/>
    <cellStyle name="보통 36" xfId="1610"/>
    <cellStyle name="보통 37" xfId="1611"/>
    <cellStyle name="보통 38" xfId="1612"/>
    <cellStyle name="보통 39" xfId="1613"/>
    <cellStyle name="보통 4" xfId="1614"/>
    <cellStyle name="보통 4 2" xfId="1615"/>
    <cellStyle name="보통 4 3" xfId="1616"/>
    <cellStyle name="보통 4 4" xfId="1617"/>
    <cellStyle name="보통 40" xfId="1618"/>
    <cellStyle name="보통 41" xfId="1619"/>
    <cellStyle name="보통 42" xfId="1620"/>
    <cellStyle name="보통 43" xfId="1621"/>
    <cellStyle name="보통 44" xfId="1622"/>
    <cellStyle name="보통 45" xfId="1623"/>
    <cellStyle name="보통 46" xfId="1624"/>
    <cellStyle name="보통 47" xfId="1625"/>
    <cellStyle name="보통 48" xfId="1626"/>
    <cellStyle name="보통 5" xfId="1627"/>
    <cellStyle name="보통 6" xfId="1628"/>
    <cellStyle name="보통 7" xfId="1629"/>
    <cellStyle name="보통 8" xfId="1630"/>
    <cellStyle name="보통 9" xfId="1631"/>
    <cellStyle name="설명 텍스트 10" xfId="1632"/>
    <cellStyle name="설명 텍스트 11" xfId="1633"/>
    <cellStyle name="설명 텍스트 12" xfId="1634"/>
    <cellStyle name="설명 텍스트 13" xfId="1635"/>
    <cellStyle name="설명 텍스트 14" xfId="1636"/>
    <cellStyle name="설명 텍스트 15" xfId="1637"/>
    <cellStyle name="설명 텍스트 16" xfId="1638"/>
    <cellStyle name="설명 텍스트 17" xfId="1639"/>
    <cellStyle name="설명 텍스트 18" xfId="1640"/>
    <cellStyle name="설명 텍스트 19" xfId="1641"/>
    <cellStyle name="설명 텍스트 2" xfId="1642"/>
    <cellStyle name="설명 텍스트 20" xfId="1643"/>
    <cellStyle name="설명 텍스트 21" xfId="1644"/>
    <cellStyle name="설명 텍스트 22" xfId="1645"/>
    <cellStyle name="설명 텍스트 23" xfId="1646"/>
    <cellStyle name="설명 텍스트 24" xfId="1647"/>
    <cellStyle name="설명 텍스트 25" xfId="1648"/>
    <cellStyle name="설명 텍스트 26" xfId="1649"/>
    <cellStyle name="설명 텍스트 27" xfId="1650"/>
    <cellStyle name="설명 텍스트 28" xfId="1651"/>
    <cellStyle name="설명 텍스트 29" xfId="1652"/>
    <cellStyle name="설명 텍스트 3" xfId="1653"/>
    <cellStyle name="설명 텍스트 3 2" xfId="1654"/>
    <cellStyle name="설명 텍스트 3 3" xfId="1655"/>
    <cellStyle name="설명 텍스트 3 4" xfId="1656"/>
    <cellStyle name="설명 텍스트 4" xfId="1657"/>
    <cellStyle name="설명 텍스트 5" xfId="1658"/>
    <cellStyle name="설명 텍스트 6" xfId="1659"/>
    <cellStyle name="설명 텍스트 7" xfId="1660"/>
    <cellStyle name="설명 텍스트 8" xfId="1661"/>
    <cellStyle name="설명 텍스트 9" xfId="1662"/>
    <cellStyle name="셀 확인 10" xfId="1663"/>
    <cellStyle name="셀 확인 11" xfId="1664"/>
    <cellStyle name="셀 확인 12" xfId="1665"/>
    <cellStyle name="셀 확인 13" xfId="1666"/>
    <cellStyle name="셀 확인 14" xfId="1667"/>
    <cellStyle name="셀 확인 15" xfId="1668"/>
    <cellStyle name="셀 확인 16" xfId="1669"/>
    <cellStyle name="셀 확인 17" xfId="1670"/>
    <cellStyle name="셀 확인 18" xfId="1671"/>
    <cellStyle name="셀 확인 19" xfId="1672"/>
    <cellStyle name="셀 확인 2" xfId="1673"/>
    <cellStyle name="셀 확인 2 2" xfId="1674"/>
    <cellStyle name="셀 확인 2 3" xfId="1675"/>
    <cellStyle name="셀 확인 2 4" xfId="1676"/>
    <cellStyle name="셀 확인 20" xfId="1677"/>
    <cellStyle name="셀 확인 21" xfId="1678"/>
    <cellStyle name="셀 확인 22" xfId="1679"/>
    <cellStyle name="셀 확인 23" xfId="1680"/>
    <cellStyle name="셀 확인 24" xfId="1681"/>
    <cellStyle name="셀 확인 25" xfId="1682"/>
    <cellStyle name="셀 확인 26" xfId="1683"/>
    <cellStyle name="셀 확인 27" xfId="1684"/>
    <cellStyle name="셀 확인 28" xfId="1685"/>
    <cellStyle name="셀 확인 29" xfId="1686"/>
    <cellStyle name="셀 확인 3" xfId="1687"/>
    <cellStyle name="셀 확인 3 2" xfId="1688"/>
    <cellStyle name="셀 확인 3 3" xfId="1689"/>
    <cellStyle name="셀 확인 3 4" xfId="1690"/>
    <cellStyle name="셀 확인 30" xfId="1691"/>
    <cellStyle name="셀 확인 31" xfId="1692"/>
    <cellStyle name="셀 확인 32" xfId="1693"/>
    <cellStyle name="셀 확인 33" xfId="1694"/>
    <cellStyle name="셀 확인 34" xfId="1695"/>
    <cellStyle name="셀 확인 35" xfId="1696"/>
    <cellStyle name="셀 확인 36" xfId="1697"/>
    <cellStyle name="셀 확인 37" xfId="1698"/>
    <cellStyle name="셀 확인 38" xfId="1699"/>
    <cellStyle name="셀 확인 39" xfId="1700"/>
    <cellStyle name="셀 확인 4" xfId="1701"/>
    <cellStyle name="셀 확인 4 2" xfId="1702"/>
    <cellStyle name="셀 확인 4 3" xfId="1703"/>
    <cellStyle name="셀 확인 4 4" xfId="1704"/>
    <cellStyle name="셀 확인 40" xfId="1705"/>
    <cellStyle name="셀 확인 41" xfId="1706"/>
    <cellStyle name="셀 확인 42" xfId="1707"/>
    <cellStyle name="셀 확인 43" xfId="1708"/>
    <cellStyle name="셀 확인 44" xfId="1709"/>
    <cellStyle name="셀 확인 45" xfId="1710"/>
    <cellStyle name="셀 확인 46" xfId="1711"/>
    <cellStyle name="셀 확인 47" xfId="1712"/>
    <cellStyle name="셀 확인 48" xfId="1713"/>
    <cellStyle name="셀 확인 5" xfId="1714"/>
    <cellStyle name="셀 확인 6" xfId="1715"/>
    <cellStyle name="셀 확인 7" xfId="1716"/>
    <cellStyle name="셀 확인 8" xfId="1717"/>
    <cellStyle name="셀 확인 9" xfId="1718"/>
    <cellStyle name="쉼표 [0]" xfId="2" builtinId="6"/>
    <cellStyle name="쉼표 [0] 10" xfId="2318"/>
    <cellStyle name="쉼표 [0] 11 3 2" xfId="3"/>
    <cellStyle name="쉼표 [0] 2" xfId="4"/>
    <cellStyle name="쉼표 [0] 2 10" xfId="1720"/>
    <cellStyle name="쉼표 [0] 2 11" xfId="1721"/>
    <cellStyle name="쉼표 [0] 2 12" xfId="1722"/>
    <cellStyle name="쉼표 [0] 2 13" xfId="1723"/>
    <cellStyle name="쉼표 [0] 2 14" xfId="1724"/>
    <cellStyle name="쉼표 [0] 2 15" xfId="1725"/>
    <cellStyle name="쉼표 [0] 2 16" xfId="1726"/>
    <cellStyle name="쉼표 [0] 2 17" xfId="1727"/>
    <cellStyle name="쉼표 [0] 2 18" xfId="1728"/>
    <cellStyle name="쉼표 [0] 2 19" xfId="1729"/>
    <cellStyle name="쉼표 [0] 2 2" xfId="5"/>
    <cellStyle name="쉼표 [0] 2 2 2" xfId="1730"/>
    <cellStyle name="쉼표 [0] 2 20" xfId="1731"/>
    <cellStyle name="쉼표 [0] 2 21" xfId="1732"/>
    <cellStyle name="쉼표 [0] 2 22" xfId="2319"/>
    <cellStyle name="쉼표 [0] 2 3" xfId="6"/>
    <cellStyle name="쉼표 [0] 2 3 2" xfId="1734"/>
    <cellStyle name="쉼표 [0] 2 3 3" xfId="1735"/>
    <cellStyle name="쉼표 [0] 2 3 4" xfId="1736"/>
    <cellStyle name="쉼표 [0] 2 3 5" xfId="1733"/>
    <cellStyle name="쉼표 [0] 2 4" xfId="7"/>
    <cellStyle name="쉼표 [0] 2 4 2" xfId="1738"/>
    <cellStyle name="쉼표 [0] 2 4 3" xfId="1739"/>
    <cellStyle name="쉼표 [0] 2 4 4" xfId="1740"/>
    <cellStyle name="쉼표 [0] 2 4 5" xfId="1737"/>
    <cellStyle name="쉼표 [0] 2 5" xfId="8"/>
    <cellStyle name="쉼표 [0] 2 6" xfId="9"/>
    <cellStyle name="쉼표 [0] 2 7" xfId="1741"/>
    <cellStyle name="쉼표 [0] 2 8" xfId="1742"/>
    <cellStyle name="쉼표 [0] 2 9" xfId="1743"/>
    <cellStyle name="쉼표 [0] 3" xfId="10"/>
    <cellStyle name="쉼표 [0] 3 2" xfId="1744"/>
    <cellStyle name="쉼표 [0] 3 2 2" xfId="1745"/>
    <cellStyle name="쉼표 [0] 3 2 2 2" xfId="1746"/>
    <cellStyle name="쉼표 [0] 3 2 2 2 2" xfId="1747"/>
    <cellStyle name="쉼표 [0] 3 2 2 2 3" xfId="1748"/>
    <cellStyle name="쉼표 [0] 3 2 2 2 4" xfId="1749"/>
    <cellStyle name="쉼표 [0] 3 2 2 3" xfId="1750"/>
    <cellStyle name="쉼표 [0] 3 2 2 4" xfId="1751"/>
    <cellStyle name="쉼표 [0] 3 2 3" xfId="1752"/>
    <cellStyle name="쉼표 [0] 3 2 4" xfId="1753"/>
    <cellStyle name="쉼표 [0] 3 3" xfId="1754"/>
    <cellStyle name="쉼표 [0] 3 3 2" xfId="1755"/>
    <cellStyle name="쉼표 [0] 3 3 3" xfId="1756"/>
    <cellStyle name="쉼표 [0] 3 3 4" xfId="1757"/>
    <cellStyle name="쉼표 [0] 3 4" xfId="1758"/>
    <cellStyle name="쉼표 [0] 3 4 2" xfId="1759"/>
    <cellStyle name="쉼표 [0] 3 4 3" xfId="1760"/>
    <cellStyle name="쉼표 [0] 3 4 4" xfId="1761"/>
    <cellStyle name="쉼표 [0] 3 5" xfId="1762"/>
    <cellStyle name="쉼표 [0] 3 6" xfId="1763"/>
    <cellStyle name="쉼표 [0] 3 7" xfId="1764"/>
    <cellStyle name="쉼표 [0] 3 8" xfId="1765"/>
    <cellStyle name="쉼표 [0] 3 8 2" xfId="2305"/>
    <cellStyle name="쉼표 [0] 3 9" xfId="1766"/>
    <cellStyle name="쉼표 [0] 4" xfId="11"/>
    <cellStyle name="쉼표 [0] 4 2" xfId="1768"/>
    <cellStyle name="쉼표 [0] 4 3" xfId="1769"/>
    <cellStyle name="쉼표 [0] 4 3 2" xfId="1770"/>
    <cellStyle name="쉼표 [0] 4 3 3" xfId="1771"/>
    <cellStyle name="쉼표 [0] 4 3 4" xfId="1772"/>
    <cellStyle name="쉼표 [0] 4 4" xfId="1773"/>
    <cellStyle name="쉼표 [0] 4 4 2" xfId="2306"/>
    <cellStyle name="쉼표 [0] 4 5" xfId="1774"/>
    <cellStyle name="쉼표 [0] 4 6" xfId="1767"/>
    <cellStyle name="쉼표 [0] 4 7" xfId="2320"/>
    <cellStyle name="쉼표 [0] 5" xfId="12"/>
    <cellStyle name="쉼표 [0] 5 2" xfId="1776"/>
    <cellStyle name="쉼표 [0] 5 3" xfId="1777"/>
    <cellStyle name="쉼표 [0] 5 4" xfId="1778"/>
    <cellStyle name="쉼표 [0] 5 5" xfId="1775"/>
    <cellStyle name="쉼표 [0] 6" xfId="1779"/>
    <cellStyle name="쉼표 [0] 6 2" xfId="2307"/>
    <cellStyle name="쉼표 [0] 7" xfId="1780"/>
    <cellStyle name="쉼표 [0] 8" xfId="13"/>
    <cellStyle name="쉼표 [0] 8 2" xfId="1781"/>
    <cellStyle name="쉼표 [0] 9" xfId="1719"/>
    <cellStyle name="연결된 셀 10" xfId="1782"/>
    <cellStyle name="연결된 셀 11" xfId="1783"/>
    <cellStyle name="연결된 셀 12" xfId="1784"/>
    <cellStyle name="연결된 셀 13" xfId="1785"/>
    <cellStyle name="연결된 셀 14" xfId="1786"/>
    <cellStyle name="연결된 셀 15" xfId="1787"/>
    <cellStyle name="연결된 셀 16" xfId="1788"/>
    <cellStyle name="연결된 셀 17" xfId="1789"/>
    <cellStyle name="연결된 셀 18" xfId="1790"/>
    <cellStyle name="연결된 셀 19" xfId="1791"/>
    <cellStyle name="연결된 셀 2" xfId="1792"/>
    <cellStyle name="연결된 셀 20" xfId="1793"/>
    <cellStyle name="연결된 셀 21" xfId="1794"/>
    <cellStyle name="연결된 셀 22" xfId="1795"/>
    <cellStyle name="연결된 셀 23" xfId="1796"/>
    <cellStyle name="연결된 셀 24" xfId="1797"/>
    <cellStyle name="연결된 셀 25" xfId="1798"/>
    <cellStyle name="연결된 셀 26" xfId="1799"/>
    <cellStyle name="연결된 셀 27" xfId="1800"/>
    <cellStyle name="연결된 셀 28" xfId="1801"/>
    <cellStyle name="연결된 셀 29" xfId="1802"/>
    <cellStyle name="연결된 셀 3" xfId="1803"/>
    <cellStyle name="연결된 셀 3 2" xfId="1804"/>
    <cellStyle name="연결된 셀 3 3" xfId="1805"/>
    <cellStyle name="연결된 셀 3 4" xfId="1806"/>
    <cellStyle name="연결된 셀 4" xfId="1807"/>
    <cellStyle name="연결된 셀 5" xfId="1808"/>
    <cellStyle name="연결된 셀 6" xfId="1809"/>
    <cellStyle name="연결된 셀 7" xfId="1810"/>
    <cellStyle name="연결된 셀 8" xfId="1811"/>
    <cellStyle name="연결된 셀 9" xfId="1812"/>
    <cellStyle name="요약 10" xfId="1813"/>
    <cellStyle name="요약 11" xfId="1814"/>
    <cellStyle name="요약 12" xfId="1815"/>
    <cellStyle name="요약 13" xfId="1816"/>
    <cellStyle name="요약 14" xfId="1817"/>
    <cellStyle name="요약 15" xfId="1818"/>
    <cellStyle name="요약 16" xfId="1819"/>
    <cellStyle name="요약 17" xfId="1820"/>
    <cellStyle name="요약 18" xfId="1821"/>
    <cellStyle name="요약 19" xfId="1822"/>
    <cellStyle name="요약 2" xfId="1823"/>
    <cellStyle name="요약 20" xfId="1824"/>
    <cellStyle name="요약 21" xfId="1825"/>
    <cellStyle name="요약 22" xfId="1826"/>
    <cellStyle name="요약 23" xfId="1827"/>
    <cellStyle name="요약 24" xfId="1828"/>
    <cellStyle name="요약 25" xfId="1829"/>
    <cellStyle name="요약 26" xfId="1830"/>
    <cellStyle name="요약 27" xfId="1831"/>
    <cellStyle name="요약 28" xfId="1832"/>
    <cellStyle name="요약 29" xfId="1833"/>
    <cellStyle name="요약 3" xfId="1834"/>
    <cellStyle name="요약 3 2" xfId="1835"/>
    <cellStyle name="요약 3 3" xfId="1836"/>
    <cellStyle name="요약 3 4" xfId="1837"/>
    <cellStyle name="요약 4" xfId="1838"/>
    <cellStyle name="요약 5" xfId="1839"/>
    <cellStyle name="요약 6" xfId="1840"/>
    <cellStyle name="요약 7" xfId="1841"/>
    <cellStyle name="요약 8" xfId="1842"/>
    <cellStyle name="요약 9" xfId="1843"/>
    <cellStyle name="입력 10" xfId="1844"/>
    <cellStyle name="입력 11" xfId="1845"/>
    <cellStyle name="입력 12" xfId="1846"/>
    <cellStyle name="입력 13" xfId="1847"/>
    <cellStyle name="입력 14" xfId="1848"/>
    <cellStyle name="입력 15" xfId="1849"/>
    <cellStyle name="입력 16" xfId="1850"/>
    <cellStyle name="입력 17" xfId="1851"/>
    <cellStyle name="입력 18" xfId="1852"/>
    <cellStyle name="입력 19" xfId="1853"/>
    <cellStyle name="입력 2" xfId="1854"/>
    <cellStyle name="입력 2 2" xfId="1855"/>
    <cellStyle name="입력 2 3" xfId="1856"/>
    <cellStyle name="입력 2 4" xfId="1857"/>
    <cellStyle name="입력 20" xfId="1858"/>
    <cellStyle name="입력 21" xfId="1859"/>
    <cellStyle name="입력 22" xfId="1860"/>
    <cellStyle name="입력 23" xfId="1861"/>
    <cellStyle name="입력 24" xfId="1862"/>
    <cellStyle name="입력 25" xfId="1863"/>
    <cellStyle name="입력 26" xfId="1864"/>
    <cellStyle name="입력 27" xfId="1865"/>
    <cellStyle name="입력 28" xfId="1866"/>
    <cellStyle name="입력 29" xfId="1867"/>
    <cellStyle name="입력 3" xfId="1868"/>
    <cellStyle name="입력 3 2" xfId="1869"/>
    <cellStyle name="입력 3 3" xfId="1870"/>
    <cellStyle name="입력 3 4" xfId="1871"/>
    <cellStyle name="입력 30" xfId="1872"/>
    <cellStyle name="입력 31" xfId="1873"/>
    <cellStyle name="입력 32" xfId="1874"/>
    <cellStyle name="입력 33" xfId="1875"/>
    <cellStyle name="입력 34" xfId="1876"/>
    <cellStyle name="입력 35" xfId="1877"/>
    <cellStyle name="입력 36" xfId="1878"/>
    <cellStyle name="입력 37" xfId="1879"/>
    <cellStyle name="입력 38" xfId="1880"/>
    <cellStyle name="입력 39" xfId="1881"/>
    <cellStyle name="입력 4" xfId="1882"/>
    <cellStyle name="입력 4 2" xfId="1883"/>
    <cellStyle name="입력 4 3" xfId="1884"/>
    <cellStyle name="입력 4 4" xfId="1885"/>
    <cellStyle name="입력 40" xfId="1886"/>
    <cellStyle name="입력 41" xfId="1887"/>
    <cellStyle name="입력 42" xfId="1888"/>
    <cellStyle name="입력 43" xfId="1889"/>
    <cellStyle name="입력 44" xfId="1890"/>
    <cellStyle name="입력 45" xfId="1891"/>
    <cellStyle name="입력 46" xfId="1892"/>
    <cellStyle name="입력 47" xfId="1893"/>
    <cellStyle name="입력 48" xfId="1894"/>
    <cellStyle name="입력 5" xfId="1895"/>
    <cellStyle name="입력 6" xfId="1896"/>
    <cellStyle name="입력 7" xfId="1897"/>
    <cellStyle name="입력 8" xfId="1898"/>
    <cellStyle name="입력 9" xfId="1899"/>
    <cellStyle name="제목 1 10" xfId="1900"/>
    <cellStyle name="제목 1 11" xfId="1901"/>
    <cellStyle name="제목 1 12" xfId="1902"/>
    <cellStyle name="제목 1 13" xfId="1903"/>
    <cellStyle name="제목 1 14" xfId="1904"/>
    <cellStyle name="제목 1 15" xfId="1905"/>
    <cellStyle name="제목 1 16" xfId="1906"/>
    <cellStyle name="제목 1 17" xfId="1907"/>
    <cellStyle name="제목 1 18" xfId="1908"/>
    <cellStyle name="제목 1 19" xfId="1909"/>
    <cellStyle name="제목 1 2" xfId="1910"/>
    <cellStyle name="제목 1 20" xfId="1911"/>
    <cellStyle name="제목 1 21" xfId="1912"/>
    <cellStyle name="제목 1 22" xfId="1913"/>
    <cellStyle name="제목 1 23" xfId="1914"/>
    <cellStyle name="제목 1 24" xfId="1915"/>
    <cellStyle name="제목 1 25" xfId="1916"/>
    <cellStyle name="제목 1 26" xfId="1917"/>
    <cellStyle name="제목 1 27" xfId="1918"/>
    <cellStyle name="제목 1 28" xfId="1919"/>
    <cellStyle name="제목 1 29" xfId="1920"/>
    <cellStyle name="제목 1 3" xfId="1921"/>
    <cellStyle name="제목 1 3 2" xfId="1922"/>
    <cellStyle name="제목 1 3 3" xfId="1923"/>
    <cellStyle name="제목 1 3 4" xfId="1924"/>
    <cellStyle name="제목 1 4" xfId="1925"/>
    <cellStyle name="제목 1 5" xfId="1926"/>
    <cellStyle name="제목 1 6" xfId="1927"/>
    <cellStyle name="제목 1 7" xfId="1928"/>
    <cellStyle name="제목 1 8" xfId="1929"/>
    <cellStyle name="제목 1 9" xfId="1930"/>
    <cellStyle name="제목 10" xfId="1931"/>
    <cellStyle name="제목 11" xfId="1932"/>
    <cellStyle name="제목 12" xfId="1933"/>
    <cellStyle name="제목 13" xfId="1934"/>
    <cellStyle name="제목 14" xfId="1935"/>
    <cellStyle name="제목 15" xfId="1936"/>
    <cellStyle name="제목 16" xfId="1937"/>
    <cellStyle name="제목 17" xfId="1938"/>
    <cellStyle name="제목 18" xfId="1939"/>
    <cellStyle name="제목 19" xfId="1940"/>
    <cellStyle name="제목 2 10" xfId="1941"/>
    <cellStyle name="제목 2 11" xfId="1942"/>
    <cellStyle name="제목 2 12" xfId="1943"/>
    <cellStyle name="제목 2 13" xfId="1944"/>
    <cellStyle name="제목 2 14" xfId="1945"/>
    <cellStyle name="제목 2 15" xfId="1946"/>
    <cellStyle name="제목 2 16" xfId="1947"/>
    <cellStyle name="제목 2 17" xfId="1948"/>
    <cellStyle name="제목 2 18" xfId="1949"/>
    <cellStyle name="제목 2 19" xfId="1950"/>
    <cellStyle name="제목 2 2" xfId="1951"/>
    <cellStyle name="제목 2 20" xfId="1952"/>
    <cellStyle name="제목 2 21" xfId="1953"/>
    <cellStyle name="제목 2 22" xfId="1954"/>
    <cellStyle name="제목 2 23" xfId="1955"/>
    <cellStyle name="제목 2 24" xfId="1956"/>
    <cellStyle name="제목 2 25" xfId="1957"/>
    <cellStyle name="제목 2 26" xfId="1958"/>
    <cellStyle name="제목 2 27" xfId="1959"/>
    <cellStyle name="제목 2 28" xfId="1960"/>
    <cellStyle name="제목 2 29" xfId="1961"/>
    <cellStyle name="제목 2 3" xfId="1962"/>
    <cellStyle name="제목 2 3 2" xfId="1963"/>
    <cellStyle name="제목 2 3 3" xfId="1964"/>
    <cellStyle name="제목 2 3 4" xfId="1965"/>
    <cellStyle name="제목 2 4" xfId="1966"/>
    <cellStyle name="제목 2 5" xfId="1967"/>
    <cellStyle name="제목 2 6" xfId="1968"/>
    <cellStyle name="제목 2 7" xfId="1969"/>
    <cellStyle name="제목 2 8" xfId="1970"/>
    <cellStyle name="제목 2 9" xfId="1971"/>
    <cellStyle name="제목 20" xfId="1972"/>
    <cellStyle name="제목 21" xfId="1973"/>
    <cellStyle name="제목 22" xfId="1974"/>
    <cellStyle name="제목 23" xfId="1975"/>
    <cellStyle name="제목 24" xfId="1976"/>
    <cellStyle name="제목 25" xfId="1977"/>
    <cellStyle name="제목 26" xfId="1978"/>
    <cellStyle name="제목 27" xfId="1979"/>
    <cellStyle name="제목 28" xfId="1980"/>
    <cellStyle name="제목 29" xfId="1981"/>
    <cellStyle name="제목 3 10" xfId="1982"/>
    <cellStyle name="제목 3 11" xfId="1983"/>
    <cellStyle name="제목 3 12" xfId="1984"/>
    <cellStyle name="제목 3 13" xfId="1985"/>
    <cellStyle name="제목 3 14" xfId="1986"/>
    <cellStyle name="제목 3 15" xfId="1987"/>
    <cellStyle name="제목 3 16" xfId="1988"/>
    <cellStyle name="제목 3 17" xfId="1989"/>
    <cellStyle name="제목 3 18" xfId="1990"/>
    <cellStyle name="제목 3 19" xfId="1991"/>
    <cellStyle name="제목 3 2" xfId="1992"/>
    <cellStyle name="제목 3 20" xfId="1993"/>
    <cellStyle name="제목 3 21" xfId="1994"/>
    <cellStyle name="제목 3 22" xfId="1995"/>
    <cellStyle name="제목 3 23" xfId="1996"/>
    <cellStyle name="제목 3 24" xfId="1997"/>
    <cellStyle name="제목 3 25" xfId="1998"/>
    <cellStyle name="제목 3 26" xfId="1999"/>
    <cellStyle name="제목 3 27" xfId="2000"/>
    <cellStyle name="제목 3 28" xfId="2001"/>
    <cellStyle name="제목 3 29" xfId="2002"/>
    <cellStyle name="제목 3 3" xfId="2003"/>
    <cellStyle name="제목 3 3 2" xfId="2004"/>
    <cellStyle name="제목 3 3 3" xfId="2005"/>
    <cellStyle name="제목 3 3 4" xfId="2006"/>
    <cellStyle name="제목 3 4" xfId="2007"/>
    <cellStyle name="제목 3 5" xfId="2008"/>
    <cellStyle name="제목 3 6" xfId="2009"/>
    <cellStyle name="제목 3 7" xfId="2010"/>
    <cellStyle name="제목 3 8" xfId="2011"/>
    <cellStyle name="제목 3 9" xfId="2012"/>
    <cellStyle name="제목 30" xfId="2013"/>
    <cellStyle name="제목 31" xfId="2014"/>
    <cellStyle name="제목 32" xfId="2015"/>
    <cellStyle name="제목 4 10" xfId="2016"/>
    <cellStyle name="제목 4 11" xfId="2017"/>
    <cellStyle name="제목 4 12" xfId="2018"/>
    <cellStyle name="제목 4 13" xfId="2019"/>
    <cellStyle name="제목 4 14" xfId="2020"/>
    <cellStyle name="제목 4 15" xfId="2021"/>
    <cellStyle name="제목 4 16" xfId="2022"/>
    <cellStyle name="제목 4 17" xfId="2023"/>
    <cellStyle name="제목 4 18" xfId="2024"/>
    <cellStyle name="제목 4 19" xfId="2025"/>
    <cellStyle name="제목 4 2" xfId="2026"/>
    <cellStyle name="제목 4 20" xfId="2027"/>
    <cellStyle name="제목 4 21" xfId="2028"/>
    <cellStyle name="제목 4 22" xfId="2029"/>
    <cellStyle name="제목 4 23" xfId="2030"/>
    <cellStyle name="제목 4 24" xfId="2031"/>
    <cellStyle name="제목 4 25" xfId="2032"/>
    <cellStyle name="제목 4 26" xfId="2033"/>
    <cellStyle name="제목 4 27" xfId="2034"/>
    <cellStyle name="제목 4 28" xfId="2035"/>
    <cellStyle name="제목 4 29" xfId="2036"/>
    <cellStyle name="제목 4 3" xfId="2037"/>
    <cellStyle name="제목 4 3 2" xfId="2038"/>
    <cellStyle name="제목 4 3 3" xfId="2039"/>
    <cellStyle name="제목 4 3 4" xfId="2040"/>
    <cellStyle name="제목 4 4" xfId="2041"/>
    <cellStyle name="제목 4 5" xfId="2042"/>
    <cellStyle name="제목 4 6" xfId="2043"/>
    <cellStyle name="제목 4 7" xfId="2044"/>
    <cellStyle name="제목 4 8" xfId="2045"/>
    <cellStyle name="제목 4 9" xfId="2046"/>
    <cellStyle name="제목 5" xfId="2047"/>
    <cellStyle name="제목 6" xfId="2048"/>
    <cellStyle name="제목 6 2" xfId="2049"/>
    <cellStyle name="제목 6 3" xfId="2050"/>
    <cellStyle name="제목 6 4" xfId="2051"/>
    <cellStyle name="제목 7" xfId="2052"/>
    <cellStyle name="제목 8" xfId="2053"/>
    <cellStyle name="제목 9" xfId="2054"/>
    <cellStyle name="좋음 10" xfId="2055"/>
    <cellStyle name="좋음 11" xfId="2056"/>
    <cellStyle name="좋음 12" xfId="2057"/>
    <cellStyle name="좋음 13" xfId="2058"/>
    <cellStyle name="좋음 14" xfId="2059"/>
    <cellStyle name="좋음 15" xfId="2060"/>
    <cellStyle name="좋음 16" xfId="2061"/>
    <cellStyle name="좋음 17" xfId="2062"/>
    <cellStyle name="좋음 18" xfId="2063"/>
    <cellStyle name="좋음 19" xfId="2064"/>
    <cellStyle name="좋음 2" xfId="2065"/>
    <cellStyle name="좋음 2 2" xfId="2066"/>
    <cellStyle name="좋음 2 3" xfId="2067"/>
    <cellStyle name="좋음 2 4" xfId="2068"/>
    <cellStyle name="좋음 20" xfId="2069"/>
    <cellStyle name="좋음 21" xfId="2070"/>
    <cellStyle name="좋음 22" xfId="2071"/>
    <cellStyle name="좋음 23" xfId="2072"/>
    <cellStyle name="좋음 24" xfId="2073"/>
    <cellStyle name="좋음 25" xfId="2074"/>
    <cellStyle name="좋음 26" xfId="2075"/>
    <cellStyle name="좋음 27" xfId="2076"/>
    <cellStyle name="좋음 28" xfId="2077"/>
    <cellStyle name="좋음 29" xfId="2078"/>
    <cellStyle name="좋음 3" xfId="2079"/>
    <cellStyle name="좋음 3 2" xfId="2080"/>
    <cellStyle name="좋음 3 3" xfId="2081"/>
    <cellStyle name="좋음 3 4" xfId="2082"/>
    <cellStyle name="좋음 30" xfId="2083"/>
    <cellStyle name="좋음 31" xfId="2084"/>
    <cellStyle name="좋음 32" xfId="2085"/>
    <cellStyle name="좋음 33" xfId="2086"/>
    <cellStyle name="좋음 34" xfId="2087"/>
    <cellStyle name="좋음 35" xfId="2088"/>
    <cellStyle name="좋음 36" xfId="2089"/>
    <cellStyle name="좋음 37" xfId="2090"/>
    <cellStyle name="좋음 38" xfId="2091"/>
    <cellStyle name="좋음 39" xfId="2092"/>
    <cellStyle name="좋음 4" xfId="2093"/>
    <cellStyle name="좋음 4 2" xfId="2094"/>
    <cellStyle name="좋음 4 3" xfId="2095"/>
    <cellStyle name="좋음 4 4" xfId="2096"/>
    <cellStyle name="좋음 40" xfId="2097"/>
    <cellStyle name="좋음 41" xfId="2098"/>
    <cellStyle name="좋음 42" xfId="2099"/>
    <cellStyle name="좋음 43" xfId="2100"/>
    <cellStyle name="좋음 44" xfId="2101"/>
    <cellStyle name="좋음 45" xfId="2102"/>
    <cellStyle name="좋음 46" xfId="2103"/>
    <cellStyle name="좋음 47" xfId="2104"/>
    <cellStyle name="좋음 48" xfId="2105"/>
    <cellStyle name="좋음 5" xfId="2106"/>
    <cellStyle name="좋음 6" xfId="2107"/>
    <cellStyle name="좋음 7" xfId="2108"/>
    <cellStyle name="좋음 8" xfId="2109"/>
    <cellStyle name="좋음 9" xfId="2110"/>
    <cellStyle name="출력 10" xfId="2111"/>
    <cellStyle name="출력 11" xfId="2112"/>
    <cellStyle name="출력 12" xfId="2113"/>
    <cellStyle name="출력 13" xfId="2114"/>
    <cellStyle name="출력 14" xfId="2115"/>
    <cellStyle name="출력 15" xfId="2116"/>
    <cellStyle name="출력 16" xfId="2117"/>
    <cellStyle name="출력 17" xfId="2118"/>
    <cellStyle name="출력 18" xfId="2119"/>
    <cellStyle name="출력 19" xfId="2120"/>
    <cellStyle name="출력 2" xfId="2121"/>
    <cellStyle name="출력 2 2" xfId="2122"/>
    <cellStyle name="출력 2 3" xfId="2123"/>
    <cellStyle name="출력 2 4" xfId="2124"/>
    <cellStyle name="출력 20" xfId="2125"/>
    <cellStyle name="출력 21" xfId="2126"/>
    <cellStyle name="출력 22" xfId="2127"/>
    <cellStyle name="출력 23" xfId="2128"/>
    <cellStyle name="출력 24" xfId="2129"/>
    <cellStyle name="출력 25" xfId="2130"/>
    <cellStyle name="출력 26" xfId="2131"/>
    <cellStyle name="출력 27" xfId="2132"/>
    <cellStyle name="출력 28" xfId="2133"/>
    <cellStyle name="출력 29" xfId="2134"/>
    <cellStyle name="출력 3" xfId="2135"/>
    <cellStyle name="출력 3 2" xfId="2136"/>
    <cellStyle name="출력 3 3" xfId="2137"/>
    <cellStyle name="출력 3 4" xfId="2138"/>
    <cellStyle name="출력 30" xfId="2139"/>
    <cellStyle name="출력 31" xfId="2140"/>
    <cellStyle name="출력 32" xfId="2141"/>
    <cellStyle name="출력 33" xfId="2142"/>
    <cellStyle name="출력 34" xfId="2143"/>
    <cellStyle name="출력 35" xfId="2144"/>
    <cellStyle name="출력 36" xfId="2145"/>
    <cellStyle name="출력 37" xfId="2146"/>
    <cellStyle name="출력 38" xfId="2147"/>
    <cellStyle name="출력 39" xfId="2148"/>
    <cellStyle name="출력 4" xfId="2149"/>
    <cellStyle name="출력 4 2" xfId="2150"/>
    <cellStyle name="출력 4 3" xfId="2151"/>
    <cellStyle name="출력 4 4" xfId="2152"/>
    <cellStyle name="출력 40" xfId="2153"/>
    <cellStyle name="출력 41" xfId="2154"/>
    <cellStyle name="출력 42" xfId="2155"/>
    <cellStyle name="출력 43" xfId="2156"/>
    <cellStyle name="출력 44" xfId="2157"/>
    <cellStyle name="출력 45" xfId="2158"/>
    <cellStyle name="출력 46" xfId="2159"/>
    <cellStyle name="출력 47" xfId="2160"/>
    <cellStyle name="출력 48" xfId="2161"/>
    <cellStyle name="출력 5" xfId="2162"/>
    <cellStyle name="출력 6" xfId="2163"/>
    <cellStyle name="출력 7" xfId="2164"/>
    <cellStyle name="출력 8" xfId="2165"/>
    <cellStyle name="출력 9" xfId="2166"/>
    <cellStyle name="콤마 [0]_98jeug" xfId="14"/>
    <cellStyle name="콤마_98jeug" xfId="15"/>
    <cellStyle name="표준" xfId="0" builtinId="0"/>
    <cellStyle name="표준 10" xfId="16"/>
    <cellStyle name="표준 10 2" xfId="2167"/>
    <cellStyle name="표준 11" xfId="2168"/>
    <cellStyle name="표준 12" xfId="2308"/>
    <cellStyle name="표준 12 2" xfId="2309"/>
    <cellStyle name="표준 13" xfId="31"/>
    <cellStyle name="표준 13 2" xfId="2315"/>
    <cellStyle name="표준 14" xfId="2317"/>
    <cellStyle name="표준 15" xfId="2321"/>
    <cellStyle name="표준 2" xfId="17"/>
    <cellStyle name="표준 2 10" xfId="2169"/>
    <cellStyle name="표준 2 11" xfId="2170"/>
    <cellStyle name="표준 2 12" xfId="2171"/>
    <cellStyle name="표준 2 13" xfId="2172"/>
    <cellStyle name="표준 2 14" xfId="2173"/>
    <cellStyle name="표준 2 15" xfId="2174"/>
    <cellStyle name="표준 2 16" xfId="2175"/>
    <cellStyle name="표준 2 17" xfId="2176"/>
    <cellStyle name="표준 2 18" xfId="2177"/>
    <cellStyle name="표준 2 19" xfId="2178"/>
    <cellStyle name="표준 2 2" xfId="18"/>
    <cellStyle name="표준 2 2 10" xfId="2179"/>
    <cellStyle name="표준 2 2 11" xfId="2180"/>
    <cellStyle name="표준 2 2 12" xfId="2181"/>
    <cellStyle name="표준 2 2 13" xfId="2182"/>
    <cellStyle name="표준 2 2 14" xfId="2183"/>
    <cellStyle name="표준 2 2 15" xfId="2184"/>
    <cellStyle name="표준 2 2 16" xfId="2185"/>
    <cellStyle name="표준 2 2 17" xfId="2186"/>
    <cellStyle name="표준 2 2 18" xfId="2187"/>
    <cellStyle name="표준 2 2 19" xfId="2188"/>
    <cellStyle name="표준 2 2 2" xfId="19"/>
    <cellStyle name="표준 2 2 2 2" xfId="2190"/>
    <cellStyle name="표준 2 2 2 3" xfId="2191"/>
    <cellStyle name="표준 2 2 2 4" xfId="2192"/>
    <cellStyle name="표준 2 2 2 5" xfId="2189"/>
    <cellStyle name="표준 2 2 20" xfId="2193"/>
    <cellStyle name="표준 2 2 21" xfId="2194"/>
    <cellStyle name="표준 2 2 22" xfId="2195"/>
    <cellStyle name="표준 2 2 23" xfId="2196"/>
    <cellStyle name="표준 2 2 24" xfId="2197"/>
    <cellStyle name="표준 2 2 25" xfId="2198"/>
    <cellStyle name="표준 2 2 26" xfId="2199"/>
    <cellStyle name="표준 2 2 27" xfId="2200"/>
    <cellStyle name="표준 2 2 28" xfId="2201"/>
    <cellStyle name="표준 2 2 29" xfId="2202"/>
    <cellStyle name="표준 2 2 3" xfId="20"/>
    <cellStyle name="표준 2 2 3 2" xfId="2204"/>
    <cellStyle name="표준 2 2 3 3" xfId="2205"/>
    <cellStyle name="표준 2 2 3 4" xfId="2206"/>
    <cellStyle name="표준 2 2 3 5" xfId="2203"/>
    <cellStyle name="표준 2 2 30" xfId="2207"/>
    <cellStyle name="표준 2 2 31" xfId="2208"/>
    <cellStyle name="표준 2 2 32" xfId="2209"/>
    <cellStyle name="표준 2 2 33" xfId="2210"/>
    <cellStyle name="표준 2 2 34" xfId="2211"/>
    <cellStyle name="표준 2 2 35" xfId="2212"/>
    <cellStyle name="표준 2 2 36" xfId="2213"/>
    <cellStyle name="표준 2 2 37" xfId="2214"/>
    <cellStyle name="표준 2 2 38" xfId="2215"/>
    <cellStyle name="표준 2 2 39" xfId="2216"/>
    <cellStyle name="표준 2 2 4" xfId="21"/>
    <cellStyle name="표준 2 2 4 2" xfId="2217"/>
    <cellStyle name="표준 2 2 40" xfId="2218"/>
    <cellStyle name="표준 2 2 41" xfId="2219"/>
    <cellStyle name="표준 2 2 42" xfId="2220"/>
    <cellStyle name="표준 2 2 43" xfId="2221"/>
    <cellStyle name="표준 2 2 44" xfId="2222"/>
    <cellStyle name="표준 2 2 45" xfId="2223"/>
    <cellStyle name="표준 2 2 46" xfId="2224"/>
    <cellStyle name="표준 2 2 47" xfId="2292"/>
    <cellStyle name="표준 2 2 48" xfId="2293"/>
    <cellStyle name="표준 2 2 49" xfId="2294"/>
    <cellStyle name="표준 2 2 5" xfId="22"/>
    <cellStyle name="표준 2 2 5 2" xfId="2225"/>
    <cellStyle name="표준 2 2 50" xfId="2295"/>
    <cellStyle name="표준 2 2 51" xfId="2296"/>
    <cellStyle name="표준 2 2 52" xfId="2297"/>
    <cellStyle name="표준 2 2 53" xfId="2298"/>
    <cellStyle name="표준 2 2 54" xfId="2299"/>
    <cellStyle name="표준 2 2 55" xfId="2300"/>
    <cellStyle name="표준 2 2 56" xfId="2301"/>
    <cellStyle name="표준 2 2 57" xfId="2302"/>
    <cellStyle name="표준 2 2 58" xfId="2303"/>
    <cellStyle name="표준 2 2 59" xfId="2304"/>
    <cellStyle name="표준 2 2 6" xfId="23"/>
    <cellStyle name="표준 2 2 6 2" xfId="2226"/>
    <cellStyle name="표준 2 2 7" xfId="2227"/>
    <cellStyle name="표준 2 2 8" xfId="2228"/>
    <cellStyle name="표준 2 2 9" xfId="2229"/>
    <cellStyle name="표준 2 20" xfId="2230"/>
    <cellStyle name="표준 2 21" xfId="2231"/>
    <cellStyle name="표준 2 22" xfId="2232"/>
    <cellStyle name="표준 2 23" xfId="2233"/>
    <cellStyle name="표준 2 24" xfId="2234"/>
    <cellStyle name="표준 2 25" xfId="2235"/>
    <cellStyle name="표준 2 26" xfId="2236"/>
    <cellStyle name="표준 2 27" xfId="2237"/>
    <cellStyle name="표준 2 28" xfId="2238"/>
    <cellStyle name="표준 2 29" xfId="2239"/>
    <cellStyle name="표준 2 3" xfId="24"/>
    <cellStyle name="표준 2 3 2" xfId="2240"/>
    <cellStyle name="표준 2 30" xfId="2241"/>
    <cellStyle name="표준 2 31" xfId="2242"/>
    <cellStyle name="표준 2 32" xfId="2243"/>
    <cellStyle name="표준 2 33" xfId="2244"/>
    <cellStyle name="표준 2 34" xfId="2245"/>
    <cellStyle name="표준 2 4" xfId="25"/>
    <cellStyle name="표준 2 4 2" xfId="2247"/>
    <cellStyle name="표준 2 4 3" xfId="2248"/>
    <cellStyle name="표준 2 4 4" xfId="2249"/>
    <cellStyle name="표준 2 4 5" xfId="2246"/>
    <cellStyle name="표준 2 5" xfId="26"/>
    <cellStyle name="표준 2 5 2" xfId="2250"/>
    <cellStyle name="표준 2 6" xfId="27"/>
    <cellStyle name="표준 2 6 2" xfId="2251"/>
    <cellStyle name="표준 2 7" xfId="2252"/>
    <cellStyle name="표준 2 8" xfId="2253"/>
    <cellStyle name="표준 2 9" xfId="2254"/>
    <cellStyle name="표준 2_광명시법원" xfId="2255"/>
    <cellStyle name="표준 3" xfId="28"/>
    <cellStyle name="표준 3 2" xfId="2257"/>
    <cellStyle name="표준 3 2 2" xfId="2258"/>
    <cellStyle name="표준 3 2 2 2" xfId="2259"/>
    <cellStyle name="표준 3 2 2 2 2" xfId="2260"/>
    <cellStyle name="표준 3 2 2 2 3" xfId="2261"/>
    <cellStyle name="표준 3 2 2 2 4" xfId="2262"/>
    <cellStyle name="표준 3 2 2 3" xfId="2263"/>
    <cellStyle name="표준 3 2 2 4" xfId="2264"/>
    <cellStyle name="표준 3 2 3" xfId="2265"/>
    <cellStyle name="표준 3 2 4" xfId="2266"/>
    <cellStyle name="표준 3 2 5" xfId="2267"/>
    <cellStyle name="표준 3 3" xfId="2268"/>
    <cellStyle name="표준 3 4" xfId="2269"/>
    <cellStyle name="표준 3 5" xfId="2270"/>
    <cellStyle name="표준 3 6" xfId="2271"/>
    <cellStyle name="표준 3 7" xfId="2256"/>
    <cellStyle name="표준 3_광명시법원" xfId="2272"/>
    <cellStyle name="표준 4" xfId="29"/>
    <cellStyle name="표준 4 2" xfId="2274"/>
    <cellStyle name="표준 4 3" xfId="2275"/>
    <cellStyle name="표준 4 3 2" xfId="2276"/>
    <cellStyle name="표준 4 3 3" xfId="2277"/>
    <cellStyle name="표준 4 3 4" xfId="2278"/>
    <cellStyle name="표준 4 4" xfId="2279"/>
    <cellStyle name="표준 4 4 2" xfId="2310"/>
    <cellStyle name="표준 4 5" xfId="2280"/>
    <cellStyle name="표준 4 6" xfId="2311"/>
    <cellStyle name="표준 4 6 2" xfId="2316"/>
    <cellStyle name="표준 4 7" xfId="2273"/>
    <cellStyle name="표준 4_광명시법원" xfId="2281"/>
    <cellStyle name="표준 5" xfId="2282"/>
    <cellStyle name="표준 5 2" xfId="2312"/>
    <cellStyle name="표준 59" xfId="2322"/>
    <cellStyle name="표준 6" xfId="2283"/>
    <cellStyle name="표준 6 2" xfId="2284"/>
    <cellStyle name="표준 6 3" xfId="2285"/>
    <cellStyle name="표준 6 4" xfId="2286"/>
    <cellStyle name="표준 7" xfId="30"/>
    <cellStyle name="표준 7 2" xfId="2287"/>
    <cellStyle name="표준 7 3" xfId="2288"/>
    <cellStyle name="표준 7 4" xfId="2289"/>
    <cellStyle name="표준 7 5" xfId="32"/>
    <cellStyle name="표준 8" xfId="2290"/>
    <cellStyle name="표준 8 2" xfId="2313"/>
    <cellStyle name="표준 9" xfId="2291"/>
    <cellStyle name="표준 9 2" xfId="2314"/>
  </cellStyles>
  <dxfs count="0"/>
  <tableStyles count="0" defaultTableStyle="TableStyleMedium9" defaultPivotStyle="PivotStyleLight16"/>
  <colors>
    <mruColors>
      <color rgb="FFC0C0C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dLbls>
            <c:dLbl>
              <c:idx val="0"/>
              <c:layout>
                <c:manualLayout>
                  <c:x val="0.18333333333333493"/>
                  <c:y val="0.1111111111111111"/>
                </c:manualLayout>
              </c:layout>
              <c:tx>
                <c:rich>
                  <a:bodyPr/>
                  <a:lstStyle/>
                  <a:p>
                    <a:r>
                      <a:rPr lang="ko-KR" altLang="en-US"/>
                      <a:t>영장</a:t>
                    </a:r>
                  </a:p>
                  <a:p>
                    <a:r>
                      <a:rPr lang="en-US" altLang="ko-KR"/>
                      <a:t>526,756</a:t>
                    </a:r>
                  </a:p>
                  <a:p>
                    <a:r>
                      <a:rPr lang="en-US" altLang="ko-KR"/>
                      <a:t>(34.7%)</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0-A6ED-44E0-9820-19997CF8A3E3}"/>
                </c:ext>
              </c:extLst>
            </c:dLbl>
            <c:dLbl>
              <c:idx val="1"/>
              <c:layout>
                <c:manualLayout>
                  <c:x val="-0.24166666666666672"/>
                  <c:y val="0.12622527367005953"/>
                </c:manualLayout>
              </c:layout>
              <c:tx>
                <c:rich>
                  <a:bodyPr/>
                  <a:lstStyle/>
                  <a:p>
                    <a:r>
                      <a:rPr lang="ko-KR" altLang="en-US"/>
                      <a:t>약식</a:t>
                    </a:r>
                  </a:p>
                  <a:p>
                    <a:r>
                      <a:rPr lang="en-US" altLang="ko-KR"/>
                      <a:t>416,410</a:t>
                    </a:r>
                  </a:p>
                  <a:p>
                    <a:r>
                      <a:rPr lang="en-US" altLang="ko-KR"/>
                      <a:t>(27.5%)</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A6ED-44E0-9820-19997CF8A3E3}"/>
                </c:ext>
              </c:extLst>
            </c:dLbl>
            <c:dLbl>
              <c:idx val="2"/>
              <c:layout>
                <c:manualLayout>
                  <c:x val="-0.17500000000000004"/>
                  <c:y val="-3.8095238095238095E-3"/>
                </c:manualLayout>
              </c:layout>
              <c:tx>
                <c:rich>
                  <a:bodyPr/>
                  <a:lstStyle/>
                  <a:p>
                    <a:r>
                      <a:rPr lang="ko-KR" altLang="en-US"/>
                      <a:t>공판</a:t>
                    </a:r>
                  </a:p>
                  <a:p>
                    <a:r>
                      <a:rPr lang="en-US" altLang="ko-KR"/>
                      <a:t>310,254</a:t>
                    </a:r>
                  </a:p>
                  <a:p>
                    <a:r>
                      <a:rPr lang="en-US" altLang="ko-KR"/>
                      <a:t>(20.4%)</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A6ED-44E0-9820-19997CF8A3E3}"/>
                </c:ext>
              </c:extLst>
            </c:dLbl>
            <c:dLbl>
              <c:idx val="3"/>
              <c:layout>
                <c:manualLayout>
                  <c:x val="-0.19444444444444445"/>
                  <c:y val="-7.6678189616541853E-2"/>
                </c:manualLayout>
              </c:layout>
              <c:tx>
                <c:rich>
                  <a:bodyPr/>
                  <a:lstStyle/>
                  <a:p>
                    <a:r>
                      <a:rPr lang="ko-KR" altLang="en-US" sz="1000" b="1" i="0" u="none" strike="noStrike" kern="1200" baseline="0">
                        <a:solidFill>
                          <a:sysClr val="windowText" lastClr="000000"/>
                        </a:solidFill>
                      </a:rPr>
                      <a:t>즉결</a:t>
                    </a:r>
                  </a:p>
                  <a:p>
                    <a:r>
                      <a:rPr lang="en-US" altLang="ko-KR" sz="1000" b="1" i="0" u="none" strike="noStrike" kern="1200" baseline="0">
                        <a:solidFill>
                          <a:sysClr val="windowText" lastClr="000000"/>
                        </a:solidFill>
                      </a:rPr>
                      <a:t>135,327</a:t>
                    </a:r>
                  </a:p>
                  <a:p>
                    <a:r>
                      <a:rPr lang="en-US" altLang="ko-KR" sz="1000" b="1" i="0" u="none" strike="noStrike" kern="1200" baseline="0">
                        <a:solidFill>
                          <a:sysClr val="windowText" lastClr="000000"/>
                        </a:solidFill>
                      </a:rPr>
                      <a:t>(8.9%)</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A6ED-44E0-9820-19997CF8A3E3}"/>
                </c:ext>
              </c:extLst>
            </c:dLbl>
            <c:dLbl>
              <c:idx val="4"/>
              <c:layout>
                <c:manualLayout>
                  <c:x val="-0.17222222222222222"/>
                  <c:y val="-0.12500832213046539"/>
                </c:manualLayout>
              </c:layout>
              <c:tx>
                <c:rich>
                  <a:bodyPr/>
                  <a:lstStyle/>
                  <a:p>
                    <a:r>
                      <a:rPr lang="ko-KR" altLang="en-US" sz="1000" b="1" i="0" u="none" strike="noStrike" kern="1200" baseline="0">
                        <a:solidFill>
                          <a:sysClr val="windowText" lastClr="000000"/>
                        </a:solidFill>
                      </a:rPr>
                      <a:t>신청</a:t>
                    </a:r>
                  </a:p>
                  <a:p>
                    <a:r>
                      <a:rPr lang="en-US" altLang="ko-KR" sz="1000" b="1" i="0" u="none" strike="noStrike" kern="1200" baseline="0">
                        <a:solidFill>
                          <a:sysClr val="windowText" lastClr="000000"/>
                        </a:solidFill>
                      </a:rPr>
                      <a:t>128,552</a:t>
                    </a:r>
                  </a:p>
                  <a:p>
                    <a:r>
                      <a:rPr lang="en-US" altLang="ko-KR" sz="1000" b="1" i="0" u="none" strike="noStrike" kern="1200" baseline="0">
                        <a:solidFill>
                          <a:sysClr val="windowText" lastClr="000000"/>
                        </a:solidFill>
                      </a:rPr>
                      <a:t>(8.5%)</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4-A6ED-44E0-9820-19997CF8A3E3}"/>
                </c:ext>
              </c:extLst>
            </c:dLbl>
            <c:dLbl>
              <c:idx val="5"/>
              <c:layout>
                <c:manualLayout>
                  <c:x val="0.17222222222222244"/>
                  <c:y val="-0.14095238095238302"/>
                </c:manualLayout>
              </c:layout>
              <c:tx>
                <c:rich>
                  <a:bodyPr/>
                  <a:lstStyle/>
                  <a:p>
                    <a:r>
                      <a:rPr lang="ko-KR" altLang="en-US"/>
                      <a:t>치료감호</a:t>
                    </a:r>
                  </a:p>
                  <a:p>
                    <a:r>
                      <a:rPr lang="en-US" altLang="ko-KR"/>
                      <a:t>248</a:t>
                    </a:r>
                  </a:p>
                  <a:p>
                    <a:r>
                      <a:rPr lang="en-US" altLang="ko-KR"/>
                      <a:t>(0.0%)</a:t>
                    </a:r>
                  </a:p>
                </c:rich>
              </c:tx>
              <c:showLegendKey val="0"/>
              <c:showVal val="1"/>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A6ED-44E0-9820-19997CF8A3E3}"/>
                </c:ext>
              </c:extLst>
            </c:dLbl>
            <c:numFmt formatCode="0.0%" sourceLinked="0"/>
            <c:spPr>
              <a:noFill/>
              <a:ln>
                <a:noFill/>
              </a:ln>
              <a:effectLst/>
            </c:spPr>
            <c:showLegendKey val="0"/>
            <c:showVal val="1"/>
            <c:showCatName val="1"/>
            <c:showSerName val="0"/>
            <c:showPercent val="1"/>
            <c:showBubbleSize val="0"/>
            <c:showLeaderLines val="1"/>
            <c:extLst>
              <c:ext xmlns:c15="http://schemas.microsoft.com/office/drawing/2012/chart" uri="{CE6537A1-D6FC-4f65-9D91-7224C49458BB}"/>
            </c:extLst>
          </c:dLbls>
          <c:cat>
            <c:strRef>
              <c:f>'1'!$G$7:$G$12</c:f>
              <c:strCache>
                <c:ptCount val="6"/>
                <c:pt idx="0">
                  <c:v>영장</c:v>
                </c:pt>
                <c:pt idx="1">
                  <c:v>약식</c:v>
                </c:pt>
                <c:pt idx="2">
                  <c:v>공판</c:v>
                </c:pt>
                <c:pt idx="3">
                  <c:v>즉결</c:v>
                </c:pt>
                <c:pt idx="4">
                  <c:v>신청</c:v>
                </c:pt>
                <c:pt idx="5">
                  <c:v>치료감호</c:v>
                </c:pt>
              </c:strCache>
            </c:strRef>
          </c:cat>
          <c:val>
            <c:numRef>
              <c:f>'1'!$H$7:$H$12</c:f>
              <c:numCache>
                <c:formatCode>_(* #,##0_);_(* \(#,##0\);_(* "-"_);_(@_)</c:formatCode>
                <c:ptCount val="6"/>
                <c:pt idx="0">
                  <c:v>526756</c:v>
                </c:pt>
                <c:pt idx="1">
                  <c:v>416410</c:v>
                </c:pt>
                <c:pt idx="2">
                  <c:v>310254</c:v>
                </c:pt>
                <c:pt idx="3">
                  <c:v>135327</c:v>
                </c:pt>
                <c:pt idx="4">
                  <c:v>128552</c:v>
                </c:pt>
                <c:pt idx="5">
                  <c:v>248</c:v>
                </c:pt>
              </c:numCache>
            </c:numRef>
          </c:val>
          <c:extLst>
            <c:ext xmlns:c16="http://schemas.microsoft.com/office/drawing/2014/chart" uri="{C3380CC4-5D6E-409C-BE32-E72D297353CC}">
              <c16:uniqueId val="{00000006-A6ED-44E0-9820-19997CF8A3E3}"/>
            </c:ext>
          </c:extLst>
        </c:ser>
        <c:dLbls>
          <c:showLegendKey val="0"/>
          <c:showVal val="1"/>
          <c:showCatName val="1"/>
          <c:showSerName val="0"/>
          <c:showPercent val="0"/>
          <c:showBubbleSize val="0"/>
          <c:showLeaderLines val="1"/>
        </c:dLbls>
        <c:firstSliceAng val="0"/>
        <c:holeSize val="50"/>
      </c:doughnutChart>
    </c:plotArea>
    <c:plotVisOnly val="1"/>
    <c:dispBlanksAs val="zero"/>
    <c:showDLblsOverMax val="0"/>
  </c:chart>
  <c:txPr>
    <a:bodyPr/>
    <a:lstStyle/>
    <a:p>
      <a:pPr>
        <a:defRPr b="1"/>
      </a:pPr>
      <a:endParaRPr lang="ko-KR"/>
    </a:p>
  </c:txPr>
  <c:printSettings>
    <c:headerFooter/>
    <c:pageMargins b="0.75000000000000488" l="0.70000000000000062" r="0.70000000000000062" t="0.7500000000000048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'1'!$C$52</c:f>
              <c:strCache>
                <c:ptCount val="1"/>
                <c:pt idx="0">
                  <c:v>공판</c:v>
                </c:pt>
              </c:strCache>
            </c:strRef>
          </c:tx>
          <c:cat>
            <c:strRef>
              <c:f>'1'!$B$58:$B$67</c:f>
              <c:strCache>
                <c:ptCount val="10"/>
                <c:pt idx="0">
                  <c:v>13</c:v>
                </c:pt>
                <c:pt idx="1">
                  <c:v>14</c:v>
                </c:pt>
                <c:pt idx="2">
                  <c:v>15</c:v>
                </c:pt>
                <c:pt idx="3">
                  <c:v>16</c:v>
                </c:pt>
                <c:pt idx="4">
                  <c:v>17</c:v>
                </c:pt>
                <c:pt idx="5">
                  <c:v>18</c:v>
                </c:pt>
                <c:pt idx="6">
                  <c:v>19</c:v>
                </c:pt>
                <c:pt idx="7">
                  <c:v>20</c:v>
                </c:pt>
                <c:pt idx="8">
                  <c:v>21</c:v>
                </c:pt>
                <c:pt idx="9">
                  <c:v>22</c:v>
                </c:pt>
              </c:strCache>
            </c:strRef>
          </c:cat>
          <c:val>
            <c:numRef>
              <c:f>'1'!$C$58:$C$67</c:f>
              <c:numCache>
                <c:formatCode>_(* #,##0_);_(* \(#,##0\);_(* "-"_);_(@_)</c:formatCode>
                <c:ptCount val="10"/>
                <c:pt idx="0">
                  <c:v>358213</c:v>
                </c:pt>
                <c:pt idx="1">
                  <c:v>366772</c:v>
                </c:pt>
                <c:pt idx="2">
                  <c:v>363652</c:v>
                </c:pt>
                <c:pt idx="3">
                  <c:v>389155</c:v>
                </c:pt>
                <c:pt idx="4">
                  <c:v>371887</c:v>
                </c:pt>
                <c:pt idx="5">
                  <c:v>339753</c:v>
                </c:pt>
                <c:pt idx="6">
                  <c:v>343150</c:v>
                </c:pt>
                <c:pt idx="7">
                  <c:v>352843</c:v>
                </c:pt>
                <c:pt idx="8">
                  <c:v>319750</c:v>
                </c:pt>
                <c:pt idx="9">
                  <c:v>310502</c:v>
                </c:pt>
              </c:numCache>
            </c:numRef>
          </c:val>
          <c:smooth val="0"/>
          <c:extLst>
            <c:ext xmlns:c16="http://schemas.microsoft.com/office/drawing/2014/chart" uri="{C3380CC4-5D6E-409C-BE32-E72D297353CC}">
              <c16:uniqueId val="{00000004-712A-4AF3-BE97-8345076AE42A}"/>
            </c:ext>
          </c:extLst>
        </c:ser>
        <c:ser>
          <c:idx val="1"/>
          <c:order val="1"/>
          <c:tx>
            <c:strRef>
              <c:f>'1'!$D$52</c:f>
              <c:strCache>
                <c:ptCount val="1"/>
                <c:pt idx="0">
                  <c:v>영장</c:v>
                </c:pt>
              </c:strCache>
            </c:strRef>
          </c:tx>
          <c:cat>
            <c:strRef>
              <c:f>'1'!$B$58:$B$67</c:f>
              <c:strCache>
                <c:ptCount val="10"/>
                <c:pt idx="0">
                  <c:v>13</c:v>
                </c:pt>
                <c:pt idx="1">
                  <c:v>14</c:v>
                </c:pt>
                <c:pt idx="2">
                  <c:v>15</c:v>
                </c:pt>
                <c:pt idx="3">
                  <c:v>16</c:v>
                </c:pt>
                <c:pt idx="4">
                  <c:v>17</c:v>
                </c:pt>
                <c:pt idx="5">
                  <c:v>18</c:v>
                </c:pt>
                <c:pt idx="6">
                  <c:v>19</c:v>
                </c:pt>
                <c:pt idx="7">
                  <c:v>20</c:v>
                </c:pt>
                <c:pt idx="8">
                  <c:v>21</c:v>
                </c:pt>
                <c:pt idx="9">
                  <c:v>22</c:v>
                </c:pt>
              </c:strCache>
            </c:strRef>
          </c:cat>
          <c:val>
            <c:numRef>
              <c:f>'1'!$D$58:$D$67</c:f>
              <c:numCache>
                <c:formatCode>_(* #,##0_);_(* \(#,##0\);_(* "-"_);_(@_)</c:formatCode>
                <c:ptCount val="10"/>
                <c:pt idx="0">
                  <c:v>372984</c:v>
                </c:pt>
                <c:pt idx="1">
                  <c:v>367114</c:v>
                </c:pt>
                <c:pt idx="2">
                  <c:v>380799</c:v>
                </c:pt>
                <c:pt idx="3">
                  <c:v>392456</c:v>
                </c:pt>
                <c:pt idx="4">
                  <c:v>396698</c:v>
                </c:pt>
                <c:pt idx="5">
                  <c:v>429985</c:v>
                </c:pt>
                <c:pt idx="6">
                  <c:v>466329</c:v>
                </c:pt>
                <c:pt idx="7">
                  <c:v>474804</c:v>
                </c:pt>
                <c:pt idx="8">
                  <c:v>486697</c:v>
                </c:pt>
                <c:pt idx="9">
                  <c:v>526756</c:v>
                </c:pt>
              </c:numCache>
            </c:numRef>
          </c:val>
          <c:smooth val="0"/>
          <c:extLst>
            <c:ext xmlns:c16="http://schemas.microsoft.com/office/drawing/2014/chart" uri="{C3380CC4-5D6E-409C-BE32-E72D297353CC}">
              <c16:uniqueId val="{0000000B-712A-4AF3-BE97-8345076AE42A}"/>
            </c:ext>
          </c:extLst>
        </c:ser>
        <c:ser>
          <c:idx val="2"/>
          <c:order val="2"/>
          <c:tx>
            <c:strRef>
              <c:f>'1'!$E$52</c:f>
              <c:strCache>
                <c:ptCount val="1"/>
                <c:pt idx="0">
                  <c:v>신청</c:v>
                </c:pt>
              </c:strCache>
            </c:strRef>
          </c:tx>
          <c:cat>
            <c:strRef>
              <c:f>'1'!$B$58:$B$67</c:f>
              <c:strCache>
                <c:ptCount val="10"/>
                <c:pt idx="0">
                  <c:v>13</c:v>
                </c:pt>
                <c:pt idx="1">
                  <c:v>14</c:v>
                </c:pt>
                <c:pt idx="2">
                  <c:v>15</c:v>
                </c:pt>
                <c:pt idx="3">
                  <c:v>16</c:v>
                </c:pt>
                <c:pt idx="4">
                  <c:v>17</c:v>
                </c:pt>
                <c:pt idx="5">
                  <c:v>18</c:v>
                </c:pt>
                <c:pt idx="6">
                  <c:v>19</c:v>
                </c:pt>
                <c:pt idx="7">
                  <c:v>20</c:v>
                </c:pt>
                <c:pt idx="8">
                  <c:v>21</c:v>
                </c:pt>
                <c:pt idx="9">
                  <c:v>22</c:v>
                </c:pt>
              </c:strCache>
            </c:strRef>
          </c:cat>
          <c:val>
            <c:numRef>
              <c:f>'1'!$E$58:$E$67</c:f>
              <c:numCache>
                <c:formatCode>_(* #,##0_);_(* \(#,##0\);_(* "-"_);_(@_)</c:formatCode>
                <c:ptCount val="10"/>
                <c:pt idx="0">
                  <c:v>126499</c:v>
                </c:pt>
                <c:pt idx="1">
                  <c:v>117374</c:v>
                </c:pt>
                <c:pt idx="2">
                  <c:v>111525</c:v>
                </c:pt>
                <c:pt idx="3">
                  <c:v>104541</c:v>
                </c:pt>
                <c:pt idx="4">
                  <c:v>101938</c:v>
                </c:pt>
                <c:pt idx="5">
                  <c:v>99770</c:v>
                </c:pt>
                <c:pt idx="6">
                  <c:v>112359</c:v>
                </c:pt>
                <c:pt idx="7">
                  <c:v>119379</c:v>
                </c:pt>
                <c:pt idx="8">
                  <c:v>118045</c:v>
                </c:pt>
                <c:pt idx="9">
                  <c:v>128552</c:v>
                </c:pt>
              </c:numCache>
            </c:numRef>
          </c:val>
          <c:smooth val="0"/>
          <c:extLst>
            <c:ext xmlns:c16="http://schemas.microsoft.com/office/drawing/2014/chart" uri="{C3380CC4-5D6E-409C-BE32-E72D297353CC}">
              <c16:uniqueId val="{0000000C-712A-4AF3-BE97-8345076AE42A}"/>
            </c:ext>
          </c:extLst>
        </c:ser>
        <c:ser>
          <c:idx val="3"/>
          <c:order val="3"/>
          <c:tx>
            <c:strRef>
              <c:f>'1'!$F$52</c:f>
              <c:strCache>
                <c:ptCount val="1"/>
                <c:pt idx="0">
                  <c:v>즉결</c:v>
                </c:pt>
              </c:strCache>
            </c:strRef>
          </c:tx>
          <c:cat>
            <c:strRef>
              <c:f>'1'!$B$58:$B$67</c:f>
              <c:strCache>
                <c:ptCount val="10"/>
                <c:pt idx="0">
                  <c:v>13</c:v>
                </c:pt>
                <c:pt idx="1">
                  <c:v>14</c:v>
                </c:pt>
                <c:pt idx="2">
                  <c:v>15</c:v>
                </c:pt>
                <c:pt idx="3">
                  <c:v>16</c:v>
                </c:pt>
                <c:pt idx="4">
                  <c:v>17</c:v>
                </c:pt>
                <c:pt idx="5">
                  <c:v>18</c:v>
                </c:pt>
                <c:pt idx="6">
                  <c:v>19</c:v>
                </c:pt>
                <c:pt idx="7">
                  <c:v>20</c:v>
                </c:pt>
                <c:pt idx="8">
                  <c:v>21</c:v>
                </c:pt>
                <c:pt idx="9">
                  <c:v>22</c:v>
                </c:pt>
              </c:strCache>
            </c:strRef>
          </c:cat>
          <c:val>
            <c:numRef>
              <c:f>'1'!$F$58:$F$67</c:f>
              <c:numCache>
                <c:formatCode>_(* #,##0_);_(* \(#,##0\);_(* "-"_);_(@_)</c:formatCode>
                <c:ptCount val="10"/>
                <c:pt idx="0">
                  <c:v>56099</c:v>
                </c:pt>
                <c:pt idx="1">
                  <c:v>46469</c:v>
                </c:pt>
                <c:pt idx="2">
                  <c:v>54239</c:v>
                </c:pt>
                <c:pt idx="3">
                  <c:v>74580</c:v>
                </c:pt>
                <c:pt idx="4">
                  <c:v>70319</c:v>
                </c:pt>
                <c:pt idx="5">
                  <c:v>65280</c:v>
                </c:pt>
                <c:pt idx="6">
                  <c:v>67864</c:v>
                </c:pt>
                <c:pt idx="7">
                  <c:v>76100</c:v>
                </c:pt>
                <c:pt idx="8">
                  <c:v>113728</c:v>
                </c:pt>
                <c:pt idx="9">
                  <c:v>135327</c:v>
                </c:pt>
              </c:numCache>
            </c:numRef>
          </c:val>
          <c:smooth val="0"/>
          <c:extLst>
            <c:ext xmlns:c16="http://schemas.microsoft.com/office/drawing/2014/chart" uri="{C3380CC4-5D6E-409C-BE32-E72D297353CC}">
              <c16:uniqueId val="{00000018-712A-4AF3-BE97-8345076AE42A}"/>
            </c:ext>
          </c:extLst>
        </c:ser>
        <c:ser>
          <c:idx val="4"/>
          <c:order val="4"/>
          <c:tx>
            <c:strRef>
              <c:f>'1'!$G$52</c:f>
              <c:strCache>
                <c:ptCount val="1"/>
                <c:pt idx="0">
                  <c:v>약식</c:v>
                </c:pt>
              </c:strCache>
            </c:strRef>
          </c:tx>
          <c:cat>
            <c:strRef>
              <c:f>'1'!$B$58:$B$67</c:f>
              <c:strCache>
                <c:ptCount val="10"/>
                <c:pt idx="0">
                  <c:v>13</c:v>
                </c:pt>
                <c:pt idx="1">
                  <c:v>14</c:v>
                </c:pt>
                <c:pt idx="2">
                  <c:v>15</c:v>
                </c:pt>
                <c:pt idx="3">
                  <c:v>16</c:v>
                </c:pt>
                <c:pt idx="4">
                  <c:v>17</c:v>
                </c:pt>
                <c:pt idx="5">
                  <c:v>18</c:v>
                </c:pt>
                <c:pt idx="6">
                  <c:v>19</c:v>
                </c:pt>
                <c:pt idx="7">
                  <c:v>20</c:v>
                </c:pt>
                <c:pt idx="8">
                  <c:v>21</c:v>
                </c:pt>
                <c:pt idx="9">
                  <c:v>22</c:v>
                </c:pt>
              </c:strCache>
            </c:strRef>
          </c:cat>
          <c:val>
            <c:numRef>
              <c:f>'1'!$G$58:$G$67</c:f>
              <c:numCache>
                <c:formatCode>_(* #,##0_);_(* \(#,##0\);_(* "-"_);_(@_)</c:formatCode>
                <c:ptCount val="10"/>
                <c:pt idx="0">
                  <c:v>743166</c:v>
                </c:pt>
                <c:pt idx="1">
                  <c:v>684644</c:v>
                </c:pt>
                <c:pt idx="2">
                  <c:v>667471</c:v>
                </c:pt>
                <c:pt idx="3">
                  <c:v>684072</c:v>
                </c:pt>
                <c:pt idx="4">
                  <c:v>605755</c:v>
                </c:pt>
                <c:pt idx="5">
                  <c:v>520947</c:v>
                </c:pt>
                <c:pt idx="6">
                  <c:v>491690</c:v>
                </c:pt>
                <c:pt idx="7">
                  <c:v>440715</c:v>
                </c:pt>
                <c:pt idx="8">
                  <c:v>381073</c:v>
                </c:pt>
                <c:pt idx="9">
                  <c:v>416410</c:v>
                </c:pt>
              </c:numCache>
            </c:numRef>
          </c:val>
          <c:smooth val="0"/>
          <c:extLst>
            <c:ext xmlns:c16="http://schemas.microsoft.com/office/drawing/2014/chart" uri="{C3380CC4-5D6E-409C-BE32-E72D297353CC}">
              <c16:uniqueId val="{0000001A-712A-4AF3-BE97-8345076AE42A}"/>
            </c:ext>
          </c:extLst>
        </c:ser>
        <c:dLbls>
          <c:showLegendKey val="0"/>
          <c:showVal val="0"/>
          <c:showCatName val="0"/>
          <c:showSerName val="0"/>
          <c:showPercent val="0"/>
          <c:showBubbleSize val="0"/>
        </c:dLbls>
        <c:marker val="1"/>
        <c:smooth val="0"/>
        <c:axId val="80431744"/>
        <c:axId val="91898624"/>
      </c:lineChart>
      <c:catAx>
        <c:axId val="80431744"/>
        <c:scaling>
          <c:orientation val="minMax"/>
        </c:scaling>
        <c:delete val="0"/>
        <c:axPos val="b"/>
        <c:title>
          <c:tx>
            <c:rich>
              <a:bodyPr/>
              <a:lstStyle/>
              <a:p>
                <a:pPr>
                  <a:defRPr/>
                </a:pPr>
                <a:r>
                  <a:rPr lang="en-US"/>
                  <a:t>(</a:t>
                </a:r>
                <a:r>
                  <a:rPr lang="ko-KR"/>
                  <a:t>년</a:t>
                </a:r>
                <a:r>
                  <a:rPr lang="en-US"/>
                  <a:t>)</a:t>
                </a:r>
                <a:endParaRPr lang="ko-KR"/>
              </a:p>
            </c:rich>
          </c:tx>
          <c:layout>
            <c:manualLayout>
              <c:xMode val="edge"/>
              <c:yMode val="edge"/>
              <c:x val="3.8993441421061328E-2"/>
              <c:y val="0.85483680568637055"/>
            </c:manualLayout>
          </c:layout>
          <c:overlay val="0"/>
        </c:title>
        <c:numFmt formatCode="General" sourceLinked="0"/>
        <c:majorTickMark val="out"/>
        <c:minorTickMark val="none"/>
        <c:tickLblPos val="nextTo"/>
        <c:crossAx val="91898624"/>
        <c:crosses val="autoZero"/>
        <c:auto val="1"/>
        <c:lblAlgn val="ctr"/>
        <c:lblOffset val="100"/>
        <c:noMultiLvlLbl val="0"/>
      </c:catAx>
      <c:valAx>
        <c:axId val="91898624"/>
        <c:scaling>
          <c:orientation val="minMax"/>
        </c:scaling>
        <c:delete val="0"/>
        <c:axPos val="l"/>
        <c:majorGridlines/>
        <c:numFmt formatCode="_(* #,##0_);_(* \(#,##0\);_(* &quot;-&quot;_);_(@_)" sourceLinked="1"/>
        <c:majorTickMark val="out"/>
        <c:minorTickMark val="none"/>
        <c:tickLblPos val="nextTo"/>
        <c:crossAx val="80431744"/>
        <c:crosses val="autoZero"/>
        <c:crossBetween val="between"/>
      </c:valAx>
    </c:plotArea>
    <c:plotVisOnly val="1"/>
    <c:dispBlanksAs val="gap"/>
    <c:showDLblsOverMax val="0"/>
  </c:chart>
  <c:txPr>
    <a:bodyPr/>
    <a:lstStyle/>
    <a:p>
      <a:pPr>
        <a:defRPr sz="900" b="1"/>
      </a:pPr>
      <a:endParaRPr lang="ko-KR"/>
    </a:p>
  </c:txPr>
  <c:printSettings>
    <c:headerFooter/>
    <c:pageMargins b="0.75000000000000577" l="0.70000000000000062" r="0.70000000000000062" t="0.75000000000000577"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'1'!$D$75</c:f>
              <c:strCache>
                <c:ptCount val="1"/>
                <c:pt idx="0">
                  <c:v>제1심</c:v>
                </c:pt>
              </c:strCache>
            </c:strRef>
          </c:tx>
          <c:cat>
            <c:strRef>
              <c:f>'1'!$C$78:$C$87</c:f>
              <c:strCache>
                <c:ptCount val="10"/>
                <c:pt idx="0">
                  <c:v>13</c:v>
                </c:pt>
                <c:pt idx="1">
                  <c:v>14</c:v>
                </c:pt>
                <c:pt idx="2">
                  <c:v>15</c:v>
                </c:pt>
                <c:pt idx="3">
                  <c:v>16</c:v>
                </c:pt>
                <c:pt idx="4">
                  <c:v>17</c:v>
                </c:pt>
                <c:pt idx="5">
                  <c:v>18</c:v>
                </c:pt>
                <c:pt idx="6">
                  <c:v>19</c:v>
                </c:pt>
                <c:pt idx="7">
                  <c:v>20</c:v>
                </c:pt>
                <c:pt idx="8">
                  <c:v>21</c:v>
                </c:pt>
                <c:pt idx="9">
                  <c:v>22</c:v>
                </c:pt>
              </c:strCache>
            </c:strRef>
          </c:cat>
          <c:val>
            <c:numRef>
              <c:f>'1'!$D$78:$D$87</c:f>
              <c:numCache>
                <c:formatCode>_(* #,##0_);_(* \(#,##0\);_(* "-"_);_(@_)</c:formatCode>
                <c:ptCount val="10"/>
                <c:pt idx="0">
                  <c:v>3519</c:v>
                </c:pt>
                <c:pt idx="1">
                  <c:v>3751</c:v>
                </c:pt>
                <c:pt idx="2">
                  <c:v>4694</c:v>
                </c:pt>
                <c:pt idx="3">
                  <c:v>4730</c:v>
                </c:pt>
                <c:pt idx="4">
                  <c:v>4468</c:v>
                </c:pt>
                <c:pt idx="5">
                  <c:v>4497</c:v>
                </c:pt>
                <c:pt idx="6">
                  <c:v>5221</c:v>
                </c:pt>
                <c:pt idx="7">
                  <c:v>5630</c:v>
                </c:pt>
                <c:pt idx="8">
                  <c:v>5339</c:v>
                </c:pt>
                <c:pt idx="9">
                  <c:v>5741</c:v>
                </c:pt>
              </c:numCache>
            </c:numRef>
          </c:val>
          <c:smooth val="0"/>
          <c:extLst>
            <c:ext xmlns:c16="http://schemas.microsoft.com/office/drawing/2014/chart" uri="{C3380CC4-5D6E-409C-BE32-E72D297353CC}">
              <c16:uniqueId val="{00000007-CBCC-48EE-84D1-49F87948AD23}"/>
            </c:ext>
          </c:extLst>
        </c:ser>
        <c:ser>
          <c:idx val="1"/>
          <c:order val="1"/>
          <c:tx>
            <c:strRef>
              <c:f>'1'!$E$75</c:f>
              <c:strCache>
                <c:ptCount val="1"/>
                <c:pt idx="0">
                  <c:v>항소심</c:v>
                </c:pt>
              </c:strCache>
            </c:strRef>
          </c:tx>
          <c:cat>
            <c:strRef>
              <c:f>'1'!$C$78:$C$87</c:f>
              <c:strCache>
                <c:ptCount val="10"/>
                <c:pt idx="0">
                  <c:v>13</c:v>
                </c:pt>
                <c:pt idx="1">
                  <c:v>14</c:v>
                </c:pt>
                <c:pt idx="2">
                  <c:v>15</c:v>
                </c:pt>
                <c:pt idx="3">
                  <c:v>16</c:v>
                </c:pt>
                <c:pt idx="4">
                  <c:v>17</c:v>
                </c:pt>
                <c:pt idx="5">
                  <c:v>18</c:v>
                </c:pt>
                <c:pt idx="6">
                  <c:v>19</c:v>
                </c:pt>
                <c:pt idx="7">
                  <c:v>20</c:v>
                </c:pt>
                <c:pt idx="8">
                  <c:v>21</c:v>
                </c:pt>
                <c:pt idx="9">
                  <c:v>22</c:v>
                </c:pt>
              </c:strCache>
            </c:strRef>
          </c:cat>
          <c:val>
            <c:numRef>
              <c:f>'1'!$E$78:$E$87</c:f>
              <c:numCache>
                <c:formatCode>_(* #,##0_);_(* \(#,##0\);_(* "-"_);_(@_)</c:formatCode>
                <c:ptCount val="10"/>
                <c:pt idx="0">
                  <c:v>932</c:v>
                </c:pt>
                <c:pt idx="1">
                  <c:v>1163</c:v>
                </c:pt>
                <c:pt idx="2">
                  <c:v>1690</c:v>
                </c:pt>
                <c:pt idx="3">
                  <c:v>1789</c:v>
                </c:pt>
                <c:pt idx="4">
                  <c:v>1669</c:v>
                </c:pt>
                <c:pt idx="5">
                  <c:v>1691</c:v>
                </c:pt>
                <c:pt idx="6">
                  <c:v>1742</c:v>
                </c:pt>
                <c:pt idx="7">
                  <c:v>1934</c:v>
                </c:pt>
                <c:pt idx="8">
                  <c:v>2095</c:v>
                </c:pt>
                <c:pt idx="9">
                  <c:v>2226</c:v>
                </c:pt>
              </c:numCache>
            </c:numRef>
          </c:val>
          <c:smooth val="0"/>
          <c:extLst>
            <c:ext xmlns:c16="http://schemas.microsoft.com/office/drawing/2014/chart" uri="{C3380CC4-5D6E-409C-BE32-E72D297353CC}">
              <c16:uniqueId val="{00000010-CBCC-48EE-84D1-49F87948AD23}"/>
            </c:ext>
          </c:extLst>
        </c:ser>
        <c:ser>
          <c:idx val="2"/>
          <c:order val="2"/>
          <c:tx>
            <c:strRef>
              <c:f>'1'!$F$75</c:f>
              <c:strCache>
                <c:ptCount val="1"/>
                <c:pt idx="0">
                  <c:v>상고심</c:v>
                </c:pt>
              </c:strCache>
            </c:strRef>
          </c:tx>
          <c:cat>
            <c:strRef>
              <c:f>'1'!$C$78:$C$87</c:f>
              <c:strCache>
                <c:ptCount val="10"/>
                <c:pt idx="0">
                  <c:v>13</c:v>
                </c:pt>
                <c:pt idx="1">
                  <c:v>14</c:v>
                </c:pt>
                <c:pt idx="2">
                  <c:v>15</c:v>
                </c:pt>
                <c:pt idx="3">
                  <c:v>16</c:v>
                </c:pt>
                <c:pt idx="4">
                  <c:v>17</c:v>
                </c:pt>
                <c:pt idx="5">
                  <c:v>18</c:v>
                </c:pt>
                <c:pt idx="6">
                  <c:v>19</c:v>
                </c:pt>
                <c:pt idx="7">
                  <c:v>20</c:v>
                </c:pt>
                <c:pt idx="8">
                  <c:v>21</c:v>
                </c:pt>
                <c:pt idx="9">
                  <c:v>22</c:v>
                </c:pt>
              </c:strCache>
            </c:strRef>
          </c:cat>
          <c:val>
            <c:numRef>
              <c:f>'1'!$F$78:$F$87</c:f>
              <c:numCache>
                <c:formatCode>_(* #,##0_);_(* \(#,##0\);_(* "-"_);_(@_)</c:formatCode>
                <c:ptCount val="10"/>
                <c:pt idx="0">
                  <c:v>245</c:v>
                </c:pt>
                <c:pt idx="1">
                  <c:v>250</c:v>
                </c:pt>
                <c:pt idx="2">
                  <c:v>309</c:v>
                </c:pt>
                <c:pt idx="3">
                  <c:v>438</c:v>
                </c:pt>
                <c:pt idx="4">
                  <c:v>360</c:v>
                </c:pt>
                <c:pt idx="5">
                  <c:v>370</c:v>
                </c:pt>
                <c:pt idx="6">
                  <c:v>349</c:v>
                </c:pt>
                <c:pt idx="7">
                  <c:v>409</c:v>
                </c:pt>
                <c:pt idx="8">
                  <c:v>409</c:v>
                </c:pt>
                <c:pt idx="9">
                  <c:v>437</c:v>
                </c:pt>
              </c:numCache>
            </c:numRef>
          </c:val>
          <c:smooth val="0"/>
          <c:extLst>
            <c:ext xmlns:c16="http://schemas.microsoft.com/office/drawing/2014/chart" uri="{C3380CC4-5D6E-409C-BE32-E72D297353CC}">
              <c16:uniqueId val="{00000011-CBCC-48EE-84D1-49F87948AD23}"/>
            </c:ext>
          </c:extLst>
        </c:ser>
        <c:dLbls>
          <c:showLegendKey val="0"/>
          <c:showVal val="0"/>
          <c:showCatName val="0"/>
          <c:showSerName val="0"/>
          <c:showPercent val="0"/>
          <c:showBubbleSize val="0"/>
        </c:dLbls>
        <c:marker val="1"/>
        <c:smooth val="0"/>
        <c:axId val="80431744"/>
        <c:axId val="91898624"/>
      </c:lineChart>
      <c:catAx>
        <c:axId val="80431744"/>
        <c:scaling>
          <c:orientation val="minMax"/>
        </c:scaling>
        <c:delete val="0"/>
        <c:axPos val="b"/>
        <c:title>
          <c:tx>
            <c:rich>
              <a:bodyPr/>
              <a:lstStyle/>
              <a:p>
                <a:pPr>
                  <a:defRPr/>
                </a:pPr>
                <a:r>
                  <a:rPr lang="en-US"/>
                  <a:t>(</a:t>
                </a:r>
                <a:r>
                  <a:rPr lang="ko-KR"/>
                  <a:t>년</a:t>
                </a:r>
                <a:r>
                  <a:rPr lang="en-US"/>
                  <a:t>)</a:t>
                </a:r>
                <a:endParaRPr lang="ko-KR"/>
              </a:p>
            </c:rich>
          </c:tx>
          <c:layout>
            <c:manualLayout>
              <c:xMode val="edge"/>
              <c:yMode val="edge"/>
              <c:x val="3.8993441421061328E-2"/>
              <c:y val="0.85483680568637055"/>
            </c:manualLayout>
          </c:layout>
          <c:overlay val="0"/>
        </c:title>
        <c:numFmt formatCode="General" sourceLinked="0"/>
        <c:majorTickMark val="out"/>
        <c:minorTickMark val="none"/>
        <c:tickLblPos val="nextTo"/>
        <c:crossAx val="91898624"/>
        <c:crosses val="autoZero"/>
        <c:auto val="1"/>
        <c:lblAlgn val="ctr"/>
        <c:lblOffset val="100"/>
        <c:noMultiLvlLbl val="0"/>
      </c:catAx>
      <c:valAx>
        <c:axId val="91898624"/>
        <c:scaling>
          <c:orientation val="minMax"/>
        </c:scaling>
        <c:delete val="0"/>
        <c:axPos val="l"/>
        <c:majorGridlines/>
        <c:numFmt formatCode="_(* #,##0_);_(* \(#,##0\);_(* &quot;-&quot;_);_(@_)" sourceLinked="1"/>
        <c:majorTickMark val="out"/>
        <c:minorTickMark val="none"/>
        <c:tickLblPos val="nextTo"/>
        <c:crossAx val="80431744"/>
        <c:crosses val="autoZero"/>
        <c:crossBetween val="between"/>
      </c:valAx>
    </c:plotArea>
    <c:plotVisOnly val="1"/>
    <c:dispBlanksAs val="gap"/>
    <c:showDLblsOverMax val="0"/>
  </c:chart>
  <c:txPr>
    <a:bodyPr/>
    <a:lstStyle/>
    <a:p>
      <a:pPr>
        <a:defRPr sz="900" b="1"/>
      </a:pPr>
      <a:endParaRPr lang="ko-KR"/>
    </a:p>
  </c:txPr>
  <c:printSettings>
    <c:headerFooter/>
    <c:pageMargins b="0.75000000000000577" l="0.70000000000000062" r="0.70000000000000062" t="0.75000000000000577"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35946593632317"/>
          <c:y val="4.8959027777777775E-2"/>
          <c:w val="0.85088520584543303"/>
          <c:h val="0.8128329861111111"/>
        </c:manualLayout>
      </c:layout>
      <c:lineChart>
        <c:grouping val="standard"/>
        <c:varyColors val="0"/>
        <c:ser>
          <c:idx val="0"/>
          <c:order val="0"/>
          <c:tx>
            <c:strRef>
              <c:f>'2'!$L$18</c:f>
              <c:strCache>
                <c:ptCount val="1"/>
              </c:strCache>
            </c:strRef>
          </c:tx>
          <c:cat>
            <c:strRef>
              <c:f>'2'!$E$17:$E$26</c:f>
              <c:strCache>
                <c:ptCount val="10"/>
                <c:pt idx="0">
                  <c:v>13</c:v>
                </c:pt>
                <c:pt idx="1">
                  <c:v>14</c:v>
                </c:pt>
                <c:pt idx="2">
                  <c:v>15</c:v>
                </c:pt>
                <c:pt idx="3">
                  <c:v>16</c:v>
                </c:pt>
                <c:pt idx="4">
                  <c:v>17</c:v>
                </c:pt>
                <c:pt idx="5">
                  <c:v>18</c:v>
                </c:pt>
                <c:pt idx="6">
                  <c:v>19</c:v>
                </c:pt>
                <c:pt idx="7">
                  <c:v>20</c:v>
                </c:pt>
                <c:pt idx="8">
                  <c:v>21</c:v>
                </c:pt>
                <c:pt idx="9">
                  <c:v>22</c:v>
                </c:pt>
              </c:strCache>
            </c:strRef>
          </c:cat>
          <c:val>
            <c:numRef>
              <c:f>'2'!$D$33:$D$42</c:f>
              <c:numCache>
                <c:formatCode>_(* #,##0_);_(* \(#,##0\);_(* "-"_);_(@_)</c:formatCode>
                <c:ptCount val="10"/>
                <c:pt idx="0">
                  <c:v>10296</c:v>
                </c:pt>
                <c:pt idx="1">
                  <c:v>11227</c:v>
                </c:pt>
                <c:pt idx="2">
                  <c:v>10520</c:v>
                </c:pt>
                <c:pt idx="3">
                  <c:v>10917</c:v>
                </c:pt>
                <c:pt idx="4">
                  <c:v>10228</c:v>
                </c:pt>
                <c:pt idx="5">
                  <c:v>9729</c:v>
                </c:pt>
                <c:pt idx="6">
                  <c:v>9351</c:v>
                </c:pt>
                <c:pt idx="7">
                  <c:v>8472</c:v>
                </c:pt>
                <c:pt idx="8">
                  <c:v>8901</c:v>
                </c:pt>
                <c:pt idx="9">
                  <c:v>10059</c:v>
                </c:pt>
              </c:numCache>
            </c:numRef>
          </c:val>
          <c:smooth val="0"/>
          <c:extLst>
            <c:ext xmlns:c16="http://schemas.microsoft.com/office/drawing/2014/chart" uri="{C3380CC4-5D6E-409C-BE32-E72D297353CC}">
              <c16:uniqueId val="{00000000-9D84-44FD-9FAE-39947951DB8A}"/>
            </c:ext>
          </c:extLst>
        </c:ser>
        <c:ser>
          <c:idx val="1"/>
          <c:order val="1"/>
          <c:tx>
            <c:strRef>
              <c:f>'2'!$M$18</c:f>
              <c:strCache>
                <c:ptCount val="1"/>
              </c:strCache>
            </c:strRef>
          </c:tx>
          <c:cat>
            <c:strRef>
              <c:f>'2'!$E$17:$E$26</c:f>
              <c:strCache>
                <c:ptCount val="10"/>
                <c:pt idx="0">
                  <c:v>13</c:v>
                </c:pt>
                <c:pt idx="1">
                  <c:v>14</c:v>
                </c:pt>
                <c:pt idx="2">
                  <c:v>15</c:v>
                </c:pt>
                <c:pt idx="3">
                  <c:v>16</c:v>
                </c:pt>
                <c:pt idx="4">
                  <c:v>17</c:v>
                </c:pt>
                <c:pt idx="5">
                  <c:v>18</c:v>
                </c:pt>
                <c:pt idx="6">
                  <c:v>19</c:v>
                </c:pt>
                <c:pt idx="7">
                  <c:v>20</c:v>
                </c:pt>
                <c:pt idx="8">
                  <c:v>21</c:v>
                </c:pt>
                <c:pt idx="9">
                  <c:v>22</c:v>
                </c:pt>
              </c:strCache>
            </c:strRef>
          </c:cat>
          <c:val>
            <c:numRef>
              <c:f>'2'!$E$33:$E$42</c:f>
              <c:numCache>
                <c:formatCode>_(* #,##0_);_(* \(#,##0\);_(* "-"_);_(@_)</c:formatCode>
                <c:ptCount val="10"/>
                <c:pt idx="0">
                  <c:v>56729</c:v>
                </c:pt>
                <c:pt idx="1">
                  <c:v>65471</c:v>
                </c:pt>
                <c:pt idx="2">
                  <c:v>69169</c:v>
                </c:pt>
                <c:pt idx="3">
                  <c:v>76570</c:v>
                </c:pt>
                <c:pt idx="4">
                  <c:v>73376</c:v>
                </c:pt>
                <c:pt idx="5">
                  <c:v>65523</c:v>
                </c:pt>
                <c:pt idx="6">
                  <c:v>64484</c:v>
                </c:pt>
                <c:pt idx="7">
                  <c:v>63197</c:v>
                </c:pt>
                <c:pt idx="8">
                  <c:v>64384</c:v>
                </c:pt>
                <c:pt idx="9">
                  <c:v>61108</c:v>
                </c:pt>
              </c:numCache>
            </c:numRef>
          </c:val>
          <c:smooth val="0"/>
          <c:extLst>
            <c:ext xmlns:c16="http://schemas.microsoft.com/office/drawing/2014/chart" uri="{C3380CC4-5D6E-409C-BE32-E72D297353CC}">
              <c16:uniqueId val="{00000001-9D84-44FD-9FAE-39947951DB8A}"/>
            </c:ext>
          </c:extLst>
        </c:ser>
        <c:dLbls>
          <c:showLegendKey val="0"/>
          <c:showVal val="0"/>
          <c:showCatName val="0"/>
          <c:showSerName val="0"/>
          <c:showPercent val="0"/>
          <c:showBubbleSize val="0"/>
        </c:dLbls>
        <c:marker val="1"/>
        <c:smooth val="0"/>
        <c:axId val="91998464"/>
        <c:axId val="92008832"/>
      </c:lineChart>
      <c:catAx>
        <c:axId val="91998464"/>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0.11290788139973552"/>
              <c:y val="0.87083923611111114"/>
            </c:manualLayout>
          </c:layout>
          <c:overlay val="0"/>
        </c:title>
        <c:numFmt formatCode="General" sourceLinked="1"/>
        <c:majorTickMark val="none"/>
        <c:minorTickMark val="none"/>
        <c:tickLblPos val="nextTo"/>
        <c:txPr>
          <a:bodyPr rot="0" vert="horz"/>
          <a:lstStyle/>
          <a:p>
            <a:pPr>
              <a:defRPr/>
            </a:pPr>
            <a:endParaRPr lang="ko-KR"/>
          </a:p>
        </c:txPr>
        <c:crossAx val="92008832"/>
        <c:crosses val="autoZero"/>
        <c:auto val="1"/>
        <c:lblAlgn val="ctr"/>
        <c:lblOffset val="100"/>
        <c:tickLblSkip val="1"/>
        <c:tickMarkSkip val="1"/>
        <c:noMultiLvlLbl val="0"/>
      </c:catAx>
      <c:valAx>
        <c:axId val="92008832"/>
        <c:scaling>
          <c:orientation val="minMax"/>
          <c:max val="80000"/>
        </c:scaling>
        <c:delete val="0"/>
        <c:axPos val="l"/>
        <c:majorGridlines/>
        <c:title>
          <c:tx>
            <c:rich>
              <a:bodyPr rot="0" vert="horz"/>
              <a:lstStyle/>
              <a:p>
                <a:pPr>
                  <a:defRPr/>
                </a:pPr>
                <a:r>
                  <a:rPr lang="en-US" altLang="ko-KR"/>
                  <a:t>(</a:t>
                </a:r>
                <a:r>
                  <a:rPr lang="ko-KR" altLang="en-US"/>
                  <a:t>건</a:t>
                </a:r>
                <a:r>
                  <a:rPr lang="en-US" altLang="ko-KR"/>
                  <a:t>)</a:t>
                </a:r>
                <a:endParaRPr lang="ko-KR" altLang="en-US"/>
              </a:p>
            </c:rich>
          </c:tx>
          <c:layout>
            <c:manualLayout>
              <c:xMode val="edge"/>
              <c:yMode val="edge"/>
              <c:x val="7.3906733525317014E-2"/>
              <c:y val="0.80751388888888886"/>
            </c:manualLayout>
          </c:layout>
          <c:overlay val="0"/>
        </c:title>
        <c:numFmt formatCode="_(* #,##0_);_(* \(#,##0\);_(* &quot;-&quot;_);_(@_)" sourceLinked="1"/>
        <c:majorTickMark val="none"/>
        <c:minorTickMark val="none"/>
        <c:tickLblPos val="nextTo"/>
        <c:spPr>
          <a:ln w="9525">
            <a:noFill/>
          </a:ln>
        </c:spPr>
        <c:txPr>
          <a:bodyPr rot="0" vert="horz"/>
          <a:lstStyle/>
          <a:p>
            <a:pPr>
              <a:defRPr/>
            </a:pPr>
            <a:endParaRPr lang="ko-KR"/>
          </a:p>
        </c:txPr>
        <c:crossAx val="91998464"/>
        <c:crosses val="autoZero"/>
        <c:crossBetween val="between"/>
      </c:valAx>
    </c:plotArea>
    <c:plotVisOnly val="1"/>
    <c:dispBlanksAs val="gap"/>
    <c:showDLblsOverMax val="0"/>
  </c:chart>
  <c:txPr>
    <a:bodyPr/>
    <a:lstStyle/>
    <a:p>
      <a:pPr>
        <a:defRPr b="1"/>
      </a:pPr>
      <a:endParaRPr lang="ko-KR"/>
    </a:p>
  </c:txPr>
  <c:printSettings>
    <c:headerFooter alignWithMargins="0"/>
    <c:pageMargins b="1" l="0.75000000000001465" r="0.7500000000000146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35946593632317"/>
          <c:y val="4.8959027777777775E-2"/>
          <c:w val="0.85088520584543303"/>
          <c:h val="0.80842326388888885"/>
        </c:manualLayout>
      </c:layout>
      <c:lineChart>
        <c:grouping val="standard"/>
        <c:varyColors val="0"/>
        <c:ser>
          <c:idx val="0"/>
          <c:order val="0"/>
          <c:cat>
            <c:strRef>
              <c:f>'2'!$E$17:$E$26</c:f>
              <c:strCache>
                <c:ptCount val="10"/>
                <c:pt idx="0">
                  <c:v>13</c:v>
                </c:pt>
                <c:pt idx="1">
                  <c:v>14</c:v>
                </c:pt>
                <c:pt idx="2">
                  <c:v>15</c:v>
                </c:pt>
                <c:pt idx="3">
                  <c:v>16</c:v>
                </c:pt>
                <c:pt idx="4">
                  <c:v>17</c:v>
                </c:pt>
                <c:pt idx="5">
                  <c:v>18</c:v>
                </c:pt>
                <c:pt idx="6">
                  <c:v>19</c:v>
                </c:pt>
                <c:pt idx="7">
                  <c:v>20</c:v>
                </c:pt>
                <c:pt idx="8">
                  <c:v>21</c:v>
                </c:pt>
                <c:pt idx="9">
                  <c:v>22</c:v>
                </c:pt>
              </c:strCache>
            </c:strRef>
          </c:cat>
          <c:val>
            <c:numRef>
              <c:f>'2'!$D$49:$D$58</c:f>
              <c:numCache>
                <c:formatCode>_(* #,##0_);_(* \(#,##0\);_(* "-"_);_(@_)</c:formatCode>
                <c:ptCount val="10"/>
                <c:pt idx="0">
                  <c:v>20062</c:v>
                </c:pt>
                <c:pt idx="1">
                  <c:v>20773</c:v>
                </c:pt>
                <c:pt idx="2">
                  <c:v>24043</c:v>
                </c:pt>
                <c:pt idx="3">
                  <c:v>25088</c:v>
                </c:pt>
                <c:pt idx="4">
                  <c:v>25308</c:v>
                </c:pt>
                <c:pt idx="5">
                  <c:v>23975</c:v>
                </c:pt>
                <c:pt idx="6">
                  <c:v>21795</c:v>
                </c:pt>
                <c:pt idx="7">
                  <c:v>20746</c:v>
                </c:pt>
                <c:pt idx="8">
                  <c:v>19929</c:v>
                </c:pt>
                <c:pt idx="9">
                  <c:v>19179</c:v>
                </c:pt>
              </c:numCache>
            </c:numRef>
          </c:val>
          <c:smooth val="0"/>
          <c:extLst>
            <c:ext xmlns:c16="http://schemas.microsoft.com/office/drawing/2014/chart" uri="{C3380CC4-5D6E-409C-BE32-E72D297353CC}">
              <c16:uniqueId val="{00000000-A960-4FA4-9EF1-67E7DF16072F}"/>
            </c:ext>
          </c:extLst>
        </c:ser>
        <c:dLbls>
          <c:showLegendKey val="0"/>
          <c:showVal val="0"/>
          <c:showCatName val="0"/>
          <c:showSerName val="0"/>
          <c:showPercent val="0"/>
          <c:showBubbleSize val="0"/>
        </c:dLbls>
        <c:marker val="1"/>
        <c:smooth val="0"/>
        <c:axId val="92037504"/>
        <c:axId val="92039424"/>
      </c:lineChart>
      <c:catAx>
        <c:axId val="92037504"/>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0.10223936202348109"/>
              <c:y val="0.87524895833333338"/>
            </c:manualLayout>
          </c:layout>
          <c:overlay val="0"/>
        </c:title>
        <c:numFmt formatCode="General" sourceLinked="1"/>
        <c:majorTickMark val="none"/>
        <c:minorTickMark val="none"/>
        <c:tickLblPos val="nextTo"/>
        <c:txPr>
          <a:bodyPr rot="0" vert="horz"/>
          <a:lstStyle/>
          <a:p>
            <a:pPr>
              <a:defRPr/>
            </a:pPr>
            <a:endParaRPr lang="ko-KR"/>
          </a:p>
        </c:txPr>
        <c:crossAx val="92039424"/>
        <c:crosses val="autoZero"/>
        <c:auto val="1"/>
        <c:lblAlgn val="ctr"/>
        <c:lblOffset val="100"/>
        <c:tickLblSkip val="1"/>
        <c:tickMarkSkip val="1"/>
        <c:noMultiLvlLbl val="0"/>
      </c:catAx>
      <c:valAx>
        <c:axId val="92039424"/>
        <c:scaling>
          <c:orientation val="minMax"/>
        </c:scaling>
        <c:delete val="0"/>
        <c:axPos val="l"/>
        <c:majorGridlines/>
        <c:title>
          <c:tx>
            <c:rich>
              <a:bodyPr rot="0" vert="horz"/>
              <a:lstStyle/>
              <a:p>
                <a:pPr>
                  <a:defRPr/>
                </a:pPr>
                <a:r>
                  <a:rPr lang="en-US" altLang="ko-KR"/>
                  <a:t>(</a:t>
                </a:r>
                <a:r>
                  <a:rPr lang="ko-KR" altLang="en-US"/>
                  <a:t>건</a:t>
                </a:r>
                <a:r>
                  <a:rPr lang="en-US" altLang="ko-KR"/>
                  <a:t>)</a:t>
                </a:r>
                <a:endParaRPr lang="ko-KR" altLang="en-US"/>
              </a:p>
            </c:rich>
          </c:tx>
          <c:layout>
            <c:manualLayout>
              <c:xMode val="edge"/>
              <c:yMode val="edge"/>
              <c:x val="7.1907418222338579E-2"/>
              <c:y val="0.80310416666666662"/>
            </c:manualLayout>
          </c:layout>
          <c:overlay val="0"/>
        </c:title>
        <c:numFmt formatCode="_(* #,##0_);_(* \(#,##0\);_(* &quot;-&quot;_);_(@_)" sourceLinked="1"/>
        <c:majorTickMark val="none"/>
        <c:minorTickMark val="none"/>
        <c:tickLblPos val="nextTo"/>
        <c:spPr>
          <a:ln w="9525">
            <a:noFill/>
          </a:ln>
        </c:spPr>
        <c:txPr>
          <a:bodyPr rot="0" vert="horz"/>
          <a:lstStyle/>
          <a:p>
            <a:pPr>
              <a:defRPr/>
            </a:pPr>
            <a:endParaRPr lang="ko-KR"/>
          </a:p>
        </c:txPr>
        <c:crossAx val="92037504"/>
        <c:crosses val="autoZero"/>
        <c:crossBetween val="between"/>
      </c:valAx>
    </c:plotArea>
    <c:plotVisOnly val="1"/>
    <c:dispBlanksAs val="gap"/>
    <c:showDLblsOverMax val="0"/>
  </c:chart>
  <c:txPr>
    <a:bodyPr/>
    <a:lstStyle/>
    <a:p>
      <a:pPr>
        <a:defRPr b="1"/>
      </a:pPr>
      <a:endParaRPr lang="ko-KR"/>
    </a:p>
  </c:txPr>
  <c:printSettings>
    <c:headerFooter alignWithMargins="0"/>
    <c:pageMargins b="1" l="0.75000000000001465" r="0.7500000000000146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83857932080741"/>
          <c:y val="4.8959027777777775E-2"/>
          <c:w val="0.86440609246094879"/>
          <c:h val="0.78637465277777774"/>
        </c:manualLayout>
      </c:layout>
      <c:lineChart>
        <c:grouping val="standard"/>
        <c:varyColors val="0"/>
        <c:ser>
          <c:idx val="0"/>
          <c:order val="0"/>
          <c:cat>
            <c:strRef>
              <c:f>'2'!$E$17:$E$26</c:f>
              <c:strCache>
                <c:ptCount val="10"/>
                <c:pt idx="0">
                  <c:v>13</c:v>
                </c:pt>
                <c:pt idx="1">
                  <c:v>14</c:v>
                </c:pt>
                <c:pt idx="2">
                  <c:v>15</c:v>
                </c:pt>
                <c:pt idx="3">
                  <c:v>16</c:v>
                </c:pt>
                <c:pt idx="4">
                  <c:v>17</c:v>
                </c:pt>
                <c:pt idx="5">
                  <c:v>18</c:v>
                </c:pt>
                <c:pt idx="6">
                  <c:v>19</c:v>
                </c:pt>
                <c:pt idx="7">
                  <c:v>20</c:v>
                </c:pt>
                <c:pt idx="8">
                  <c:v>21</c:v>
                </c:pt>
                <c:pt idx="9">
                  <c:v>22</c:v>
                </c:pt>
              </c:strCache>
            </c:strRef>
          </c:cat>
          <c:val>
            <c:numRef>
              <c:f>'2'!$F$17:$F$26</c:f>
              <c:numCache>
                <c:formatCode>_(* #,##0_);_(* \(#,##0\);_(* "-"_);_(@_)</c:formatCode>
                <c:ptCount val="10"/>
                <c:pt idx="0">
                  <c:v>270469</c:v>
                </c:pt>
                <c:pt idx="1">
                  <c:v>268823</c:v>
                </c:pt>
                <c:pt idx="2">
                  <c:v>259424</c:v>
                </c:pt>
                <c:pt idx="3">
                  <c:v>276074</c:v>
                </c:pt>
                <c:pt idx="4">
                  <c:v>262612</c:v>
                </c:pt>
                <c:pt idx="5">
                  <c:v>240244</c:v>
                </c:pt>
                <c:pt idx="6">
                  <c:v>247063</c:v>
                </c:pt>
                <c:pt idx="7">
                  <c:v>260154</c:v>
                </c:pt>
                <c:pt idx="8">
                  <c:v>226328</c:v>
                </c:pt>
                <c:pt idx="9">
                  <c:v>219908</c:v>
                </c:pt>
              </c:numCache>
            </c:numRef>
          </c:val>
          <c:smooth val="0"/>
          <c:extLst>
            <c:ext xmlns:c16="http://schemas.microsoft.com/office/drawing/2014/chart" uri="{C3380CC4-5D6E-409C-BE32-E72D297353CC}">
              <c16:uniqueId val="{00000000-D47B-49A6-9516-D4B606589B99}"/>
            </c:ext>
          </c:extLst>
        </c:ser>
        <c:dLbls>
          <c:showLegendKey val="0"/>
          <c:showVal val="0"/>
          <c:showCatName val="0"/>
          <c:showSerName val="0"/>
          <c:showPercent val="0"/>
          <c:showBubbleSize val="0"/>
        </c:dLbls>
        <c:marker val="1"/>
        <c:smooth val="0"/>
        <c:axId val="92088576"/>
        <c:axId val="92090752"/>
      </c:lineChart>
      <c:catAx>
        <c:axId val="92088576"/>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0.10141920239509704"/>
              <c:y val="0.87083923611111114"/>
            </c:manualLayout>
          </c:layout>
          <c:overlay val="0"/>
        </c:title>
        <c:numFmt formatCode="General" sourceLinked="1"/>
        <c:majorTickMark val="none"/>
        <c:minorTickMark val="none"/>
        <c:tickLblPos val="nextTo"/>
        <c:txPr>
          <a:bodyPr rot="0" vert="horz"/>
          <a:lstStyle/>
          <a:p>
            <a:pPr>
              <a:defRPr/>
            </a:pPr>
            <a:endParaRPr lang="ko-KR"/>
          </a:p>
        </c:txPr>
        <c:crossAx val="92090752"/>
        <c:crosses val="autoZero"/>
        <c:auto val="1"/>
        <c:lblAlgn val="ctr"/>
        <c:lblOffset val="100"/>
        <c:tickLblSkip val="1"/>
        <c:tickMarkSkip val="1"/>
        <c:noMultiLvlLbl val="0"/>
      </c:catAx>
      <c:valAx>
        <c:axId val="92090752"/>
        <c:scaling>
          <c:orientation val="minMax"/>
          <c:min val="100000"/>
        </c:scaling>
        <c:delete val="0"/>
        <c:axPos val="l"/>
        <c:majorGridlines/>
        <c:title>
          <c:tx>
            <c:rich>
              <a:bodyPr rot="0" vert="horz"/>
              <a:lstStyle/>
              <a:p>
                <a:pPr>
                  <a:defRPr/>
                </a:pPr>
                <a:r>
                  <a:rPr lang="en-US" altLang="ko-KR"/>
                  <a:t>(</a:t>
                </a:r>
                <a:r>
                  <a:rPr lang="ko-KR" altLang="en-US"/>
                  <a:t>건</a:t>
                </a:r>
                <a:r>
                  <a:rPr lang="en-US" altLang="ko-KR"/>
                  <a:t>)</a:t>
                </a:r>
                <a:endParaRPr lang="ko-KR" altLang="en-US"/>
              </a:p>
            </c:rich>
          </c:tx>
          <c:layout>
            <c:manualLayout>
              <c:xMode val="edge"/>
              <c:yMode val="edge"/>
              <c:x val="4.5861140758939649E-2"/>
              <c:y val="0.85602083333333334"/>
            </c:manualLayout>
          </c:layout>
          <c:overlay val="0"/>
        </c:title>
        <c:numFmt formatCode="_(* #,##0_);_(* \(#,##0\);_(* &quot;-&quot;_);_(@_)" sourceLinked="1"/>
        <c:majorTickMark val="none"/>
        <c:minorTickMark val="none"/>
        <c:tickLblPos val="nextTo"/>
        <c:spPr>
          <a:ln w="9525">
            <a:noFill/>
          </a:ln>
        </c:spPr>
        <c:txPr>
          <a:bodyPr rot="0" vert="horz"/>
          <a:lstStyle/>
          <a:p>
            <a:pPr>
              <a:defRPr/>
            </a:pPr>
            <a:endParaRPr lang="ko-KR"/>
          </a:p>
        </c:txPr>
        <c:crossAx val="92088576"/>
        <c:crosses val="autoZero"/>
        <c:crossBetween val="between"/>
      </c:valAx>
    </c:plotArea>
    <c:plotVisOnly val="1"/>
    <c:dispBlanksAs val="gap"/>
    <c:showDLblsOverMax val="0"/>
  </c:chart>
  <c:txPr>
    <a:bodyPr/>
    <a:lstStyle/>
    <a:p>
      <a:pPr>
        <a:defRPr b="1"/>
      </a:pPr>
      <a:endParaRPr lang="ko-KR"/>
    </a:p>
  </c:txPr>
  <c:printSettings>
    <c:headerFooter alignWithMargins="0"/>
    <c:pageMargins b="1" l="0.75000000000001465" r="0.7500000000000146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0"/>
          <c:y val="5.2946286643747134E-2"/>
          <c:w val="0.97341151842424534"/>
          <c:h val="0.80788732394366158"/>
        </c:manualLayout>
      </c:layout>
      <c:barChart>
        <c:barDir val="col"/>
        <c:grouping val="percentStacked"/>
        <c:varyColors val="0"/>
        <c:ser>
          <c:idx val="0"/>
          <c:order val="0"/>
          <c:tx>
            <c:strRef>
              <c:f>'6'!$F$41</c:f>
              <c:strCache>
                <c:ptCount val="1"/>
                <c:pt idx="0">
                  <c:v>파기</c:v>
                </c:pt>
              </c:strCache>
            </c:strRef>
          </c:tx>
          <c:invertIfNegative val="0"/>
          <c:dLbls>
            <c:dLbl>
              <c:idx val="0"/>
              <c:layout>
                <c:manualLayout>
                  <c:x val="9.2024539877300623E-2"/>
                  <c:y val="-9.211153483863288E-2"/>
                </c:manualLayout>
              </c:layout>
              <c:tx>
                <c:rich>
                  <a:bodyPr/>
                  <a:lstStyle/>
                  <a:p>
                    <a:r>
                      <a:rPr lang="ko-KR" altLang="en-US"/>
                      <a:t>파기</a:t>
                    </a:r>
                  </a:p>
                  <a:p>
                    <a:r>
                      <a:rPr lang="ko-KR" altLang="en-US"/>
                      <a:t> </a:t>
                    </a:r>
                    <a:r>
                      <a:rPr lang="en-US" altLang="ko-KR"/>
                      <a:t>548</a:t>
                    </a:r>
                  </a:p>
                  <a:p>
                    <a:r>
                      <a:rPr lang="en-US" altLang="ko-KR"/>
                      <a:t>(10.3%) </a:t>
                    </a:r>
                  </a:p>
                </c:rich>
              </c:tx>
              <c:dLblPos val="ct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2180-4CC5-9014-BD174E80AB6F}"/>
                </c:ext>
              </c:extLst>
            </c:dLbl>
            <c:dLbl>
              <c:idx val="1"/>
              <c:layout>
                <c:manualLayout>
                  <c:x val="0.11042944785276081"/>
                  <c:y val="6.9987836886243771E-2"/>
                </c:manualLayout>
              </c:layout>
              <c:tx>
                <c:rich>
                  <a:bodyPr/>
                  <a:lstStyle/>
                  <a:p>
                    <a:r>
                      <a:rPr lang="ko-KR" altLang="en-US"/>
                      <a:t>파기</a:t>
                    </a:r>
                  </a:p>
                  <a:p>
                    <a:r>
                      <a:rPr lang="en-US" altLang="ko-KR"/>
                      <a:t>4,077</a:t>
                    </a:r>
                  </a:p>
                  <a:p>
                    <a:r>
                      <a:rPr lang="en-US" altLang="ko-KR"/>
                      <a:t>(46.5%)</a:t>
                    </a:r>
                  </a:p>
                </c:rich>
              </c:tx>
              <c:dLblPos val="ct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2180-4CC5-9014-BD174E80AB6F}"/>
                </c:ext>
              </c:extLst>
            </c:dLbl>
            <c:dLbl>
              <c:idx val="2"/>
              <c:layout>
                <c:manualLayout>
                  <c:x val="0.10429447852760827"/>
                  <c:y val="1.1993013068488503E-2"/>
                </c:manualLayout>
              </c:layout>
              <c:tx>
                <c:rich>
                  <a:bodyPr/>
                  <a:lstStyle/>
                  <a:p>
                    <a:r>
                      <a:rPr lang="ko-KR" altLang="en-US"/>
                      <a:t>파기</a:t>
                    </a:r>
                  </a:p>
                  <a:p>
                    <a:r>
                      <a:rPr lang="en-US" altLang="ko-KR"/>
                      <a:t>23,957 </a:t>
                    </a:r>
                  </a:p>
                  <a:p>
                    <a:r>
                      <a:rPr lang="en-US" altLang="ko-KR"/>
                      <a:t>(43.5%)</a:t>
                    </a:r>
                  </a:p>
                </c:rich>
              </c:tx>
              <c:dLblPos val="ct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2180-4CC5-9014-BD174E80AB6F}"/>
                </c:ext>
              </c:extLst>
            </c:dLbl>
            <c:spPr>
              <a:noFill/>
              <a:ln>
                <a:noFill/>
              </a:ln>
              <a:effectLst/>
            </c:spPr>
            <c:dLblPos val="inBase"/>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'6'!$G$40:$I$40</c:f>
              <c:strCache>
                <c:ptCount val="3"/>
                <c:pt idx="0">
                  <c:v>상고심</c:v>
                </c:pt>
                <c:pt idx="1">
                  <c:v>고등법원</c:v>
                </c:pt>
                <c:pt idx="2">
                  <c:v>지방법원</c:v>
                </c:pt>
              </c:strCache>
            </c:strRef>
          </c:cat>
          <c:val>
            <c:numRef>
              <c:f>'6'!$G$41:$I$41</c:f>
              <c:numCache>
                <c:formatCode>_(* #,##0_);_(* \(#,##0\);_(* "-"_);_(@_)</c:formatCode>
                <c:ptCount val="3"/>
                <c:pt idx="0">
                  <c:v>548</c:v>
                </c:pt>
                <c:pt idx="1">
                  <c:v>4077</c:v>
                </c:pt>
                <c:pt idx="2">
                  <c:v>23957</c:v>
                </c:pt>
              </c:numCache>
            </c:numRef>
          </c:val>
          <c:extLst>
            <c:ext xmlns:c16="http://schemas.microsoft.com/office/drawing/2014/chart" uri="{C3380CC4-5D6E-409C-BE32-E72D297353CC}">
              <c16:uniqueId val="{00000003-2180-4CC5-9014-BD174E80AB6F}"/>
            </c:ext>
          </c:extLst>
        </c:ser>
        <c:ser>
          <c:idx val="1"/>
          <c:order val="1"/>
          <c:tx>
            <c:strRef>
              <c:f>'6'!$F$42</c:f>
              <c:strCache>
                <c:ptCount val="1"/>
                <c:pt idx="0">
                  <c:v>기각</c:v>
                </c:pt>
              </c:strCache>
            </c:strRef>
          </c:tx>
          <c:spPr>
            <a:gradFill>
              <a:gsLst>
                <a:gs pos="0">
                  <a:srgbClr val="4F81BD">
                    <a:tint val="66000"/>
                    <a:satMod val="160000"/>
                  </a:srgbClr>
                </a:gs>
                <a:gs pos="50000">
                  <a:srgbClr val="4F81BD">
                    <a:tint val="44500"/>
                    <a:satMod val="160000"/>
                  </a:srgbClr>
                </a:gs>
                <a:gs pos="100000">
                  <a:srgbClr val="4F81BD">
                    <a:tint val="23500"/>
                    <a:satMod val="160000"/>
                  </a:srgbClr>
                </a:gs>
              </a:gsLst>
              <a:lin ang="5400000" scaled="0"/>
            </a:gradFill>
          </c:spPr>
          <c:invertIfNegative val="0"/>
          <c:dLbls>
            <c:dLbl>
              <c:idx val="0"/>
              <c:layout>
                <c:manualLayout>
                  <c:x val="0.10224948875255624"/>
                  <c:y val="-7.8977932636469225E-2"/>
                </c:manualLayout>
              </c:layout>
              <c:tx>
                <c:rich>
                  <a:bodyPr/>
                  <a:lstStyle/>
                  <a:p>
                    <a:r>
                      <a:rPr lang="ko-KR" altLang="en-US"/>
                      <a:t>기각</a:t>
                    </a:r>
                  </a:p>
                  <a:p>
                    <a:r>
                      <a:rPr lang="en-US" altLang="ko-KR"/>
                      <a:t>4,747</a:t>
                    </a:r>
                  </a:p>
                  <a:p>
                    <a:r>
                      <a:rPr lang="en-US" altLang="ko-KR"/>
                      <a:t>(89.7%) </a:t>
                    </a:r>
                  </a:p>
                </c:rich>
              </c:tx>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2180-4CC5-9014-BD174E80AB6F}"/>
                </c:ext>
              </c:extLst>
            </c:dLbl>
            <c:dLbl>
              <c:idx val="1"/>
              <c:layout>
                <c:manualLayout>
                  <c:x val="0.10838445807770969"/>
                  <c:y val="2.1292824097037511E-17"/>
                </c:manualLayout>
              </c:layout>
              <c:tx>
                <c:rich>
                  <a:bodyPr/>
                  <a:lstStyle/>
                  <a:p>
                    <a:r>
                      <a:rPr lang="ko-KR" altLang="en-US"/>
                      <a:t>기각</a:t>
                    </a:r>
                  </a:p>
                  <a:p>
                    <a:r>
                      <a:rPr lang="ko-KR" altLang="en-US"/>
                      <a:t> </a:t>
                    </a:r>
                    <a:r>
                      <a:rPr lang="en-US" altLang="ko-KR"/>
                      <a:t>4,688</a:t>
                    </a:r>
                  </a:p>
                  <a:p>
                    <a:r>
                      <a:rPr lang="en-US" altLang="ko-KR"/>
                      <a:t>(53.5%)</a:t>
                    </a:r>
                  </a:p>
                </c:rich>
              </c:tx>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2180-4CC5-9014-BD174E80AB6F}"/>
                </c:ext>
              </c:extLst>
            </c:dLbl>
            <c:dLbl>
              <c:idx val="2"/>
              <c:layout>
                <c:manualLayout>
                  <c:x val="0.10224948875255624"/>
                  <c:y val="-2.7874564459930411E-2"/>
                </c:manualLayout>
              </c:layout>
              <c:tx>
                <c:rich>
                  <a:bodyPr/>
                  <a:lstStyle/>
                  <a:p>
                    <a:r>
                      <a:rPr lang="ko-KR" altLang="en-US"/>
                      <a:t>기각</a:t>
                    </a:r>
                  </a:p>
                  <a:p>
                    <a:r>
                      <a:rPr lang="ko-KR" altLang="en-US"/>
                      <a:t> </a:t>
                    </a:r>
                    <a:r>
                      <a:rPr lang="en-US" altLang="ko-KR"/>
                      <a:t>31,163</a:t>
                    </a:r>
                  </a:p>
                  <a:p>
                    <a:r>
                      <a:rPr lang="en-US" altLang="ko-KR"/>
                      <a:t>(56.5%)</a:t>
                    </a:r>
                  </a:p>
                </c:rich>
              </c:tx>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180-4CC5-9014-BD174E80AB6F}"/>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'6'!$G$40:$I$40</c:f>
              <c:strCache>
                <c:ptCount val="3"/>
                <c:pt idx="0">
                  <c:v>상고심</c:v>
                </c:pt>
                <c:pt idx="1">
                  <c:v>고등법원</c:v>
                </c:pt>
                <c:pt idx="2">
                  <c:v>지방법원</c:v>
                </c:pt>
              </c:strCache>
            </c:strRef>
          </c:cat>
          <c:val>
            <c:numRef>
              <c:f>'6'!$G$42:$I$42</c:f>
              <c:numCache>
                <c:formatCode>_(* #,##0_);_(* \(#,##0\);_(* "-"_);_(@_)</c:formatCode>
                <c:ptCount val="3"/>
                <c:pt idx="0">
                  <c:v>4747</c:v>
                </c:pt>
                <c:pt idx="1">
                  <c:v>4688</c:v>
                </c:pt>
                <c:pt idx="2">
                  <c:v>31163</c:v>
                </c:pt>
              </c:numCache>
            </c:numRef>
          </c:val>
          <c:extLst>
            <c:ext xmlns:c16="http://schemas.microsoft.com/office/drawing/2014/chart" uri="{C3380CC4-5D6E-409C-BE32-E72D297353CC}">
              <c16:uniqueId val="{00000007-2180-4CC5-9014-BD174E80AB6F}"/>
            </c:ext>
          </c:extLst>
        </c:ser>
        <c:dLbls>
          <c:showLegendKey val="0"/>
          <c:showVal val="1"/>
          <c:showCatName val="0"/>
          <c:showSerName val="0"/>
          <c:showPercent val="0"/>
          <c:showBubbleSize val="0"/>
        </c:dLbls>
        <c:gapWidth val="224"/>
        <c:overlap val="100"/>
        <c:axId val="92641152"/>
        <c:axId val="92642688"/>
      </c:barChart>
      <c:catAx>
        <c:axId val="92641152"/>
        <c:scaling>
          <c:orientation val="minMax"/>
        </c:scaling>
        <c:delete val="0"/>
        <c:axPos val="b"/>
        <c:numFmt formatCode="General" sourceLinked="1"/>
        <c:majorTickMark val="none"/>
        <c:minorTickMark val="none"/>
        <c:tickLblPos val="nextTo"/>
        <c:crossAx val="92642688"/>
        <c:crosses val="autoZero"/>
        <c:auto val="1"/>
        <c:lblAlgn val="ctr"/>
        <c:lblOffset val="100"/>
        <c:noMultiLvlLbl val="0"/>
      </c:catAx>
      <c:valAx>
        <c:axId val="92642688"/>
        <c:scaling>
          <c:orientation val="minMax"/>
        </c:scaling>
        <c:delete val="1"/>
        <c:axPos val="l"/>
        <c:numFmt formatCode="0%" sourceLinked="1"/>
        <c:majorTickMark val="out"/>
        <c:minorTickMark val="none"/>
        <c:tickLblPos val="none"/>
        <c:crossAx val="92641152"/>
        <c:crosses val="autoZero"/>
        <c:crossBetween val="between"/>
      </c:valAx>
    </c:plotArea>
    <c:plotVisOnly val="1"/>
    <c:dispBlanksAs val="gap"/>
    <c:showDLblsOverMax val="0"/>
  </c:chart>
  <c:txPr>
    <a:bodyPr/>
    <a:lstStyle/>
    <a:p>
      <a:pPr>
        <a:defRPr b="1"/>
      </a:pPr>
      <a:endParaRPr lang="ko-KR"/>
    </a:p>
  </c:txPr>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16734321253323"/>
          <c:y val="4.9017746953816201E-2"/>
          <c:w val="0.85205832966531359"/>
          <c:h val="0.81702351775564475"/>
        </c:manualLayout>
      </c:layout>
      <c:barChart>
        <c:barDir val="col"/>
        <c:grouping val="stacked"/>
        <c:varyColors val="0"/>
        <c:ser>
          <c:idx val="0"/>
          <c:order val="0"/>
          <c:invertIfNegative val="0"/>
          <c:cat>
            <c:strRef>
              <c:f>'7'!$D$36:$D$40</c:f>
              <c:strCache>
                <c:ptCount val="5"/>
                <c:pt idx="0">
                  <c:v>18</c:v>
                </c:pt>
                <c:pt idx="1">
                  <c:v>19</c:v>
                </c:pt>
                <c:pt idx="2">
                  <c:v>20</c:v>
                </c:pt>
                <c:pt idx="3">
                  <c:v>21</c:v>
                </c:pt>
                <c:pt idx="4">
                  <c:v>22</c:v>
                </c:pt>
              </c:strCache>
            </c:strRef>
          </c:cat>
          <c:val>
            <c:numRef>
              <c:f>'7'!$E$36:$E$40</c:f>
              <c:numCache>
                <c:formatCode>_(* #,##0_);_(* \(#,##0\);_(* "-"_);_(@_)</c:formatCode>
                <c:ptCount val="5"/>
                <c:pt idx="0">
                  <c:v>6646</c:v>
                </c:pt>
                <c:pt idx="1">
                  <c:v>8224</c:v>
                </c:pt>
                <c:pt idx="2">
                  <c:v>9340</c:v>
                </c:pt>
                <c:pt idx="3">
                  <c:v>6847</c:v>
                </c:pt>
                <c:pt idx="4">
                  <c:v>5631</c:v>
                </c:pt>
              </c:numCache>
            </c:numRef>
          </c:val>
          <c:extLst>
            <c:ext xmlns:c16="http://schemas.microsoft.com/office/drawing/2014/chart" uri="{C3380CC4-5D6E-409C-BE32-E72D297353CC}">
              <c16:uniqueId val="{00000005-A31B-44ED-90AD-05FE6364FEC6}"/>
            </c:ext>
          </c:extLst>
        </c:ser>
        <c:dLbls>
          <c:showLegendKey val="0"/>
          <c:showVal val="0"/>
          <c:showCatName val="0"/>
          <c:showSerName val="0"/>
          <c:showPercent val="0"/>
          <c:showBubbleSize val="0"/>
        </c:dLbls>
        <c:gapWidth val="75"/>
        <c:overlap val="100"/>
        <c:axId val="92775936"/>
        <c:axId val="92777856"/>
      </c:barChart>
      <c:catAx>
        <c:axId val="92775936"/>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0.13669177222412415"/>
              <c:y val="0.88557021431923655"/>
            </c:manualLayout>
          </c:layout>
          <c:overlay val="0"/>
        </c:title>
        <c:numFmt formatCode="General" sourceLinked="1"/>
        <c:majorTickMark val="none"/>
        <c:minorTickMark val="none"/>
        <c:tickLblPos val="low"/>
        <c:txPr>
          <a:bodyPr rot="0" vert="horz"/>
          <a:lstStyle/>
          <a:p>
            <a:pPr>
              <a:defRPr/>
            </a:pPr>
            <a:endParaRPr lang="ko-KR"/>
          </a:p>
        </c:txPr>
        <c:crossAx val="92777856"/>
        <c:crosses val="autoZero"/>
        <c:auto val="1"/>
        <c:lblAlgn val="ctr"/>
        <c:lblOffset val="100"/>
        <c:tickLblSkip val="1"/>
        <c:tickMarkSkip val="1"/>
        <c:noMultiLvlLbl val="0"/>
      </c:catAx>
      <c:valAx>
        <c:axId val="92777856"/>
        <c:scaling>
          <c:orientation val="minMax"/>
          <c:max val="15000"/>
        </c:scaling>
        <c:delete val="0"/>
        <c:axPos val="l"/>
        <c:majorGridlines/>
        <c:title>
          <c:tx>
            <c:rich>
              <a:bodyPr rot="0" vert="horz"/>
              <a:lstStyle/>
              <a:p>
                <a:pPr>
                  <a:defRPr/>
                </a:pPr>
                <a:r>
                  <a:rPr lang="en-US" altLang="ko-KR"/>
                  <a:t>(</a:t>
                </a:r>
                <a:r>
                  <a:rPr lang="ko-KR" altLang="en-US"/>
                  <a:t>건</a:t>
                </a:r>
                <a:r>
                  <a:rPr lang="en-US" altLang="ko-KR"/>
                  <a:t>)</a:t>
                </a:r>
                <a:endParaRPr lang="ko-KR" altLang="en-US"/>
              </a:p>
            </c:rich>
          </c:tx>
          <c:layout>
            <c:manualLayout>
              <c:xMode val="edge"/>
              <c:yMode val="edge"/>
              <c:x val="6.6741168223537276E-2"/>
              <c:y val="0.79705341468078084"/>
            </c:manualLayout>
          </c:layout>
          <c:overlay val="0"/>
        </c:title>
        <c:numFmt formatCode="_(* #,##0_);_(* \(#,##0\);_(* &quot;-&quot;_);_(@_)" sourceLinked="1"/>
        <c:majorTickMark val="none"/>
        <c:minorTickMark val="none"/>
        <c:tickLblPos val="nextTo"/>
        <c:spPr>
          <a:ln w="9525">
            <a:noFill/>
          </a:ln>
        </c:spPr>
        <c:txPr>
          <a:bodyPr rot="0" vert="horz"/>
          <a:lstStyle/>
          <a:p>
            <a:pPr>
              <a:defRPr/>
            </a:pPr>
            <a:endParaRPr lang="ko-KR"/>
          </a:p>
        </c:txPr>
        <c:crossAx val="92775936"/>
        <c:crosses val="autoZero"/>
        <c:crossBetween val="between"/>
        <c:majorUnit val="5000"/>
      </c:valAx>
    </c:plotArea>
    <c:plotVisOnly val="1"/>
    <c:dispBlanksAs val="gap"/>
    <c:showDLblsOverMax val="0"/>
  </c:chart>
  <c:txPr>
    <a:bodyPr/>
    <a:lstStyle/>
    <a:p>
      <a:pPr>
        <a:defRPr b="1"/>
      </a:pPr>
      <a:endParaRPr lang="ko-KR"/>
    </a:p>
  </c:txPr>
  <c:printSettings>
    <c:headerFooter alignWithMargins="0"/>
    <c:pageMargins b="1" l="0.75000000000001465" r="0.75000000000001465" t="1" header="0.5" footer="0.5"/>
    <c:pageSetup paperSize="9" orientation="landscape" verticalDpi="120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'8'!$D$20</c:f>
              <c:strCache>
                <c:ptCount val="1"/>
                <c:pt idx="0">
                  <c:v>합의</c:v>
                </c:pt>
              </c:strCache>
            </c:strRef>
          </c:tx>
          <c:cat>
            <c:strRef>
              <c:f>'8'!$C$26:$C$35</c:f>
              <c:strCache>
                <c:ptCount val="10"/>
                <c:pt idx="0">
                  <c:v>13</c:v>
                </c:pt>
                <c:pt idx="1">
                  <c:v>14</c:v>
                </c:pt>
                <c:pt idx="2">
                  <c:v>15</c:v>
                </c:pt>
                <c:pt idx="3">
                  <c:v>16</c:v>
                </c:pt>
                <c:pt idx="4">
                  <c:v>17</c:v>
                </c:pt>
                <c:pt idx="5">
                  <c:v>18</c:v>
                </c:pt>
                <c:pt idx="6">
                  <c:v>19</c:v>
                </c:pt>
                <c:pt idx="7">
                  <c:v>20</c:v>
                </c:pt>
                <c:pt idx="8">
                  <c:v>21</c:v>
                </c:pt>
                <c:pt idx="9">
                  <c:v>22</c:v>
                </c:pt>
              </c:strCache>
            </c:strRef>
          </c:cat>
          <c:val>
            <c:numRef>
              <c:f>'8'!$D$26:$D$35</c:f>
              <c:numCache>
                <c:formatCode>_-* #,##0.0_-;\-* #,##0.0_-;_-* "-"_-;_-@_-</c:formatCode>
                <c:ptCount val="10"/>
                <c:pt idx="0">
                  <c:v>62.3</c:v>
                </c:pt>
                <c:pt idx="1">
                  <c:v>66.8</c:v>
                </c:pt>
                <c:pt idx="2">
                  <c:v>68.099999999999994</c:v>
                </c:pt>
                <c:pt idx="3">
                  <c:v>67</c:v>
                </c:pt>
                <c:pt idx="4">
                  <c:v>65.099999999999994</c:v>
                </c:pt>
                <c:pt idx="5">
                  <c:v>65.496817049543324</c:v>
                </c:pt>
                <c:pt idx="6">
                  <c:v>65.734552702544264</c:v>
                </c:pt>
                <c:pt idx="7">
                  <c:v>67.47323747387091</c:v>
                </c:pt>
                <c:pt idx="8">
                  <c:v>65.06330611761922</c:v>
                </c:pt>
                <c:pt idx="9">
                  <c:v>62.369917390837891</c:v>
                </c:pt>
              </c:numCache>
            </c:numRef>
          </c:val>
          <c:smooth val="0"/>
          <c:extLst>
            <c:ext xmlns:c16="http://schemas.microsoft.com/office/drawing/2014/chart" uri="{C3380CC4-5D6E-409C-BE32-E72D297353CC}">
              <c16:uniqueId val="{00000000-0088-4C41-82D1-C62B21F51422}"/>
            </c:ext>
          </c:extLst>
        </c:ser>
        <c:ser>
          <c:idx val="1"/>
          <c:order val="1"/>
          <c:tx>
            <c:strRef>
              <c:f>'8'!$E$20</c:f>
              <c:strCache>
                <c:ptCount val="1"/>
                <c:pt idx="0">
                  <c:v>단독</c:v>
                </c:pt>
              </c:strCache>
            </c:strRef>
          </c:tx>
          <c:cat>
            <c:strRef>
              <c:f>'8'!$C$26:$C$35</c:f>
              <c:strCache>
                <c:ptCount val="10"/>
                <c:pt idx="0">
                  <c:v>13</c:v>
                </c:pt>
                <c:pt idx="1">
                  <c:v>14</c:v>
                </c:pt>
                <c:pt idx="2">
                  <c:v>15</c:v>
                </c:pt>
                <c:pt idx="3">
                  <c:v>16</c:v>
                </c:pt>
                <c:pt idx="4">
                  <c:v>17</c:v>
                </c:pt>
                <c:pt idx="5">
                  <c:v>18</c:v>
                </c:pt>
                <c:pt idx="6">
                  <c:v>19</c:v>
                </c:pt>
                <c:pt idx="7">
                  <c:v>20</c:v>
                </c:pt>
                <c:pt idx="8">
                  <c:v>21</c:v>
                </c:pt>
                <c:pt idx="9">
                  <c:v>22</c:v>
                </c:pt>
              </c:strCache>
            </c:strRef>
          </c:cat>
          <c:val>
            <c:numRef>
              <c:f>'8'!$E$26:$E$35</c:f>
              <c:numCache>
                <c:formatCode>_-* #,##0.0_-;\-* #,##0.0_-;_-* "-"_-;_-@_-</c:formatCode>
                <c:ptCount val="10"/>
                <c:pt idx="0">
                  <c:v>31.6</c:v>
                </c:pt>
                <c:pt idx="1">
                  <c:v>36</c:v>
                </c:pt>
                <c:pt idx="2">
                  <c:v>38.700000000000003</c:v>
                </c:pt>
                <c:pt idx="3">
                  <c:v>40.9</c:v>
                </c:pt>
                <c:pt idx="4">
                  <c:v>39.200000000000003</c:v>
                </c:pt>
                <c:pt idx="5">
                  <c:v>39.807876946223367</c:v>
                </c:pt>
                <c:pt idx="6">
                  <c:v>40.781923237297221</c:v>
                </c:pt>
                <c:pt idx="7">
                  <c:v>39.697265394823063</c:v>
                </c:pt>
                <c:pt idx="8">
                  <c:v>42.341359927830041</c:v>
                </c:pt>
                <c:pt idx="9">
                  <c:v>42.501207196993555</c:v>
                </c:pt>
              </c:numCache>
            </c:numRef>
          </c:val>
          <c:smooth val="0"/>
          <c:extLst>
            <c:ext xmlns:c16="http://schemas.microsoft.com/office/drawing/2014/chart" uri="{C3380CC4-5D6E-409C-BE32-E72D297353CC}">
              <c16:uniqueId val="{00000001-0088-4C41-82D1-C62B21F51422}"/>
            </c:ext>
          </c:extLst>
        </c:ser>
        <c:dLbls>
          <c:showLegendKey val="0"/>
          <c:showVal val="0"/>
          <c:showCatName val="0"/>
          <c:showSerName val="0"/>
          <c:showPercent val="0"/>
          <c:showBubbleSize val="0"/>
        </c:dLbls>
        <c:marker val="1"/>
        <c:smooth val="0"/>
        <c:axId val="93313280"/>
        <c:axId val="93335936"/>
      </c:lineChart>
      <c:catAx>
        <c:axId val="93313280"/>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0.1148440740740741"/>
              <c:y val="0.85697843301829291"/>
            </c:manualLayout>
          </c:layout>
          <c:overlay val="0"/>
        </c:title>
        <c:numFmt formatCode="General" sourceLinked="1"/>
        <c:majorTickMark val="none"/>
        <c:minorTickMark val="none"/>
        <c:tickLblPos val="nextTo"/>
        <c:txPr>
          <a:bodyPr rot="0" vert="horz"/>
          <a:lstStyle/>
          <a:p>
            <a:pPr>
              <a:defRPr/>
            </a:pPr>
            <a:endParaRPr lang="ko-KR"/>
          </a:p>
        </c:txPr>
        <c:crossAx val="93335936"/>
        <c:crosses val="autoZero"/>
        <c:auto val="1"/>
        <c:lblAlgn val="ctr"/>
        <c:lblOffset val="100"/>
        <c:tickLblSkip val="1"/>
        <c:tickMarkSkip val="1"/>
        <c:noMultiLvlLbl val="0"/>
      </c:catAx>
      <c:valAx>
        <c:axId val="93335936"/>
        <c:scaling>
          <c:orientation val="minMax"/>
          <c:min val="10"/>
        </c:scaling>
        <c:delete val="0"/>
        <c:axPos val="l"/>
        <c:majorGridlines/>
        <c:title>
          <c:tx>
            <c:rich>
              <a:bodyPr rot="0" vert="horz"/>
              <a:lstStyle/>
              <a:p>
                <a:pPr>
                  <a:defRPr/>
                </a:pPr>
                <a:r>
                  <a:rPr lang="en-US" altLang="ko-KR"/>
                  <a:t>(%)</a:t>
                </a:r>
                <a:endParaRPr lang="ko-KR" altLang="en-US"/>
              </a:p>
            </c:rich>
          </c:tx>
          <c:layout>
            <c:manualLayout>
              <c:xMode val="edge"/>
              <c:yMode val="edge"/>
              <c:x val="5.1740740740740754E-2"/>
              <c:y val="0.86853118271721486"/>
            </c:manualLayout>
          </c:layout>
          <c:overlay val="0"/>
        </c:title>
        <c:numFmt formatCode="_-* #,##0.0_-;\-* #,##0.0_-;_-* &quot;-&quot;_-;_-@_-" sourceLinked="1"/>
        <c:majorTickMark val="none"/>
        <c:minorTickMark val="none"/>
        <c:tickLblPos val="nextTo"/>
        <c:txPr>
          <a:bodyPr rot="0" vert="horz"/>
          <a:lstStyle/>
          <a:p>
            <a:pPr>
              <a:defRPr/>
            </a:pPr>
            <a:endParaRPr lang="ko-KR"/>
          </a:p>
        </c:txPr>
        <c:crossAx val="93313280"/>
        <c:crosses val="autoZero"/>
        <c:crossBetween val="between"/>
        <c:majorUnit val="5"/>
        <c:minorUnit val="2"/>
      </c:valAx>
    </c:plotArea>
    <c:plotVisOnly val="1"/>
    <c:dispBlanksAs val="gap"/>
    <c:showDLblsOverMax val="0"/>
  </c:chart>
  <c:txPr>
    <a:bodyPr/>
    <a:lstStyle/>
    <a:p>
      <a:pPr>
        <a:defRPr b="1"/>
      </a:pPr>
      <a:endParaRPr lang="ko-KR"/>
    </a:p>
  </c:txPr>
  <c:printSettings>
    <c:headerFooter alignWithMargins="0"/>
    <c:pageMargins b="1" l="0.75000000000001465" r="0.7500000000000146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'8'!$K$21</c:f>
              <c:strCache>
                <c:ptCount val="1"/>
                <c:pt idx="0">
                  <c:v>고등법원</c:v>
                </c:pt>
              </c:strCache>
            </c:strRef>
          </c:tx>
          <c:cat>
            <c:strRef>
              <c:f>'8'!$C$26:$C$35</c:f>
              <c:strCache>
                <c:ptCount val="10"/>
                <c:pt idx="0">
                  <c:v>13</c:v>
                </c:pt>
                <c:pt idx="1">
                  <c:v>14</c:v>
                </c:pt>
                <c:pt idx="2">
                  <c:v>15</c:v>
                </c:pt>
                <c:pt idx="3">
                  <c:v>16</c:v>
                </c:pt>
                <c:pt idx="4">
                  <c:v>17</c:v>
                </c:pt>
                <c:pt idx="5">
                  <c:v>18</c:v>
                </c:pt>
                <c:pt idx="6">
                  <c:v>19</c:v>
                </c:pt>
                <c:pt idx="7">
                  <c:v>20</c:v>
                </c:pt>
                <c:pt idx="8">
                  <c:v>21</c:v>
                </c:pt>
                <c:pt idx="9">
                  <c:v>22</c:v>
                </c:pt>
              </c:strCache>
            </c:strRef>
          </c:cat>
          <c:val>
            <c:numRef>
              <c:f>'8'!$K$27:$K$36</c:f>
              <c:numCache>
                <c:formatCode>_-* #,##0.0_-;\-* #,##0.0_-;_-* "-"_-;_-@_-</c:formatCode>
                <c:ptCount val="10"/>
                <c:pt idx="0">
                  <c:v>43.2</c:v>
                </c:pt>
                <c:pt idx="1">
                  <c:v>38</c:v>
                </c:pt>
                <c:pt idx="2">
                  <c:v>41.8</c:v>
                </c:pt>
                <c:pt idx="3">
                  <c:v>40.799999999999997</c:v>
                </c:pt>
                <c:pt idx="4">
                  <c:v>41.2</c:v>
                </c:pt>
                <c:pt idx="5">
                  <c:v>41.344331735592462</c:v>
                </c:pt>
                <c:pt idx="6">
                  <c:v>40.667998224589432</c:v>
                </c:pt>
                <c:pt idx="7">
                  <c:v>46.322628095121352</c:v>
                </c:pt>
                <c:pt idx="8">
                  <c:v>42.234557694578953</c:v>
                </c:pt>
                <c:pt idx="9">
                  <c:v>38.881916714204223</c:v>
                </c:pt>
              </c:numCache>
            </c:numRef>
          </c:val>
          <c:smooth val="0"/>
          <c:extLst>
            <c:ext xmlns:c16="http://schemas.microsoft.com/office/drawing/2014/chart" uri="{C3380CC4-5D6E-409C-BE32-E72D297353CC}">
              <c16:uniqueId val="{00000000-35DC-4D5C-BA98-408E77D2257E}"/>
            </c:ext>
          </c:extLst>
        </c:ser>
        <c:ser>
          <c:idx val="1"/>
          <c:order val="1"/>
          <c:tx>
            <c:strRef>
              <c:f>'8'!$L$21</c:f>
              <c:strCache>
                <c:ptCount val="1"/>
                <c:pt idx="0">
                  <c:v>지방법원</c:v>
                </c:pt>
              </c:strCache>
            </c:strRef>
          </c:tx>
          <c:cat>
            <c:strRef>
              <c:f>'8'!$C$26:$C$35</c:f>
              <c:strCache>
                <c:ptCount val="10"/>
                <c:pt idx="0">
                  <c:v>13</c:v>
                </c:pt>
                <c:pt idx="1">
                  <c:v>14</c:v>
                </c:pt>
                <c:pt idx="2">
                  <c:v>15</c:v>
                </c:pt>
                <c:pt idx="3">
                  <c:v>16</c:v>
                </c:pt>
                <c:pt idx="4">
                  <c:v>17</c:v>
                </c:pt>
                <c:pt idx="5">
                  <c:v>18</c:v>
                </c:pt>
                <c:pt idx="6">
                  <c:v>19</c:v>
                </c:pt>
                <c:pt idx="7">
                  <c:v>20</c:v>
                </c:pt>
                <c:pt idx="8">
                  <c:v>21</c:v>
                </c:pt>
                <c:pt idx="9">
                  <c:v>22</c:v>
                </c:pt>
              </c:strCache>
            </c:strRef>
          </c:cat>
          <c:val>
            <c:numRef>
              <c:f>'8'!$L$27:$L$36</c:f>
              <c:numCache>
                <c:formatCode>_-* #,##0.0_-;\-* #,##0.0_-;_-* "-"_-;_-@_-</c:formatCode>
                <c:ptCount val="10"/>
                <c:pt idx="0">
                  <c:v>33.200000000000003</c:v>
                </c:pt>
                <c:pt idx="1">
                  <c:v>33.5</c:v>
                </c:pt>
                <c:pt idx="2">
                  <c:v>33.200000000000003</c:v>
                </c:pt>
                <c:pt idx="3">
                  <c:v>32.700000000000003</c:v>
                </c:pt>
                <c:pt idx="4">
                  <c:v>31.2</c:v>
                </c:pt>
                <c:pt idx="5">
                  <c:v>33.482883860047004</c:v>
                </c:pt>
                <c:pt idx="6">
                  <c:v>33.603931561703675</c:v>
                </c:pt>
                <c:pt idx="7">
                  <c:v>32.001387950399035</c:v>
                </c:pt>
                <c:pt idx="8">
                  <c:v>30.961261494146758</c:v>
                </c:pt>
                <c:pt idx="9">
                  <c:v>30.188679245283019</c:v>
                </c:pt>
              </c:numCache>
            </c:numRef>
          </c:val>
          <c:smooth val="0"/>
          <c:extLst>
            <c:ext xmlns:c16="http://schemas.microsoft.com/office/drawing/2014/chart" uri="{C3380CC4-5D6E-409C-BE32-E72D297353CC}">
              <c16:uniqueId val="{00000001-35DC-4D5C-BA98-408E77D2257E}"/>
            </c:ext>
          </c:extLst>
        </c:ser>
        <c:dLbls>
          <c:showLegendKey val="0"/>
          <c:showVal val="0"/>
          <c:showCatName val="0"/>
          <c:showSerName val="0"/>
          <c:showPercent val="0"/>
          <c:showBubbleSize val="0"/>
        </c:dLbls>
        <c:marker val="1"/>
        <c:smooth val="0"/>
        <c:axId val="93379200"/>
        <c:axId val="93389568"/>
      </c:lineChart>
      <c:catAx>
        <c:axId val="93379200"/>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0.10543666666666669"/>
              <c:y val="0.86624749115060395"/>
            </c:manualLayout>
          </c:layout>
          <c:overlay val="0"/>
        </c:title>
        <c:numFmt formatCode="General" sourceLinked="1"/>
        <c:majorTickMark val="none"/>
        <c:minorTickMark val="none"/>
        <c:tickLblPos val="nextTo"/>
        <c:txPr>
          <a:bodyPr rot="0" vert="horz"/>
          <a:lstStyle/>
          <a:p>
            <a:pPr>
              <a:defRPr/>
            </a:pPr>
            <a:endParaRPr lang="ko-KR"/>
          </a:p>
        </c:txPr>
        <c:crossAx val="93389568"/>
        <c:crosses val="autoZero"/>
        <c:auto val="1"/>
        <c:lblAlgn val="ctr"/>
        <c:lblOffset val="100"/>
        <c:tickLblSkip val="1"/>
        <c:tickMarkSkip val="1"/>
        <c:noMultiLvlLbl val="0"/>
      </c:catAx>
      <c:valAx>
        <c:axId val="93389568"/>
        <c:scaling>
          <c:orientation val="minMax"/>
          <c:min val="10"/>
        </c:scaling>
        <c:delete val="0"/>
        <c:axPos val="l"/>
        <c:majorGridlines/>
        <c:title>
          <c:tx>
            <c:rich>
              <a:bodyPr rot="0" vert="horz"/>
              <a:lstStyle/>
              <a:p>
                <a:pPr>
                  <a:defRPr/>
                </a:pPr>
                <a:r>
                  <a:rPr lang="en-US" altLang="ko-KR"/>
                  <a:t>(%)</a:t>
                </a:r>
                <a:endParaRPr lang="ko-KR" altLang="en-US"/>
              </a:p>
            </c:rich>
          </c:tx>
          <c:layout>
            <c:manualLayout>
              <c:xMode val="edge"/>
              <c:yMode val="edge"/>
              <c:x val="4.7037037037037911E-2"/>
              <c:y val="0.8654414966731272"/>
            </c:manualLayout>
          </c:layout>
          <c:overlay val="0"/>
        </c:title>
        <c:numFmt formatCode="_-* #,##0.0_-;\-* #,##0.0_-;_-* &quot;-&quot;_-;_-@_-" sourceLinked="1"/>
        <c:majorTickMark val="none"/>
        <c:minorTickMark val="none"/>
        <c:tickLblPos val="nextTo"/>
        <c:spPr>
          <a:ln w="9525">
            <a:noFill/>
          </a:ln>
        </c:spPr>
        <c:txPr>
          <a:bodyPr rot="0" vert="horz"/>
          <a:lstStyle/>
          <a:p>
            <a:pPr>
              <a:defRPr/>
            </a:pPr>
            <a:endParaRPr lang="ko-KR"/>
          </a:p>
        </c:txPr>
        <c:crossAx val="93379200"/>
        <c:crosses val="autoZero"/>
        <c:crossBetween val="between"/>
      </c:valAx>
    </c:plotArea>
    <c:plotVisOnly val="1"/>
    <c:dispBlanksAs val="gap"/>
    <c:showDLblsOverMax val="0"/>
  </c:chart>
  <c:txPr>
    <a:bodyPr/>
    <a:lstStyle/>
    <a:p>
      <a:pPr>
        <a:defRPr b="1"/>
      </a:pPr>
      <a:endParaRPr lang="ko-KR"/>
    </a:p>
  </c:txPr>
  <c:printSettings>
    <c:headerFooter alignWithMargins="0"/>
    <c:pageMargins b="4.0000000000000022E-2" l="0.49000000000000032" r="0.16" t="0.56999999999999995"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'10'!$A$29</c:f>
              <c:strCache>
                <c:ptCount val="1"/>
                <c:pt idx="0">
                  <c:v>2018년</c:v>
                </c:pt>
              </c:strCache>
            </c:strRef>
          </c:tx>
          <c:invertIfNegative val="0"/>
          <c:cat>
            <c:strRef>
              <c:f>'10'!$B$23:$C$23</c:f>
              <c:strCache>
                <c:ptCount val="2"/>
                <c:pt idx="0">
                  <c:v>단독</c:v>
                </c:pt>
                <c:pt idx="1">
                  <c:v>합의</c:v>
                </c:pt>
              </c:strCache>
            </c:strRef>
          </c:cat>
          <c:val>
            <c:numRef>
              <c:f>'10'!$B$29:$C$29</c:f>
              <c:numCache>
                <c:formatCode>_-* #,##0.0_-;\-* #,##0.0_-;_-* "-"_-;_-@_-</c:formatCode>
                <c:ptCount val="2"/>
                <c:pt idx="0">
                  <c:v>133.78843861915803</c:v>
                </c:pt>
                <c:pt idx="1">
                  <c:v>147.81632938119031</c:v>
                </c:pt>
              </c:numCache>
            </c:numRef>
          </c:val>
          <c:extLst>
            <c:ext xmlns:c16="http://schemas.microsoft.com/office/drawing/2014/chart" uri="{C3380CC4-5D6E-409C-BE32-E72D297353CC}">
              <c16:uniqueId val="{00000002-6759-47AB-BDBC-7D1D291E5FE6}"/>
            </c:ext>
          </c:extLst>
        </c:ser>
        <c:ser>
          <c:idx val="2"/>
          <c:order val="1"/>
          <c:tx>
            <c:strRef>
              <c:f>'10'!$A$30</c:f>
              <c:strCache>
                <c:ptCount val="1"/>
                <c:pt idx="0">
                  <c:v>2019년</c:v>
                </c:pt>
              </c:strCache>
            </c:strRef>
          </c:tx>
          <c:invertIfNegative val="0"/>
          <c:cat>
            <c:strRef>
              <c:f>'10'!$B$23:$C$23</c:f>
              <c:strCache>
                <c:ptCount val="2"/>
                <c:pt idx="0">
                  <c:v>단독</c:v>
                </c:pt>
                <c:pt idx="1">
                  <c:v>합의</c:v>
                </c:pt>
              </c:strCache>
            </c:strRef>
          </c:cat>
          <c:val>
            <c:numRef>
              <c:f>'10'!$B$30:$C$30</c:f>
              <c:numCache>
                <c:formatCode>_-* #,##0.0_-;\-* #,##0.0_-;_-* "-"_-;_-@_-</c:formatCode>
                <c:ptCount val="2"/>
                <c:pt idx="0">
                  <c:v>142.20768006546848</c:v>
                </c:pt>
                <c:pt idx="1">
                  <c:v>158.7311349850836</c:v>
                </c:pt>
              </c:numCache>
            </c:numRef>
          </c:val>
          <c:extLst>
            <c:ext xmlns:c16="http://schemas.microsoft.com/office/drawing/2014/chart" uri="{C3380CC4-5D6E-409C-BE32-E72D297353CC}">
              <c16:uniqueId val="{00000004-6759-47AB-BDBC-7D1D291E5FE6}"/>
            </c:ext>
          </c:extLst>
        </c:ser>
        <c:ser>
          <c:idx val="3"/>
          <c:order val="2"/>
          <c:tx>
            <c:strRef>
              <c:f>'10'!$A$31</c:f>
              <c:strCache>
                <c:ptCount val="1"/>
                <c:pt idx="0">
                  <c:v>2020년</c:v>
                </c:pt>
              </c:strCache>
            </c:strRef>
          </c:tx>
          <c:invertIfNegative val="0"/>
          <c:cat>
            <c:strRef>
              <c:f>'10'!$B$23:$C$23</c:f>
              <c:strCache>
                <c:ptCount val="2"/>
                <c:pt idx="0">
                  <c:v>단독</c:v>
                </c:pt>
                <c:pt idx="1">
                  <c:v>합의</c:v>
                </c:pt>
              </c:strCache>
            </c:strRef>
          </c:cat>
          <c:val>
            <c:numRef>
              <c:f>'10'!$B$31:$C$31</c:f>
              <c:numCache>
                <c:formatCode>_-* #,##0.0_-;\-* #,##0.0_-;_-* "-"_-;_-@_-</c:formatCode>
                <c:ptCount val="2"/>
                <c:pt idx="0">
                  <c:v>155.39362494606283</c:v>
                </c:pt>
                <c:pt idx="1">
                  <c:v>176.5835496335815</c:v>
                </c:pt>
              </c:numCache>
            </c:numRef>
          </c:val>
          <c:extLst>
            <c:ext xmlns:c16="http://schemas.microsoft.com/office/drawing/2014/chart" uri="{C3380CC4-5D6E-409C-BE32-E72D297353CC}">
              <c16:uniqueId val="{00000006-6759-47AB-BDBC-7D1D291E5FE6}"/>
            </c:ext>
          </c:extLst>
        </c:ser>
        <c:ser>
          <c:idx val="4"/>
          <c:order val="3"/>
          <c:tx>
            <c:strRef>
              <c:f>'10'!$A$32</c:f>
              <c:strCache>
                <c:ptCount val="1"/>
                <c:pt idx="0">
                  <c:v>2021년</c:v>
                </c:pt>
              </c:strCache>
            </c:strRef>
          </c:tx>
          <c:invertIfNegative val="0"/>
          <c:cat>
            <c:strRef>
              <c:f>'10'!$B$23:$C$23</c:f>
              <c:strCache>
                <c:ptCount val="2"/>
                <c:pt idx="0">
                  <c:v>단독</c:v>
                </c:pt>
                <c:pt idx="1">
                  <c:v>합의</c:v>
                </c:pt>
              </c:strCache>
            </c:strRef>
          </c:cat>
          <c:val>
            <c:numRef>
              <c:f>'10'!$B$32:$C$32</c:f>
              <c:numCache>
                <c:formatCode>_-* #,##0.0_-;\-* #,##0.0_-;_-* "-"_-;_-@_-</c:formatCode>
                <c:ptCount val="2"/>
                <c:pt idx="0">
                  <c:v>173.9401139166097</c:v>
                </c:pt>
                <c:pt idx="1">
                  <c:v>197.75099582463125</c:v>
                </c:pt>
              </c:numCache>
            </c:numRef>
          </c:val>
          <c:extLst>
            <c:ext xmlns:c16="http://schemas.microsoft.com/office/drawing/2014/chart" uri="{C3380CC4-5D6E-409C-BE32-E72D297353CC}">
              <c16:uniqueId val="{00000007-6759-47AB-BDBC-7D1D291E5FE6}"/>
            </c:ext>
          </c:extLst>
        </c:ser>
        <c:ser>
          <c:idx val="0"/>
          <c:order val="4"/>
          <c:tx>
            <c:strRef>
              <c:f>'10'!$A$33</c:f>
              <c:strCache>
                <c:ptCount val="1"/>
                <c:pt idx="0">
                  <c:v>2022년</c:v>
                </c:pt>
              </c:strCache>
            </c:strRef>
          </c:tx>
          <c:invertIfNegative val="0"/>
          <c:cat>
            <c:strRef>
              <c:f>'10'!$B$23:$C$23</c:f>
              <c:strCache>
                <c:ptCount val="2"/>
                <c:pt idx="0">
                  <c:v>단독</c:v>
                </c:pt>
                <c:pt idx="1">
                  <c:v>합의</c:v>
                </c:pt>
              </c:strCache>
            </c:strRef>
          </c:cat>
          <c:val>
            <c:numRef>
              <c:f>'10'!$B$33:$C$33</c:f>
              <c:numCache>
                <c:formatCode>_-* #,##0.0_-;\-* #,##0.0_-;_-* "-"_-;_-@_-</c:formatCode>
                <c:ptCount val="2"/>
                <c:pt idx="0">
                  <c:v>178.12988531282309</c:v>
                </c:pt>
                <c:pt idx="1">
                  <c:v>203.99343782723349</c:v>
                </c:pt>
              </c:numCache>
            </c:numRef>
          </c:val>
          <c:extLst>
            <c:ext xmlns:c16="http://schemas.microsoft.com/office/drawing/2014/chart" uri="{C3380CC4-5D6E-409C-BE32-E72D297353CC}">
              <c16:uniqueId val="{00000008-6759-47AB-BDBC-7D1D291E5FE6}"/>
            </c:ext>
          </c:extLst>
        </c:ser>
        <c:dLbls>
          <c:showLegendKey val="0"/>
          <c:showVal val="0"/>
          <c:showCatName val="0"/>
          <c:showSerName val="0"/>
          <c:showPercent val="0"/>
          <c:showBubbleSize val="0"/>
        </c:dLbls>
        <c:gapWidth val="75"/>
        <c:overlap val="-25"/>
        <c:axId val="93591808"/>
        <c:axId val="93597696"/>
      </c:barChart>
      <c:catAx>
        <c:axId val="93591808"/>
        <c:scaling>
          <c:orientation val="minMax"/>
        </c:scaling>
        <c:delete val="0"/>
        <c:axPos val="b"/>
        <c:numFmt formatCode="General" sourceLinked="1"/>
        <c:majorTickMark val="none"/>
        <c:minorTickMark val="none"/>
        <c:tickLblPos val="low"/>
        <c:txPr>
          <a:bodyPr rot="0" vert="horz"/>
          <a:lstStyle/>
          <a:p>
            <a:pPr>
              <a:defRPr/>
            </a:pPr>
            <a:endParaRPr lang="ko-KR"/>
          </a:p>
        </c:txPr>
        <c:crossAx val="93597696"/>
        <c:crosses val="autoZero"/>
        <c:auto val="1"/>
        <c:lblAlgn val="ctr"/>
        <c:lblOffset val="100"/>
        <c:tickLblSkip val="1"/>
        <c:tickMarkSkip val="1"/>
        <c:noMultiLvlLbl val="0"/>
      </c:catAx>
      <c:valAx>
        <c:axId val="93597696"/>
        <c:scaling>
          <c:orientation val="minMax"/>
        </c:scaling>
        <c:delete val="0"/>
        <c:axPos val="l"/>
        <c:majorGridlines/>
        <c:title>
          <c:tx>
            <c:rich>
              <a:bodyPr rot="0" vert="horz"/>
              <a:lstStyle/>
              <a:p>
                <a:pPr>
                  <a:defRPr/>
                </a:pPr>
                <a:r>
                  <a:rPr lang="en-US" altLang="ko-KR"/>
                  <a:t>(</a:t>
                </a:r>
                <a:r>
                  <a:rPr lang="ko-KR" altLang="en-US"/>
                  <a:t>일</a:t>
                </a:r>
                <a:r>
                  <a:rPr lang="en-US" altLang="ko-KR"/>
                  <a:t>)</a:t>
                </a:r>
                <a:endParaRPr lang="ko-KR" altLang="en-US"/>
              </a:p>
            </c:rich>
          </c:tx>
          <c:layout>
            <c:manualLayout>
              <c:xMode val="edge"/>
              <c:yMode val="edge"/>
              <c:x val="0.10289351851851852"/>
              <c:y val="0.8128771367521368"/>
            </c:manualLayout>
          </c:layout>
          <c:overlay val="0"/>
        </c:title>
        <c:numFmt formatCode="_-* #,##0.0_-;\-* #,##0.0_-;_-* &quot;-&quot;_-;_-@_-" sourceLinked="1"/>
        <c:majorTickMark val="none"/>
        <c:minorTickMark val="none"/>
        <c:tickLblPos val="nextTo"/>
        <c:spPr>
          <a:ln w="9525">
            <a:noFill/>
          </a:ln>
        </c:spPr>
        <c:txPr>
          <a:bodyPr rot="0" vert="horz"/>
          <a:lstStyle/>
          <a:p>
            <a:pPr>
              <a:defRPr/>
            </a:pPr>
            <a:endParaRPr lang="ko-KR"/>
          </a:p>
        </c:txPr>
        <c:crossAx val="93591808"/>
        <c:crosses val="autoZero"/>
        <c:crossBetween val="between"/>
      </c:valAx>
    </c:plotArea>
    <c:legend>
      <c:legendPos val="b"/>
      <c:overlay val="0"/>
    </c:legend>
    <c:plotVisOnly val="1"/>
    <c:dispBlanksAs val="gap"/>
    <c:showDLblsOverMax val="0"/>
  </c:chart>
  <c:txPr>
    <a:bodyPr/>
    <a:lstStyle/>
    <a:p>
      <a:pPr>
        <a:defRPr b="1"/>
      </a:pPr>
      <a:endParaRPr lang="ko-KR"/>
    </a:p>
  </c:txPr>
  <c:printSettings>
    <c:headerFooter alignWithMargins="0"/>
    <c:pageMargins b="1" l="0.75000000000001465" r="0.7500000000000146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'10'!$A$29</c:f>
              <c:strCache>
                <c:ptCount val="1"/>
                <c:pt idx="0">
                  <c:v>2018년</c:v>
                </c:pt>
              </c:strCache>
            </c:strRef>
          </c:tx>
          <c:invertIfNegative val="0"/>
          <c:cat>
            <c:strRef>
              <c:f>'10'!$F$24:$H$24</c:f>
              <c:strCache>
                <c:ptCount val="3"/>
                <c:pt idx="0">
                  <c:v>상고심</c:v>
                </c:pt>
                <c:pt idx="1">
                  <c:v>항소심(지방)</c:v>
                </c:pt>
                <c:pt idx="2">
                  <c:v>항소심(고등)</c:v>
                </c:pt>
              </c:strCache>
            </c:strRef>
          </c:cat>
          <c:val>
            <c:numRef>
              <c:f>'10'!$F$30:$H$30</c:f>
              <c:numCache>
                <c:formatCode>_-* #,##0.0_-;\-* #,##0.0_-;_-* "-"_-;_-@_-</c:formatCode>
                <c:ptCount val="3"/>
                <c:pt idx="0">
                  <c:v>79.967114552650756</c:v>
                </c:pt>
                <c:pt idx="1">
                  <c:v>140.78939835779886</c:v>
                </c:pt>
                <c:pt idx="2">
                  <c:v>139.86896441543496</c:v>
                </c:pt>
              </c:numCache>
            </c:numRef>
          </c:val>
          <c:extLst>
            <c:ext xmlns:c16="http://schemas.microsoft.com/office/drawing/2014/chart" uri="{C3380CC4-5D6E-409C-BE32-E72D297353CC}">
              <c16:uniqueId val="{00000001-A86E-4C53-B0E5-22910D32AFE2}"/>
            </c:ext>
          </c:extLst>
        </c:ser>
        <c:ser>
          <c:idx val="2"/>
          <c:order val="1"/>
          <c:tx>
            <c:strRef>
              <c:f>'10'!$A$30</c:f>
              <c:strCache>
                <c:ptCount val="1"/>
                <c:pt idx="0">
                  <c:v>2019년</c:v>
                </c:pt>
              </c:strCache>
            </c:strRef>
          </c:tx>
          <c:invertIfNegative val="0"/>
          <c:cat>
            <c:strRef>
              <c:f>'10'!$F$24:$H$24</c:f>
              <c:strCache>
                <c:ptCount val="3"/>
                <c:pt idx="0">
                  <c:v>상고심</c:v>
                </c:pt>
                <c:pt idx="1">
                  <c:v>항소심(지방)</c:v>
                </c:pt>
                <c:pt idx="2">
                  <c:v>항소심(고등)</c:v>
                </c:pt>
              </c:strCache>
            </c:strRef>
          </c:cat>
          <c:val>
            <c:numRef>
              <c:f>'10'!$F$31:$H$31</c:f>
              <c:numCache>
                <c:formatCode>_-* #,##0.0_-;\-* #,##0.0_-;_-* "-"_-;_-@_-</c:formatCode>
                <c:ptCount val="3"/>
                <c:pt idx="0">
                  <c:v>83.093555593408198</c:v>
                </c:pt>
                <c:pt idx="1">
                  <c:v>154.93348247240061</c:v>
                </c:pt>
                <c:pt idx="2">
                  <c:v>147.83964050431106</c:v>
                </c:pt>
              </c:numCache>
            </c:numRef>
          </c:val>
          <c:extLst>
            <c:ext xmlns:c16="http://schemas.microsoft.com/office/drawing/2014/chart" uri="{C3380CC4-5D6E-409C-BE32-E72D297353CC}">
              <c16:uniqueId val="{00000004-A86E-4C53-B0E5-22910D32AFE2}"/>
            </c:ext>
          </c:extLst>
        </c:ser>
        <c:ser>
          <c:idx val="3"/>
          <c:order val="2"/>
          <c:tx>
            <c:strRef>
              <c:f>'10'!$A$31</c:f>
              <c:strCache>
                <c:ptCount val="1"/>
                <c:pt idx="0">
                  <c:v>2020년</c:v>
                </c:pt>
              </c:strCache>
            </c:strRef>
          </c:tx>
          <c:invertIfNegative val="0"/>
          <c:cat>
            <c:strRef>
              <c:f>'10'!$F$24:$H$24</c:f>
              <c:strCache>
                <c:ptCount val="3"/>
                <c:pt idx="0">
                  <c:v>상고심</c:v>
                </c:pt>
                <c:pt idx="1">
                  <c:v>항소심(지방)</c:v>
                </c:pt>
                <c:pt idx="2">
                  <c:v>항소심(고등)</c:v>
                </c:pt>
              </c:strCache>
            </c:strRef>
          </c:cat>
          <c:val>
            <c:numRef>
              <c:f>'10'!$F$32:$H$32</c:f>
              <c:numCache>
                <c:formatCode>_-* #,##0.0_-;\-* #,##0.0_-;_-* "-"_-;_-@_-</c:formatCode>
                <c:ptCount val="3"/>
                <c:pt idx="0">
                  <c:v>86.970315594950833</c:v>
                </c:pt>
                <c:pt idx="1">
                  <c:v>180.6862794280145</c:v>
                </c:pt>
                <c:pt idx="2">
                  <c:v>157.63536660601142</c:v>
                </c:pt>
              </c:numCache>
            </c:numRef>
          </c:val>
          <c:extLst>
            <c:ext xmlns:c16="http://schemas.microsoft.com/office/drawing/2014/chart" uri="{C3380CC4-5D6E-409C-BE32-E72D297353CC}">
              <c16:uniqueId val="{00000008-A86E-4C53-B0E5-22910D32AFE2}"/>
            </c:ext>
          </c:extLst>
        </c:ser>
        <c:ser>
          <c:idx val="4"/>
          <c:order val="3"/>
          <c:tx>
            <c:strRef>
              <c:f>'10'!$A$32</c:f>
              <c:strCache>
                <c:ptCount val="1"/>
                <c:pt idx="0">
                  <c:v>2021년</c:v>
                </c:pt>
              </c:strCache>
            </c:strRef>
          </c:tx>
          <c:invertIfNegative val="0"/>
          <c:cat>
            <c:strRef>
              <c:f>'10'!$F$24:$H$24</c:f>
              <c:strCache>
                <c:ptCount val="3"/>
                <c:pt idx="0">
                  <c:v>상고심</c:v>
                </c:pt>
                <c:pt idx="1">
                  <c:v>항소심(지방)</c:v>
                </c:pt>
                <c:pt idx="2">
                  <c:v>항소심(고등)</c:v>
                </c:pt>
              </c:strCache>
            </c:strRef>
          </c:cat>
          <c:val>
            <c:numRef>
              <c:f>'10'!$F$33:$H$33</c:f>
              <c:numCache>
                <c:formatCode>_-* #,##0.0_-;\-* #,##0.0_-;_-* "-"_-;_-@_-</c:formatCode>
                <c:ptCount val="3"/>
                <c:pt idx="0">
                  <c:v>90.359079330508393</c:v>
                </c:pt>
                <c:pt idx="1">
                  <c:v>189.82721017889355</c:v>
                </c:pt>
                <c:pt idx="2">
                  <c:v>161.92172464463169</c:v>
                </c:pt>
              </c:numCache>
            </c:numRef>
          </c:val>
          <c:extLst>
            <c:ext xmlns:c16="http://schemas.microsoft.com/office/drawing/2014/chart" uri="{C3380CC4-5D6E-409C-BE32-E72D297353CC}">
              <c16:uniqueId val="{0000000B-A86E-4C53-B0E5-22910D32AFE2}"/>
            </c:ext>
          </c:extLst>
        </c:ser>
        <c:ser>
          <c:idx val="0"/>
          <c:order val="4"/>
          <c:tx>
            <c:strRef>
              <c:f>'10'!$A$33</c:f>
              <c:strCache>
                <c:ptCount val="1"/>
                <c:pt idx="0">
                  <c:v>2022년</c:v>
                </c:pt>
              </c:strCache>
            </c:strRef>
          </c:tx>
          <c:invertIfNegative val="0"/>
          <c:cat>
            <c:strRef>
              <c:f>'10'!$F$24:$H$24</c:f>
              <c:strCache>
                <c:ptCount val="3"/>
                <c:pt idx="0">
                  <c:v>상고심</c:v>
                </c:pt>
                <c:pt idx="1">
                  <c:v>항소심(지방)</c:v>
                </c:pt>
                <c:pt idx="2">
                  <c:v>항소심(고등)</c:v>
                </c:pt>
              </c:strCache>
            </c:strRef>
          </c:cat>
          <c:val>
            <c:numRef>
              <c:f>'10'!$F$34:$H$34</c:f>
              <c:numCache>
                <c:formatCode>_-* #,##0.0_-;\-* #,##0.0_-;_-* "-"_-;_-@_-</c:formatCode>
                <c:ptCount val="3"/>
                <c:pt idx="0">
                  <c:v>78.168710203652097</c:v>
                </c:pt>
                <c:pt idx="1">
                  <c:v>216.57367580998101</c:v>
                </c:pt>
                <c:pt idx="2">
                  <c:v>155.748421510995</c:v>
                </c:pt>
              </c:numCache>
            </c:numRef>
          </c:val>
          <c:extLst>
            <c:ext xmlns:c16="http://schemas.microsoft.com/office/drawing/2014/chart" uri="{C3380CC4-5D6E-409C-BE32-E72D297353CC}">
              <c16:uniqueId val="{0000000E-A86E-4C53-B0E5-22910D32AFE2}"/>
            </c:ext>
          </c:extLst>
        </c:ser>
        <c:dLbls>
          <c:showLegendKey val="0"/>
          <c:showVal val="0"/>
          <c:showCatName val="0"/>
          <c:showSerName val="0"/>
          <c:showPercent val="0"/>
          <c:showBubbleSize val="0"/>
        </c:dLbls>
        <c:gapWidth val="75"/>
        <c:overlap val="-25"/>
        <c:axId val="93683072"/>
        <c:axId val="93709440"/>
      </c:barChart>
      <c:catAx>
        <c:axId val="93683072"/>
        <c:scaling>
          <c:orientation val="minMax"/>
        </c:scaling>
        <c:delete val="0"/>
        <c:axPos val="b"/>
        <c:numFmt formatCode="General" sourceLinked="1"/>
        <c:majorTickMark val="none"/>
        <c:minorTickMark val="none"/>
        <c:tickLblPos val="low"/>
        <c:txPr>
          <a:bodyPr rot="0" vert="horz"/>
          <a:lstStyle/>
          <a:p>
            <a:pPr>
              <a:defRPr/>
            </a:pPr>
            <a:endParaRPr lang="ko-KR"/>
          </a:p>
        </c:txPr>
        <c:crossAx val="93709440"/>
        <c:crosses val="autoZero"/>
        <c:auto val="1"/>
        <c:lblAlgn val="ctr"/>
        <c:lblOffset val="100"/>
        <c:tickLblSkip val="1"/>
        <c:tickMarkSkip val="1"/>
        <c:noMultiLvlLbl val="0"/>
      </c:catAx>
      <c:valAx>
        <c:axId val="93709440"/>
        <c:scaling>
          <c:orientation val="minMax"/>
        </c:scaling>
        <c:delete val="0"/>
        <c:axPos val="l"/>
        <c:majorGridlines/>
        <c:title>
          <c:tx>
            <c:rich>
              <a:bodyPr rot="0" vert="horz"/>
              <a:lstStyle/>
              <a:p>
                <a:pPr>
                  <a:defRPr/>
                </a:pPr>
                <a:r>
                  <a:rPr lang="en-US" altLang="ko-KR"/>
                  <a:t>(</a:t>
                </a:r>
                <a:r>
                  <a:rPr lang="ko-KR" altLang="en-US"/>
                  <a:t>일</a:t>
                </a:r>
                <a:r>
                  <a:rPr lang="en-US" altLang="ko-KR"/>
                  <a:t>)</a:t>
                </a:r>
                <a:endParaRPr lang="ko-KR" altLang="en-US"/>
              </a:p>
            </c:rich>
          </c:tx>
          <c:layout>
            <c:manualLayout>
              <c:xMode val="edge"/>
              <c:yMode val="edge"/>
              <c:x val="0.10583333333333333"/>
              <c:y val="0.8128771367521368"/>
            </c:manualLayout>
          </c:layout>
          <c:overlay val="0"/>
        </c:title>
        <c:numFmt formatCode="_-* #,##0.0_-;\-* #,##0.0_-;_-* &quot;-&quot;_-;_-@_-" sourceLinked="1"/>
        <c:majorTickMark val="none"/>
        <c:minorTickMark val="none"/>
        <c:tickLblPos val="nextTo"/>
        <c:spPr>
          <a:ln w="9525">
            <a:noFill/>
          </a:ln>
        </c:spPr>
        <c:txPr>
          <a:bodyPr rot="0" vert="horz"/>
          <a:lstStyle/>
          <a:p>
            <a:pPr>
              <a:defRPr/>
            </a:pPr>
            <a:endParaRPr lang="ko-KR"/>
          </a:p>
        </c:txPr>
        <c:crossAx val="93683072"/>
        <c:crosses val="autoZero"/>
        <c:crossBetween val="between"/>
      </c:valAx>
    </c:plotArea>
    <c:legend>
      <c:legendPos val="b"/>
      <c:overlay val="0"/>
    </c:legend>
    <c:plotVisOnly val="1"/>
    <c:dispBlanksAs val="gap"/>
    <c:showDLblsOverMax val="0"/>
  </c:chart>
  <c:txPr>
    <a:bodyPr/>
    <a:lstStyle/>
    <a:p>
      <a:pPr>
        <a:defRPr b="1"/>
      </a:pPr>
      <a:endParaRPr lang="ko-KR"/>
    </a:p>
  </c:txPr>
  <c:printSettings>
    <c:headerFooter alignWithMargins="0"/>
    <c:pageMargins b="1" l="0.75000000000001465" r="0.7500000000000146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cat>
            <c:strRef>
              <c:f>'18'!$C$34:$C$38</c:f>
              <c:strCache>
                <c:ptCount val="5"/>
                <c:pt idx="0">
                  <c:v>18</c:v>
                </c:pt>
                <c:pt idx="1">
                  <c:v>19</c:v>
                </c:pt>
                <c:pt idx="2">
                  <c:v>20</c:v>
                </c:pt>
                <c:pt idx="3">
                  <c:v>21</c:v>
                </c:pt>
                <c:pt idx="4">
                  <c:v>22</c:v>
                </c:pt>
              </c:strCache>
            </c:strRef>
          </c:cat>
          <c:val>
            <c:numRef>
              <c:f>'18'!$D$34:$D$38</c:f>
              <c:numCache>
                <c:formatCode>_-* #,##0.0_-;\-* #,##0.0_-;_-* "-"_-;_-@_-</c:formatCode>
                <c:ptCount val="5"/>
                <c:pt idx="0">
                  <c:v>81.3</c:v>
                </c:pt>
                <c:pt idx="1">
                  <c:v>81.099999999999994</c:v>
                </c:pt>
                <c:pt idx="2">
                  <c:v>82.014974589750551</c:v>
                </c:pt>
                <c:pt idx="3">
                  <c:v>82.017464071311636</c:v>
                </c:pt>
                <c:pt idx="4">
                  <c:v>81.381142098273571</c:v>
                </c:pt>
              </c:numCache>
            </c:numRef>
          </c:val>
          <c:smooth val="0"/>
          <c:extLst>
            <c:ext xmlns:c16="http://schemas.microsoft.com/office/drawing/2014/chart" uri="{C3380CC4-5D6E-409C-BE32-E72D297353CC}">
              <c16:uniqueId val="{00000000-D85B-4DC7-B3D5-25D04B4D1CBA}"/>
            </c:ext>
          </c:extLst>
        </c:ser>
        <c:dLbls>
          <c:showLegendKey val="0"/>
          <c:showVal val="0"/>
          <c:showCatName val="0"/>
          <c:showSerName val="0"/>
          <c:showPercent val="0"/>
          <c:showBubbleSize val="0"/>
        </c:dLbls>
        <c:marker val="1"/>
        <c:smooth val="0"/>
        <c:axId val="94073216"/>
        <c:axId val="94075136"/>
      </c:lineChart>
      <c:catAx>
        <c:axId val="94073216"/>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0.10760583387418719"/>
              <c:y val="0.82725114155251145"/>
            </c:manualLayout>
          </c:layout>
          <c:overlay val="0"/>
        </c:title>
        <c:numFmt formatCode="General" sourceLinked="1"/>
        <c:majorTickMark val="none"/>
        <c:minorTickMark val="none"/>
        <c:tickLblPos val="nextTo"/>
        <c:txPr>
          <a:bodyPr rot="0" vert="horz"/>
          <a:lstStyle/>
          <a:p>
            <a:pPr>
              <a:defRPr/>
            </a:pPr>
            <a:endParaRPr lang="ko-KR"/>
          </a:p>
        </c:txPr>
        <c:crossAx val="94075136"/>
        <c:crosses val="autoZero"/>
        <c:auto val="1"/>
        <c:lblAlgn val="ctr"/>
        <c:lblOffset val="100"/>
        <c:tickLblSkip val="1"/>
        <c:tickMarkSkip val="1"/>
        <c:noMultiLvlLbl val="0"/>
      </c:catAx>
      <c:valAx>
        <c:axId val="94075136"/>
        <c:scaling>
          <c:orientation val="minMax"/>
          <c:max val="100"/>
          <c:min val="55"/>
        </c:scaling>
        <c:delete val="0"/>
        <c:axPos val="l"/>
        <c:majorGridlines/>
        <c:title>
          <c:tx>
            <c:rich>
              <a:bodyPr rot="0" vert="horz"/>
              <a:lstStyle/>
              <a:p>
                <a:pPr>
                  <a:defRPr/>
                </a:pPr>
                <a:r>
                  <a:rPr lang="en-US" altLang="ko-KR"/>
                  <a:t>(%)</a:t>
                </a:r>
                <a:endParaRPr lang="ko-KR" altLang="en-US"/>
              </a:p>
            </c:rich>
          </c:tx>
          <c:layout>
            <c:manualLayout>
              <c:xMode val="edge"/>
              <c:yMode val="edge"/>
              <c:x val="6.0134784862623851E-2"/>
              <c:y val="0.82247639592995259"/>
            </c:manualLayout>
          </c:layout>
          <c:overlay val="0"/>
        </c:title>
        <c:numFmt formatCode="_-* #,##0.0_-;\-* #,##0.0_-;_-* &quot;-&quot;_-;_-@_-" sourceLinked="1"/>
        <c:majorTickMark val="none"/>
        <c:minorTickMark val="none"/>
        <c:tickLblPos val="nextTo"/>
        <c:spPr>
          <a:ln w="9525">
            <a:noFill/>
          </a:ln>
        </c:spPr>
        <c:txPr>
          <a:bodyPr rot="0" vert="horz"/>
          <a:lstStyle/>
          <a:p>
            <a:pPr>
              <a:defRPr/>
            </a:pPr>
            <a:endParaRPr lang="ko-KR"/>
          </a:p>
        </c:txPr>
        <c:crossAx val="94073216"/>
        <c:crosses val="autoZero"/>
        <c:crossBetween val="between"/>
        <c:majorUnit val="5"/>
      </c:valAx>
    </c:plotArea>
    <c:plotVisOnly val="1"/>
    <c:dispBlanksAs val="gap"/>
    <c:showDLblsOverMax val="0"/>
  </c:chart>
  <c:txPr>
    <a:bodyPr/>
    <a:lstStyle/>
    <a:p>
      <a:pPr>
        <a:defRPr b="1"/>
      </a:pPr>
      <a:endParaRPr lang="ko-KR"/>
    </a:p>
  </c:txPr>
  <c:printSettings>
    <c:headerFooter alignWithMargins="0"/>
    <c:pageMargins b="1" l="0.75000000000001465" r="0.75000000000001465" t="1" header="0.5" footer="0.5"/>
    <c:pageSetup paperSize="9" orientation="landscape" verticalDpi="0"/>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cat>
            <c:strRef>
              <c:f>'19'!$E$10:$E$19</c:f>
              <c:strCache>
                <c:ptCount val="10"/>
                <c:pt idx="0">
                  <c:v>13</c:v>
                </c:pt>
                <c:pt idx="1">
                  <c:v>14</c:v>
                </c:pt>
                <c:pt idx="2">
                  <c:v>15</c:v>
                </c:pt>
                <c:pt idx="3">
                  <c:v>16</c:v>
                </c:pt>
                <c:pt idx="4">
                  <c:v>17</c:v>
                </c:pt>
                <c:pt idx="5">
                  <c:v>18</c:v>
                </c:pt>
                <c:pt idx="6">
                  <c:v>19</c:v>
                </c:pt>
                <c:pt idx="7">
                  <c:v>20</c:v>
                </c:pt>
                <c:pt idx="8">
                  <c:v>21</c:v>
                </c:pt>
                <c:pt idx="9">
                  <c:v>22</c:v>
                </c:pt>
              </c:strCache>
            </c:strRef>
          </c:cat>
          <c:val>
            <c:numRef>
              <c:f>'19'!$F$10:$F$19</c:f>
              <c:numCache>
                <c:formatCode>_(* #,##0_);_(* \(#,##0\);_(* "-"_);_(@_)</c:formatCode>
                <c:ptCount val="10"/>
                <c:pt idx="0">
                  <c:v>93441</c:v>
                </c:pt>
                <c:pt idx="1">
                  <c:v>79822</c:v>
                </c:pt>
                <c:pt idx="2">
                  <c:v>73743</c:v>
                </c:pt>
                <c:pt idx="3">
                  <c:v>71293</c:v>
                </c:pt>
                <c:pt idx="4">
                  <c:v>64886</c:v>
                </c:pt>
                <c:pt idx="5">
                  <c:v>59197</c:v>
                </c:pt>
                <c:pt idx="6">
                  <c:v>62362</c:v>
                </c:pt>
                <c:pt idx="7">
                  <c:v>73012</c:v>
                </c:pt>
                <c:pt idx="8">
                  <c:v>86252</c:v>
                </c:pt>
                <c:pt idx="9">
                  <c:v>100856</c:v>
                </c:pt>
              </c:numCache>
            </c:numRef>
          </c:val>
          <c:extLst>
            <c:ext xmlns:c16="http://schemas.microsoft.com/office/drawing/2014/chart" uri="{C3380CC4-5D6E-409C-BE32-E72D297353CC}">
              <c16:uniqueId val="{00000000-1F20-4B5F-A596-B99B13125A28}"/>
            </c:ext>
          </c:extLst>
        </c:ser>
        <c:dLbls>
          <c:showLegendKey val="0"/>
          <c:showVal val="0"/>
          <c:showCatName val="0"/>
          <c:showSerName val="0"/>
          <c:showPercent val="0"/>
          <c:showBubbleSize val="0"/>
        </c:dLbls>
        <c:gapWidth val="75"/>
        <c:overlap val="-25"/>
        <c:axId val="94166016"/>
        <c:axId val="94180480"/>
      </c:barChart>
      <c:catAx>
        <c:axId val="94166016"/>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7.4956271491704834E-2"/>
              <c:y val="0.85167549766735728"/>
            </c:manualLayout>
          </c:layout>
          <c:overlay val="0"/>
        </c:title>
        <c:numFmt formatCode="General" sourceLinked="1"/>
        <c:majorTickMark val="none"/>
        <c:minorTickMark val="none"/>
        <c:tickLblPos val="low"/>
        <c:txPr>
          <a:bodyPr rot="0" vert="horz"/>
          <a:lstStyle/>
          <a:p>
            <a:pPr>
              <a:defRPr/>
            </a:pPr>
            <a:endParaRPr lang="ko-KR"/>
          </a:p>
        </c:txPr>
        <c:crossAx val="94180480"/>
        <c:crosses val="autoZero"/>
        <c:auto val="1"/>
        <c:lblAlgn val="ctr"/>
        <c:lblOffset val="100"/>
        <c:tickLblSkip val="1"/>
        <c:tickMarkSkip val="1"/>
        <c:noMultiLvlLbl val="1"/>
      </c:catAx>
      <c:valAx>
        <c:axId val="94180480"/>
        <c:scaling>
          <c:orientation val="minMax"/>
          <c:min val="44000"/>
        </c:scaling>
        <c:delete val="0"/>
        <c:axPos val="l"/>
        <c:majorGridlines/>
        <c:title>
          <c:tx>
            <c:rich>
              <a:bodyPr rot="0" vert="horz"/>
              <a:lstStyle/>
              <a:p>
                <a:pPr>
                  <a:defRPr/>
                </a:pPr>
                <a:r>
                  <a:rPr lang="en-US" altLang="ko-KR"/>
                  <a:t>(</a:t>
                </a:r>
                <a:r>
                  <a:rPr lang="ko-KR" altLang="en-US"/>
                  <a:t>천</a:t>
                </a:r>
                <a:r>
                  <a:rPr lang="en-US" altLang="ko-KR"/>
                  <a:t>)</a:t>
                </a:r>
                <a:endParaRPr lang="ko-KR" altLang="en-US"/>
              </a:p>
            </c:rich>
          </c:tx>
          <c:layout>
            <c:manualLayout>
              <c:xMode val="edge"/>
              <c:yMode val="edge"/>
              <c:x val="3.5193036767839941E-2"/>
              <c:y val="0.84597552651763064"/>
            </c:manualLayout>
          </c:layout>
          <c:overlay val="0"/>
        </c:title>
        <c:numFmt formatCode="_(* #,##0_);_(* \(#,##0\);_(* &quot;-&quot;_);_(@_)" sourceLinked="1"/>
        <c:majorTickMark val="none"/>
        <c:minorTickMark val="none"/>
        <c:tickLblPos val="nextTo"/>
        <c:spPr>
          <a:ln w="9525">
            <a:noFill/>
          </a:ln>
        </c:spPr>
        <c:txPr>
          <a:bodyPr rot="0" vert="horz"/>
          <a:lstStyle/>
          <a:p>
            <a:pPr>
              <a:defRPr/>
            </a:pPr>
            <a:endParaRPr lang="ko-KR"/>
          </a:p>
        </c:txPr>
        <c:crossAx val="94166016"/>
        <c:crosses val="autoZero"/>
        <c:crossBetween val="between"/>
        <c:majorUnit val="8000"/>
        <c:dispUnits>
          <c:builtInUnit val="thousands"/>
        </c:dispUnits>
      </c:valAx>
    </c:plotArea>
    <c:plotVisOnly val="1"/>
    <c:dispBlanksAs val="zero"/>
    <c:showDLblsOverMax val="0"/>
  </c:chart>
  <c:txPr>
    <a:bodyPr/>
    <a:lstStyle/>
    <a:p>
      <a:pPr>
        <a:defRPr b="1"/>
      </a:pPr>
      <a:endParaRPr lang="ko-KR"/>
    </a:p>
  </c:txPr>
  <c:printSettings>
    <c:headerFooter alignWithMargins="0"/>
    <c:pageMargins b="1" l="0.75000000000001465" r="0.7500000000000146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'20'!$E$43</c:f>
              <c:strCache>
                <c:ptCount val="1"/>
                <c:pt idx="0">
                  <c:v>변호인</c:v>
                </c:pt>
              </c:strCache>
            </c:strRef>
          </c:tx>
          <c:invertIfNegative val="0"/>
          <c:cat>
            <c:strRef>
              <c:f>'20'!$D$51:$D$55</c:f>
              <c:strCache>
                <c:ptCount val="5"/>
                <c:pt idx="0">
                  <c:v>18</c:v>
                </c:pt>
                <c:pt idx="1">
                  <c:v>19</c:v>
                </c:pt>
                <c:pt idx="2">
                  <c:v>20</c:v>
                </c:pt>
                <c:pt idx="3">
                  <c:v>21</c:v>
                </c:pt>
                <c:pt idx="4">
                  <c:v>22</c:v>
                </c:pt>
              </c:strCache>
            </c:strRef>
          </c:cat>
          <c:val>
            <c:numRef>
              <c:f>'20'!$E$51:$E$55</c:f>
              <c:numCache>
                <c:formatCode>_-* #,##0.0_-;\-* #,##0.0_-;_-* "-"_-;_-@_-</c:formatCode>
                <c:ptCount val="5"/>
                <c:pt idx="0">
                  <c:v>16.929133858267718</c:v>
                </c:pt>
                <c:pt idx="1">
                  <c:v>15.539112050739959</c:v>
                </c:pt>
                <c:pt idx="2">
                  <c:v>11.096433289299867</c:v>
                </c:pt>
                <c:pt idx="3">
                  <c:v>9.1999999999999993</c:v>
                </c:pt>
                <c:pt idx="4">
                  <c:v>12.325285895806863</c:v>
                </c:pt>
              </c:numCache>
            </c:numRef>
          </c:val>
          <c:extLst>
            <c:ext xmlns:c16="http://schemas.microsoft.com/office/drawing/2014/chart" uri="{C3380CC4-5D6E-409C-BE32-E72D297353CC}">
              <c16:uniqueId val="{00000000-E077-4B30-B2C5-5A377FD25290}"/>
            </c:ext>
          </c:extLst>
        </c:ser>
        <c:ser>
          <c:idx val="1"/>
          <c:order val="1"/>
          <c:tx>
            <c:strRef>
              <c:f>'20'!$F$43</c:f>
              <c:strCache>
                <c:ptCount val="1"/>
                <c:pt idx="0">
                  <c:v>비변호인</c:v>
                </c:pt>
              </c:strCache>
            </c:strRef>
          </c:tx>
          <c:invertIfNegative val="0"/>
          <c:cat>
            <c:strRef>
              <c:f>'20'!$D$51:$D$55</c:f>
              <c:strCache>
                <c:ptCount val="5"/>
                <c:pt idx="0">
                  <c:v>18</c:v>
                </c:pt>
                <c:pt idx="1">
                  <c:v>19</c:v>
                </c:pt>
                <c:pt idx="2">
                  <c:v>20</c:v>
                </c:pt>
                <c:pt idx="3">
                  <c:v>21</c:v>
                </c:pt>
                <c:pt idx="4">
                  <c:v>22</c:v>
                </c:pt>
              </c:strCache>
            </c:strRef>
          </c:cat>
          <c:val>
            <c:numRef>
              <c:f>'20'!$F$51:$F$55</c:f>
              <c:numCache>
                <c:formatCode>_-* #,##0.0_-;\-* #,##0.0_-;_-* "-"_-;_-@_-</c:formatCode>
                <c:ptCount val="5"/>
                <c:pt idx="0">
                  <c:v>7.8682525160109789</c:v>
                </c:pt>
                <c:pt idx="1">
                  <c:v>5.4029304029304033</c:v>
                </c:pt>
                <c:pt idx="2">
                  <c:v>3.8950042337002539</c:v>
                </c:pt>
                <c:pt idx="3">
                  <c:v>3.2</c:v>
                </c:pt>
                <c:pt idx="4">
                  <c:v>3.0185758513931891</c:v>
                </c:pt>
              </c:numCache>
            </c:numRef>
          </c:val>
          <c:extLst>
            <c:ext xmlns:c16="http://schemas.microsoft.com/office/drawing/2014/chart" uri="{C3380CC4-5D6E-409C-BE32-E72D297353CC}">
              <c16:uniqueId val="{00000001-E077-4B30-B2C5-5A377FD25290}"/>
            </c:ext>
          </c:extLst>
        </c:ser>
        <c:dLbls>
          <c:showLegendKey val="0"/>
          <c:showVal val="0"/>
          <c:showCatName val="0"/>
          <c:showSerName val="0"/>
          <c:showPercent val="0"/>
          <c:showBubbleSize val="0"/>
        </c:dLbls>
        <c:gapWidth val="75"/>
        <c:axId val="94261632"/>
        <c:axId val="94263552"/>
      </c:barChart>
      <c:catAx>
        <c:axId val="94261632"/>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9.1437049456270528E-2"/>
              <c:y val="0.84542362204724408"/>
            </c:manualLayout>
          </c:layout>
          <c:overlay val="0"/>
        </c:title>
        <c:numFmt formatCode="General" sourceLinked="1"/>
        <c:majorTickMark val="none"/>
        <c:minorTickMark val="none"/>
        <c:tickLblPos val="low"/>
        <c:txPr>
          <a:bodyPr rot="0" vert="horz"/>
          <a:lstStyle/>
          <a:p>
            <a:pPr>
              <a:defRPr/>
            </a:pPr>
            <a:endParaRPr lang="ko-KR"/>
          </a:p>
        </c:txPr>
        <c:crossAx val="94263552"/>
        <c:crosses val="autoZero"/>
        <c:auto val="1"/>
        <c:lblAlgn val="ctr"/>
        <c:lblOffset val="100"/>
        <c:tickLblSkip val="1"/>
        <c:tickMarkSkip val="1"/>
        <c:noMultiLvlLbl val="0"/>
      </c:catAx>
      <c:valAx>
        <c:axId val="94263552"/>
        <c:scaling>
          <c:orientation val="minMax"/>
          <c:max val="40"/>
        </c:scaling>
        <c:delete val="0"/>
        <c:axPos val="l"/>
        <c:majorGridlines/>
        <c:title>
          <c:tx>
            <c:rich>
              <a:bodyPr rot="0" vert="horz"/>
              <a:lstStyle/>
              <a:p>
                <a:pPr>
                  <a:defRPr/>
                </a:pPr>
                <a:r>
                  <a:rPr lang="en-US" altLang="ko-KR"/>
                  <a:t>(%)</a:t>
                </a:r>
                <a:endParaRPr lang="ko-KR" altLang="en-US"/>
              </a:p>
            </c:rich>
          </c:tx>
          <c:layout>
            <c:manualLayout>
              <c:xMode val="edge"/>
              <c:yMode val="edge"/>
              <c:x val="4.3937473595268284E-2"/>
              <c:y val="0.84793805774278264"/>
            </c:manualLayout>
          </c:layout>
          <c:overlay val="0"/>
        </c:title>
        <c:numFmt formatCode="_-* #,##0.0_-;\-* #,##0.0_-;_-* &quot;-&quot;_-;_-@_-" sourceLinked="1"/>
        <c:majorTickMark val="none"/>
        <c:minorTickMark val="none"/>
        <c:tickLblPos val="nextTo"/>
        <c:spPr>
          <a:ln w="9525">
            <a:noFill/>
          </a:ln>
        </c:spPr>
        <c:txPr>
          <a:bodyPr rot="0" vert="horz"/>
          <a:lstStyle/>
          <a:p>
            <a:pPr>
              <a:defRPr/>
            </a:pPr>
            <a:endParaRPr lang="ko-KR"/>
          </a:p>
        </c:txPr>
        <c:crossAx val="94261632"/>
        <c:crosses val="autoZero"/>
        <c:crossBetween val="between"/>
        <c:majorUnit val="5"/>
      </c:valAx>
    </c:plotArea>
    <c:legend>
      <c:legendPos val="t"/>
      <c:layout>
        <c:manualLayout>
          <c:xMode val="edge"/>
          <c:yMode val="edge"/>
          <c:x val="0.86809230595224485"/>
          <c:y val="0.22333333333333341"/>
          <c:w val="9.1867775083247727E-2"/>
          <c:h val="0.12694304461942432"/>
        </c:manualLayout>
      </c:layout>
      <c:overlay val="0"/>
    </c:legend>
    <c:plotVisOnly val="1"/>
    <c:dispBlanksAs val="gap"/>
    <c:showDLblsOverMax val="0"/>
  </c:chart>
  <c:txPr>
    <a:bodyPr/>
    <a:lstStyle/>
    <a:p>
      <a:pPr>
        <a:defRPr b="1"/>
      </a:pPr>
      <a:endParaRPr lang="ko-KR"/>
    </a:p>
  </c:txPr>
  <c:printSettings>
    <c:headerFooter alignWithMargins="0"/>
    <c:pageMargins b="1" l="0.75000000000001465" r="0.7500000000000146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dLbls>
            <c:dLbl>
              <c:idx val="9"/>
              <c:layout>
                <c:manualLayout>
                  <c:x val="-7.1169602511026456E-2"/>
                  <c:y val="2.6378163855523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E5-4132-ACC4-88007BB415E3}"/>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'20_수정전'!$J$26:$J$35</c:f>
              <c:strCache>
                <c:ptCount val="10"/>
                <c:pt idx="0">
                  <c:v>12</c:v>
                </c:pt>
                <c:pt idx="1">
                  <c:v>13</c:v>
                </c:pt>
                <c:pt idx="2">
                  <c:v>14</c:v>
                </c:pt>
                <c:pt idx="3">
                  <c:v>15</c:v>
                </c:pt>
                <c:pt idx="4">
                  <c:v>16</c:v>
                </c:pt>
                <c:pt idx="5">
                  <c:v>17</c:v>
                </c:pt>
                <c:pt idx="6">
                  <c:v>18</c:v>
                </c:pt>
                <c:pt idx="7">
                  <c:v>19</c:v>
                </c:pt>
                <c:pt idx="8">
                  <c:v>20</c:v>
                </c:pt>
                <c:pt idx="9">
                  <c:v>21</c:v>
                </c:pt>
              </c:strCache>
            </c:strRef>
          </c:cat>
          <c:val>
            <c:numRef>
              <c:f>'20_수정전'!$K$26:$K$35</c:f>
              <c:numCache>
                <c:formatCode>_(* #,##0_);_(* \(#,##0\);_(* "-"_);_(@_)</c:formatCode>
                <c:ptCount val="10"/>
                <c:pt idx="0">
                  <c:v>4725</c:v>
                </c:pt>
                <c:pt idx="1">
                  <c:v>5479</c:v>
                </c:pt>
                <c:pt idx="2">
                  <c:v>7291</c:v>
                </c:pt>
                <c:pt idx="3">
                  <c:v>8283</c:v>
                </c:pt>
                <c:pt idx="4">
                  <c:v>7118</c:v>
                </c:pt>
                <c:pt idx="5">
                  <c:v>7555</c:v>
                </c:pt>
                <c:pt idx="6">
                  <c:v>8111</c:v>
                </c:pt>
                <c:pt idx="7">
                  <c:v>8995</c:v>
                </c:pt>
                <c:pt idx="8">
                  <c:v>9891</c:v>
                </c:pt>
                <c:pt idx="9">
                  <c:v>7233</c:v>
                </c:pt>
              </c:numCache>
            </c:numRef>
          </c:val>
          <c:smooth val="0"/>
          <c:extLst>
            <c:ext xmlns:c16="http://schemas.microsoft.com/office/drawing/2014/chart" uri="{C3380CC4-5D6E-409C-BE32-E72D297353CC}">
              <c16:uniqueId val="{00000000-EBD3-47F8-9E34-3A91CF4A672C}"/>
            </c:ext>
          </c:extLst>
        </c:ser>
        <c:ser>
          <c:idx val="1"/>
          <c:order val="1"/>
          <c:dLbls>
            <c:dLbl>
              <c:idx val="9"/>
              <c:layout>
                <c:manualLayout>
                  <c:x val="-3.5087128284222092E-2"/>
                  <c:y val="3.96872910993364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E5-4132-ACC4-88007BB415E3}"/>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'20_수정전'!$J$26:$J$35</c:f>
              <c:strCache>
                <c:ptCount val="10"/>
                <c:pt idx="0">
                  <c:v>12</c:v>
                </c:pt>
                <c:pt idx="1">
                  <c:v>13</c:v>
                </c:pt>
                <c:pt idx="2">
                  <c:v>14</c:v>
                </c:pt>
                <c:pt idx="3">
                  <c:v>15</c:v>
                </c:pt>
                <c:pt idx="4">
                  <c:v>16</c:v>
                </c:pt>
                <c:pt idx="5">
                  <c:v>17</c:v>
                </c:pt>
                <c:pt idx="6">
                  <c:v>18</c:v>
                </c:pt>
                <c:pt idx="7">
                  <c:v>19</c:v>
                </c:pt>
                <c:pt idx="8">
                  <c:v>20</c:v>
                </c:pt>
                <c:pt idx="9">
                  <c:v>21</c:v>
                </c:pt>
              </c:strCache>
            </c:strRef>
          </c:cat>
          <c:val>
            <c:numRef>
              <c:f>'20_수정전'!$L$26:$L$35</c:f>
              <c:numCache>
                <c:formatCode>_(* #,##0_);_(* \(#,##0\);_(* "-"_);_(@_)</c:formatCode>
                <c:ptCount val="10"/>
                <c:pt idx="0">
                  <c:v>2641</c:v>
                </c:pt>
                <c:pt idx="1">
                  <c:v>3794</c:v>
                </c:pt>
                <c:pt idx="2">
                  <c:v>4676</c:v>
                </c:pt>
                <c:pt idx="3">
                  <c:v>3967</c:v>
                </c:pt>
                <c:pt idx="4">
                  <c:v>3414</c:v>
                </c:pt>
                <c:pt idx="5">
                  <c:v>3105</c:v>
                </c:pt>
                <c:pt idx="6">
                  <c:v>2796</c:v>
                </c:pt>
                <c:pt idx="7">
                  <c:v>2648</c:v>
                </c:pt>
                <c:pt idx="8">
                  <c:v>2403</c:v>
                </c:pt>
                <c:pt idx="9">
                  <c:v>2210</c:v>
                </c:pt>
              </c:numCache>
            </c:numRef>
          </c:val>
          <c:smooth val="0"/>
          <c:extLst>
            <c:ext xmlns:c16="http://schemas.microsoft.com/office/drawing/2014/chart" uri="{C3380CC4-5D6E-409C-BE32-E72D297353CC}">
              <c16:uniqueId val="{00000001-EBD3-47F8-9E34-3A91CF4A672C}"/>
            </c:ext>
          </c:extLst>
        </c:ser>
        <c:dLbls>
          <c:showLegendKey val="0"/>
          <c:showVal val="0"/>
          <c:showCatName val="0"/>
          <c:showSerName val="0"/>
          <c:showPercent val="0"/>
          <c:showBubbleSize val="0"/>
        </c:dLbls>
        <c:marker val="1"/>
        <c:smooth val="0"/>
        <c:axId val="94541312"/>
        <c:axId val="94543232"/>
      </c:lineChart>
      <c:catAx>
        <c:axId val="94541312"/>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8.9480883188570504E-2"/>
              <c:y val="0.83453083109920001"/>
            </c:manualLayout>
          </c:layout>
          <c:overlay val="0"/>
        </c:title>
        <c:numFmt formatCode="General" sourceLinked="0"/>
        <c:majorTickMark val="none"/>
        <c:minorTickMark val="none"/>
        <c:tickLblPos val="nextTo"/>
        <c:crossAx val="94543232"/>
        <c:crosses val="autoZero"/>
        <c:auto val="1"/>
        <c:lblAlgn val="ctr"/>
        <c:lblOffset val="100"/>
        <c:noMultiLvlLbl val="0"/>
      </c:catAx>
      <c:valAx>
        <c:axId val="94543232"/>
        <c:scaling>
          <c:orientation val="minMax"/>
        </c:scaling>
        <c:delete val="0"/>
        <c:axPos val="l"/>
        <c:majorGridlines/>
        <c:title>
          <c:tx>
            <c:rich>
              <a:bodyPr rot="0" vert="horz"/>
              <a:lstStyle/>
              <a:p>
                <a:pPr>
                  <a:defRPr/>
                </a:pPr>
                <a:r>
                  <a:rPr lang="en-US" altLang="ko-KR"/>
                  <a:t>(</a:t>
                </a:r>
                <a:r>
                  <a:rPr lang="ko-KR" altLang="en-US"/>
                  <a:t>건</a:t>
                </a:r>
                <a:r>
                  <a:rPr lang="en-US" altLang="ko-KR"/>
                  <a:t>)</a:t>
                </a:r>
                <a:endParaRPr lang="ko-KR" altLang="en-US"/>
              </a:p>
            </c:rich>
          </c:tx>
          <c:layout>
            <c:manualLayout>
              <c:xMode val="edge"/>
              <c:yMode val="edge"/>
              <c:x val="4.9828178694158065E-2"/>
              <c:y val="0.81413917094143351"/>
            </c:manualLayout>
          </c:layout>
          <c:overlay val="0"/>
        </c:title>
        <c:numFmt formatCode="_(* #,##0_);_(* \(#,##0\);_(* &quot;-&quot;_);_(@_)" sourceLinked="1"/>
        <c:majorTickMark val="none"/>
        <c:minorTickMark val="none"/>
        <c:tickLblPos val="nextTo"/>
        <c:spPr>
          <a:ln w="9525">
            <a:noFill/>
          </a:ln>
        </c:spPr>
        <c:crossAx val="94541312"/>
        <c:crosses val="autoZero"/>
        <c:crossBetween val="between"/>
      </c:valAx>
    </c:plotArea>
    <c:plotVisOnly val="1"/>
    <c:dispBlanksAs val="gap"/>
    <c:showDLblsOverMax val="0"/>
  </c:chart>
  <c:txPr>
    <a:bodyPr/>
    <a:lstStyle/>
    <a:p>
      <a:pPr>
        <a:defRPr b="1"/>
      </a:pPr>
      <a:endParaRPr lang="ko-KR"/>
    </a:p>
  </c:txPr>
  <c:printSettings>
    <c:headerFooter/>
    <c:pageMargins b="0.75000000000000577" l="0.70000000000000062" r="0.70000000000000062" t="0.75000000000000577"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cat>
            <c:strRef>
              <c:f>'21'!$C$21:$C$30</c:f>
              <c:strCache>
                <c:ptCount val="10"/>
                <c:pt idx="0">
                  <c:v>13</c:v>
                </c:pt>
                <c:pt idx="1">
                  <c:v>14</c:v>
                </c:pt>
                <c:pt idx="2">
                  <c:v>15</c:v>
                </c:pt>
                <c:pt idx="3">
                  <c:v>16</c:v>
                </c:pt>
                <c:pt idx="4">
                  <c:v>17</c:v>
                </c:pt>
                <c:pt idx="5">
                  <c:v>18</c:v>
                </c:pt>
                <c:pt idx="6">
                  <c:v>19</c:v>
                </c:pt>
                <c:pt idx="7">
                  <c:v>20</c:v>
                </c:pt>
                <c:pt idx="8">
                  <c:v>21</c:v>
                </c:pt>
                <c:pt idx="9">
                  <c:v>22</c:v>
                </c:pt>
              </c:strCache>
            </c:strRef>
          </c:cat>
          <c:val>
            <c:numRef>
              <c:f>'21'!$D$21:$D$30</c:f>
              <c:numCache>
                <c:formatCode>_(* #,##0_);_(* \(#,##0\);_(* "-"_);_(@_)</c:formatCode>
                <c:ptCount val="10"/>
                <c:pt idx="0">
                  <c:v>5479</c:v>
                </c:pt>
                <c:pt idx="1">
                  <c:v>7291</c:v>
                </c:pt>
                <c:pt idx="2">
                  <c:v>8283</c:v>
                </c:pt>
                <c:pt idx="3">
                  <c:v>7118</c:v>
                </c:pt>
                <c:pt idx="4">
                  <c:v>7555</c:v>
                </c:pt>
                <c:pt idx="5">
                  <c:v>8111</c:v>
                </c:pt>
                <c:pt idx="6">
                  <c:v>8995</c:v>
                </c:pt>
                <c:pt idx="7">
                  <c:v>9891</c:v>
                </c:pt>
                <c:pt idx="8">
                  <c:v>7233</c:v>
                </c:pt>
                <c:pt idx="9">
                  <c:v>5137</c:v>
                </c:pt>
              </c:numCache>
            </c:numRef>
          </c:val>
          <c:smooth val="0"/>
          <c:extLst>
            <c:ext xmlns:c16="http://schemas.microsoft.com/office/drawing/2014/chart" uri="{C3380CC4-5D6E-409C-BE32-E72D297353CC}">
              <c16:uniqueId val="{00000001-B1F7-4D8C-BDC4-1BDE0CB0FFC5}"/>
            </c:ext>
          </c:extLst>
        </c:ser>
        <c:ser>
          <c:idx val="1"/>
          <c:order val="1"/>
          <c:cat>
            <c:strRef>
              <c:f>'21'!$C$21:$C$30</c:f>
              <c:strCache>
                <c:ptCount val="10"/>
                <c:pt idx="0">
                  <c:v>13</c:v>
                </c:pt>
                <c:pt idx="1">
                  <c:v>14</c:v>
                </c:pt>
                <c:pt idx="2">
                  <c:v>15</c:v>
                </c:pt>
                <c:pt idx="3">
                  <c:v>16</c:v>
                </c:pt>
                <c:pt idx="4">
                  <c:v>17</c:v>
                </c:pt>
                <c:pt idx="5">
                  <c:v>18</c:v>
                </c:pt>
                <c:pt idx="6">
                  <c:v>19</c:v>
                </c:pt>
                <c:pt idx="7">
                  <c:v>20</c:v>
                </c:pt>
                <c:pt idx="8">
                  <c:v>21</c:v>
                </c:pt>
                <c:pt idx="9">
                  <c:v>22</c:v>
                </c:pt>
              </c:strCache>
            </c:strRef>
          </c:cat>
          <c:val>
            <c:numRef>
              <c:f>'21'!$E$21:$E$30</c:f>
              <c:numCache>
                <c:formatCode>_(* #,##0_);_(* \(#,##0\);_(* "-"_);_(@_)</c:formatCode>
                <c:ptCount val="10"/>
                <c:pt idx="0">
                  <c:v>3794</c:v>
                </c:pt>
                <c:pt idx="1">
                  <c:v>4676</c:v>
                </c:pt>
                <c:pt idx="2">
                  <c:v>3967</c:v>
                </c:pt>
                <c:pt idx="3">
                  <c:v>3414</c:v>
                </c:pt>
                <c:pt idx="4">
                  <c:v>3105</c:v>
                </c:pt>
                <c:pt idx="5">
                  <c:v>2796</c:v>
                </c:pt>
                <c:pt idx="6">
                  <c:v>2648</c:v>
                </c:pt>
                <c:pt idx="7">
                  <c:v>2403</c:v>
                </c:pt>
                <c:pt idx="8">
                  <c:v>2210</c:v>
                </c:pt>
                <c:pt idx="9">
                  <c:v>2772</c:v>
                </c:pt>
              </c:numCache>
            </c:numRef>
          </c:val>
          <c:smooth val="0"/>
          <c:extLst>
            <c:ext xmlns:c16="http://schemas.microsoft.com/office/drawing/2014/chart" uri="{C3380CC4-5D6E-409C-BE32-E72D297353CC}">
              <c16:uniqueId val="{00000003-B1F7-4D8C-BDC4-1BDE0CB0FFC5}"/>
            </c:ext>
          </c:extLst>
        </c:ser>
        <c:dLbls>
          <c:showLegendKey val="0"/>
          <c:showVal val="0"/>
          <c:showCatName val="0"/>
          <c:showSerName val="0"/>
          <c:showPercent val="0"/>
          <c:showBubbleSize val="0"/>
        </c:dLbls>
        <c:marker val="1"/>
        <c:smooth val="0"/>
        <c:axId val="94541312"/>
        <c:axId val="94543232"/>
      </c:lineChart>
      <c:catAx>
        <c:axId val="94541312"/>
        <c:scaling>
          <c:orientation val="minMax"/>
        </c:scaling>
        <c:delete val="0"/>
        <c:axPos val="b"/>
        <c:title>
          <c:tx>
            <c:rich>
              <a:bodyPr/>
              <a:lstStyle/>
              <a:p>
                <a:pPr>
                  <a:defRPr/>
                </a:pPr>
                <a:r>
                  <a:rPr lang="en-US" altLang="ko-KR"/>
                  <a:t>(</a:t>
                </a:r>
                <a:r>
                  <a:rPr lang="ko-KR" altLang="en-US"/>
                  <a:t>년</a:t>
                </a:r>
                <a:r>
                  <a:rPr lang="en-US" altLang="ko-KR"/>
                  <a:t>)</a:t>
                </a:r>
                <a:endParaRPr lang="ko-KR" altLang="en-US"/>
              </a:p>
            </c:rich>
          </c:tx>
          <c:layout>
            <c:manualLayout>
              <c:xMode val="edge"/>
              <c:yMode val="edge"/>
              <c:x val="8.9480883188570504E-2"/>
              <c:y val="0.83453083109920001"/>
            </c:manualLayout>
          </c:layout>
          <c:overlay val="0"/>
        </c:title>
        <c:numFmt formatCode="General" sourceLinked="0"/>
        <c:majorTickMark val="none"/>
        <c:minorTickMark val="none"/>
        <c:tickLblPos val="nextTo"/>
        <c:crossAx val="94543232"/>
        <c:crosses val="autoZero"/>
        <c:auto val="1"/>
        <c:lblAlgn val="ctr"/>
        <c:lblOffset val="100"/>
        <c:noMultiLvlLbl val="0"/>
      </c:catAx>
      <c:valAx>
        <c:axId val="94543232"/>
        <c:scaling>
          <c:orientation val="minMax"/>
        </c:scaling>
        <c:delete val="0"/>
        <c:axPos val="l"/>
        <c:majorGridlines/>
        <c:title>
          <c:tx>
            <c:rich>
              <a:bodyPr rot="0" vert="horz"/>
              <a:lstStyle/>
              <a:p>
                <a:pPr>
                  <a:defRPr/>
                </a:pPr>
                <a:r>
                  <a:rPr lang="en-US" altLang="ko-KR"/>
                  <a:t>(</a:t>
                </a:r>
                <a:r>
                  <a:rPr lang="ko-KR" altLang="en-US"/>
                  <a:t>건</a:t>
                </a:r>
                <a:r>
                  <a:rPr lang="en-US" altLang="ko-KR"/>
                  <a:t>)</a:t>
                </a:r>
                <a:endParaRPr lang="ko-KR" altLang="en-US"/>
              </a:p>
            </c:rich>
          </c:tx>
          <c:layout>
            <c:manualLayout>
              <c:xMode val="edge"/>
              <c:yMode val="edge"/>
              <c:x val="4.9828178694158065E-2"/>
              <c:y val="0.81413917094143351"/>
            </c:manualLayout>
          </c:layout>
          <c:overlay val="0"/>
        </c:title>
        <c:numFmt formatCode="_(* #,##0_);_(* \(#,##0\);_(* &quot;-&quot;_);_(@_)" sourceLinked="1"/>
        <c:majorTickMark val="none"/>
        <c:minorTickMark val="none"/>
        <c:tickLblPos val="nextTo"/>
        <c:spPr>
          <a:ln w="9525">
            <a:noFill/>
          </a:ln>
        </c:spPr>
        <c:crossAx val="94541312"/>
        <c:crosses val="autoZero"/>
        <c:crossBetween val="between"/>
      </c:valAx>
    </c:plotArea>
    <c:plotVisOnly val="1"/>
    <c:dispBlanksAs val="gap"/>
    <c:showDLblsOverMax val="0"/>
  </c:chart>
  <c:txPr>
    <a:bodyPr/>
    <a:lstStyle/>
    <a:p>
      <a:pPr>
        <a:defRPr b="1"/>
      </a:pPr>
      <a:endParaRPr lang="ko-KR"/>
    </a:p>
  </c:txPr>
  <c:printSettings>
    <c:headerFooter/>
    <c:pageMargins b="0.75000000000000577" l="0.70000000000000062" r="0.70000000000000062" t="0.75000000000000577"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0</xdr:rowOff>
    </xdr:from>
    <xdr:to>
      <xdr:col>3</xdr:col>
      <xdr:colOff>9525</xdr:colOff>
      <xdr:row>20</xdr:row>
      <xdr:rowOff>0</xdr:rowOff>
    </xdr:to>
    <xdr:sp macro="" textlink="">
      <xdr:nvSpPr>
        <xdr:cNvPr id="4" name="Line 2"/>
        <xdr:cNvSpPr>
          <a:spLocks noChangeShapeType="1"/>
        </xdr:cNvSpPr>
      </xdr:nvSpPr>
      <xdr:spPr bwMode="auto">
        <a:xfrm>
          <a:off x="0" y="1657350"/>
          <a:ext cx="1981200" cy="419100"/>
        </a:xfrm>
        <a:prstGeom prst="line">
          <a:avLst/>
        </a:prstGeom>
        <a:noFill/>
        <a:ln w="9525">
          <a:solidFill>
            <a:schemeClr val="bg1"/>
          </a:solidFill>
          <a:round/>
          <a:headEnd/>
          <a:tailEnd/>
        </a:ln>
      </xdr:spPr>
    </xdr:sp>
    <xdr:clientData/>
  </xdr:twoCellAnchor>
  <xdr:twoCellAnchor>
    <xdr:from>
      <xdr:col>4</xdr:col>
      <xdr:colOff>0</xdr:colOff>
      <xdr:row>2</xdr:row>
      <xdr:rowOff>0</xdr:rowOff>
    </xdr:from>
    <xdr:to>
      <xdr:col>8</xdr:col>
      <xdr:colOff>762000</xdr:colOff>
      <xdr:row>16</xdr:row>
      <xdr:rowOff>190500</xdr:rowOff>
    </xdr:to>
    <xdr:graphicFrame macro="">
      <xdr:nvGraphicFramePr>
        <xdr:cNvPr id="6" name="차트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105</xdr:row>
      <xdr:rowOff>47625</xdr:rowOff>
    </xdr:from>
    <xdr:to>
      <xdr:col>1</xdr:col>
      <xdr:colOff>9525</xdr:colOff>
      <xdr:row>107</xdr:row>
      <xdr:rowOff>0</xdr:rowOff>
    </xdr:to>
    <xdr:sp macro="" textlink="">
      <xdr:nvSpPr>
        <xdr:cNvPr id="8" name="Line 1"/>
        <xdr:cNvSpPr>
          <a:spLocks noChangeShapeType="1"/>
        </xdr:cNvSpPr>
      </xdr:nvSpPr>
      <xdr:spPr bwMode="auto">
        <a:xfrm>
          <a:off x="28575" y="2771775"/>
          <a:ext cx="904875" cy="371475"/>
        </a:xfrm>
        <a:prstGeom prst="line">
          <a:avLst/>
        </a:prstGeom>
        <a:noFill/>
        <a:ln w="9525">
          <a:solidFill>
            <a:schemeClr val="bg1"/>
          </a:solidFill>
          <a:round/>
          <a:headEnd/>
          <a:tailEnd/>
        </a:ln>
      </xdr:spPr>
    </xdr:sp>
    <xdr:clientData/>
  </xdr:twoCellAnchor>
  <xdr:twoCellAnchor>
    <xdr:from>
      <xdr:col>0</xdr:col>
      <xdr:colOff>9525</xdr:colOff>
      <xdr:row>93</xdr:row>
      <xdr:rowOff>9525</xdr:rowOff>
    </xdr:from>
    <xdr:to>
      <xdr:col>1</xdr:col>
      <xdr:colOff>0</xdr:colOff>
      <xdr:row>95</xdr:row>
      <xdr:rowOff>0</xdr:rowOff>
    </xdr:to>
    <xdr:sp macro="" textlink="">
      <xdr:nvSpPr>
        <xdr:cNvPr id="9" name="Line 2"/>
        <xdr:cNvSpPr>
          <a:spLocks noChangeShapeType="1"/>
        </xdr:cNvSpPr>
      </xdr:nvSpPr>
      <xdr:spPr bwMode="auto">
        <a:xfrm>
          <a:off x="9525" y="13868400"/>
          <a:ext cx="942975" cy="409575"/>
        </a:xfrm>
        <a:prstGeom prst="line">
          <a:avLst/>
        </a:prstGeom>
        <a:noFill/>
        <a:ln w="9525">
          <a:solidFill>
            <a:schemeClr val="bg1"/>
          </a:solidFill>
          <a:round/>
          <a:headEnd/>
          <a:tailEnd/>
        </a:ln>
      </xdr:spPr>
    </xdr:sp>
    <xdr:clientData/>
  </xdr:twoCellAnchor>
  <xdr:twoCellAnchor>
    <xdr:from>
      <xdr:col>0</xdr:col>
      <xdr:colOff>0</xdr:colOff>
      <xdr:row>50</xdr:row>
      <xdr:rowOff>0</xdr:rowOff>
    </xdr:from>
    <xdr:to>
      <xdr:col>8</xdr:col>
      <xdr:colOff>923924</xdr:colOff>
      <xdr:row>69</xdr:row>
      <xdr:rowOff>0</xdr:rowOff>
    </xdr:to>
    <xdr:graphicFrame macro="">
      <xdr:nvGraphicFramePr>
        <xdr:cNvPr id="12" name="차트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485775</xdr:colOff>
      <xdr:row>57</xdr:row>
      <xdr:rowOff>123825</xdr:rowOff>
    </xdr:from>
    <xdr:ext cx="441146" cy="314060"/>
    <xdr:sp macro="" textlink="">
      <xdr:nvSpPr>
        <xdr:cNvPr id="13" name="TextBox 12"/>
        <xdr:cNvSpPr txBox="1"/>
      </xdr:nvSpPr>
      <xdr:spPr>
        <a:xfrm>
          <a:off x="8105775" y="11677650"/>
          <a:ext cx="441146"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5"/>
              </a:solidFill>
            </a:rPr>
            <a:t>약식</a:t>
          </a:r>
        </a:p>
      </xdr:txBody>
    </xdr:sp>
    <xdr:clientData/>
  </xdr:oneCellAnchor>
  <xdr:oneCellAnchor>
    <xdr:from>
      <xdr:col>6</xdr:col>
      <xdr:colOff>0</xdr:colOff>
      <xdr:row>7</xdr:row>
      <xdr:rowOff>171450</xdr:rowOff>
    </xdr:from>
    <xdr:ext cx="705962" cy="627095"/>
    <xdr:sp macro="" textlink="">
      <xdr:nvSpPr>
        <xdr:cNvPr id="18" name="TextBox 17"/>
        <xdr:cNvSpPr txBox="1"/>
      </xdr:nvSpPr>
      <xdr:spPr>
        <a:xfrm>
          <a:off x="5715000" y="1666875"/>
          <a:ext cx="705962" cy="627095"/>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wrap="none" rtlCol="0" anchor="ctr">
          <a:spAutoFit/>
        </a:bodyPr>
        <a:lstStyle/>
        <a:p>
          <a:pPr algn="ctr"/>
          <a:r>
            <a:rPr lang="ko-KR" altLang="en-US" sz="1000" b="1">
              <a:solidFill>
                <a:srgbClr val="FF0000"/>
              </a:solidFill>
            </a:rPr>
            <a:t>합계</a:t>
          </a:r>
          <a:endParaRPr lang="en-US" altLang="ko-KR" sz="1000" b="1">
            <a:solidFill>
              <a:srgbClr val="FF0000"/>
            </a:solidFill>
          </a:endParaRPr>
        </a:p>
        <a:p>
          <a:pPr algn="ctr"/>
          <a:r>
            <a:rPr lang="en-US" altLang="ko-KR" sz="1000" b="1">
              <a:solidFill>
                <a:srgbClr val="FF0000"/>
              </a:solidFill>
            </a:rPr>
            <a:t>1,455,735</a:t>
          </a:r>
        </a:p>
        <a:p>
          <a:pPr algn="ctr"/>
          <a:r>
            <a:rPr lang="en-US" altLang="ko-KR" sz="1000" b="1">
              <a:solidFill>
                <a:srgbClr val="FF0000"/>
              </a:solidFill>
            </a:rPr>
            <a:t>(100.0%)</a:t>
          </a:r>
          <a:endParaRPr lang="ko-KR" altLang="en-US" sz="1000" b="1">
            <a:solidFill>
              <a:srgbClr val="FF0000"/>
            </a:solidFill>
          </a:endParaRPr>
        </a:p>
      </xdr:txBody>
    </xdr:sp>
    <xdr:clientData/>
  </xdr:oneCellAnchor>
  <xdr:twoCellAnchor>
    <xdr:from>
      <xdr:col>0</xdr:col>
      <xdr:colOff>0</xdr:colOff>
      <xdr:row>18</xdr:row>
      <xdr:rowOff>0</xdr:rowOff>
    </xdr:from>
    <xdr:to>
      <xdr:col>3</xdr:col>
      <xdr:colOff>9525</xdr:colOff>
      <xdr:row>20</xdr:row>
      <xdr:rowOff>0</xdr:rowOff>
    </xdr:to>
    <xdr:sp macro="" textlink="">
      <xdr:nvSpPr>
        <xdr:cNvPr id="19" name="Line 2"/>
        <xdr:cNvSpPr>
          <a:spLocks noChangeShapeType="1"/>
        </xdr:cNvSpPr>
      </xdr:nvSpPr>
      <xdr:spPr bwMode="auto">
        <a:xfrm>
          <a:off x="0" y="3800475"/>
          <a:ext cx="2867025" cy="419100"/>
        </a:xfrm>
        <a:prstGeom prst="line">
          <a:avLst/>
        </a:prstGeom>
        <a:noFill/>
        <a:ln w="9525">
          <a:solidFill>
            <a:schemeClr val="bg1"/>
          </a:solidFill>
          <a:round/>
          <a:headEnd/>
          <a:tailEnd/>
        </a:ln>
      </xdr:spPr>
    </xdr:sp>
    <xdr:clientData/>
  </xdr:twoCellAnchor>
  <xdr:twoCellAnchor>
    <xdr:from>
      <xdr:col>0</xdr:col>
      <xdr:colOff>28575</xdr:colOff>
      <xdr:row>105</xdr:row>
      <xdr:rowOff>47625</xdr:rowOff>
    </xdr:from>
    <xdr:to>
      <xdr:col>1</xdr:col>
      <xdr:colOff>9525</xdr:colOff>
      <xdr:row>107</xdr:row>
      <xdr:rowOff>0</xdr:rowOff>
    </xdr:to>
    <xdr:sp macro="" textlink="">
      <xdr:nvSpPr>
        <xdr:cNvPr id="21" name="Line 1"/>
        <xdr:cNvSpPr>
          <a:spLocks noChangeShapeType="1"/>
        </xdr:cNvSpPr>
      </xdr:nvSpPr>
      <xdr:spPr bwMode="auto">
        <a:xfrm>
          <a:off x="28575" y="17049750"/>
          <a:ext cx="933450" cy="371475"/>
        </a:xfrm>
        <a:prstGeom prst="line">
          <a:avLst/>
        </a:prstGeom>
        <a:noFill/>
        <a:ln w="9525">
          <a:solidFill>
            <a:schemeClr val="bg1"/>
          </a:solidFill>
          <a:round/>
          <a:headEnd/>
          <a:tailEnd/>
        </a:ln>
      </xdr:spPr>
    </xdr:sp>
    <xdr:clientData/>
  </xdr:twoCellAnchor>
  <xdr:twoCellAnchor>
    <xdr:from>
      <xdr:col>0</xdr:col>
      <xdr:colOff>9525</xdr:colOff>
      <xdr:row>93</xdr:row>
      <xdr:rowOff>9525</xdr:rowOff>
    </xdr:from>
    <xdr:to>
      <xdr:col>1</xdr:col>
      <xdr:colOff>0</xdr:colOff>
      <xdr:row>95</xdr:row>
      <xdr:rowOff>0</xdr:rowOff>
    </xdr:to>
    <xdr:sp macro="" textlink="">
      <xdr:nvSpPr>
        <xdr:cNvPr id="22" name="Line 2"/>
        <xdr:cNvSpPr>
          <a:spLocks noChangeShapeType="1"/>
        </xdr:cNvSpPr>
      </xdr:nvSpPr>
      <xdr:spPr bwMode="auto">
        <a:xfrm>
          <a:off x="9525" y="14497050"/>
          <a:ext cx="942975" cy="409575"/>
        </a:xfrm>
        <a:prstGeom prst="line">
          <a:avLst/>
        </a:prstGeom>
        <a:noFill/>
        <a:ln w="9525">
          <a:solidFill>
            <a:schemeClr val="bg1"/>
          </a:solidFill>
          <a:round/>
          <a:headEnd/>
          <a:tailEnd/>
        </a:ln>
      </xdr:spPr>
    </xdr:sp>
    <xdr:clientData/>
  </xdr:twoCellAnchor>
  <xdr:oneCellAnchor>
    <xdr:from>
      <xdr:col>8</xdr:col>
      <xdr:colOff>495300</xdr:colOff>
      <xdr:row>55</xdr:row>
      <xdr:rowOff>171450</xdr:rowOff>
    </xdr:from>
    <xdr:ext cx="441146" cy="314060"/>
    <xdr:sp macro="" textlink="">
      <xdr:nvSpPr>
        <xdr:cNvPr id="25" name="TextBox 24"/>
        <xdr:cNvSpPr txBox="1"/>
      </xdr:nvSpPr>
      <xdr:spPr>
        <a:xfrm>
          <a:off x="8115300" y="11306175"/>
          <a:ext cx="441146"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2"/>
              </a:solidFill>
            </a:rPr>
            <a:t>영장</a:t>
          </a:r>
        </a:p>
      </xdr:txBody>
    </xdr:sp>
    <xdr:clientData/>
  </xdr:oneCellAnchor>
  <xdr:oneCellAnchor>
    <xdr:from>
      <xdr:col>8</xdr:col>
      <xdr:colOff>495300</xdr:colOff>
      <xdr:row>63</xdr:row>
      <xdr:rowOff>152400</xdr:rowOff>
    </xdr:from>
    <xdr:ext cx="441146" cy="314060"/>
    <xdr:sp macro="" textlink="">
      <xdr:nvSpPr>
        <xdr:cNvPr id="26" name="TextBox 25"/>
        <xdr:cNvSpPr txBox="1"/>
      </xdr:nvSpPr>
      <xdr:spPr>
        <a:xfrm>
          <a:off x="8115300" y="13382625"/>
          <a:ext cx="441146"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3"/>
              </a:solidFill>
            </a:rPr>
            <a:t>신청</a:t>
          </a:r>
        </a:p>
      </xdr:txBody>
    </xdr:sp>
    <xdr:clientData/>
  </xdr:oneCellAnchor>
  <xdr:oneCellAnchor>
    <xdr:from>
      <xdr:col>8</xdr:col>
      <xdr:colOff>495300</xdr:colOff>
      <xdr:row>59</xdr:row>
      <xdr:rowOff>76200</xdr:rowOff>
    </xdr:from>
    <xdr:ext cx="441146" cy="314060"/>
    <xdr:sp macro="" textlink="">
      <xdr:nvSpPr>
        <xdr:cNvPr id="27" name="TextBox 26"/>
        <xdr:cNvSpPr txBox="1"/>
      </xdr:nvSpPr>
      <xdr:spPr>
        <a:xfrm>
          <a:off x="8115300" y="12049125"/>
          <a:ext cx="441146"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1"/>
              </a:solidFill>
            </a:rPr>
            <a:t>공판</a:t>
          </a:r>
        </a:p>
      </xdr:txBody>
    </xdr:sp>
    <xdr:clientData/>
  </xdr:oneCellAnchor>
  <xdr:oneCellAnchor>
    <xdr:from>
      <xdr:col>8</xdr:col>
      <xdr:colOff>485775</xdr:colOff>
      <xdr:row>62</xdr:row>
      <xdr:rowOff>95250</xdr:rowOff>
    </xdr:from>
    <xdr:ext cx="441146" cy="314060"/>
    <xdr:sp macro="" textlink="">
      <xdr:nvSpPr>
        <xdr:cNvPr id="28" name="TextBox 27"/>
        <xdr:cNvSpPr txBox="1"/>
      </xdr:nvSpPr>
      <xdr:spPr>
        <a:xfrm>
          <a:off x="8105775" y="13115925"/>
          <a:ext cx="441146"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4"/>
              </a:solidFill>
            </a:rPr>
            <a:t>즉결</a:t>
          </a:r>
        </a:p>
      </xdr:txBody>
    </xdr:sp>
    <xdr:clientData/>
  </xdr:oneCellAnchor>
  <xdr:oneCellAnchor>
    <xdr:from>
      <xdr:col>6</xdr:col>
      <xdr:colOff>0</xdr:colOff>
      <xdr:row>7</xdr:row>
      <xdr:rowOff>171450</xdr:rowOff>
    </xdr:from>
    <xdr:ext cx="705962" cy="627095"/>
    <xdr:sp macro="" textlink="">
      <xdr:nvSpPr>
        <xdr:cNvPr id="29" name="TextBox 28"/>
        <xdr:cNvSpPr txBox="1"/>
      </xdr:nvSpPr>
      <xdr:spPr>
        <a:xfrm>
          <a:off x="5715000" y="1666875"/>
          <a:ext cx="705962" cy="627095"/>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wrap="none" rtlCol="0" anchor="ctr">
          <a:spAutoFit/>
        </a:bodyPr>
        <a:lstStyle/>
        <a:p>
          <a:pPr algn="ctr"/>
          <a:r>
            <a:rPr lang="ko-KR" altLang="en-US" sz="1000" b="1">
              <a:solidFill>
                <a:sysClr val="windowText" lastClr="000000"/>
              </a:solidFill>
            </a:rPr>
            <a:t>합계</a:t>
          </a:r>
          <a:endParaRPr lang="en-US" altLang="ko-KR" sz="1000" b="1">
            <a:solidFill>
              <a:sysClr val="windowText" lastClr="000000"/>
            </a:solidFill>
          </a:endParaRPr>
        </a:p>
        <a:p>
          <a:pPr algn="ctr"/>
          <a:r>
            <a:rPr lang="en-US" altLang="ko-KR" sz="1000" b="1">
              <a:solidFill>
                <a:sysClr val="windowText" lastClr="000000"/>
              </a:solidFill>
            </a:rPr>
            <a:t>1,517,547</a:t>
          </a:r>
        </a:p>
        <a:p>
          <a:pPr algn="ctr"/>
          <a:r>
            <a:rPr lang="en-US" altLang="ko-KR" sz="1000" b="1">
              <a:solidFill>
                <a:sysClr val="windowText" lastClr="000000"/>
              </a:solidFill>
            </a:rPr>
            <a:t>(100.0%)</a:t>
          </a:r>
          <a:endParaRPr lang="ko-KR" altLang="en-US" sz="1000" b="1">
            <a:solidFill>
              <a:sysClr val="windowText" lastClr="000000"/>
            </a:solidFill>
          </a:endParaRPr>
        </a:p>
      </xdr:txBody>
    </xdr:sp>
    <xdr:clientData/>
  </xdr:oneCellAnchor>
  <xdr:twoCellAnchor>
    <xdr:from>
      <xdr:col>0</xdr:col>
      <xdr:colOff>0</xdr:colOff>
      <xdr:row>71</xdr:row>
      <xdr:rowOff>0</xdr:rowOff>
    </xdr:from>
    <xdr:to>
      <xdr:col>8</xdr:col>
      <xdr:colOff>923924</xdr:colOff>
      <xdr:row>90</xdr:row>
      <xdr:rowOff>0</xdr:rowOff>
    </xdr:to>
    <xdr:graphicFrame macro="">
      <xdr:nvGraphicFramePr>
        <xdr:cNvPr id="23" name="차트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228600</xdr:colOff>
      <xdr:row>71</xdr:row>
      <xdr:rowOff>180975</xdr:rowOff>
    </xdr:from>
    <xdr:ext cx="506164" cy="314060"/>
    <xdr:sp macro="" textlink="">
      <xdr:nvSpPr>
        <xdr:cNvPr id="20" name="TextBox 19"/>
        <xdr:cNvSpPr txBox="1"/>
      </xdr:nvSpPr>
      <xdr:spPr>
        <a:xfrm>
          <a:off x="7848600" y="15087600"/>
          <a:ext cx="506164"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1"/>
              </a:solidFill>
            </a:rPr>
            <a:t>제</a:t>
          </a:r>
          <a:r>
            <a:rPr lang="en-US" altLang="ko-KR" sz="1000" b="1">
              <a:solidFill>
                <a:schemeClr val="accent1"/>
              </a:solidFill>
            </a:rPr>
            <a:t>1</a:t>
          </a:r>
          <a:r>
            <a:rPr lang="ko-KR" altLang="en-US" sz="1000" b="1">
              <a:solidFill>
                <a:schemeClr val="accent1"/>
              </a:solidFill>
            </a:rPr>
            <a:t>심</a:t>
          </a:r>
        </a:p>
      </xdr:txBody>
    </xdr:sp>
    <xdr:clientData/>
  </xdr:oneCellAnchor>
  <xdr:oneCellAnchor>
    <xdr:from>
      <xdr:col>8</xdr:col>
      <xdr:colOff>123825</xdr:colOff>
      <xdr:row>81</xdr:row>
      <xdr:rowOff>190500</xdr:rowOff>
    </xdr:from>
    <xdr:ext cx="569387" cy="314060"/>
    <xdr:sp macro="" textlink="">
      <xdr:nvSpPr>
        <xdr:cNvPr id="24" name="TextBox 23"/>
        <xdr:cNvSpPr txBox="1"/>
      </xdr:nvSpPr>
      <xdr:spPr>
        <a:xfrm>
          <a:off x="7743825" y="17192625"/>
          <a:ext cx="569387"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2"/>
              </a:solidFill>
            </a:rPr>
            <a:t>항소심</a:t>
          </a:r>
        </a:p>
      </xdr:txBody>
    </xdr:sp>
    <xdr:clientData/>
  </xdr:oneCellAnchor>
  <xdr:oneCellAnchor>
    <xdr:from>
      <xdr:col>8</xdr:col>
      <xdr:colOff>323850</xdr:colOff>
      <xdr:row>85</xdr:row>
      <xdr:rowOff>180975</xdr:rowOff>
    </xdr:from>
    <xdr:ext cx="569387" cy="314060"/>
    <xdr:sp macro="" textlink="">
      <xdr:nvSpPr>
        <xdr:cNvPr id="30" name="TextBox 29"/>
        <xdr:cNvSpPr txBox="1"/>
      </xdr:nvSpPr>
      <xdr:spPr>
        <a:xfrm>
          <a:off x="7943850" y="18021300"/>
          <a:ext cx="569387"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3"/>
              </a:solidFill>
            </a:rPr>
            <a:t>상고심</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31</xdr:row>
      <xdr:rowOff>0</xdr:rowOff>
    </xdr:from>
    <xdr:to>
      <xdr:col>7</xdr:col>
      <xdr:colOff>781050</xdr:colOff>
      <xdr:row>44</xdr:row>
      <xdr:rowOff>155850</xdr:rowOff>
    </xdr:to>
    <xdr:graphicFrame macro="">
      <xdr:nvGraphicFramePr>
        <xdr:cNvPr id="15"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47</xdr:row>
      <xdr:rowOff>0</xdr:rowOff>
    </xdr:from>
    <xdr:to>
      <xdr:col>7</xdr:col>
      <xdr:colOff>781050</xdr:colOff>
      <xdr:row>60</xdr:row>
      <xdr:rowOff>155850</xdr:rowOff>
    </xdr:to>
    <xdr:graphicFrame macro="">
      <xdr:nvGraphicFramePr>
        <xdr:cNvPr id="16"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0</xdr:rowOff>
    </xdr:from>
    <xdr:to>
      <xdr:col>7</xdr:col>
      <xdr:colOff>781050</xdr:colOff>
      <xdr:row>28</xdr:row>
      <xdr:rowOff>155850</xdr:rowOff>
    </xdr:to>
    <xdr:graphicFrame macro="">
      <xdr:nvGraphicFramePr>
        <xdr:cNvPr id="1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63</xdr:row>
      <xdr:rowOff>0</xdr:rowOff>
    </xdr:from>
    <xdr:to>
      <xdr:col>1</xdr:col>
      <xdr:colOff>9525</xdr:colOff>
      <xdr:row>65</xdr:row>
      <xdr:rowOff>9525</xdr:rowOff>
    </xdr:to>
    <xdr:sp macro="" textlink="">
      <xdr:nvSpPr>
        <xdr:cNvPr id="18" name="Line 2"/>
        <xdr:cNvSpPr>
          <a:spLocks noChangeShapeType="1"/>
        </xdr:cNvSpPr>
      </xdr:nvSpPr>
      <xdr:spPr bwMode="auto">
        <a:xfrm>
          <a:off x="0" y="1866900"/>
          <a:ext cx="1962150" cy="428625"/>
        </a:xfrm>
        <a:prstGeom prst="line">
          <a:avLst/>
        </a:prstGeom>
        <a:noFill/>
        <a:ln w="9525">
          <a:solidFill>
            <a:schemeClr val="bg1"/>
          </a:solidFill>
          <a:round/>
          <a:headEnd/>
          <a:tailEnd/>
        </a:ln>
      </xdr:spPr>
    </xdr:sp>
    <xdr:clientData/>
  </xdr:twoCellAnchor>
  <xdr:oneCellAnchor>
    <xdr:from>
      <xdr:col>6</xdr:col>
      <xdr:colOff>514350</xdr:colOff>
      <xdr:row>31</xdr:row>
      <xdr:rowOff>104775</xdr:rowOff>
    </xdr:from>
    <xdr:ext cx="1162241" cy="314060"/>
    <xdr:sp macro="" textlink="">
      <xdr:nvSpPr>
        <xdr:cNvPr id="19" name="TextBox 18"/>
        <xdr:cNvSpPr txBox="1"/>
      </xdr:nvSpPr>
      <xdr:spPr>
        <a:xfrm>
          <a:off x="6229350" y="6600825"/>
          <a:ext cx="1162241"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2"/>
              </a:solidFill>
            </a:rPr>
            <a:t>항소심</a:t>
          </a:r>
          <a:r>
            <a:rPr lang="en-US" altLang="ko-KR" sz="1000" b="1">
              <a:solidFill>
                <a:schemeClr val="accent2"/>
              </a:solidFill>
            </a:rPr>
            <a:t>(</a:t>
          </a:r>
          <a:r>
            <a:rPr lang="ko-KR" altLang="en-US" sz="1000" b="1">
              <a:solidFill>
                <a:schemeClr val="accent2"/>
              </a:solidFill>
            </a:rPr>
            <a:t>지방법원</a:t>
          </a:r>
          <a:r>
            <a:rPr lang="en-US" altLang="ko-KR" sz="1000" b="1">
              <a:solidFill>
                <a:schemeClr val="accent2"/>
              </a:solidFill>
            </a:rPr>
            <a:t>)</a:t>
          </a:r>
          <a:endParaRPr lang="ko-KR" altLang="en-US" sz="1000" b="1">
            <a:solidFill>
              <a:schemeClr val="accent2"/>
            </a:solidFill>
          </a:endParaRPr>
        </a:p>
      </xdr:txBody>
    </xdr:sp>
    <xdr:clientData/>
  </xdr:oneCellAnchor>
  <xdr:oneCellAnchor>
    <xdr:from>
      <xdr:col>6</xdr:col>
      <xdr:colOff>542925</xdr:colOff>
      <xdr:row>39</xdr:row>
      <xdr:rowOff>161925</xdr:rowOff>
    </xdr:from>
    <xdr:ext cx="1162241" cy="314060"/>
    <xdr:sp macro="" textlink="">
      <xdr:nvSpPr>
        <xdr:cNvPr id="20" name="TextBox 19"/>
        <xdr:cNvSpPr txBox="1"/>
      </xdr:nvSpPr>
      <xdr:spPr>
        <a:xfrm>
          <a:off x="6257925" y="8334375"/>
          <a:ext cx="1162241"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solidFill>
                <a:schemeClr val="accent1"/>
              </a:solidFill>
            </a:rPr>
            <a:t>항소심</a:t>
          </a:r>
          <a:r>
            <a:rPr lang="en-US" altLang="ko-KR" sz="1000" b="1">
              <a:solidFill>
                <a:schemeClr val="accent1"/>
              </a:solidFill>
            </a:rPr>
            <a:t>(</a:t>
          </a:r>
          <a:r>
            <a:rPr lang="ko-KR" altLang="en-US" sz="1000" b="1">
              <a:solidFill>
                <a:schemeClr val="accent1"/>
              </a:solidFill>
            </a:rPr>
            <a:t>고등법원</a:t>
          </a:r>
          <a:r>
            <a:rPr lang="en-US" altLang="ko-KR" sz="1000" b="1">
              <a:solidFill>
                <a:schemeClr val="accent1"/>
              </a:solidFill>
            </a:rPr>
            <a:t>)</a:t>
          </a:r>
          <a:endParaRPr lang="ko-KR" altLang="en-US" sz="1000" b="1">
            <a:solidFill>
              <a:schemeClr val="accent1"/>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19050</xdr:colOff>
      <xdr:row>9</xdr:row>
      <xdr:rowOff>9525</xdr:rowOff>
    </xdr:from>
    <xdr:to>
      <xdr:col>1</xdr:col>
      <xdr:colOff>9525</xdr:colOff>
      <xdr:row>11</xdr:row>
      <xdr:rowOff>0</xdr:rowOff>
    </xdr:to>
    <xdr:sp macro="" textlink="">
      <xdr:nvSpPr>
        <xdr:cNvPr id="7900748" name="Line 1"/>
        <xdr:cNvSpPr>
          <a:spLocks noChangeShapeType="1"/>
        </xdr:cNvSpPr>
      </xdr:nvSpPr>
      <xdr:spPr bwMode="auto">
        <a:xfrm>
          <a:off x="19050" y="657225"/>
          <a:ext cx="2266950" cy="371475"/>
        </a:xfrm>
        <a:prstGeom prst="line">
          <a:avLst/>
        </a:prstGeom>
        <a:noFill/>
        <a:ln w="9525">
          <a:solidFill>
            <a:schemeClr val="bg1"/>
          </a:solidFill>
          <a:round/>
          <a:headEnd/>
          <a:tailEnd/>
        </a:ln>
      </xdr:spPr>
    </xdr:sp>
    <xdr:clientData/>
  </xdr:twoCellAnchor>
  <xdr:twoCellAnchor>
    <xdr:from>
      <xdr:col>0</xdr:col>
      <xdr:colOff>28575</xdr:colOff>
      <xdr:row>22</xdr:row>
      <xdr:rowOff>28575</xdr:rowOff>
    </xdr:from>
    <xdr:to>
      <xdr:col>1</xdr:col>
      <xdr:colOff>0</xdr:colOff>
      <xdr:row>24</xdr:row>
      <xdr:rowOff>9525</xdr:rowOff>
    </xdr:to>
    <xdr:sp macro="" textlink="">
      <xdr:nvSpPr>
        <xdr:cNvPr id="7900749" name="Line 2"/>
        <xdr:cNvSpPr>
          <a:spLocks noChangeShapeType="1"/>
        </xdr:cNvSpPr>
      </xdr:nvSpPr>
      <xdr:spPr bwMode="auto">
        <a:xfrm>
          <a:off x="28575" y="5086350"/>
          <a:ext cx="2247900" cy="390525"/>
        </a:xfrm>
        <a:prstGeom prst="line">
          <a:avLst/>
        </a:prstGeom>
        <a:noFill/>
        <a:ln w="9525">
          <a:solidFill>
            <a:schemeClr val="bg1"/>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1</xdr:row>
      <xdr:rowOff>28575</xdr:rowOff>
    </xdr:from>
    <xdr:to>
      <xdr:col>1</xdr:col>
      <xdr:colOff>0</xdr:colOff>
      <xdr:row>3</xdr:row>
      <xdr:rowOff>0</xdr:rowOff>
    </xdr:to>
    <xdr:sp macro="" textlink="">
      <xdr:nvSpPr>
        <xdr:cNvPr id="7901771" name="Line 1"/>
        <xdr:cNvSpPr>
          <a:spLocks noChangeShapeType="1"/>
        </xdr:cNvSpPr>
      </xdr:nvSpPr>
      <xdr:spPr bwMode="auto">
        <a:xfrm>
          <a:off x="28575" y="342900"/>
          <a:ext cx="1552575" cy="352425"/>
        </a:xfrm>
        <a:prstGeom prst="line">
          <a:avLst/>
        </a:prstGeom>
        <a:noFill/>
        <a:ln w="9525">
          <a:solidFill>
            <a:schemeClr val="bg1"/>
          </a:solidFill>
          <a:round/>
          <a:headEnd/>
          <a:tailEnd/>
        </a:ln>
      </xdr:spPr>
    </xdr:sp>
    <xdr:clientData/>
  </xdr:twoCellAnchor>
  <xdr:twoCellAnchor>
    <xdr:from>
      <xdr:col>0</xdr:col>
      <xdr:colOff>0</xdr:colOff>
      <xdr:row>29</xdr:row>
      <xdr:rowOff>28575</xdr:rowOff>
    </xdr:from>
    <xdr:to>
      <xdr:col>1</xdr:col>
      <xdr:colOff>0</xdr:colOff>
      <xdr:row>31</xdr:row>
      <xdr:rowOff>9525</xdr:rowOff>
    </xdr:to>
    <xdr:sp macro="" textlink="">
      <xdr:nvSpPr>
        <xdr:cNvPr id="7901772" name="Line 2"/>
        <xdr:cNvSpPr>
          <a:spLocks noChangeShapeType="1"/>
        </xdr:cNvSpPr>
      </xdr:nvSpPr>
      <xdr:spPr bwMode="auto">
        <a:xfrm>
          <a:off x="0" y="6315075"/>
          <a:ext cx="1238250" cy="400050"/>
        </a:xfrm>
        <a:prstGeom prst="line">
          <a:avLst/>
        </a:prstGeom>
        <a:noFill/>
        <a:ln w="9525">
          <a:solidFill>
            <a:schemeClr val="bg1"/>
          </a:solidFill>
          <a:round/>
          <a:headEnd/>
          <a:tailEnd/>
        </a:ln>
      </xdr:spPr>
    </xdr:sp>
    <xdr:clientData/>
  </xdr:twoCellAnchor>
  <xdr:twoCellAnchor>
    <xdr:from>
      <xdr:col>0</xdr:col>
      <xdr:colOff>0</xdr:colOff>
      <xdr:row>47</xdr:row>
      <xdr:rowOff>0</xdr:rowOff>
    </xdr:from>
    <xdr:to>
      <xdr:col>1</xdr:col>
      <xdr:colOff>9524</xdr:colOff>
      <xdr:row>49</xdr:row>
      <xdr:rowOff>0</xdr:rowOff>
    </xdr:to>
    <xdr:sp macro="" textlink="">
      <xdr:nvSpPr>
        <xdr:cNvPr id="4" name="Line 2"/>
        <xdr:cNvSpPr>
          <a:spLocks noChangeShapeType="1"/>
        </xdr:cNvSpPr>
      </xdr:nvSpPr>
      <xdr:spPr bwMode="auto">
        <a:xfrm>
          <a:off x="0" y="10058400"/>
          <a:ext cx="1590674" cy="561975"/>
        </a:xfrm>
        <a:prstGeom prst="line">
          <a:avLst/>
        </a:prstGeom>
        <a:noFill/>
        <a:ln w="9525">
          <a:solidFill>
            <a:schemeClr val="bg1"/>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27</xdr:row>
      <xdr:rowOff>19050</xdr:rowOff>
    </xdr:from>
    <xdr:to>
      <xdr:col>5</xdr:col>
      <xdr:colOff>0</xdr:colOff>
      <xdr:row>29</xdr:row>
      <xdr:rowOff>0</xdr:rowOff>
    </xdr:to>
    <xdr:sp macro="" textlink="">
      <xdr:nvSpPr>
        <xdr:cNvPr id="11025303" name="Line 1"/>
        <xdr:cNvSpPr>
          <a:spLocks noChangeShapeType="1"/>
        </xdr:cNvSpPr>
      </xdr:nvSpPr>
      <xdr:spPr bwMode="auto">
        <a:xfrm>
          <a:off x="19050" y="5562600"/>
          <a:ext cx="2857500" cy="400050"/>
        </a:xfrm>
        <a:prstGeom prst="line">
          <a:avLst/>
        </a:prstGeom>
        <a:noFill/>
        <a:ln w="9525">
          <a:solidFill>
            <a:schemeClr val="bg1"/>
          </a:solidFill>
          <a:round/>
          <a:headEnd/>
          <a:tailEnd/>
        </a:ln>
      </xdr:spPr>
    </xdr:sp>
    <xdr:clientData/>
  </xdr:twoCellAnchor>
  <xdr:twoCellAnchor>
    <xdr:from>
      <xdr:col>0</xdr:col>
      <xdr:colOff>9525</xdr:colOff>
      <xdr:row>5</xdr:row>
      <xdr:rowOff>9525</xdr:rowOff>
    </xdr:from>
    <xdr:to>
      <xdr:col>4</xdr:col>
      <xdr:colOff>0</xdr:colOff>
      <xdr:row>7</xdr:row>
      <xdr:rowOff>0</xdr:rowOff>
    </xdr:to>
    <xdr:sp macro="" textlink="">
      <xdr:nvSpPr>
        <xdr:cNvPr id="11025305" name="Line 3"/>
        <xdr:cNvSpPr>
          <a:spLocks noChangeShapeType="1"/>
        </xdr:cNvSpPr>
      </xdr:nvSpPr>
      <xdr:spPr bwMode="auto">
        <a:xfrm>
          <a:off x="9525" y="1152525"/>
          <a:ext cx="1819275" cy="409575"/>
        </a:xfrm>
        <a:prstGeom prst="line">
          <a:avLst/>
        </a:prstGeom>
        <a:noFill/>
        <a:ln w="9525">
          <a:solidFill>
            <a:schemeClr val="bg1"/>
          </a:solidFill>
          <a:round/>
          <a:headEnd/>
          <a:tailEnd/>
        </a:ln>
      </xdr:spPr>
    </xdr:sp>
    <xdr:clientData/>
  </xdr:twoCellAnchor>
  <xdr:twoCellAnchor>
    <xdr:from>
      <xdr:col>1</xdr:col>
      <xdr:colOff>285750</xdr:colOff>
      <xdr:row>9</xdr:row>
      <xdr:rowOff>95250</xdr:rowOff>
    </xdr:from>
    <xdr:to>
      <xdr:col>1</xdr:col>
      <xdr:colOff>447675</xdr:colOff>
      <xdr:row>14</xdr:row>
      <xdr:rowOff>133350</xdr:rowOff>
    </xdr:to>
    <xdr:sp macro="" textlink="">
      <xdr:nvSpPr>
        <xdr:cNvPr id="13" name="AutoShape 4"/>
        <xdr:cNvSpPr>
          <a:spLocks/>
        </xdr:cNvSpPr>
      </xdr:nvSpPr>
      <xdr:spPr bwMode="auto">
        <a:xfrm>
          <a:off x="742950" y="2076450"/>
          <a:ext cx="161925" cy="1085850"/>
        </a:xfrm>
        <a:prstGeom prst="leftBrace">
          <a:avLst>
            <a:gd name="adj1" fmla="val 19792"/>
            <a:gd name="adj2" fmla="val 50000"/>
          </a:avLst>
        </a:prstGeom>
        <a:noFill/>
        <a:ln w="9525">
          <a:solidFill>
            <a:sysClr val="windowText" lastClr="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1085850</xdr:colOff>
      <xdr:row>0</xdr:row>
      <xdr:rowOff>0</xdr:rowOff>
    </xdr:from>
    <xdr:to>
      <xdr:col>0</xdr:col>
      <xdr:colOff>361950</xdr:colOff>
      <xdr:row>0</xdr:row>
      <xdr:rowOff>0</xdr:rowOff>
    </xdr:to>
    <xdr:sp macro="" textlink="">
      <xdr:nvSpPr>
        <xdr:cNvPr id="11857341" name="Line 2"/>
        <xdr:cNvSpPr>
          <a:spLocks noChangeShapeType="1"/>
        </xdr:cNvSpPr>
      </xdr:nvSpPr>
      <xdr:spPr bwMode="auto">
        <a:xfrm>
          <a:off x="361950" y="0"/>
          <a:ext cx="0" cy="0"/>
        </a:xfrm>
        <a:prstGeom prst="line">
          <a:avLst/>
        </a:prstGeom>
        <a:noFill/>
        <a:ln w="9525">
          <a:solidFill>
            <a:schemeClr val="bg1"/>
          </a:solidFill>
          <a:round/>
          <a:headEnd/>
          <a:tailEnd/>
        </a:ln>
      </xdr:spPr>
    </xdr:sp>
    <xdr:clientData/>
  </xdr:twoCellAnchor>
  <xdr:twoCellAnchor>
    <xdr:from>
      <xdr:col>0</xdr:col>
      <xdr:colOff>1095375</xdr:colOff>
      <xdr:row>0</xdr:row>
      <xdr:rowOff>0</xdr:rowOff>
    </xdr:from>
    <xdr:to>
      <xdr:col>1</xdr:col>
      <xdr:colOff>9525</xdr:colOff>
      <xdr:row>0</xdr:row>
      <xdr:rowOff>0</xdr:rowOff>
    </xdr:to>
    <xdr:sp macro="" textlink="">
      <xdr:nvSpPr>
        <xdr:cNvPr id="11857342" name="Line 3"/>
        <xdr:cNvSpPr>
          <a:spLocks noChangeShapeType="1"/>
        </xdr:cNvSpPr>
      </xdr:nvSpPr>
      <xdr:spPr bwMode="auto">
        <a:xfrm>
          <a:off x="361950" y="0"/>
          <a:ext cx="9525" cy="0"/>
        </a:xfrm>
        <a:prstGeom prst="line">
          <a:avLst/>
        </a:prstGeom>
        <a:noFill/>
        <a:ln w="9525">
          <a:solidFill>
            <a:schemeClr val="bg1"/>
          </a:solidFill>
          <a:round/>
          <a:headEnd/>
          <a:tailEnd/>
        </a:ln>
      </xdr:spPr>
    </xdr:sp>
    <xdr:clientData/>
  </xdr:twoCellAnchor>
  <xdr:twoCellAnchor>
    <xdr:from>
      <xdr:col>0</xdr:col>
      <xdr:colOff>542925</xdr:colOff>
      <xdr:row>0</xdr:row>
      <xdr:rowOff>0</xdr:rowOff>
    </xdr:from>
    <xdr:to>
      <xdr:col>0</xdr:col>
      <xdr:colOff>361950</xdr:colOff>
      <xdr:row>0</xdr:row>
      <xdr:rowOff>0</xdr:rowOff>
    </xdr:to>
    <xdr:sp macro="" textlink="">
      <xdr:nvSpPr>
        <xdr:cNvPr id="11857343" name="Line 4"/>
        <xdr:cNvSpPr>
          <a:spLocks noChangeShapeType="1"/>
        </xdr:cNvSpPr>
      </xdr:nvSpPr>
      <xdr:spPr bwMode="auto">
        <a:xfrm>
          <a:off x="361950" y="0"/>
          <a:ext cx="0" cy="0"/>
        </a:xfrm>
        <a:prstGeom prst="line">
          <a:avLst/>
        </a:prstGeom>
        <a:noFill/>
        <a:ln w="9525">
          <a:solidFill>
            <a:schemeClr val="bg1"/>
          </a:solidFill>
          <a:round/>
          <a:headEnd/>
          <a:tailEnd/>
        </a:ln>
      </xdr:spPr>
    </xdr:sp>
    <xdr:clientData/>
  </xdr:twoCellAnchor>
  <xdr:twoCellAnchor>
    <xdr:from>
      <xdr:col>0</xdr:col>
      <xdr:colOff>723900</xdr:colOff>
      <xdr:row>0</xdr:row>
      <xdr:rowOff>0</xdr:rowOff>
    </xdr:from>
    <xdr:to>
      <xdr:col>1</xdr:col>
      <xdr:colOff>19050</xdr:colOff>
      <xdr:row>0</xdr:row>
      <xdr:rowOff>0</xdr:rowOff>
    </xdr:to>
    <xdr:sp macro="" textlink="">
      <xdr:nvSpPr>
        <xdr:cNvPr id="11857344" name="Line 5"/>
        <xdr:cNvSpPr>
          <a:spLocks noChangeShapeType="1"/>
        </xdr:cNvSpPr>
      </xdr:nvSpPr>
      <xdr:spPr bwMode="auto">
        <a:xfrm>
          <a:off x="361950" y="0"/>
          <a:ext cx="19050" cy="0"/>
        </a:xfrm>
        <a:prstGeom prst="line">
          <a:avLst/>
        </a:prstGeom>
        <a:noFill/>
        <a:ln w="9525">
          <a:solidFill>
            <a:schemeClr val="bg1"/>
          </a:solidFill>
          <a:round/>
          <a:headEnd/>
          <a:tailEnd/>
        </a:ln>
      </xdr:spPr>
    </xdr:sp>
    <xdr:clientData/>
  </xdr:twoCellAnchor>
  <xdr:twoCellAnchor>
    <xdr:from>
      <xdr:col>0</xdr:col>
      <xdr:colOff>352425</xdr:colOff>
      <xdr:row>0</xdr:row>
      <xdr:rowOff>0</xdr:rowOff>
    </xdr:from>
    <xdr:to>
      <xdr:col>0</xdr:col>
      <xdr:colOff>352425</xdr:colOff>
      <xdr:row>0</xdr:row>
      <xdr:rowOff>0</xdr:rowOff>
    </xdr:to>
    <xdr:sp macro="" textlink="">
      <xdr:nvSpPr>
        <xdr:cNvPr id="11857345" name="Line 6"/>
        <xdr:cNvSpPr>
          <a:spLocks noChangeShapeType="1"/>
        </xdr:cNvSpPr>
      </xdr:nvSpPr>
      <xdr:spPr bwMode="auto">
        <a:xfrm>
          <a:off x="352425" y="0"/>
          <a:ext cx="0" cy="0"/>
        </a:xfrm>
        <a:prstGeom prst="line">
          <a:avLst/>
        </a:prstGeom>
        <a:noFill/>
        <a:ln w="9525">
          <a:solidFill>
            <a:schemeClr val="bg1"/>
          </a:solidFill>
          <a:round/>
          <a:headEnd/>
          <a:tailEnd/>
        </a:ln>
      </xdr:spPr>
    </xdr:sp>
    <xdr:clientData/>
  </xdr:twoCellAnchor>
  <xdr:twoCellAnchor>
    <xdr:from>
      <xdr:col>0</xdr:col>
      <xdr:colOff>723900</xdr:colOff>
      <xdr:row>0</xdr:row>
      <xdr:rowOff>0</xdr:rowOff>
    </xdr:from>
    <xdr:to>
      <xdr:col>0</xdr:col>
      <xdr:colOff>361950</xdr:colOff>
      <xdr:row>0</xdr:row>
      <xdr:rowOff>0</xdr:rowOff>
    </xdr:to>
    <xdr:sp macro="" textlink="">
      <xdr:nvSpPr>
        <xdr:cNvPr id="11857346" name="Line 7"/>
        <xdr:cNvSpPr>
          <a:spLocks noChangeShapeType="1"/>
        </xdr:cNvSpPr>
      </xdr:nvSpPr>
      <xdr:spPr bwMode="auto">
        <a:xfrm>
          <a:off x="361950" y="0"/>
          <a:ext cx="0" cy="0"/>
        </a:xfrm>
        <a:prstGeom prst="line">
          <a:avLst/>
        </a:prstGeom>
        <a:noFill/>
        <a:ln w="9525">
          <a:solidFill>
            <a:schemeClr val="bg1"/>
          </a:solidFill>
          <a:round/>
          <a:headEnd/>
          <a:tailEnd/>
        </a:ln>
      </xdr:spPr>
    </xdr:sp>
    <xdr:clientData/>
  </xdr:twoCellAnchor>
  <xdr:twoCellAnchor>
    <xdr:from>
      <xdr:col>0</xdr:col>
      <xdr:colOff>352425</xdr:colOff>
      <xdr:row>0</xdr:row>
      <xdr:rowOff>0</xdr:rowOff>
    </xdr:from>
    <xdr:to>
      <xdr:col>1</xdr:col>
      <xdr:colOff>47625</xdr:colOff>
      <xdr:row>0</xdr:row>
      <xdr:rowOff>0</xdr:rowOff>
    </xdr:to>
    <xdr:sp macro="" textlink="">
      <xdr:nvSpPr>
        <xdr:cNvPr id="11857347" name="Line 8"/>
        <xdr:cNvSpPr>
          <a:spLocks noChangeShapeType="1"/>
        </xdr:cNvSpPr>
      </xdr:nvSpPr>
      <xdr:spPr bwMode="auto">
        <a:xfrm flipH="1">
          <a:off x="352425" y="0"/>
          <a:ext cx="57150" cy="0"/>
        </a:xfrm>
        <a:prstGeom prst="line">
          <a:avLst/>
        </a:prstGeom>
        <a:noFill/>
        <a:ln w="9525">
          <a:solidFill>
            <a:schemeClr val="bg1"/>
          </a:solidFill>
          <a:round/>
          <a:headEnd/>
          <a:tailEnd/>
        </a:ln>
      </xdr:spPr>
    </xdr:sp>
    <xdr:clientData/>
  </xdr:twoCellAnchor>
  <xdr:twoCellAnchor>
    <xdr:from>
      <xdr:col>0</xdr:col>
      <xdr:colOff>352425</xdr:colOff>
      <xdr:row>0</xdr:row>
      <xdr:rowOff>0</xdr:rowOff>
    </xdr:from>
    <xdr:to>
      <xdr:col>1</xdr:col>
      <xdr:colOff>152400</xdr:colOff>
      <xdr:row>0</xdr:row>
      <xdr:rowOff>0</xdr:rowOff>
    </xdr:to>
    <xdr:sp macro="" textlink="">
      <xdr:nvSpPr>
        <xdr:cNvPr id="11857348" name="Line 9"/>
        <xdr:cNvSpPr>
          <a:spLocks noChangeShapeType="1"/>
        </xdr:cNvSpPr>
      </xdr:nvSpPr>
      <xdr:spPr bwMode="auto">
        <a:xfrm>
          <a:off x="352425" y="0"/>
          <a:ext cx="161925" cy="0"/>
        </a:xfrm>
        <a:prstGeom prst="line">
          <a:avLst/>
        </a:prstGeom>
        <a:noFill/>
        <a:ln w="9525">
          <a:solidFill>
            <a:schemeClr val="bg1"/>
          </a:solidFill>
          <a:round/>
          <a:headEnd/>
          <a:tailEnd/>
        </a:ln>
      </xdr:spPr>
    </xdr:sp>
    <xdr:clientData/>
  </xdr:twoCellAnchor>
  <xdr:twoCellAnchor>
    <xdr:from>
      <xdr:col>3</xdr:col>
      <xdr:colOff>1095375</xdr:colOff>
      <xdr:row>10</xdr:row>
      <xdr:rowOff>0</xdr:rowOff>
    </xdr:from>
    <xdr:to>
      <xdr:col>4</xdr:col>
      <xdr:colOff>9525</xdr:colOff>
      <xdr:row>10</xdr:row>
      <xdr:rowOff>0</xdr:rowOff>
    </xdr:to>
    <xdr:sp macro="" textlink="">
      <xdr:nvSpPr>
        <xdr:cNvPr id="11857349" name="Line 10"/>
        <xdr:cNvSpPr>
          <a:spLocks noChangeShapeType="1"/>
        </xdr:cNvSpPr>
      </xdr:nvSpPr>
      <xdr:spPr bwMode="auto">
        <a:xfrm>
          <a:off x="1895475" y="1895475"/>
          <a:ext cx="9525" cy="0"/>
        </a:xfrm>
        <a:prstGeom prst="line">
          <a:avLst/>
        </a:prstGeom>
        <a:noFill/>
        <a:ln w="9525">
          <a:solidFill>
            <a:schemeClr val="bg1"/>
          </a:solidFill>
          <a:round/>
          <a:headEnd/>
          <a:tailEnd/>
        </a:ln>
      </xdr:spPr>
    </xdr:sp>
    <xdr:clientData/>
  </xdr:twoCellAnchor>
  <xdr:twoCellAnchor>
    <xdr:from>
      <xdr:col>0</xdr:col>
      <xdr:colOff>19050</xdr:colOff>
      <xdr:row>22</xdr:row>
      <xdr:rowOff>19050</xdr:rowOff>
    </xdr:from>
    <xdr:to>
      <xdr:col>3</xdr:col>
      <xdr:colOff>9525</xdr:colOff>
      <xdr:row>24</xdr:row>
      <xdr:rowOff>9525</xdr:rowOff>
    </xdr:to>
    <xdr:sp macro="" textlink="">
      <xdr:nvSpPr>
        <xdr:cNvPr id="11857350" name="Line 11"/>
        <xdr:cNvSpPr>
          <a:spLocks noChangeShapeType="1"/>
        </xdr:cNvSpPr>
      </xdr:nvSpPr>
      <xdr:spPr bwMode="auto">
        <a:xfrm>
          <a:off x="19050" y="4581525"/>
          <a:ext cx="1000125" cy="981075"/>
        </a:xfrm>
        <a:prstGeom prst="line">
          <a:avLst/>
        </a:prstGeom>
        <a:noFill/>
        <a:ln w="9525">
          <a:solidFill>
            <a:schemeClr val="bg1"/>
          </a:solidFill>
          <a:round/>
          <a:headEnd/>
          <a:tailEnd/>
        </a:ln>
      </xdr:spPr>
    </xdr:sp>
    <xdr:clientData/>
  </xdr:twoCellAnchor>
  <xdr:twoCellAnchor>
    <xdr:from>
      <xdr:col>0</xdr:col>
      <xdr:colOff>19050</xdr:colOff>
      <xdr:row>1</xdr:row>
      <xdr:rowOff>19050</xdr:rowOff>
    </xdr:from>
    <xdr:to>
      <xdr:col>5</xdr:col>
      <xdr:colOff>9525</xdr:colOff>
      <xdr:row>3</xdr:row>
      <xdr:rowOff>9525</xdr:rowOff>
    </xdr:to>
    <xdr:sp macro="" textlink="">
      <xdr:nvSpPr>
        <xdr:cNvPr id="11857351" name="Line 13"/>
        <xdr:cNvSpPr>
          <a:spLocks noChangeShapeType="1"/>
        </xdr:cNvSpPr>
      </xdr:nvSpPr>
      <xdr:spPr bwMode="auto">
        <a:xfrm>
          <a:off x="19050" y="161925"/>
          <a:ext cx="2647950" cy="428625"/>
        </a:xfrm>
        <a:prstGeom prst="line">
          <a:avLst/>
        </a:prstGeom>
        <a:noFill/>
        <a:ln w="9525">
          <a:solidFill>
            <a:schemeClr val="bg1"/>
          </a:solidFill>
          <a:round/>
          <a:headEnd/>
          <a:tailEnd/>
        </a:ln>
      </xdr:spPr>
    </xdr:sp>
    <xdr:clientData/>
  </xdr:twoCellAnchor>
  <xdr:twoCellAnchor>
    <xdr:from>
      <xdr:col>0</xdr:col>
      <xdr:colOff>1</xdr:colOff>
      <xdr:row>35</xdr:row>
      <xdr:rowOff>0</xdr:rowOff>
    </xdr:from>
    <xdr:to>
      <xdr:col>9</xdr:col>
      <xdr:colOff>647701</xdr:colOff>
      <xdr:row>48</xdr:row>
      <xdr:rowOff>9525</xdr:rowOff>
    </xdr:to>
    <xdr:graphicFrame macro="">
      <xdr:nvGraphicFramePr>
        <xdr:cNvPr id="14" name="차트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1</xdr:row>
      <xdr:rowOff>9525</xdr:rowOff>
    </xdr:from>
    <xdr:to>
      <xdr:col>1</xdr:col>
      <xdr:colOff>0</xdr:colOff>
      <xdr:row>2</xdr:row>
      <xdr:rowOff>180975</xdr:rowOff>
    </xdr:to>
    <xdr:sp macro="" textlink="">
      <xdr:nvSpPr>
        <xdr:cNvPr id="11859095" name="Line 1"/>
        <xdr:cNvSpPr>
          <a:spLocks noChangeShapeType="1"/>
        </xdr:cNvSpPr>
      </xdr:nvSpPr>
      <xdr:spPr bwMode="auto">
        <a:xfrm>
          <a:off x="38100" y="200025"/>
          <a:ext cx="790575" cy="361950"/>
        </a:xfrm>
        <a:prstGeom prst="line">
          <a:avLst/>
        </a:prstGeom>
        <a:noFill/>
        <a:ln w="9525">
          <a:solidFill>
            <a:schemeClr val="bg1"/>
          </a:solidFill>
          <a:round/>
          <a:headEnd/>
          <a:tailEnd/>
        </a:ln>
      </xdr:spPr>
    </xdr:sp>
    <xdr:clientData/>
  </xdr:twoCellAnchor>
  <xdr:twoCellAnchor>
    <xdr:from>
      <xdr:col>0</xdr:col>
      <xdr:colOff>9525</xdr:colOff>
      <xdr:row>10</xdr:row>
      <xdr:rowOff>19050</xdr:rowOff>
    </xdr:from>
    <xdr:to>
      <xdr:col>1</xdr:col>
      <xdr:colOff>0</xdr:colOff>
      <xdr:row>12</xdr:row>
      <xdr:rowOff>9525</xdr:rowOff>
    </xdr:to>
    <xdr:sp macro="" textlink="">
      <xdr:nvSpPr>
        <xdr:cNvPr id="11859096" name="Line 2"/>
        <xdr:cNvSpPr>
          <a:spLocks noChangeShapeType="1"/>
        </xdr:cNvSpPr>
      </xdr:nvSpPr>
      <xdr:spPr bwMode="auto">
        <a:xfrm>
          <a:off x="9525" y="1876425"/>
          <a:ext cx="819150" cy="371475"/>
        </a:xfrm>
        <a:prstGeom prst="line">
          <a:avLst/>
        </a:prstGeom>
        <a:noFill/>
        <a:ln w="9525">
          <a:solidFill>
            <a:schemeClr val="bg1"/>
          </a:solidFill>
          <a:round/>
          <a:headEnd/>
          <a:tailEnd/>
        </a:ln>
      </xdr:spPr>
    </xdr:sp>
    <xdr:clientData/>
  </xdr:twoCellAnchor>
  <xdr:twoCellAnchor>
    <xdr:from>
      <xdr:col>0</xdr:col>
      <xdr:colOff>0</xdr:colOff>
      <xdr:row>32</xdr:row>
      <xdr:rowOff>0</xdr:rowOff>
    </xdr:from>
    <xdr:to>
      <xdr:col>7</xdr:col>
      <xdr:colOff>209550</xdr:colOff>
      <xdr:row>45</xdr:row>
      <xdr:rowOff>152400</xdr:rowOff>
    </xdr:to>
    <xdr:graphicFrame macro="">
      <xdr:nvGraphicFramePr>
        <xdr:cNvPr id="7"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74</xdr:col>
      <xdr:colOff>142875</xdr:colOff>
      <xdr:row>16</xdr:row>
      <xdr:rowOff>0</xdr:rowOff>
    </xdr:from>
    <xdr:to>
      <xdr:col>74</xdr:col>
      <xdr:colOff>142875</xdr:colOff>
      <xdr:row>36</xdr:row>
      <xdr:rowOff>129000</xdr:rowOff>
    </xdr:to>
    <xdr:sp macro="" textlink="">
      <xdr:nvSpPr>
        <xdr:cNvPr id="11274616" name="Text Box 1"/>
        <xdr:cNvSpPr txBox="1">
          <a:spLocks noChangeArrowheads="1"/>
        </xdr:cNvSpPr>
      </xdr:nvSpPr>
      <xdr:spPr bwMode="auto">
        <a:xfrm>
          <a:off x="57769125" y="3429000"/>
          <a:ext cx="0" cy="4320000"/>
        </a:xfrm>
        <a:prstGeom prst="rect">
          <a:avLst/>
        </a:prstGeom>
        <a:noFill/>
        <a:ln w="9525">
          <a:noFill/>
          <a:miter lim="800000"/>
          <a:headEnd/>
          <a:tailEnd/>
        </a:ln>
      </xdr:spPr>
    </xdr:sp>
    <xdr:clientData/>
  </xdr:twoCellAnchor>
  <xdr:twoCellAnchor>
    <xdr:from>
      <xdr:col>0</xdr:col>
      <xdr:colOff>9298</xdr:colOff>
      <xdr:row>18</xdr:row>
      <xdr:rowOff>0</xdr:rowOff>
    </xdr:from>
    <xdr:to>
      <xdr:col>6</xdr:col>
      <xdr:colOff>361048</xdr:colOff>
      <xdr:row>37</xdr:row>
      <xdr:rowOff>129000</xdr:rowOff>
    </xdr:to>
    <xdr:graphicFrame macro="">
      <xdr:nvGraphicFramePr>
        <xdr:cNvPr id="2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18</xdr:row>
      <xdr:rowOff>0</xdr:rowOff>
    </xdr:from>
    <xdr:to>
      <xdr:col>14</xdr:col>
      <xdr:colOff>66000</xdr:colOff>
      <xdr:row>37</xdr:row>
      <xdr:rowOff>129000</xdr:rowOff>
    </xdr:to>
    <xdr:graphicFrame macro="">
      <xdr:nvGraphicFramePr>
        <xdr:cNvPr id="7"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0</xdr:rowOff>
    </xdr:from>
    <xdr:to>
      <xdr:col>1</xdr:col>
      <xdr:colOff>0</xdr:colOff>
      <xdr:row>4</xdr:row>
      <xdr:rowOff>0</xdr:rowOff>
    </xdr:to>
    <xdr:sp macro="" textlink="">
      <xdr:nvSpPr>
        <xdr:cNvPr id="8" name="Line 1"/>
        <xdr:cNvSpPr>
          <a:spLocks noChangeShapeType="1"/>
        </xdr:cNvSpPr>
      </xdr:nvSpPr>
      <xdr:spPr bwMode="auto">
        <a:xfrm>
          <a:off x="0" y="209550"/>
          <a:ext cx="1238250" cy="704850"/>
        </a:xfrm>
        <a:prstGeom prst="line">
          <a:avLst/>
        </a:prstGeom>
        <a:noFill/>
        <a:ln w="9525">
          <a:solidFill>
            <a:schemeClr val="bg1"/>
          </a:solidFill>
          <a:round/>
          <a:headEnd/>
          <a:tailEnd/>
        </a:ln>
      </xdr:spPr>
    </xdr:sp>
    <xdr:clientData/>
  </xdr:twoCellAnchor>
  <xdr:twoCellAnchor>
    <xdr:from>
      <xdr:col>0</xdr:col>
      <xdr:colOff>0</xdr:colOff>
      <xdr:row>7</xdr:row>
      <xdr:rowOff>209549</xdr:rowOff>
    </xdr:from>
    <xdr:to>
      <xdr:col>1</xdr:col>
      <xdr:colOff>9525</xdr:colOff>
      <xdr:row>10</xdr:row>
      <xdr:rowOff>9524</xdr:rowOff>
    </xdr:to>
    <xdr:sp macro="" textlink="">
      <xdr:nvSpPr>
        <xdr:cNvPr id="9" name="Line 1"/>
        <xdr:cNvSpPr>
          <a:spLocks noChangeShapeType="1"/>
        </xdr:cNvSpPr>
      </xdr:nvSpPr>
      <xdr:spPr bwMode="auto">
        <a:xfrm>
          <a:off x="0" y="1752599"/>
          <a:ext cx="1247775" cy="428625"/>
        </a:xfrm>
        <a:prstGeom prst="line">
          <a:avLst/>
        </a:prstGeom>
        <a:noFill/>
        <a:ln w="9525">
          <a:solidFill>
            <a:schemeClr val="bg1"/>
          </a:solidFill>
          <a:round/>
          <a:headEnd/>
          <a:tailEnd/>
        </a:ln>
      </xdr:spPr>
    </xdr:sp>
    <xdr:clientData/>
  </xdr:twoCellAnchor>
  <xdr:oneCellAnchor>
    <xdr:from>
      <xdr:col>5</xdr:col>
      <xdr:colOff>476250</xdr:colOff>
      <xdr:row>21</xdr:row>
      <xdr:rowOff>114300</xdr:rowOff>
    </xdr:from>
    <xdr:ext cx="466794" cy="336246"/>
    <xdr:sp macro="" textlink="">
      <xdr:nvSpPr>
        <xdr:cNvPr id="10" name="TextBox 9"/>
        <xdr:cNvSpPr txBox="1"/>
      </xdr:nvSpPr>
      <xdr:spPr>
        <a:xfrm>
          <a:off x="4762500" y="4591050"/>
          <a:ext cx="466794"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50" b="1">
              <a:solidFill>
                <a:schemeClr val="accent1"/>
              </a:solidFill>
            </a:rPr>
            <a:t>합의</a:t>
          </a:r>
        </a:p>
      </xdr:txBody>
    </xdr:sp>
    <xdr:clientData/>
  </xdr:oneCellAnchor>
  <xdr:oneCellAnchor>
    <xdr:from>
      <xdr:col>13</xdr:col>
      <xdr:colOff>95250</xdr:colOff>
      <xdr:row>22</xdr:row>
      <xdr:rowOff>152400</xdr:rowOff>
    </xdr:from>
    <xdr:ext cx="723275" cy="325217"/>
    <xdr:sp macro="" textlink="">
      <xdr:nvSpPr>
        <xdr:cNvPr id="11" name="TextBox 10"/>
        <xdr:cNvSpPr txBox="1"/>
      </xdr:nvSpPr>
      <xdr:spPr>
        <a:xfrm>
          <a:off x="10477500" y="4838700"/>
          <a:ext cx="723275"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50" b="1">
              <a:solidFill>
                <a:schemeClr val="accent1"/>
              </a:solidFill>
            </a:rPr>
            <a:t>고등법원</a:t>
          </a:r>
        </a:p>
      </xdr:txBody>
    </xdr:sp>
    <xdr:clientData/>
  </xdr:oneCellAnchor>
  <xdr:oneCellAnchor>
    <xdr:from>
      <xdr:col>5</xdr:col>
      <xdr:colOff>552450</xdr:colOff>
      <xdr:row>24</xdr:row>
      <xdr:rowOff>133350</xdr:rowOff>
    </xdr:from>
    <xdr:ext cx="453970" cy="325217"/>
    <xdr:sp macro="" textlink="">
      <xdr:nvSpPr>
        <xdr:cNvPr id="12" name="TextBox 11"/>
        <xdr:cNvSpPr txBox="1"/>
      </xdr:nvSpPr>
      <xdr:spPr>
        <a:xfrm>
          <a:off x="4838700" y="5238750"/>
          <a:ext cx="453970"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50" b="1">
              <a:solidFill>
                <a:schemeClr val="accent2"/>
              </a:solidFill>
            </a:rPr>
            <a:t>단독</a:t>
          </a:r>
        </a:p>
      </xdr:txBody>
    </xdr:sp>
    <xdr:clientData/>
  </xdr:oneCellAnchor>
  <xdr:oneCellAnchor>
    <xdr:from>
      <xdr:col>13</xdr:col>
      <xdr:colOff>142875</xdr:colOff>
      <xdr:row>24</xdr:row>
      <xdr:rowOff>142875</xdr:rowOff>
    </xdr:from>
    <xdr:ext cx="723275" cy="325217"/>
    <xdr:sp macro="" textlink="">
      <xdr:nvSpPr>
        <xdr:cNvPr id="13" name="TextBox 12"/>
        <xdr:cNvSpPr txBox="1"/>
      </xdr:nvSpPr>
      <xdr:spPr>
        <a:xfrm>
          <a:off x="10525125" y="5248275"/>
          <a:ext cx="723275"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50" b="1">
              <a:solidFill>
                <a:schemeClr val="accent2"/>
              </a:solidFill>
            </a:rPr>
            <a:t>지방법원</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38100</xdr:colOff>
      <xdr:row>22</xdr:row>
      <xdr:rowOff>19050</xdr:rowOff>
    </xdr:from>
    <xdr:to>
      <xdr:col>1</xdr:col>
      <xdr:colOff>28575</xdr:colOff>
      <xdr:row>24</xdr:row>
      <xdr:rowOff>9525</xdr:rowOff>
    </xdr:to>
    <xdr:sp macro="" textlink="">
      <xdr:nvSpPr>
        <xdr:cNvPr id="10547568" name="Line 1"/>
        <xdr:cNvSpPr>
          <a:spLocks noChangeShapeType="1"/>
        </xdr:cNvSpPr>
      </xdr:nvSpPr>
      <xdr:spPr bwMode="auto">
        <a:xfrm>
          <a:off x="38100" y="5629275"/>
          <a:ext cx="1133475" cy="371475"/>
        </a:xfrm>
        <a:prstGeom prst="line">
          <a:avLst/>
        </a:prstGeom>
        <a:noFill/>
        <a:ln w="9525">
          <a:solidFill>
            <a:schemeClr val="bg1"/>
          </a:solidFill>
          <a:round/>
          <a:headEnd/>
          <a:tailEnd/>
        </a:ln>
      </xdr:spPr>
    </xdr:sp>
    <xdr:clientData/>
  </xdr:twoCellAnchor>
  <xdr:twoCellAnchor>
    <xdr:from>
      <xdr:col>0</xdr:col>
      <xdr:colOff>1304925</xdr:colOff>
      <xdr:row>26</xdr:row>
      <xdr:rowOff>85725</xdr:rowOff>
    </xdr:from>
    <xdr:to>
      <xdr:col>0</xdr:col>
      <xdr:colOff>1381125</xdr:colOff>
      <xdr:row>28</xdr:row>
      <xdr:rowOff>133350</xdr:rowOff>
    </xdr:to>
    <xdr:sp macro="" textlink="">
      <xdr:nvSpPr>
        <xdr:cNvPr id="10547569" name="AutoShape 3"/>
        <xdr:cNvSpPr>
          <a:spLocks/>
        </xdr:cNvSpPr>
      </xdr:nvSpPr>
      <xdr:spPr bwMode="auto">
        <a:xfrm>
          <a:off x="1304925" y="5972175"/>
          <a:ext cx="76200" cy="466725"/>
        </a:xfrm>
        <a:prstGeom prst="leftBrace">
          <a:avLst>
            <a:gd name="adj1" fmla="val 46875"/>
            <a:gd name="adj2" fmla="val 50000"/>
          </a:avLst>
        </a:prstGeom>
        <a:noFill/>
        <a:ln w="9525">
          <a:solidFill>
            <a:srgbClr val="000000"/>
          </a:solidFill>
          <a:round/>
          <a:headEnd/>
          <a:tailEnd/>
        </a:ln>
      </xdr:spPr>
    </xdr:sp>
    <xdr:clientData/>
  </xdr:twoCellAnchor>
  <xdr:twoCellAnchor>
    <xdr:from>
      <xdr:col>0</xdr:col>
      <xdr:colOff>1304925</xdr:colOff>
      <xdr:row>30</xdr:row>
      <xdr:rowOff>85725</xdr:rowOff>
    </xdr:from>
    <xdr:to>
      <xdr:col>0</xdr:col>
      <xdr:colOff>1381125</xdr:colOff>
      <xdr:row>32</xdr:row>
      <xdr:rowOff>133350</xdr:rowOff>
    </xdr:to>
    <xdr:sp macro="" textlink="">
      <xdr:nvSpPr>
        <xdr:cNvPr id="10547570" name="AutoShape 4"/>
        <xdr:cNvSpPr>
          <a:spLocks/>
        </xdr:cNvSpPr>
      </xdr:nvSpPr>
      <xdr:spPr bwMode="auto">
        <a:xfrm>
          <a:off x="1304925" y="6810375"/>
          <a:ext cx="76200" cy="466725"/>
        </a:xfrm>
        <a:prstGeom prst="leftBrace">
          <a:avLst>
            <a:gd name="adj1" fmla="val 46875"/>
            <a:gd name="adj2" fmla="val 50000"/>
          </a:avLst>
        </a:prstGeom>
        <a:noFill/>
        <a:ln w="9525">
          <a:solidFill>
            <a:srgbClr val="000000"/>
          </a:solidFill>
          <a:round/>
          <a:headEnd/>
          <a:tailEnd/>
        </a:ln>
      </xdr:spPr>
    </xdr:sp>
    <xdr:clientData/>
  </xdr:twoCellAnchor>
  <xdr:twoCellAnchor>
    <xdr:from>
      <xdr:col>0</xdr:col>
      <xdr:colOff>0</xdr:colOff>
      <xdr:row>4</xdr:row>
      <xdr:rowOff>0</xdr:rowOff>
    </xdr:from>
    <xdr:to>
      <xdr:col>1</xdr:col>
      <xdr:colOff>9525</xdr:colOff>
      <xdr:row>7</xdr:row>
      <xdr:rowOff>0</xdr:rowOff>
    </xdr:to>
    <xdr:sp macro="" textlink="">
      <xdr:nvSpPr>
        <xdr:cNvPr id="5" name="Line 1"/>
        <xdr:cNvSpPr>
          <a:spLocks noChangeShapeType="1"/>
        </xdr:cNvSpPr>
      </xdr:nvSpPr>
      <xdr:spPr bwMode="auto">
        <a:xfrm>
          <a:off x="0" y="1085850"/>
          <a:ext cx="1724025" cy="628650"/>
        </a:xfrm>
        <a:prstGeom prst="line">
          <a:avLst/>
        </a:prstGeom>
        <a:noFill/>
        <a:ln w="9525">
          <a:solidFill>
            <a:schemeClr val="bg1"/>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17</xdr:row>
      <xdr:rowOff>2288</xdr:rowOff>
    </xdr:from>
    <xdr:to>
      <xdr:col>3</xdr:col>
      <xdr:colOff>986250</xdr:colOff>
      <xdr:row>39</xdr:row>
      <xdr:rowOff>72188</xdr:rowOff>
    </xdr:to>
    <xdr:graphicFrame macro="">
      <xdr:nvGraphicFramePr>
        <xdr:cNvPr id="9"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1</xdr:col>
      <xdr:colOff>9525</xdr:colOff>
      <xdr:row>3</xdr:row>
      <xdr:rowOff>9525</xdr:rowOff>
    </xdr:to>
    <xdr:sp macro="" textlink="">
      <xdr:nvSpPr>
        <xdr:cNvPr id="6" name="Line 1"/>
        <xdr:cNvSpPr>
          <a:spLocks noChangeShapeType="1"/>
        </xdr:cNvSpPr>
      </xdr:nvSpPr>
      <xdr:spPr bwMode="auto">
        <a:xfrm>
          <a:off x="0" y="209550"/>
          <a:ext cx="1247775" cy="428625"/>
        </a:xfrm>
        <a:prstGeom prst="line">
          <a:avLst/>
        </a:prstGeom>
        <a:noFill/>
        <a:ln w="9525">
          <a:solidFill>
            <a:schemeClr val="bg1"/>
          </a:solidFill>
          <a:round/>
          <a:headEnd/>
          <a:tailEnd/>
        </a:ln>
      </xdr:spPr>
    </xdr:sp>
    <xdr:clientData/>
  </xdr:twoCellAnchor>
  <xdr:twoCellAnchor>
    <xdr:from>
      <xdr:col>0</xdr:col>
      <xdr:colOff>0</xdr:colOff>
      <xdr:row>8</xdr:row>
      <xdr:rowOff>0</xdr:rowOff>
    </xdr:from>
    <xdr:to>
      <xdr:col>1</xdr:col>
      <xdr:colOff>9525</xdr:colOff>
      <xdr:row>10</xdr:row>
      <xdr:rowOff>9525</xdr:rowOff>
    </xdr:to>
    <xdr:sp macro="" textlink="">
      <xdr:nvSpPr>
        <xdr:cNvPr id="7" name="Line 1"/>
        <xdr:cNvSpPr>
          <a:spLocks noChangeShapeType="1"/>
        </xdr:cNvSpPr>
      </xdr:nvSpPr>
      <xdr:spPr bwMode="auto">
        <a:xfrm>
          <a:off x="0" y="209550"/>
          <a:ext cx="1247775" cy="428625"/>
        </a:xfrm>
        <a:prstGeom prst="line">
          <a:avLst/>
        </a:prstGeom>
        <a:noFill/>
        <a:ln w="9525">
          <a:solidFill>
            <a:schemeClr val="bg1"/>
          </a:solidFill>
          <a:round/>
          <a:headEnd/>
          <a:tailEnd/>
        </a:ln>
      </xdr:spPr>
    </xdr:sp>
    <xdr:clientData/>
  </xdr:twoCellAnchor>
  <xdr:twoCellAnchor>
    <xdr:from>
      <xdr:col>4</xdr:col>
      <xdr:colOff>0</xdr:colOff>
      <xdr:row>17</xdr:row>
      <xdr:rowOff>0</xdr:rowOff>
    </xdr:from>
    <xdr:to>
      <xdr:col>8</xdr:col>
      <xdr:colOff>685800</xdr:colOff>
      <xdr:row>39</xdr:row>
      <xdr:rowOff>69900</xdr:rowOff>
    </xdr:to>
    <xdr:graphicFrame macro="">
      <xdr:nvGraphicFramePr>
        <xdr:cNvPr id="1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209549</xdr:rowOff>
    </xdr:from>
    <xdr:to>
      <xdr:col>1</xdr:col>
      <xdr:colOff>9525</xdr:colOff>
      <xdr:row>44</xdr:row>
      <xdr:rowOff>9524</xdr:rowOff>
    </xdr:to>
    <xdr:sp macro="" textlink="">
      <xdr:nvSpPr>
        <xdr:cNvPr id="8" name="Line 1"/>
        <xdr:cNvSpPr>
          <a:spLocks noChangeShapeType="1"/>
        </xdr:cNvSpPr>
      </xdr:nvSpPr>
      <xdr:spPr bwMode="auto">
        <a:xfrm>
          <a:off x="0" y="8458199"/>
          <a:ext cx="1247775" cy="428625"/>
        </a:xfrm>
        <a:prstGeom prst="line">
          <a:avLst/>
        </a:prstGeom>
        <a:noFill/>
        <a:ln w="9525">
          <a:solidFill>
            <a:schemeClr val="bg1"/>
          </a:solidFill>
          <a:round/>
          <a:headEnd/>
          <a:tailEnd/>
        </a:ln>
      </xdr:spPr>
    </xdr:sp>
    <xdr:clientData/>
  </xdr:twoCellAnchor>
  <xdr:twoCellAnchor>
    <xdr:from>
      <xdr:col>0</xdr:col>
      <xdr:colOff>0</xdr:colOff>
      <xdr:row>47</xdr:row>
      <xdr:rowOff>209549</xdr:rowOff>
    </xdr:from>
    <xdr:to>
      <xdr:col>1</xdr:col>
      <xdr:colOff>9525</xdr:colOff>
      <xdr:row>50</xdr:row>
      <xdr:rowOff>9524</xdr:rowOff>
    </xdr:to>
    <xdr:sp macro="" textlink="">
      <xdr:nvSpPr>
        <xdr:cNvPr id="10" name="Line 1"/>
        <xdr:cNvSpPr>
          <a:spLocks noChangeShapeType="1"/>
        </xdr:cNvSpPr>
      </xdr:nvSpPr>
      <xdr:spPr bwMode="auto">
        <a:xfrm>
          <a:off x="0" y="9715499"/>
          <a:ext cx="1247775" cy="428625"/>
        </a:xfrm>
        <a:prstGeom prst="line">
          <a:avLst/>
        </a:prstGeom>
        <a:noFill/>
        <a:ln w="9525">
          <a:solidFill>
            <a:schemeClr val="bg1"/>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19050</xdr:colOff>
      <xdr:row>4</xdr:row>
      <xdr:rowOff>9525</xdr:rowOff>
    </xdr:from>
    <xdr:to>
      <xdr:col>1</xdr:col>
      <xdr:colOff>9525</xdr:colOff>
      <xdr:row>6</xdr:row>
      <xdr:rowOff>9525</xdr:rowOff>
    </xdr:to>
    <xdr:sp macro="" textlink="">
      <xdr:nvSpPr>
        <xdr:cNvPr id="9674913" name="Line 2"/>
        <xdr:cNvSpPr>
          <a:spLocks noChangeShapeType="1"/>
        </xdr:cNvSpPr>
      </xdr:nvSpPr>
      <xdr:spPr bwMode="auto">
        <a:xfrm>
          <a:off x="19050" y="695325"/>
          <a:ext cx="1000125" cy="485775"/>
        </a:xfrm>
        <a:prstGeom prst="line">
          <a:avLst/>
        </a:prstGeom>
        <a:noFill/>
        <a:ln w="9525">
          <a:solidFill>
            <a:schemeClr val="bg1"/>
          </a:solidFill>
          <a:round/>
          <a:headEnd/>
          <a:tailEnd/>
        </a:ln>
      </xdr:spPr>
    </xdr:sp>
    <xdr:clientData/>
  </xdr:twoCellAnchor>
  <xdr:twoCellAnchor>
    <xdr:from>
      <xdr:col>0</xdr:col>
      <xdr:colOff>0</xdr:colOff>
      <xdr:row>19</xdr:row>
      <xdr:rowOff>0</xdr:rowOff>
    </xdr:from>
    <xdr:to>
      <xdr:col>2</xdr:col>
      <xdr:colOff>9525</xdr:colOff>
      <xdr:row>21</xdr:row>
      <xdr:rowOff>0</xdr:rowOff>
    </xdr:to>
    <xdr:sp macro="" textlink="">
      <xdr:nvSpPr>
        <xdr:cNvPr id="3" name="Line 2"/>
        <xdr:cNvSpPr>
          <a:spLocks noChangeShapeType="1"/>
        </xdr:cNvSpPr>
      </xdr:nvSpPr>
      <xdr:spPr bwMode="auto">
        <a:xfrm>
          <a:off x="0" y="3867150"/>
          <a:ext cx="2181225" cy="419100"/>
        </a:xfrm>
        <a:prstGeom prst="line">
          <a:avLst/>
        </a:prstGeom>
        <a:noFill/>
        <a:ln w="9525">
          <a:solidFill>
            <a:schemeClr val="bg1"/>
          </a:solidFill>
          <a:round/>
          <a:headEnd/>
          <a:tailEnd/>
        </a:ln>
      </xdr:spPr>
    </xdr:sp>
    <xdr:clientData/>
  </xdr:twoCellAnchor>
  <xdr:twoCellAnchor>
    <xdr:from>
      <xdr:col>0</xdr:col>
      <xdr:colOff>0</xdr:colOff>
      <xdr:row>26</xdr:row>
      <xdr:rowOff>0</xdr:rowOff>
    </xdr:from>
    <xdr:to>
      <xdr:col>2</xdr:col>
      <xdr:colOff>9525</xdr:colOff>
      <xdr:row>28</xdr:row>
      <xdr:rowOff>0</xdr:rowOff>
    </xdr:to>
    <xdr:sp macro="" textlink="">
      <xdr:nvSpPr>
        <xdr:cNvPr id="4" name="Line 2"/>
        <xdr:cNvSpPr>
          <a:spLocks noChangeShapeType="1"/>
        </xdr:cNvSpPr>
      </xdr:nvSpPr>
      <xdr:spPr bwMode="auto">
        <a:xfrm>
          <a:off x="0" y="5334000"/>
          <a:ext cx="2181225" cy="419100"/>
        </a:xfrm>
        <a:prstGeom prst="line">
          <a:avLst/>
        </a:prstGeom>
        <a:noFill/>
        <a:ln w="9525">
          <a:solidFill>
            <a:schemeClr val="bg1"/>
          </a:solidFill>
          <a:round/>
          <a:headEnd/>
          <a:tailEnd/>
        </a:ln>
      </xdr:spPr>
    </xdr:sp>
    <xdr:clientData/>
  </xdr:twoCellAnchor>
  <xdr:twoCellAnchor>
    <xdr:from>
      <xdr:col>0</xdr:col>
      <xdr:colOff>0</xdr:colOff>
      <xdr:row>34</xdr:row>
      <xdr:rowOff>0</xdr:rowOff>
    </xdr:from>
    <xdr:to>
      <xdr:col>2</xdr:col>
      <xdr:colOff>9525</xdr:colOff>
      <xdr:row>36</xdr:row>
      <xdr:rowOff>0</xdr:rowOff>
    </xdr:to>
    <xdr:sp macro="" textlink="">
      <xdr:nvSpPr>
        <xdr:cNvPr id="5" name="Line 2"/>
        <xdr:cNvSpPr>
          <a:spLocks noChangeShapeType="1"/>
        </xdr:cNvSpPr>
      </xdr:nvSpPr>
      <xdr:spPr bwMode="auto">
        <a:xfrm>
          <a:off x="0" y="7010400"/>
          <a:ext cx="2181225" cy="419100"/>
        </a:xfrm>
        <a:prstGeom prst="line">
          <a:avLst/>
        </a:prstGeom>
        <a:noFill/>
        <a:ln w="9525">
          <a:solidFill>
            <a:schemeClr val="bg1"/>
          </a:solidFill>
          <a:round/>
          <a:headEnd/>
          <a:tailEnd/>
        </a:ln>
      </xdr:spPr>
    </xdr:sp>
    <xdr:clientData/>
  </xdr:twoCellAnchor>
  <xdr:twoCellAnchor>
    <xdr:from>
      <xdr:col>0</xdr:col>
      <xdr:colOff>0</xdr:colOff>
      <xdr:row>44</xdr:row>
      <xdr:rowOff>0</xdr:rowOff>
    </xdr:from>
    <xdr:to>
      <xdr:col>2</xdr:col>
      <xdr:colOff>9525</xdr:colOff>
      <xdr:row>46</xdr:row>
      <xdr:rowOff>0</xdr:rowOff>
    </xdr:to>
    <xdr:sp macro="" textlink="">
      <xdr:nvSpPr>
        <xdr:cNvPr id="6" name="Line 2"/>
        <xdr:cNvSpPr>
          <a:spLocks noChangeShapeType="1"/>
        </xdr:cNvSpPr>
      </xdr:nvSpPr>
      <xdr:spPr bwMode="auto">
        <a:xfrm>
          <a:off x="0" y="8896350"/>
          <a:ext cx="2181225" cy="419100"/>
        </a:xfrm>
        <a:prstGeom prst="line">
          <a:avLst/>
        </a:prstGeom>
        <a:noFill/>
        <a:ln w="9525">
          <a:solidFill>
            <a:schemeClr val="bg1"/>
          </a:solidFill>
          <a:round/>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38100</xdr:colOff>
      <xdr:row>3</xdr:row>
      <xdr:rowOff>19050</xdr:rowOff>
    </xdr:from>
    <xdr:to>
      <xdr:col>1</xdr:col>
      <xdr:colOff>28575</xdr:colOff>
      <xdr:row>5</xdr:row>
      <xdr:rowOff>9525</xdr:rowOff>
    </xdr:to>
    <xdr:sp macro="" textlink="">
      <xdr:nvSpPr>
        <xdr:cNvPr id="7913035" name="Line 1025"/>
        <xdr:cNvSpPr>
          <a:spLocks noChangeShapeType="1"/>
        </xdr:cNvSpPr>
      </xdr:nvSpPr>
      <xdr:spPr bwMode="auto">
        <a:xfrm>
          <a:off x="38100" y="723900"/>
          <a:ext cx="752475" cy="371475"/>
        </a:xfrm>
        <a:prstGeom prst="line">
          <a:avLst/>
        </a:prstGeom>
        <a:noFill/>
        <a:ln w="9525">
          <a:solidFill>
            <a:schemeClr val="bg1"/>
          </a:solidFill>
          <a:round/>
          <a:headEnd/>
          <a:tailEnd/>
        </a:ln>
      </xdr:spPr>
    </xdr:sp>
    <xdr:clientData/>
  </xdr:twoCellAnchor>
  <xdr:twoCellAnchor>
    <xdr:from>
      <xdr:col>0</xdr:col>
      <xdr:colOff>19050</xdr:colOff>
      <xdr:row>17</xdr:row>
      <xdr:rowOff>19050</xdr:rowOff>
    </xdr:from>
    <xdr:to>
      <xdr:col>1</xdr:col>
      <xdr:colOff>0</xdr:colOff>
      <xdr:row>18</xdr:row>
      <xdr:rowOff>476250</xdr:rowOff>
    </xdr:to>
    <xdr:sp macro="" textlink="">
      <xdr:nvSpPr>
        <xdr:cNvPr id="7913036" name="Line 1026"/>
        <xdr:cNvSpPr>
          <a:spLocks noChangeShapeType="1"/>
        </xdr:cNvSpPr>
      </xdr:nvSpPr>
      <xdr:spPr bwMode="auto">
        <a:xfrm>
          <a:off x="19050" y="3686175"/>
          <a:ext cx="742950" cy="695325"/>
        </a:xfrm>
        <a:prstGeom prst="line">
          <a:avLst/>
        </a:prstGeom>
        <a:noFill/>
        <a:ln w="9525">
          <a:solidFill>
            <a:schemeClr val="bg1"/>
          </a:solidFill>
          <a:round/>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9526</xdr:colOff>
      <xdr:row>33</xdr:row>
      <xdr:rowOff>19050</xdr:rowOff>
    </xdr:from>
    <xdr:to>
      <xdr:col>1</xdr:col>
      <xdr:colOff>28576</xdr:colOff>
      <xdr:row>36</xdr:row>
      <xdr:rowOff>9525</xdr:rowOff>
    </xdr:to>
    <xdr:sp macro="" textlink="">
      <xdr:nvSpPr>
        <xdr:cNvPr id="7" name="Line 1025"/>
        <xdr:cNvSpPr>
          <a:spLocks noChangeShapeType="1"/>
        </xdr:cNvSpPr>
      </xdr:nvSpPr>
      <xdr:spPr bwMode="auto">
        <a:xfrm>
          <a:off x="9526" y="6934200"/>
          <a:ext cx="1257300" cy="619125"/>
        </a:xfrm>
        <a:prstGeom prst="line">
          <a:avLst/>
        </a:prstGeom>
        <a:noFill/>
        <a:ln w="9525">
          <a:solidFill>
            <a:schemeClr val="bg1"/>
          </a:solidFill>
          <a:round/>
          <a:headEnd/>
          <a:tailEnd/>
        </a:ln>
      </xdr:spPr>
    </xdr:sp>
    <xdr:clientData/>
  </xdr:twoCellAnchor>
  <xdr:twoCellAnchor>
    <xdr:from>
      <xdr:col>0</xdr:col>
      <xdr:colOff>0</xdr:colOff>
      <xdr:row>10</xdr:row>
      <xdr:rowOff>0</xdr:rowOff>
    </xdr:from>
    <xdr:to>
      <xdr:col>1</xdr:col>
      <xdr:colOff>19050</xdr:colOff>
      <xdr:row>12</xdr:row>
      <xdr:rowOff>200025</xdr:rowOff>
    </xdr:to>
    <xdr:sp macro="" textlink="">
      <xdr:nvSpPr>
        <xdr:cNvPr id="8" name="Line 1025"/>
        <xdr:cNvSpPr>
          <a:spLocks noChangeShapeType="1"/>
        </xdr:cNvSpPr>
      </xdr:nvSpPr>
      <xdr:spPr bwMode="auto">
        <a:xfrm>
          <a:off x="0" y="2305050"/>
          <a:ext cx="1257300" cy="619125"/>
        </a:xfrm>
        <a:prstGeom prst="line">
          <a:avLst/>
        </a:prstGeom>
        <a:noFill/>
        <a:ln w="9525">
          <a:solidFill>
            <a:schemeClr val="bg1"/>
          </a:solidFill>
          <a:round/>
          <a:headEnd/>
          <a:tailEnd/>
        </a:ln>
      </xdr:spPr>
    </xdr:sp>
    <xdr:clientData/>
  </xdr:twoCellAnchor>
  <xdr:twoCellAnchor>
    <xdr:from>
      <xdr:col>0</xdr:col>
      <xdr:colOff>9526</xdr:colOff>
      <xdr:row>59</xdr:row>
      <xdr:rowOff>19050</xdr:rowOff>
    </xdr:from>
    <xdr:to>
      <xdr:col>1</xdr:col>
      <xdr:colOff>28576</xdr:colOff>
      <xdr:row>62</xdr:row>
      <xdr:rowOff>9525</xdr:rowOff>
    </xdr:to>
    <xdr:sp macro="" textlink="">
      <xdr:nvSpPr>
        <xdr:cNvPr id="9" name="Line 1025"/>
        <xdr:cNvSpPr>
          <a:spLocks noChangeShapeType="1"/>
        </xdr:cNvSpPr>
      </xdr:nvSpPr>
      <xdr:spPr bwMode="auto">
        <a:xfrm>
          <a:off x="9526" y="6934200"/>
          <a:ext cx="1257300" cy="619125"/>
        </a:xfrm>
        <a:prstGeom prst="line">
          <a:avLst/>
        </a:prstGeom>
        <a:noFill/>
        <a:ln w="9525">
          <a:solidFill>
            <a:schemeClr val="bg1"/>
          </a:solidFill>
          <a:round/>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38100</xdr:colOff>
      <xdr:row>9</xdr:row>
      <xdr:rowOff>0</xdr:rowOff>
    </xdr:from>
    <xdr:to>
      <xdr:col>1</xdr:col>
      <xdr:colOff>0</xdr:colOff>
      <xdr:row>11</xdr:row>
      <xdr:rowOff>9525</xdr:rowOff>
    </xdr:to>
    <xdr:sp macro="" textlink="">
      <xdr:nvSpPr>
        <xdr:cNvPr id="2" name="Line 1025"/>
        <xdr:cNvSpPr>
          <a:spLocks noChangeShapeType="1"/>
        </xdr:cNvSpPr>
      </xdr:nvSpPr>
      <xdr:spPr bwMode="auto">
        <a:xfrm>
          <a:off x="38100" y="1981200"/>
          <a:ext cx="914400" cy="428625"/>
        </a:xfrm>
        <a:prstGeom prst="line">
          <a:avLst/>
        </a:prstGeom>
        <a:noFill/>
        <a:ln w="9525">
          <a:solidFill>
            <a:schemeClr val="bg1"/>
          </a:solidFill>
          <a:round/>
          <a:headEnd/>
          <a:tailEnd/>
        </a:ln>
      </xdr:spPr>
    </xdr:sp>
    <xdr:clientData/>
  </xdr:twoCellAnchor>
  <xdr:twoCellAnchor>
    <xdr:from>
      <xdr:col>0</xdr:col>
      <xdr:colOff>47625</xdr:colOff>
      <xdr:row>27</xdr:row>
      <xdr:rowOff>9525</xdr:rowOff>
    </xdr:from>
    <xdr:to>
      <xdr:col>1</xdr:col>
      <xdr:colOff>0</xdr:colOff>
      <xdr:row>29</xdr:row>
      <xdr:rowOff>0</xdr:rowOff>
    </xdr:to>
    <xdr:sp macro="" textlink="">
      <xdr:nvSpPr>
        <xdr:cNvPr id="3" name="Line 1026"/>
        <xdr:cNvSpPr>
          <a:spLocks noChangeShapeType="1"/>
        </xdr:cNvSpPr>
      </xdr:nvSpPr>
      <xdr:spPr bwMode="auto">
        <a:xfrm>
          <a:off x="47625" y="5762625"/>
          <a:ext cx="904875" cy="409575"/>
        </a:xfrm>
        <a:prstGeom prst="line">
          <a:avLst/>
        </a:prstGeom>
        <a:noFill/>
        <a:ln w="9525">
          <a:solidFill>
            <a:schemeClr val="bg1"/>
          </a:solidFill>
          <a:round/>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28575</xdr:colOff>
      <xdr:row>3</xdr:row>
      <xdr:rowOff>9525</xdr:rowOff>
    </xdr:from>
    <xdr:to>
      <xdr:col>1</xdr:col>
      <xdr:colOff>19050</xdr:colOff>
      <xdr:row>5</xdr:row>
      <xdr:rowOff>19050</xdr:rowOff>
    </xdr:to>
    <xdr:sp macro="" textlink="">
      <xdr:nvSpPr>
        <xdr:cNvPr id="2" name="Line 1"/>
        <xdr:cNvSpPr>
          <a:spLocks noChangeShapeType="1"/>
        </xdr:cNvSpPr>
      </xdr:nvSpPr>
      <xdr:spPr bwMode="auto">
        <a:xfrm>
          <a:off x="28575" y="638175"/>
          <a:ext cx="1228725" cy="428625"/>
        </a:xfrm>
        <a:prstGeom prst="line">
          <a:avLst/>
        </a:prstGeom>
        <a:noFill/>
        <a:ln w="9525">
          <a:solidFill>
            <a:schemeClr val="bg1"/>
          </a:solidFill>
          <a:round/>
          <a:headEnd/>
          <a:tailEnd/>
        </a:ln>
      </xdr:spPr>
    </xdr:sp>
    <xdr:clientData/>
  </xdr:twoCellAnchor>
  <xdr:twoCellAnchor>
    <xdr:from>
      <xdr:col>0</xdr:col>
      <xdr:colOff>19050</xdr:colOff>
      <xdr:row>12</xdr:row>
      <xdr:rowOff>28575</xdr:rowOff>
    </xdr:from>
    <xdr:to>
      <xdr:col>0</xdr:col>
      <xdr:colOff>1143000</xdr:colOff>
      <xdr:row>15</xdr:row>
      <xdr:rowOff>9525</xdr:rowOff>
    </xdr:to>
    <xdr:sp macro="" textlink="">
      <xdr:nvSpPr>
        <xdr:cNvPr id="3" name="Line 2"/>
        <xdr:cNvSpPr>
          <a:spLocks noChangeShapeType="1"/>
        </xdr:cNvSpPr>
      </xdr:nvSpPr>
      <xdr:spPr bwMode="auto">
        <a:xfrm>
          <a:off x="19050" y="2543175"/>
          <a:ext cx="1123950" cy="609600"/>
        </a:xfrm>
        <a:prstGeom prst="line">
          <a:avLst/>
        </a:prstGeom>
        <a:noFill/>
        <a:ln w="9525">
          <a:solidFill>
            <a:schemeClr val="bg1"/>
          </a:solidFill>
          <a:round/>
          <a:headEnd/>
          <a:tailEnd/>
        </a:ln>
      </xdr:spPr>
    </xdr:sp>
    <xdr:clientData/>
  </xdr:twoCellAnchor>
  <xdr:twoCellAnchor>
    <xdr:from>
      <xdr:col>0</xdr:col>
      <xdr:colOff>0</xdr:colOff>
      <xdr:row>24</xdr:row>
      <xdr:rowOff>0</xdr:rowOff>
    </xdr:from>
    <xdr:to>
      <xdr:col>0</xdr:col>
      <xdr:colOff>1152524</xdr:colOff>
      <xdr:row>26</xdr:row>
      <xdr:rowOff>9525</xdr:rowOff>
    </xdr:to>
    <xdr:sp macro="" textlink="">
      <xdr:nvSpPr>
        <xdr:cNvPr id="4" name="Line 2"/>
        <xdr:cNvSpPr>
          <a:spLocks noChangeShapeType="1"/>
        </xdr:cNvSpPr>
      </xdr:nvSpPr>
      <xdr:spPr bwMode="auto">
        <a:xfrm>
          <a:off x="0" y="5029200"/>
          <a:ext cx="1152524" cy="428625"/>
        </a:xfrm>
        <a:prstGeom prst="line">
          <a:avLst/>
        </a:prstGeom>
        <a:noFill/>
        <a:ln w="9525">
          <a:solidFill>
            <a:schemeClr val="bg1"/>
          </a:solidFill>
          <a:round/>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18</xdr:row>
      <xdr:rowOff>19050</xdr:rowOff>
    </xdr:from>
    <xdr:to>
      <xdr:col>2</xdr:col>
      <xdr:colOff>0</xdr:colOff>
      <xdr:row>20</xdr:row>
      <xdr:rowOff>9525</xdr:rowOff>
    </xdr:to>
    <xdr:sp macro="" textlink="">
      <xdr:nvSpPr>
        <xdr:cNvPr id="10551665" name="Line 1"/>
        <xdr:cNvSpPr>
          <a:spLocks noChangeShapeType="1"/>
        </xdr:cNvSpPr>
      </xdr:nvSpPr>
      <xdr:spPr bwMode="auto">
        <a:xfrm>
          <a:off x="0" y="4133850"/>
          <a:ext cx="1657350" cy="409575"/>
        </a:xfrm>
        <a:prstGeom prst="line">
          <a:avLst/>
        </a:prstGeom>
        <a:noFill/>
        <a:ln w="9525">
          <a:solidFill>
            <a:schemeClr val="bg1"/>
          </a:solidFill>
          <a:round/>
          <a:headEnd/>
          <a:tailEnd/>
        </a:ln>
      </xdr:spPr>
    </xdr:sp>
    <xdr:clientData/>
  </xdr:twoCellAnchor>
  <xdr:twoCellAnchor>
    <xdr:from>
      <xdr:col>0</xdr:col>
      <xdr:colOff>19050</xdr:colOff>
      <xdr:row>8</xdr:row>
      <xdr:rowOff>9525</xdr:rowOff>
    </xdr:from>
    <xdr:to>
      <xdr:col>1</xdr:col>
      <xdr:colOff>0</xdr:colOff>
      <xdr:row>11</xdr:row>
      <xdr:rowOff>0</xdr:rowOff>
    </xdr:to>
    <xdr:sp macro="" textlink="">
      <xdr:nvSpPr>
        <xdr:cNvPr id="10551666" name="Line 2"/>
        <xdr:cNvSpPr>
          <a:spLocks noChangeShapeType="1"/>
        </xdr:cNvSpPr>
      </xdr:nvSpPr>
      <xdr:spPr bwMode="auto">
        <a:xfrm>
          <a:off x="19050" y="2581275"/>
          <a:ext cx="809625" cy="723900"/>
        </a:xfrm>
        <a:prstGeom prst="line">
          <a:avLst/>
        </a:prstGeom>
        <a:noFill/>
        <a:ln w="9525">
          <a:solidFill>
            <a:schemeClr val="bg1"/>
          </a:solidFill>
          <a:round/>
          <a:headEnd/>
          <a:tailEnd/>
        </a:ln>
      </xdr:spPr>
    </xdr:sp>
    <xdr:clientData/>
  </xdr:twoCellAnchor>
  <xdr:twoCellAnchor>
    <xdr:from>
      <xdr:col>0</xdr:col>
      <xdr:colOff>9525</xdr:colOff>
      <xdr:row>38</xdr:row>
      <xdr:rowOff>19050</xdr:rowOff>
    </xdr:from>
    <xdr:to>
      <xdr:col>1</xdr:col>
      <xdr:colOff>0</xdr:colOff>
      <xdr:row>40</xdr:row>
      <xdr:rowOff>9525</xdr:rowOff>
    </xdr:to>
    <xdr:sp macro="" textlink="">
      <xdr:nvSpPr>
        <xdr:cNvPr id="10551667" name="Line 3"/>
        <xdr:cNvSpPr>
          <a:spLocks noChangeShapeType="1"/>
        </xdr:cNvSpPr>
      </xdr:nvSpPr>
      <xdr:spPr bwMode="auto">
        <a:xfrm>
          <a:off x="9525" y="8943975"/>
          <a:ext cx="819150" cy="819150"/>
        </a:xfrm>
        <a:prstGeom prst="line">
          <a:avLst/>
        </a:prstGeom>
        <a:noFill/>
        <a:ln w="9525">
          <a:solidFill>
            <a:schemeClr val="bg1"/>
          </a:solidFill>
          <a:round/>
          <a:headEnd/>
          <a:tailEnd/>
        </a:ln>
      </xdr:spPr>
    </xdr:sp>
    <xdr:clientData/>
  </xdr:twoCellAnchor>
  <xdr:twoCellAnchor>
    <xdr:from>
      <xdr:col>0</xdr:col>
      <xdr:colOff>0</xdr:colOff>
      <xdr:row>18</xdr:row>
      <xdr:rowOff>19050</xdr:rowOff>
    </xdr:from>
    <xdr:to>
      <xdr:col>2</xdr:col>
      <xdr:colOff>0</xdr:colOff>
      <xdr:row>20</xdr:row>
      <xdr:rowOff>9525</xdr:rowOff>
    </xdr:to>
    <xdr:sp macro="" textlink="">
      <xdr:nvSpPr>
        <xdr:cNvPr id="11" name="Line 1"/>
        <xdr:cNvSpPr>
          <a:spLocks noChangeShapeType="1"/>
        </xdr:cNvSpPr>
      </xdr:nvSpPr>
      <xdr:spPr bwMode="auto">
        <a:xfrm>
          <a:off x="0" y="4133850"/>
          <a:ext cx="2000250" cy="409575"/>
        </a:xfrm>
        <a:prstGeom prst="line">
          <a:avLst/>
        </a:prstGeom>
        <a:noFill/>
        <a:ln w="9525">
          <a:solidFill>
            <a:schemeClr val="bg1"/>
          </a:solidFill>
          <a:round/>
          <a:headEnd/>
          <a:tailEnd/>
        </a:ln>
      </xdr:spPr>
    </xdr:sp>
    <xdr:clientData/>
  </xdr:twoCellAnchor>
  <xdr:twoCellAnchor>
    <xdr:from>
      <xdr:col>0</xdr:col>
      <xdr:colOff>19050</xdr:colOff>
      <xdr:row>8</xdr:row>
      <xdr:rowOff>9525</xdr:rowOff>
    </xdr:from>
    <xdr:to>
      <xdr:col>1</xdr:col>
      <xdr:colOff>0</xdr:colOff>
      <xdr:row>11</xdr:row>
      <xdr:rowOff>0</xdr:rowOff>
    </xdr:to>
    <xdr:sp macro="" textlink="">
      <xdr:nvSpPr>
        <xdr:cNvPr id="12" name="Line 2"/>
        <xdr:cNvSpPr>
          <a:spLocks noChangeShapeType="1"/>
        </xdr:cNvSpPr>
      </xdr:nvSpPr>
      <xdr:spPr bwMode="auto">
        <a:xfrm>
          <a:off x="19050" y="2028825"/>
          <a:ext cx="1219200" cy="619125"/>
        </a:xfrm>
        <a:prstGeom prst="line">
          <a:avLst/>
        </a:prstGeom>
        <a:noFill/>
        <a:ln w="9525">
          <a:solidFill>
            <a:schemeClr val="bg1"/>
          </a:solidFill>
          <a:round/>
          <a:headEnd/>
          <a:tailEnd/>
        </a:ln>
      </xdr:spPr>
    </xdr:sp>
    <xdr:clientData/>
  </xdr:twoCellAnchor>
  <xdr:twoCellAnchor>
    <xdr:from>
      <xdr:col>0</xdr:col>
      <xdr:colOff>9525</xdr:colOff>
      <xdr:row>38</xdr:row>
      <xdr:rowOff>19050</xdr:rowOff>
    </xdr:from>
    <xdr:to>
      <xdr:col>1</xdr:col>
      <xdr:colOff>0</xdr:colOff>
      <xdr:row>40</xdr:row>
      <xdr:rowOff>9525</xdr:rowOff>
    </xdr:to>
    <xdr:sp macro="" textlink="">
      <xdr:nvSpPr>
        <xdr:cNvPr id="13" name="Line 3"/>
        <xdr:cNvSpPr>
          <a:spLocks noChangeShapeType="1"/>
        </xdr:cNvSpPr>
      </xdr:nvSpPr>
      <xdr:spPr bwMode="auto">
        <a:xfrm>
          <a:off x="9525" y="8324850"/>
          <a:ext cx="1228725" cy="485775"/>
        </a:xfrm>
        <a:prstGeom prst="line">
          <a:avLst/>
        </a:prstGeom>
        <a:noFill/>
        <a:ln w="9525">
          <a:solidFill>
            <a:schemeClr val="bg1"/>
          </a:solidFill>
          <a:round/>
          <a:headEnd/>
          <a:tailEnd/>
        </a:ln>
      </xdr:spPr>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9525</xdr:colOff>
      <xdr:row>9</xdr:row>
      <xdr:rowOff>19050</xdr:rowOff>
    </xdr:from>
    <xdr:to>
      <xdr:col>1</xdr:col>
      <xdr:colOff>0</xdr:colOff>
      <xdr:row>11</xdr:row>
      <xdr:rowOff>9525</xdr:rowOff>
    </xdr:to>
    <xdr:sp macro="" textlink="">
      <xdr:nvSpPr>
        <xdr:cNvPr id="2" name="Line 1"/>
        <xdr:cNvSpPr>
          <a:spLocks noChangeShapeType="1"/>
        </xdr:cNvSpPr>
      </xdr:nvSpPr>
      <xdr:spPr bwMode="auto">
        <a:xfrm>
          <a:off x="9525" y="2000250"/>
          <a:ext cx="942975" cy="409575"/>
        </a:xfrm>
        <a:prstGeom prst="line">
          <a:avLst/>
        </a:prstGeom>
        <a:noFill/>
        <a:ln w="9525">
          <a:solidFill>
            <a:schemeClr val="bg1"/>
          </a:solidFill>
          <a:round/>
          <a:headEnd/>
          <a:tailEnd/>
        </a:ln>
      </xdr:spPr>
    </xdr:sp>
    <xdr:clientData/>
  </xdr:twoCellAnchor>
  <xdr:twoCellAnchor>
    <xdr:from>
      <xdr:col>0</xdr:col>
      <xdr:colOff>9525</xdr:colOff>
      <xdr:row>20</xdr:row>
      <xdr:rowOff>19050</xdr:rowOff>
    </xdr:from>
    <xdr:to>
      <xdr:col>1</xdr:col>
      <xdr:colOff>0</xdr:colOff>
      <xdr:row>22</xdr:row>
      <xdr:rowOff>0</xdr:rowOff>
    </xdr:to>
    <xdr:sp macro="" textlink="">
      <xdr:nvSpPr>
        <xdr:cNvPr id="3" name="Line 2"/>
        <xdr:cNvSpPr>
          <a:spLocks noChangeShapeType="1"/>
        </xdr:cNvSpPr>
      </xdr:nvSpPr>
      <xdr:spPr bwMode="auto">
        <a:xfrm>
          <a:off x="9525" y="4305300"/>
          <a:ext cx="942975" cy="400050"/>
        </a:xfrm>
        <a:prstGeom prst="line">
          <a:avLst/>
        </a:prstGeom>
        <a:noFill/>
        <a:ln w="9525">
          <a:solidFill>
            <a:schemeClr val="bg1"/>
          </a:solidFill>
          <a:round/>
          <a:headEnd/>
          <a:tailEnd/>
        </a:ln>
      </xdr:spPr>
    </xdr:sp>
    <xdr:clientData/>
  </xdr:twoCellAnchor>
  <xdr:twoCellAnchor>
    <xdr:from>
      <xdr:col>0</xdr:col>
      <xdr:colOff>9525</xdr:colOff>
      <xdr:row>9</xdr:row>
      <xdr:rowOff>19050</xdr:rowOff>
    </xdr:from>
    <xdr:to>
      <xdr:col>1</xdr:col>
      <xdr:colOff>0</xdr:colOff>
      <xdr:row>11</xdr:row>
      <xdr:rowOff>9525</xdr:rowOff>
    </xdr:to>
    <xdr:sp macro="" textlink="">
      <xdr:nvSpPr>
        <xdr:cNvPr id="4" name="Line 1"/>
        <xdr:cNvSpPr>
          <a:spLocks noChangeShapeType="1"/>
        </xdr:cNvSpPr>
      </xdr:nvSpPr>
      <xdr:spPr bwMode="auto">
        <a:xfrm>
          <a:off x="9525" y="2000250"/>
          <a:ext cx="942975" cy="409575"/>
        </a:xfrm>
        <a:prstGeom prst="line">
          <a:avLst/>
        </a:prstGeom>
        <a:noFill/>
        <a:ln w="9525">
          <a:solidFill>
            <a:schemeClr val="bg1"/>
          </a:solidFill>
          <a:round/>
          <a:headEnd/>
          <a:tailEnd/>
        </a:ln>
      </xdr:spPr>
    </xdr:sp>
    <xdr:clientData/>
  </xdr:twoCellAnchor>
  <xdr:twoCellAnchor>
    <xdr:from>
      <xdr:col>0</xdr:col>
      <xdr:colOff>9525</xdr:colOff>
      <xdr:row>20</xdr:row>
      <xdr:rowOff>19050</xdr:rowOff>
    </xdr:from>
    <xdr:to>
      <xdr:col>1</xdr:col>
      <xdr:colOff>0</xdr:colOff>
      <xdr:row>22</xdr:row>
      <xdr:rowOff>0</xdr:rowOff>
    </xdr:to>
    <xdr:sp macro="" textlink="">
      <xdr:nvSpPr>
        <xdr:cNvPr id="5" name="Line 2"/>
        <xdr:cNvSpPr>
          <a:spLocks noChangeShapeType="1"/>
        </xdr:cNvSpPr>
      </xdr:nvSpPr>
      <xdr:spPr bwMode="auto">
        <a:xfrm>
          <a:off x="9525" y="4305300"/>
          <a:ext cx="942975" cy="400050"/>
        </a:xfrm>
        <a:prstGeom prst="line">
          <a:avLst/>
        </a:prstGeom>
        <a:noFill/>
        <a:ln w="9525">
          <a:solidFill>
            <a:schemeClr val="bg1"/>
          </a:solidFill>
          <a:round/>
          <a:headEnd/>
          <a:tailEnd/>
        </a:ln>
      </xdr:spPr>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9525</xdr:colOff>
      <xdr:row>4</xdr:row>
      <xdr:rowOff>0</xdr:rowOff>
    </xdr:from>
    <xdr:to>
      <xdr:col>1</xdr:col>
      <xdr:colOff>0</xdr:colOff>
      <xdr:row>6</xdr:row>
      <xdr:rowOff>9525</xdr:rowOff>
    </xdr:to>
    <xdr:sp macro="" textlink="">
      <xdr:nvSpPr>
        <xdr:cNvPr id="2" name="Line 1"/>
        <xdr:cNvSpPr>
          <a:spLocks noChangeShapeType="1"/>
        </xdr:cNvSpPr>
      </xdr:nvSpPr>
      <xdr:spPr bwMode="auto">
        <a:xfrm>
          <a:off x="9525" y="1085850"/>
          <a:ext cx="1419225" cy="428625"/>
        </a:xfrm>
        <a:prstGeom prst="line">
          <a:avLst/>
        </a:prstGeom>
        <a:noFill/>
        <a:ln w="9525">
          <a:solidFill>
            <a:schemeClr val="bg1"/>
          </a:solidFill>
          <a:round/>
          <a:headEnd/>
          <a:tailEnd/>
        </a:ln>
      </xdr:spPr>
    </xdr:sp>
    <xdr:clientData/>
  </xdr:twoCellAnchor>
  <xdr:twoCellAnchor>
    <xdr:from>
      <xdr:col>0</xdr:col>
      <xdr:colOff>0</xdr:colOff>
      <xdr:row>24</xdr:row>
      <xdr:rowOff>0</xdr:rowOff>
    </xdr:from>
    <xdr:to>
      <xdr:col>5</xdr:col>
      <xdr:colOff>885825</xdr:colOff>
      <xdr:row>40</xdr:row>
      <xdr:rowOff>123825</xdr:rowOff>
    </xdr:to>
    <xdr:graphicFrame macro="">
      <xdr:nvGraphicFramePr>
        <xdr:cNvPr id="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4</xdr:row>
      <xdr:rowOff>0</xdr:rowOff>
    </xdr:from>
    <xdr:to>
      <xdr:col>1</xdr:col>
      <xdr:colOff>0</xdr:colOff>
      <xdr:row>6</xdr:row>
      <xdr:rowOff>9525</xdr:rowOff>
    </xdr:to>
    <xdr:sp macro="" textlink="">
      <xdr:nvSpPr>
        <xdr:cNvPr id="10" name="Line 1"/>
        <xdr:cNvSpPr>
          <a:spLocks noChangeShapeType="1"/>
        </xdr:cNvSpPr>
      </xdr:nvSpPr>
      <xdr:spPr bwMode="auto">
        <a:xfrm>
          <a:off x="9525" y="1085850"/>
          <a:ext cx="1419225" cy="428625"/>
        </a:xfrm>
        <a:prstGeom prst="line">
          <a:avLst/>
        </a:prstGeom>
        <a:noFill/>
        <a:ln w="9525">
          <a:solidFill>
            <a:schemeClr val="bg1"/>
          </a:solidFill>
          <a:round/>
          <a:headEnd/>
          <a:tailEnd/>
        </a:ln>
      </xdr:spPr>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28575</xdr:colOff>
      <xdr:row>28</xdr:row>
      <xdr:rowOff>9525</xdr:rowOff>
    </xdr:from>
    <xdr:to>
      <xdr:col>1</xdr:col>
      <xdr:colOff>9525</xdr:colOff>
      <xdr:row>30</xdr:row>
      <xdr:rowOff>0</xdr:rowOff>
    </xdr:to>
    <xdr:sp macro="" textlink="">
      <xdr:nvSpPr>
        <xdr:cNvPr id="2" name="Line 1"/>
        <xdr:cNvSpPr>
          <a:spLocks noChangeShapeType="1"/>
        </xdr:cNvSpPr>
      </xdr:nvSpPr>
      <xdr:spPr bwMode="auto">
        <a:xfrm>
          <a:off x="28575" y="6067425"/>
          <a:ext cx="1219200" cy="409575"/>
        </a:xfrm>
        <a:prstGeom prst="line">
          <a:avLst/>
        </a:prstGeom>
        <a:noFill/>
        <a:ln w="9525">
          <a:solidFill>
            <a:schemeClr val="bg1"/>
          </a:solidFill>
          <a:round/>
          <a:headEnd/>
          <a:tailEnd/>
        </a:ln>
      </xdr:spPr>
    </xdr:sp>
    <xdr:clientData/>
  </xdr:twoCellAnchor>
  <xdr:twoCellAnchor>
    <xdr:from>
      <xdr:col>0</xdr:col>
      <xdr:colOff>0</xdr:colOff>
      <xdr:row>6</xdr:row>
      <xdr:rowOff>0</xdr:rowOff>
    </xdr:from>
    <xdr:to>
      <xdr:col>9</xdr:col>
      <xdr:colOff>9525</xdr:colOff>
      <xdr:row>22</xdr:row>
      <xdr:rowOff>200025</xdr:rowOff>
    </xdr:to>
    <xdr:graphicFrame macro="">
      <xdr:nvGraphicFramePr>
        <xdr:cNvPr id="3"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28</xdr:row>
      <xdr:rowOff>9525</xdr:rowOff>
    </xdr:from>
    <xdr:to>
      <xdr:col>1</xdr:col>
      <xdr:colOff>9525</xdr:colOff>
      <xdr:row>30</xdr:row>
      <xdr:rowOff>0</xdr:rowOff>
    </xdr:to>
    <xdr:sp macro="" textlink="">
      <xdr:nvSpPr>
        <xdr:cNvPr id="6" name="Line 1"/>
        <xdr:cNvSpPr>
          <a:spLocks noChangeShapeType="1"/>
        </xdr:cNvSpPr>
      </xdr:nvSpPr>
      <xdr:spPr bwMode="auto">
        <a:xfrm>
          <a:off x="28575" y="6067425"/>
          <a:ext cx="1219200" cy="409575"/>
        </a:xfrm>
        <a:prstGeom prst="line">
          <a:avLst/>
        </a:prstGeom>
        <a:noFill/>
        <a:ln w="9525">
          <a:solidFill>
            <a:schemeClr val="bg1"/>
          </a:solidFill>
          <a:round/>
          <a:headEnd/>
          <a:tailEnd/>
        </a:ln>
      </xdr:spPr>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685800</xdr:colOff>
      <xdr:row>10</xdr:row>
      <xdr:rowOff>85725</xdr:rowOff>
    </xdr:from>
    <xdr:to>
      <xdr:col>1</xdr:col>
      <xdr:colOff>0</xdr:colOff>
      <xdr:row>11</xdr:row>
      <xdr:rowOff>104775</xdr:rowOff>
    </xdr:to>
    <xdr:sp macro="" textlink="">
      <xdr:nvSpPr>
        <xdr:cNvPr id="2" name="AutoShape 4"/>
        <xdr:cNvSpPr>
          <a:spLocks/>
        </xdr:cNvSpPr>
      </xdr:nvSpPr>
      <xdr:spPr bwMode="auto">
        <a:xfrm>
          <a:off x="685800" y="2181225"/>
          <a:ext cx="76200" cy="228600"/>
        </a:xfrm>
        <a:prstGeom prst="leftBrace">
          <a:avLst>
            <a:gd name="adj1" fmla="val 19792"/>
            <a:gd name="adj2" fmla="val 50000"/>
          </a:avLst>
        </a:prstGeom>
        <a:noFill/>
        <a:ln w="9525">
          <a:solidFill>
            <a:srgbClr val="000000"/>
          </a:solidFill>
          <a:round/>
          <a:headEnd/>
          <a:tailEnd/>
        </a:ln>
      </xdr:spPr>
    </xdr:sp>
    <xdr:clientData/>
  </xdr:twoCellAnchor>
  <xdr:twoCellAnchor>
    <xdr:from>
      <xdr:col>0</xdr:col>
      <xdr:colOff>0</xdr:colOff>
      <xdr:row>39</xdr:row>
      <xdr:rowOff>0</xdr:rowOff>
    </xdr:from>
    <xdr:to>
      <xdr:col>9</xdr:col>
      <xdr:colOff>657225</xdr:colOff>
      <xdr:row>57</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0</xdr:rowOff>
    </xdr:from>
    <xdr:to>
      <xdr:col>2</xdr:col>
      <xdr:colOff>0</xdr:colOff>
      <xdr:row>5</xdr:row>
      <xdr:rowOff>9525</xdr:rowOff>
    </xdr:to>
    <xdr:sp macro="" textlink="">
      <xdr:nvSpPr>
        <xdr:cNvPr id="4" name="Line 1"/>
        <xdr:cNvSpPr>
          <a:spLocks noChangeShapeType="1"/>
        </xdr:cNvSpPr>
      </xdr:nvSpPr>
      <xdr:spPr bwMode="auto">
        <a:xfrm>
          <a:off x="0" y="628650"/>
          <a:ext cx="1524000" cy="428625"/>
        </a:xfrm>
        <a:prstGeom prst="line">
          <a:avLst/>
        </a:prstGeom>
        <a:noFill/>
        <a:ln w="9525">
          <a:solidFill>
            <a:schemeClr val="bg1"/>
          </a:solidFill>
          <a:round/>
          <a:headEnd/>
          <a:tailEnd/>
        </a:ln>
      </xdr:spPr>
    </xdr:sp>
    <xdr:clientData/>
  </xdr:twoCellAnchor>
  <xdr:twoCellAnchor>
    <xdr:from>
      <xdr:col>0</xdr:col>
      <xdr:colOff>0</xdr:colOff>
      <xdr:row>19</xdr:row>
      <xdr:rowOff>0</xdr:rowOff>
    </xdr:from>
    <xdr:to>
      <xdr:col>1</xdr:col>
      <xdr:colOff>0</xdr:colOff>
      <xdr:row>21</xdr:row>
      <xdr:rowOff>9525</xdr:rowOff>
    </xdr:to>
    <xdr:sp macro="" textlink="">
      <xdr:nvSpPr>
        <xdr:cNvPr id="5" name="Line 1"/>
        <xdr:cNvSpPr>
          <a:spLocks noChangeShapeType="1"/>
        </xdr:cNvSpPr>
      </xdr:nvSpPr>
      <xdr:spPr bwMode="auto">
        <a:xfrm>
          <a:off x="0" y="3981450"/>
          <a:ext cx="762000" cy="428625"/>
        </a:xfrm>
        <a:prstGeom prst="line">
          <a:avLst/>
        </a:prstGeom>
        <a:noFill/>
        <a:ln w="9525">
          <a:solidFill>
            <a:schemeClr val="bg1"/>
          </a:solidFill>
          <a:round/>
          <a:headEnd/>
          <a:tailEnd/>
        </a:ln>
      </xdr:spPr>
    </xdr:sp>
    <xdr:clientData/>
  </xdr:twoCellAnchor>
  <xdr:twoCellAnchor>
    <xdr:from>
      <xdr:col>0</xdr:col>
      <xdr:colOff>0</xdr:colOff>
      <xdr:row>29</xdr:row>
      <xdr:rowOff>0</xdr:rowOff>
    </xdr:from>
    <xdr:to>
      <xdr:col>1</xdr:col>
      <xdr:colOff>0</xdr:colOff>
      <xdr:row>31</xdr:row>
      <xdr:rowOff>9525</xdr:rowOff>
    </xdr:to>
    <xdr:sp macro="" textlink="">
      <xdr:nvSpPr>
        <xdr:cNvPr id="6" name="Line 1"/>
        <xdr:cNvSpPr>
          <a:spLocks noChangeShapeType="1"/>
        </xdr:cNvSpPr>
      </xdr:nvSpPr>
      <xdr:spPr bwMode="auto">
        <a:xfrm>
          <a:off x="0" y="6076950"/>
          <a:ext cx="762000" cy="428625"/>
        </a:xfrm>
        <a:prstGeom prst="line">
          <a:avLst/>
        </a:prstGeom>
        <a:noFill/>
        <a:ln w="9525">
          <a:solidFill>
            <a:schemeClr val="bg1"/>
          </a:solidFill>
          <a:round/>
          <a:headEnd/>
          <a:tailEnd/>
        </a:ln>
      </xdr:spPr>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9525</xdr:colOff>
      <xdr:row>5</xdr:row>
      <xdr:rowOff>0</xdr:rowOff>
    </xdr:to>
    <xdr:sp macro="" textlink="">
      <xdr:nvSpPr>
        <xdr:cNvPr id="2" name="Line 1"/>
        <xdr:cNvSpPr>
          <a:spLocks noChangeShapeType="1"/>
        </xdr:cNvSpPr>
      </xdr:nvSpPr>
      <xdr:spPr bwMode="auto">
        <a:xfrm>
          <a:off x="0" y="628650"/>
          <a:ext cx="1057275" cy="419100"/>
        </a:xfrm>
        <a:prstGeom prst="line">
          <a:avLst/>
        </a:prstGeom>
        <a:noFill/>
        <a:ln w="9525">
          <a:solidFill>
            <a:schemeClr val="bg1"/>
          </a:solidFill>
          <a:round/>
          <a:headEnd/>
          <a:tailEnd/>
        </a:ln>
      </xdr:spPr>
    </xdr:sp>
    <xdr:clientData/>
  </xdr:twoCellAnchor>
  <xdr:twoCellAnchor>
    <xdr:from>
      <xdr:col>0</xdr:col>
      <xdr:colOff>0</xdr:colOff>
      <xdr:row>35</xdr:row>
      <xdr:rowOff>0</xdr:rowOff>
    </xdr:from>
    <xdr:to>
      <xdr:col>3</xdr:col>
      <xdr:colOff>9525</xdr:colOff>
      <xdr:row>37</xdr:row>
      <xdr:rowOff>0</xdr:rowOff>
    </xdr:to>
    <xdr:sp macro="" textlink="">
      <xdr:nvSpPr>
        <xdr:cNvPr id="3" name="Line 1"/>
        <xdr:cNvSpPr>
          <a:spLocks noChangeShapeType="1"/>
        </xdr:cNvSpPr>
      </xdr:nvSpPr>
      <xdr:spPr bwMode="auto">
        <a:xfrm>
          <a:off x="0" y="7467600"/>
          <a:ext cx="3152775" cy="419100"/>
        </a:xfrm>
        <a:prstGeom prst="line">
          <a:avLst/>
        </a:prstGeom>
        <a:noFill/>
        <a:ln w="9525">
          <a:solidFill>
            <a:schemeClr val="bg1"/>
          </a:solidFill>
          <a:round/>
          <a:headEnd/>
          <a:tailEnd/>
        </a:ln>
      </xdr:spPr>
    </xdr:sp>
    <xdr:clientData/>
  </xdr:twoCellAnchor>
  <xdr:twoCellAnchor>
    <xdr:from>
      <xdr:col>0</xdr:col>
      <xdr:colOff>0</xdr:colOff>
      <xdr:row>15</xdr:row>
      <xdr:rowOff>209549</xdr:rowOff>
    </xdr:from>
    <xdr:to>
      <xdr:col>7</xdr:col>
      <xdr:colOff>57150</xdr:colOff>
      <xdr:row>32</xdr:row>
      <xdr:rowOff>200024</xdr:rowOff>
    </xdr:to>
    <xdr:graphicFrame macro="">
      <xdr:nvGraphicFramePr>
        <xdr:cNvPr id="4" name="차트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438150</xdr:colOff>
      <xdr:row>16</xdr:row>
      <xdr:rowOff>152400</xdr:rowOff>
    </xdr:from>
    <xdr:ext cx="569387" cy="314060"/>
    <xdr:sp macro="" textlink="">
      <xdr:nvSpPr>
        <xdr:cNvPr id="5" name="TextBox 4"/>
        <xdr:cNvSpPr txBox="1"/>
      </xdr:nvSpPr>
      <xdr:spPr>
        <a:xfrm>
          <a:off x="6724650" y="3638550"/>
          <a:ext cx="569387"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t>재항고</a:t>
          </a:r>
          <a:endParaRPr lang="en-US" altLang="ko-KR" sz="1000" b="1"/>
        </a:p>
      </xdr:txBody>
    </xdr:sp>
    <xdr:clientData/>
  </xdr:oneCellAnchor>
  <xdr:oneCellAnchor>
    <xdr:from>
      <xdr:col>6</xdr:col>
      <xdr:colOff>504825</xdr:colOff>
      <xdr:row>25</xdr:row>
      <xdr:rowOff>95250</xdr:rowOff>
    </xdr:from>
    <xdr:ext cx="441146" cy="314060"/>
    <xdr:sp macro="" textlink="">
      <xdr:nvSpPr>
        <xdr:cNvPr id="6" name="TextBox 5"/>
        <xdr:cNvSpPr txBox="1"/>
      </xdr:nvSpPr>
      <xdr:spPr>
        <a:xfrm>
          <a:off x="6791325" y="5467350"/>
          <a:ext cx="441146"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t>항고</a:t>
          </a:r>
          <a:endParaRPr lang="en-US" altLang="ko-KR" sz="1000" b="1"/>
        </a:p>
      </xdr:txBody>
    </xdr:sp>
    <xdr:clientData/>
  </xdr:oneCellAnchor>
</xdr:wsDr>
</file>

<file path=xl/drawings/drawing2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9525</xdr:colOff>
      <xdr:row>5</xdr:row>
      <xdr:rowOff>0</xdr:rowOff>
    </xdr:to>
    <xdr:sp macro="" textlink="">
      <xdr:nvSpPr>
        <xdr:cNvPr id="2" name="Line 1"/>
        <xdr:cNvSpPr>
          <a:spLocks noChangeShapeType="1"/>
        </xdr:cNvSpPr>
      </xdr:nvSpPr>
      <xdr:spPr bwMode="auto">
        <a:xfrm>
          <a:off x="0" y="628650"/>
          <a:ext cx="1057275" cy="419100"/>
        </a:xfrm>
        <a:prstGeom prst="line">
          <a:avLst/>
        </a:prstGeom>
        <a:noFill/>
        <a:ln w="9525">
          <a:solidFill>
            <a:schemeClr val="bg1"/>
          </a:solidFill>
          <a:round/>
          <a:headEnd/>
          <a:tailEnd/>
        </a:ln>
      </xdr:spPr>
    </xdr:sp>
    <xdr:clientData/>
  </xdr:twoCellAnchor>
  <xdr:twoCellAnchor>
    <xdr:from>
      <xdr:col>0</xdr:col>
      <xdr:colOff>0</xdr:colOff>
      <xdr:row>35</xdr:row>
      <xdr:rowOff>0</xdr:rowOff>
    </xdr:from>
    <xdr:to>
      <xdr:col>3</xdr:col>
      <xdr:colOff>9525</xdr:colOff>
      <xdr:row>37</xdr:row>
      <xdr:rowOff>0</xdr:rowOff>
    </xdr:to>
    <xdr:sp macro="" textlink="">
      <xdr:nvSpPr>
        <xdr:cNvPr id="3" name="Line 1"/>
        <xdr:cNvSpPr>
          <a:spLocks noChangeShapeType="1"/>
        </xdr:cNvSpPr>
      </xdr:nvSpPr>
      <xdr:spPr bwMode="auto">
        <a:xfrm>
          <a:off x="0" y="7467600"/>
          <a:ext cx="3152775" cy="419100"/>
        </a:xfrm>
        <a:prstGeom prst="line">
          <a:avLst/>
        </a:prstGeom>
        <a:noFill/>
        <a:ln w="9525">
          <a:solidFill>
            <a:schemeClr val="bg1"/>
          </a:solidFill>
          <a:round/>
          <a:headEnd/>
          <a:tailEnd/>
        </a:ln>
      </xdr:spPr>
    </xdr:sp>
    <xdr:clientData/>
  </xdr:twoCellAnchor>
  <xdr:twoCellAnchor>
    <xdr:from>
      <xdr:col>0</xdr:col>
      <xdr:colOff>0</xdr:colOff>
      <xdr:row>15</xdr:row>
      <xdr:rowOff>209549</xdr:rowOff>
    </xdr:from>
    <xdr:to>
      <xdr:col>7</xdr:col>
      <xdr:colOff>57150</xdr:colOff>
      <xdr:row>32</xdr:row>
      <xdr:rowOff>200024</xdr:rowOff>
    </xdr:to>
    <xdr:graphicFrame macro="">
      <xdr:nvGraphicFramePr>
        <xdr:cNvPr id="4" name="차트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476250</xdr:colOff>
      <xdr:row>19</xdr:row>
      <xdr:rowOff>114300</xdr:rowOff>
    </xdr:from>
    <xdr:ext cx="569387" cy="314060"/>
    <xdr:sp macro="" textlink="">
      <xdr:nvSpPr>
        <xdr:cNvPr id="5" name="TextBox 4"/>
        <xdr:cNvSpPr txBox="1"/>
      </xdr:nvSpPr>
      <xdr:spPr>
        <a:xfrm>
          <a:off x="6762750" y="4229100"/>
          <a:ext cx="569387"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t>재항고</a:t>
          </a:r>
          <a:endParaRPr lang="en-US" altLang="ko-KR" sz="1000" b="1"/>
        </a:p>
      </xdr:txBody>
    </xdr:sp>
    <xdr:clientData/>
  </xdr:oneCellAnchor>
  <xdr:oneCellAnchor>
    <xdr:from>
      <xdr:col>6</xdr:col>
      <xdr:colOff>504825</xdr:colOff>
      <xdr:row>25</xdr:row>
      <xdr:rowOff>95250</xdr:rowOff>
    </xdr:from>
    <xdr:ext cx="441146" cy="314060"/>
    <xdr:sp macro="" textlink="">
      <xdr:nvSpPr>
        <xdr:cNvPr id="6" name="TextBox 5"/>
        <xdr:cNvSpPr txBox="1"/>
      </xdr:nvSpPr>
      <xdr:spPr>
        <a:xfrm>
          <a:off x="6791325" y="5467350"/>
          <a:ext cx="441146" cy="314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ko-KR" altLang="en-US" sz="1000" b="1"/>
            <a:t>항고</a:t>
          </a:r>
          <a:endParaRPr lang="en-US" altLang="ko-KR" sz="1000" b="1"/>
        </a:p>
      </xdr:txBody>
    </xdr:sp>
    <xdr:clientData/>
  </xdr:oneCellAnchor>
  <xdr:twoCellAnchor>
    <xdr:from>
      <xdr:col>0</xdr:col>
      <xdr:colOff>0</xdr:colOff>
      <xdr:row>47</xdr:row>
      <xdr:rowOff>0</xdr:rowOff>
    </xdr:from>
    <xdr:to>
      <xdr:col>2</xdr:col>
      <xdr:colOff>9525</xdr:colOff>
      <xdr:row>49</xdr:row>
      <xdr:rowOff>190500</xdr:rowOff>
    </xdr:to>
    <xdr:sp macro="" textlink="">
      <xdr:nvSpPr>
        <xdr:cNvPr id="7" name="Line 1"/>
        <xdr:cNvSpPr>
          <a:spLocks noChangeShapeType="1"/>
        </xdr:cNvSpPr>
      </xdr:nvSpPr>
      <xdr:spPr bwMode="auto">
        <a:xfrm>
          <a:off x="0" y="9982200"/>
          <a:ext cx="2105025" cy="609600"/>
        </a:xfrm>
        <a:prstGeom prst="line">
          <a:avLst/>
        </a:prstGeom>
        <a:noFill/>
        <a:ln w="9525">
          <a:solidFill>
            <a:schemeClr val="bg1"/>
          </a:solidFill>
          <a:round/>
          <a:headEnd/>
          <a:tailEnd/>
        </a:ln>
      </xdr:spPr>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6</xdr:row>
      <xdr:rowOff>0</xdr:rowOff>
    </xdr:from>
    <xdr:to>
      <xdr:col>1</xdr:col>
      <xdr:colOff>9525</xdr:colOff>
      <xdr:row>8</xdr:row>
      <xdr:rowOff>0</xdr:rowOff>
    </xdr:to>
    <xdr:sp macro="" textlink="">
      <xdr:nvSpPr>
        <xdr:cNvPr id="5" name="Line 1"/>
        <xdr:cNvSpPr>
          <a:spLocks noChangeShapeType="1"/>
        </xdr:cNvSpPr>
      </xdr:nvSpPr>
      <xdr:spPr bwMode="auto">
        <a:xfrm>
          <a:off x="0" y="628650"/>
          <a:ext cx="1057275" cy="419100"/>
        </a:xfrm>
        <a:prstGeom prst="line">
          <a:avLst/>
        </a:prstGeom>
        <a:noFill/>
        <a:ln w="9525">
          <a:solidFill>
            <a:schemeClr val="bg1"/>
          </a:solidFill>
          <a:round/>
          <a:headEnd/>
          <a:tailEnd/>
        </a:ln>
      </xdr:spPr>
    </xdr:sp>
    <xdr:clientData/>
  </xdr:twoCellAnchor>
  <xdr:twoCellAnchor>
    <xdr:from>
      <xdr:col>0</xdr:col>
      <xdr:colOff>0</xdr:colOff>
      <xdr:row>18</xdr:row>
      <xdr:rowOff>0</xdr:rowOff>
    </xdr:from>
    <xdr:to>
      <xdr:col>1</xdr:col>
      <xdr:colOff>9525</xdr:colOff>
      <xdr:row>20</xdr:row>
      <xdr:rowOff>0</xdr:rowOff>
    </xdr:to>
    <xdr:sp macro="" textlink="">
      <xdr:nvSpPr>
        <xdr:cNvPr id="6" name="Line 1"/>
        <xdr:cNvSpPr>
          <a:spLocks noChangeShapeType="1"/>
        </xdr:cNvSpPr>
      </xdr:nvSpPr>
      <xdr:spPr bwMode="auto">
        <a:xfrm>
          <a:off x="0" y="1466850"/>
          <a:ext cx="1247775" cy="419100"/>
        </a:xfrm>
        <a:prstGeom prst="line">
          <a:avLst/>
        </a:prstGeom>
        <a:noFill/>
        <a:ln w="9525">
          <a:solidFill>
            <a:schemeClr val="bg1"/>
          </a:solidFill>
          <a:round/>
          <a:headEnd/>
          <a:tailEnd/>
        </a:ln>
      </xdr:spPr>
    </xdr:sp>
    <xdr:clientData/>
  </xdr:twoCellAnchor>
  <xdr:twoCellAnchor>
    <xdr:from>
      <xdr:col>0</xdr:col>
      <xdr:colOff>0</xdr:colOff>
      <xdr:row>30</xdr:row>
      <xdr:rowOff>0</xdr:rowOff>
    </xdr:from>
    <xdr:to>
      <xdr:col>1</xdr:col>
      <xdr:colOff>9525</xdr:colOff>
      <xdr:row>32</xdr:row>
      <xdr:rowOff>0</xdr:rowOff>
    </xdr:to>
    <xdr:sp macro="" textlink="">
      <xdr:nvSpPr>
        <xdr:cNvPr id="7" name="Line 1"/>
        <xdr:cNvSpPr>
          <a:spLocks noChangeShapeType="1"/>
        </xdr:cNvSpPr>
      </xdr:nvSpPr>
      <xdr:spPr bwMode="auto">
        <a:xfrm>
          <a:off x="0" y="3981450"/>
          <a:ext cx="1247775" cy="419100"/>
        </a:xfrm>
        <a:prstGeom prst="line">
          <a:avLst/>
        </a:prstGeom>
        <a:noFill/>
        <a:ln w="9525">
          <a:solidFill>
            <a:schemeClr val="bg1"/>
          </a:solidFill>
          <a:round/>
          <a:headEnd/>
          <a:tailEnd/>
        </a:ln>
      </xdr:spPr>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5:C11"/>
  <sheetViews>
    <sheetView workbookViewId="0">
      <selection activeCell="A2" sqref="A2"/>
    </sheetView>
  </sheetViews>
  <sheetFormatPr defaultRowHeight="16.5" customHeight="1"/>
  <cols>
    <col min="1" max="1" width="8.88671875" style="387"/>
    <col min="2" max="2" width="39.77734375" style="387" bestFit="1" customWidth="1"/>
    <col min="3" max="3" width="8" style="387" customWidth="1"/>
    <col min="4" max="16384" width="8.88671875" style="386"/>
  </cols>
  <sheetData>
    <row r="5" spans="1:3" ht="16.5" customHeight="1">
      <c r="A5" s="388" t="s">
        <v>624</v>
      </c>
      <c r="B5" s="388" t="s">
        <v>626</v>
      </c>
      <c r="C5" s="388" t="s">
        <v>625</v>
      </c>
    </row>
    <row r="6" spans="1:3" ht="16.5" customHeight="1">
      <c r="A6" s="389">
        <v>1</v>
      </c>
      <c r="B6" s="390" t="s">
        <v>627</v>
      </c>
      <c r="C6" s="391" t="s">
        <v>628</v>
      </c>
    </row>
    <row r="7" spans="1:3" ht="16.5" customHeight="1">
      <c r="A7" s="389">
        <v>10</v>
      </c>
      <c r="B7" s="390" t="s">
        <v>630</v>
      </c>
      <c r="C7" s="391" t="s">
        <v>629</v>
      </c>
    </row>
    <row r="8" spans="1:3" ht="16.5" customHeight="1">
      <c r="A8" s="389">
        <v>10</v>
      </c>
      <c r="B8" s="390" t="s">
        <v>631</v>
      </c>
      <c r="C8" s="391" t="s">
        <v>629</v>
      </c>
    </row>
    <row r="9" spans="1:3" ht="16.5" customHeight="1">
      <c r="A9" s="389">
        <v>20</v>
      </c>
      <c r="B9" s="390" t="s">
        <v>640</v>
      </c>
      <c r="C9" s="391" t="s">
        <v>629</v>
      </c>
    </row>
    <row r="10" spans="1:3" ht="16.5" customHeight="1">
      <c r="A10" s="392"/>
      <c r="B10" s="393"/>
      <c r="C10" s="394"/>
    </row>
    <row r="11" spans="1:3" ht="16.5" customHeight="1">
      <c r="A11" s="392"/>
      <c r="B11" s="393"/>
      <c r="C11" s="394"/>
    </row>
  </sheetData>
  <sheetProtection algorithmName="SHA-512" hashValue="N3mUNzCJgwPXtuHN9sxFILvt6ZP+g9TF1An7Jjadkuv5oOaLOivJ8P1KVcmkxtXeQ8RK3w1AIZgIjbDuAUmYKQ==" saltValue="BMGJoyTpzqYu0Wu2fR5QJg==" spinCount="100000" sheet="1" objects="1" scenarios="1"/>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118"/>
  <sheetViews>
    <sheetView showGridLines="0" tabSelected="1" zoomScaleNormal="100" zoomScaleSheetLayoutView="100" workbookViewId="0"/>
  </sheetViews>
  <sheetFormatPr defaultColWidth="8" defaultRowHeight="16.5" customHeight="1"/>
  <cols>
    <col min="1" max="9" width="11.109375" style="86" customWidth="1"/>
    <col min="10" max="10" width="8" style="2" customWidth="1"/>
    <col min="11" max="16384" width="8" style="51"/>
  </cols>
  <sheetData>
    <row r="1" spans="1:10" s="17" customFormat="1" ht="18.75">
      <c r="A1" s="92" t="s">
        <v>662</v>
      </c>
      <c r="B1" s="3"/>
      <c r="C1" s="3"/>
      <c r="D1" s="3"/>
      <c r="E1" s="3"/>
      <c r="F1" s="3"/>
      <c r="G1" s="3"/>
      <c r="H1" s="3"/>
      <c r="I1" s="3"/>
      <c r="J1" s="10"/>
    </row>
    <row r="2" spans="1:10" s="17" customFormat="1" ht="16.5" customHeight="1">
      <c r="A2" s="82" t="s">
        <v>15</v>
      </c>
      <c r="B2" s="3"/>
      <c r="C2" s="3"/>
      <c r="D2" s="84"/>
      <c r="E2" s="82" t="s">
        <v>197</v>
      </c>
      <c r="F2" s="84"/>
      <c r="G2" s="3"/>
      <c r="H2" s="3"/>
      <c r="I2" s="3"/>
      <c r="J2" s="10"/>
    </row>
    <row r="3" spans="1:10" s="17" customFormat="1" ht="16.5" customHeight="1">
      <c r="A3" s="529" t="s">
        <v>818</v>
      </c>
      <c r="B3" s="529"/>
      <c r="C3" s="529"/>
      <c r="D3" s="374"/>
      <c r="E3" s="374"/>
      <c r="F3" s="374"/>
      <c r="G3" s="374"/>
      <c r="H3" s="374"/>
      <c r="I3" s="374"/>
      <c r="J3" s="10"/>
    </row>
    <row r="4" spans="1:10" s="17" customFormat="1" ht="16.5" customHeight="1">
      <c r="A4" s="529"/>
      <c r="B4" s="529"/>
      <c r="C4" s="529"/>
      <c r="D4" s="374"/>
      <c r="E4" s="3"/>
      <c r="F4" s="3"/>
      <c r="G4" s="3"/>
      <c r="H4" s="3"/>
      <c r="I4" s="3"/>
      <c r="J4" s="10"/>
    </row>
    <row r="5" spans="1:10" s="17" customFormat="1" ht="16.5" customHeight="1">
      <c r="A5" s="529"/>
      <c r="B5" s="529"/>
      <c r="C5" s="529"/>
      <c r="D5" s="374"/>
      <c r="E5" s="3"/>
      <c r="F5" s="3"/>
      <c r="G5" s="3"/>
      <c r="H5" s="3"/>
      <c r="I5" s="3"/>
      <c r="J5" s="10"/>
    </row>
    <row r="6" spans="1:10" s="17" customFormat="1" ht="16.5" customHeight="1">
      <c r="A6" s="529"/>
      <c r="B6" s="529"/>
      <c r="C6" s="529"/>
      <c r="D6" s="374"/>
      <c r="E6" s="3"/>
      <c r="F6" s="3"/>
      <c r="G6" s="380"/>
      <c r="H6" s="439" t="s">
        <v>781</v>
      </c>
      <c r="I6" s="3"/>
      <c r="J6" s="10"/>
    </row>
    <row r="7" spans="1:10" s="17" customFormat="1" ht="16.5" customHeight="1">
      <c r="A7" s="529"/>
      <c r="B7" s="529"/>
      <c r="C7" s="529"/>
      <c r="D7" s="374"/>
      <c r="E7" s="3"/>
      <c r="F7" s="3"/>
      <c r="G7" s="380" t="s">
        <v>447</v>
      </c>
      <c r="H7" s="17">
        <v>526756</v>
      </c>
      <c r="I7" s="3"/>
      <c r="J7" s="10"/>
    </row>
    <row r="8" spans="1:10" s="17" customFormat="1" ht="16.5" customHeight="1">
      <c r="A8" s="529"/>
      <c r="B8" s="529"/>
      <c r="C8" s="529"/>
      <c r="D8" s="374"/>
      <c r="E8" s="3"/>
      <c r="F8" s="3"/>
      <c r="G8" s="380" t="s">
        <v>454</v>
      </c>
      <c r="H8" s="17">
        <v>416410</v>
      </c>
      <c r="I8" s="3"/>
      <c r="J8" s="10"/>
    </row>
    <row r="9" spans="1:10" s="17" customFormat="1" ht="16.5" customHeight="1">
      <c r="A9" s="529"/>
      <c r="B9" s="529"/>
      <c r="C9" s="529"/>
      <c r="D9" s="374"/>
      <c r="E9" s="3"/>
      <c r="F9" s="3"/>
      <c r="G9" s="380" t="s">
        <v>17</v>
      </c>
      <c r="H9" s="17">
        <v>310254</v>
      </c>
      <c r="I9" s="3"/>
      <c r="J9" s="10"/>
    </row>
    <row r="10" spans="1:10" s="17" customFormat="1" ht="16.5" customHeight="1">
      <c r="B10" s="447"/>
      <c r="C10" s="447"/>
      <c r="D10" s="374"/>
      <c r="E10" s="3"/>
      <c r="F10" s="3"/>
      <c r="G10" s="380" t="s">
        <v>86</v>
      </c>
      <c r="H10" s="17">
        <v>135327</v>
      </c>
      <c r="I10" s="3"/>
      <c r="J10" s="456"/>
    </row>
    <row r="11" spans="1:10" s="17" customFormat="1" ht="16.5" customHeight="1">
      <c r="A11" s="529" t="s">
        <v>783</v>
      </c>
      <c r="B11" s="529"/>
      <c r="C11" s="529"/>
      <c r="D11" s="374"/>
      <c r="E11" s="3"/>
      <c r="F11" s="3"/>
      <c r="G11" s="380" t="s">
        <v>412</v>
      </c>
      <c r="H11" s="17">
        <v>128552</v>
      </c>
      <c r="I11" s="3"/>
      <c r="J11" s="457"/>
    </row>
    <row r="12" spans="1:10" s="17" customFormat="1" ht="16.5" customHeight="1">
      <c r="A12" s="529"/>
      <c r="B12" s="529"/>
      <c r="C12" s="529"/>
      <c r="D12" s="374"/>
      <c r="E12" s="3"/>
      <c r="F12" s="3"/>
      <c r="G12" s="380" t="s">
        <v>19</v>
      </c>
      <c r="H12" s="17">
        <v>248</v>
      </c>
      <c r="I12" s="3"/>
      <c r="J12" s="456"/>
    </row>
    <row r="13" spans="1:10" s="17" customFormat="1" ht="16.5" customHeight="1">
      <c r="A13" s="529"/>
      <c r="B13" s="529"/>
      <c r="C13" s="529"/>
      <c r="D13" s="374"/>
      <c r="E13" s="3"/>
      <c r="F13" s="3"/>
      <c r="G13" s="297" t="s">
        <v>31</v>
      </c>
      <c r="H13" s="17">
        <v>1517547</v>
      </c>
      <c r="I13" s="3"/>
      <c r="J13" s="456"/>
    </row>
    <row r="14" spans="1:10" s="17" customFormat="1" ht="16.5" customHeight="1">
      <c r="A14" s="529"/>
      <c r="B14" s="529"/>
      <c r="C14" s="529"/>
      <c r="D14" s="374"/>
      <c r="E14" s="3"/>
      <c r="F14" s="3"/>
      <c r="G14" s="3"/>
      <c r="H14" s="3"/>
      <c r="I14" s="3"/>
      <c r="J14" s="456"/>
    </row>
    <row r="15" spans="1:10" s="17" customFormat="1" ht="16.5" customHeight="1">
      <c r="A15" s="529"/>
      <c r="B15" s="529"/>
      <c r="C15" s="529"/>
      <c r="D15" s="3"/>
      <c r="E15" s="3"/>
      <c r="F15" s="3"/>
      <c r="G15" s="3"/>
      <c r="H15" s="3"/>
      <c r="I15" s="3"/>
      <c r="J15" s="456"/>
    </row>
    <row r="16" spans="1:10" s="17" customFormat="1" ht="16.5" customHeight="1">
      <c r="A16" s="425"/>
      <c r="B16" s="425"/>
      <c r="C16" s="425"/>
      <c r="D16" s="3"/>
      <c r="E16" s="3"/>
      <c r="F16" s="3"/>
      <c r="G16" s="3"/>
      <c r="H16" s="3"/>
      <c r="I16" s="3"/>
      <c r="J16" s="10"/>
    </row>
    <row r="17" spans="1:10" s="17" customFormat="1" ht="16.5" customHeight="1">
      <c r="A17" s="3"/>
      <c r="B17" s="3"/>
      <c r="C17" s="3"/>
      <c r="D17" s="3"/>
      <c r="E17" s="3"/>
      <c r="F17" s="3"/>
      <c r="G17" s="3"/>
      <c r="H17" s="3"/>
      <c r="I17" s="3"/>
      <c r="J17" s="10"/>
    </row>
    <row r="18" spans="1:10" s="17" customFormat="1" ht="16.5" customHeight="1">
      <c r="A18" s="82" t="s">
        <v>674</v>
      </c>
      <c r="B18" s="3"/>
      <c r="C18" s="3"/>
      <c r="D18" s="3"/>
      <c r="E18" s="3"/>
      <c r="F18" s="3"/>
      <c r="G18" s="93"/>
      <c r="H18" s="3"/>
      <c r="I18" s="3"/>
      <c r="J18" s="10"/>
    </row>
    <row r="19" spans="1:10" s="17" customFormat="1" ht="16.5" customHeight="1">
      <c r="A19" s="474"/>
      <c r="B19" s="474"/>
      <c r="C19" s="496" t="s">
        <v>36</v>
      </c>
      <c r="D19" s="513" t="s">
        <v>780</v>
      </c>
      <c r="E19" s="513"/>
      <c r="F19" s="513" t="s">
        <v>612</v>
      </c>
      <c r="G19" s="513"/>
      <c r="H19" s="513" t="s">
        <v>605</v>
      </c>
      <c r="I19" s="514"/>
      <c r="J19" s="10"/>
    </row>
    <row r="20" spans="1:10" s="17" customFormat="1" ht="16.5" customHeight="1">
      <c r="A20" s="138" t="s">
        <v>455</v>
      </c>
      <c r="B20" s="138"/>
      <c r="C20" s="207"/>
      <c r="D20" s="475" t="s">
        <v>186</v>
      </c>
      <c r="E20" s="475" t="s">
        <v>30</v>
      </c>
      <c r="F20" s="475" t="s">
        <v>186</v>
      </c>
      <c r="G20" s="475" t="s">
        <v>30</v>
      </c>
      <c r="H20" s="475" t="s">
        <v>186</v>
      </c>
      <c r="I20" s="497" t="s">
        <v>26</v>
      </c>
      <c r="J20" s="10"/>
    </row>
    <row r="21" spans="1:10" s="17" customFormat="1" ht="16.5" customHeight="1">
      <c r="A21" s="531" t="s">
        <v>89</v>
      </c>
      <c r="B21" s="532"/>
      <c r="C21" s="533"/>
      <c r="D21" s="476">
        <v>1517547</v>
      </c>
      <c r="E21" s="477">
        <v>1501959</v>
      </c>
      <c r="F21" s="476">
        <v>1419293</v>
      </c>
      <c r="G21" s="477">
        <v>1417700</v>
      </c>
      <c r="H21" s="476">
        <v>1463841</v>
      </c>
      <c r="I21" s="498">
        <v>1440170</v>
      </c>
      <c r="J21" s="10"/>
    </row>
    <row r="22" spans="1:10" s="17" customFormat="1" ht="16.5" customHeight="1">
      <c r="A22" s="515" t="s">
        <v>16</v>
      </c>
      <c r="B22" s="516"/>
      <c r="C22" s="517"/>
      <c r="D22" s="476">
        <v>310502</v>
      </c>
      <c r="E22" s="477">
        <v>313222</v>
      </c>
      <c r="F22" s="476">
        <v>319750</v>
      </c>
      <c r="G22" s="477">
        <v>322836</v>
      </c>
      <c r="H22" s="476">
        <v>352843</v>
      </c>
      <c r="I22" s="498">
        <v>335120</v>
      </c>
      <c r="J22" s="10"/>
    </row>
    <row r="23" spans="1:10" s="17" customFormat="1" ht="16.5" customHeight="1">
      <c r="A23" s="515" t="s">
        <v>456</v>
      </c>
      <c r="B23" s="516"/>
      <c r="C23" s="517"/>
      <c r="D23" s="476">
        <v>1207045</v>
      </c>
      <c r="E23" s="477">
        <v>1188737</v>
      </c>
      <c r="F23" s="476">
        <v>1099543</v>
      </c>
      <c r="G23" s="477">
        <v>1094864</v>
      </c>
      <c r="H23" s="476">
        <v>1110998</v>
      </c>
      <c r="I23" s="498">
        <v>1105050</v>
      </c>
      <c r="J23" s="10"/>
    </row>
    <row r="24" spans="1:10" s="17" customFormat="1" ht="16.5" customHeight="1">
      <c r="A24" s="530" t="s">
        <v>457</v>
      </c>
      <c r="B24" s="522" t="s">
        <v>458</v>
      </c>
      <c r="C24" s="478" t="s">
        <v>459</v>
      </c>
      <c r="D24" s="479">
        <v>3259</v>
      </c>
      <c r="E24" s="480">
        <v>3379</v>
      </c>
      <c r="F24" s="479">
        <v>3583</v>
      </c>
      <c r="G24" s="480">
        <v>3763</v>
      </c>
      <c r="H24" s="479">
        <v>3749</v>
      </c>
      <c r="I24" s="499">
        <v>3655</v>
      </c>
      <c r="J24" s="10"/>
    </row>
    <row r="25" spans="1:10" s="17" customFormat="1" ht="16.5" customHeight="1">
      <c r="A25" s="530"/>
      <c r="B25" s="522"/>
      <c r="C25" s="478" t="s">
        <v>460</v>
      </c>
      <c r="D25" s="479">
        <v>15814</v>
      </c>
      <c r="E25" s="480">
        <v>15901</v>
      </c>
      <c r="F25" s="479">
        <v>16141</v>
      </c>
      <c r="G25" s="480">
        <v>16689</v>
      </c>
      <c r="H25" s="479">
        <v>16802</v>
      </c>
      <c r="I25" s="499">
        <v>17192</v>
      </c>
      <c r="J25" s="10"/>
    </row>
    <row r="26" spans="1:10" s="17" customFormat="1" ht="16.5" customHeight="1">
      <c r="A26" s="530"/>
      <c r="B26" s="522"/>
      <c r="C26" s="478" t="s">
        <v>462</v>
      </c>
      <c r="D26" s="479">
        <v>106</v>
      </c>
      <c r="E26" s="480">
        <v>152</v>
      </c>
      <c r="F26" s="479">
        <v>205</v>
      </c>
      <c r="G26" s="480">
        <v>228</v>
      </c>
      <c r="H26" s="479">
        <v>195</v>
      </c>
      <c r="I26" s="499">
        <v>180</v>
      </c>
      <c r="J26" s="10"/>
    </row>
    <row r="27" spans="1:10" s="17" customFormat="1" ht="16.5" customHeight="1">
      <c r="A27" s="530"/>
      <c r="B27" s="522" t="s">
        <v>464</v>
      </c>
      <c r="C27" s="478" t="s">
        <v>461</v>
      </c>
      <c r="D27" s="479">
        <v>10059</v>
      </c>
      <c r="E27" s="480">
        <v>9201</v>
      </c>
      <c r="F27" s="479">
        <v>8901</v>
      </c>
      <c r="G27" s="480">
        <v>8806</v>
      </c>
      <c r="H27" s="479">
        <v>8472</v>
      </c>
      <c r="I27" s="499">
        <v>8491</v>
      </c>
      <c r="J27" s="10"/>
    </row>
    <row r="28" spans="1:10" s="17" customFormat="1" ht="16.5" customHeight="1">
      <c r="A28" s="530"/>
      <c r="B28" s="522"/>
      <c r="C28" s="478" t="s">
        <v>463</v>
      </c>
      <c r="D28" s="479">
        <v>61108</v>
      </c>
      <c r="E28" s="480">
        <v>60835</v>
      </c>
      <c r="F28" s="479">
        <v>64384</v>
      </c>
      <c r="G28" s="480">
        <v>59649</v>
      </c>
      <c r="H28" s="479">
        <v>63197</v>
      </c>
      <c r="I28" s="499">
        <v>60298</v>
      </c>
      <c r="J28" s="10"/>
    </row>
    <row r="29" spans="1:10" s="17" customFormat="1" ht="16.5" customHeight="1">
      <c r="A29" s="530"/>
      <c r="B29" s="522" t="s">
        <v>466</v>
      </c>
      <c r="C29" s="478" t="s">
        <v>459</v>
      </c>
      <c r="D29" s="479">
        <v>21287</v>
      </c>
      <c r="E29" s="480">
        <v>19800</v>
      </c>
      <c r="F29" s="479">
        <v>18769</v>
      </c>
      <c r="G29" s="480">
        <v>17963</v>
      </c>
      <c r="H29" s="479">
        <v>19317</v>
      </c>
      <c r="I29" s="499">
        <v>16869</v>
      </c>
      <c r="J29" s="10"/>
    </row>
    <row r="30" spans="1:10" s="17" customFormat="1" ht="16.5" customHeight="1">
      <c r="A30" s="530"/>
      <c r="B30" s="522"/>
      <c r="C30" s="478" t="s">
        <v>460</v>
      </c>
      <c r="D30" s="479">
        <v>198621</v>
      </c>
      <c r="E30" s="480">
        <v>203704</v>
      </c>
      <c r="F30" s="479">
        <v>207559</v>
      </c>
      <c r="G30" s="480">
        <v>215527</v>
      </c>
      <c r="H30" s="479">
        <v>240837</v>
      </c>
      <c r="I30" s="499">
        <v>228119</v>
      </c>
      <c r="J30" s="10"/>
    </row>
    <row r="31" spans="1:10" s="17" customFormat="1" ht="16.5" customHeight="1">
      <c r="A31" s="534" t="s">
        <v>467</v>
      </c>
      <c r="B31" s="522" t="s">
        <v>458</v>
      </c>
      <c r="C31" s="523"/>
      <c r="D31" s="479">
        <v>19</v>
      </c>
      <c r="E31" s="480">
        <v>17</v>
      </c>
      <c r="F31" s="479">
        <v>17</v>
      </c>
      <c r="G31" s="480">
        <v>19</v>
      </c>
      <c r="H31" s="479">
        <v>31</v>
      </c>
      <c r="I31" s="499">
        <v>34</v>
      </c>
      <c r="J31" s="10"/>
    </row>
    <row r="32" spans="1:10" s="17" customFormat="1" ht="16.5" customHeight="1">
      <c r="A32" s="534"/>
      <c r="B32" s="522" t="s">
        <v>464</v>
      </c>
      <c r="C32" s="523"/>
      <c r="D32" s="479">
        <v>81</v>
      </c>
      <c r="E32" s="480">
        <v>80</v>
      </c>
      <c r="F32" s="479">
        <v>63</v>
      </c>
      <c r="G32" s="480">
        <v>67</v>
      </c>
      <c r="H32" s="479">
        <v>97</v>
      </c>
      <c r="I32" s="499">
        <v>115</v>
      </c>
      <c r="J32" s="10"/>
    </row>
    <row r="33" spans="1:10" s="17" customFormat="1" ht="16.5" customHeight="1">
      <c r="A33" s="534"/>
      <c r="B33" s="522" t="s">
        <v>466</v>
      </c>
      <c r="C33" s="523"/>
      <c r="D33" s="479">
        <v>148</v>
      </c>
      <c r="E33" s="480">
        <v>153</v>
      </c>
      <c r="F33" s="479">
        <v>128</v>
      </c>
      <c r="G33" s="480">
        <v>125</v>
      </c>
      <c r="H33" s="479">
        <v>146</v>
      </c>
      <c r="I33" s="499">
        <v>167</v>
      </c>
      <c r="J33" s="10"/>
    </row>
    <row r="34" spans="1:10" s="17" customFormat="1" ht="16.5" customHeight="1">
      <c r="A34" s="525" t="s">
        <v>469</v>
      </c>
      <c r="B34" s="520"/>
      <c r="C34" s="521"/>
      <c r="D34" s="481">
        <v>416410</v>
      </c>
      <c r="E34" s="482">
        <v>407119</v>
      </c>
      <c r="F34" s="481">
        <v>381073</v>
      </c>
      <c r="G34" s="482">
        <v>384137</v>
      </c>
      <c r="H34" s="479">
        <v>440715</v>
      </c>
      <c r="I34" s="499">
        <v>445107</v>
      </c>
      <c r="J34" s="10"/>
    </row>
    <row r="35" spans="1:10" s="17" customFormat="1" ht="16.5" customHeight="1">
      <c r="A35" s="525" t="s">
        <v>28</v>
      </c>
      <c r="B35" s="520"/>
      <c r="C35" s="521"/>
      <c r="D35" s="479">
        <v>135327</v>
      </c>
      <c r="E35" s="480">
        <v>135327</v>
      </c>
      <c r="F35" s="479">
        <v>113728</v>
      </c>
      <c r="G35" s="480">
        <v>113729</v>
      </c>
      <c r="H35" s="479">
        <v>76100</v>
      </c>
      <c r="I35" s="499">
        <v>76101</v>
      </c>
      <c r="J35" s="10"/>
    </row>
    <row r="36" spans="1:10" s="17" customFormat="1" ht="16.5" customHeight="1">
      <c r="A36" s="525" t="s">
        <v>27</v>
      </c>
      <c r="B36" s="520" t="s">
        <v>465</v>
      </c>
      <c r="C36" s="521"/>
      <c r="D36" s="479">
        <v>13</v>
      </c>
      <c r="E36" s="480">
        <v>13</v>
      </c>
      <c r="F36" s="479">
        <v>27</v>
      </c>
      <c r="G36" s="480">
        <v>27</v>
      </c>
      <c r="H36" s="479">
        <v>23</v>
      </c>
      <c r="I36" s="499">
        <v>23</v>
      </c>
      <c r="J36" s="10"/>
    </row>
    <row r="37" spans="1:10" s="17" customFormat="1" ht="16.5" customHeight="1">
      <c r="A37" s="525"/>
      <c r="B37" s="520" t="s">
        <v>461</v>
      </c>
      <c r="C37" s="521"/>
      <c r="D37" s="479">
        <v>317</v>
      </c>
      <c r="E37" s="480">
        <v>317</v>
      </c>
      <c r="F37" s="479">
        <v>497</v>
      </c>
      <c r="G37" s="480">
        <v>497</v>
      </c>
      <c r="H37" s="479">
        <v>446</v>
      </c>
      <c r="I37" s="499">
        <v>446</v>
      </c>
      <c r="J37" s="10"/>
    </row>
    <row r="38" spans="1:10" s="17" customFormat="1" ht="16.5" customHeight="1">
      <c r="A38" s="525"/>
      <c r="B38" s="520" t="s">
        <v>463</v>
      </c>
      <c r="C38" s="521"/>
      <c r="D38" s="479">
        <v>526426</v>
      </c>
      <c r="E38" s="480">
        <v>526424</v>
      </c>
      <c r="F38" s="479">
        <v>486173</v>
      </c>
      <c r="G38" s="480">
        <v>486134</v>
      </c>
      <c r="H38" s="479">
        <v>474335</v>
      </c>
      <c r="I38" s="499">
        <v>474376</v>
      </c>
      <c r="J38" s="10"/>
    </row>
    <row r="39" spans="1:10" s="17" customFormat="1" ht="16.5" customHeight="1">
      <c r="A39" s="525" t="s">
        <v>470</v>
      </c>
      <c r="B39" s="520" t="s">
        <v>465</v>
      </c>
      <c r="C39" s="521"/>
      <c r="D39" s="479">
        <v>6401</v>
      </c>
      <c r="E39" s="480">
        <v>6270</v>
      </c>
      <c r="F39" s="479">
        <v>8575</v>
      </c>
      <c r="G39" s="480">
        <v>6689</v>
      </c>
      <c r="H39" s="479">
        <v>11396</v>
      </c>
      <c r="I39" s="499">
        <v>9545</v>
      </c>
      <c r="J39" s="10"/>
    </row>
    <row r="40" spans="1:10" s="17" customFormat="1" ht="16.5" customHeight="1">
      <c r="A40" s="525"/>
      <c r="B40" s="520" t="s">
        <v>461</v>
      </c>
      <c r="C40" s="521"/>
      <c r="D40" s="479">
        <v>17359</v>
      </c>
      <c r="E40" s="480">
        <v>15279</v>
      </c>
      <c r="F40" s="479">
        <v>19942</v>
      </c>
      <c r="G40" s="480">
        <v>21528</v>
      </c>
      <c r="H40" s="479">
        <v>31642</v>
      </c>
      <c r="I40" s="499">
        <v>31300</v>
      </c>
      <c r="J40" s="10"/>
    </row>
    <row r="41" spans="1:10" s="17" customFormat="1" ht="16.5" customHeight="1">
      <c r="A41" s="526"/>
      <c r="B41" s="527" t="s">
        <v>463</v>
      </c>
      <c r="C41" s="528"/>
      <c r="D41" s="483">
        <v>104792</v>
      </c>
      <c r="E41" s="484">
        <v>97988</v>
      </c>
      <c r="F41" s="483">
        <v>89528</v>
      </c>
      <c r="G41" s="484">
        <v>82123</v>
      </c>
      <c r="H41" s="483">
        <v>76341</v>
      </c>
      <c r="I41" s="500">
        <v>68152</v>
      </c>
      <c r="J41" s="10"/>
    </row>
    <row r="42" spans="1:10" s="17" customFormat="1" ht="16.5" customHeight="1">
      <c r="A42" s="3" t="s">
        <v>471</v>
      </c>
      <c r="B42" s="3"/>
      <c r="C42" s="3"/>
      <c r="D42" s="3"/>
      <c r="E42" s="3"/>
      <c r="F42" s="3"/>
      <c r="G42" s="3"/>
      <c r="H42" s="3"/>
      <c r="I42" s="3"/>
      <c r="J42" s="10"/>
    </row>
    <row r="43" spans="1:10" s="17" customFormat="1" ht="16.5" customHeight="1">
      <c r="A43" s="417" t="s">
        <v>604</v>
      </c>
      <c r="B43" s="372"/>
      <c r="C43" s="372"/>
      <c r="D43" s="3"/>
      <c r="E43" s="3"/>
      <c r="F43" s="3"/>
      <c r="G43" s="3"/>
      <c r="H43" s="3"/>
      <c r="I43" s="3"/>
      <c r="J43" s="10"/>
    </row>
    <row r="44" spans="1:10" s="17" customFormat="1" ht="16.5" customHeight="1">
      <c r="A44" s="524" t="s">
        <v>643</v>
      </c>
      <c r="B44" s="524"/>
      <c r="C44" s="524"/>
      <c r="D44" s="3"/>
      <c r="E44" s="3"/>
      <c r="F44" s="3"/>
      <c r="G44" s="3"/>
      <c r="H44" s="3"/>
      <c r="I44" s="3"/>
      <c r="J44" s="10"/>
    </row>
    <row r="45" spans="1:10" s="17" customFormat="1" ht="16.5" customHeight="1">
      <c r="A45" s="372"/>
      <c r="B45" s="372"/>
      <c r="C45" s="372"/>
      <c r="D45" s="3"/>
      <c r="E45" s="3"/>
      <c r="F45" s="3"/>
      <c r="G45" s="3"/>
      <c r="H45" s="3"/>
      <c r="I45" s="3"/>
      <c r="J45" s="10"/>
    </row>
    <row r="46" spans="1:10" s="17" customFormat="1" ht="16.5" customHeight="1">
      <c r="A46" s="372"/>
      <c r="B46" s="372"/>
      <c r="C46" s="372"/>
      <c r="D46" s="3"/>
      <c r="E46" s="3"/>
      <c r="F46" s="3"/>
      <c r="G46" s="3"/>
      <c r="H46" s="3"/>
      <c r="I46" s="3"/>
      <c r="J46" s="10"/>
    </row>
    <row r="47" spans="1:10" s="17" customFormat="1" ht="16.5" customHeight="1">
      <c r="A47" s="372"/>
      <c r="B47" s="372"/>
      <c r="C47" s="372"/>
      <c r="D47" s="3"/>
      <c r="E47" s="3"/>
      <c r="F47" s="3"/>
      <c r="G47" s="3"/>
      <c r="H47" s="3"/>
      <c r="I47" s="3"/>
      <c r="J47" s="10"/>
    </row>
    <row r="48" spans="1:10" s="17" customFormat="1" ht="16.5" customHeight="1">
      <c r="A48" s="66" t="s">
        <v>676</v>
      </c>
      <c r="B48" s="3"/>
      <c r="C48" s="3"/>
      <c r="D48" s="3"/>
      <c r="E48" s="3"/>
      <c r="F48" s="3"/>
      <c r="G48" s="3"/>
      <c r="H48" s="3"/>
      <c r="I48" s="3"/>
      <c r="J48" s="10"/>
    </row>
    <row r="49" spans="1:10" ht="16.5" customHeight="1">
      <c r="A49" s="66"/>
      <c r="B49" s="66"/>
      <c r="C49" s="66"/>
      <c r="D49" s="66"/>
      <c r="E49" s="66"/>
      <c r="F49" s="66"/>
      <c r="G49" s="66"/>
      <c r="H49" s="66"/>
      <c r="I49" s="66"/>
      <c r="J49" s="10"/>
    </row>
    <row r="50" spans="1:10" ht="16.5" customHeight="1">
      <c r="A50" s="82" t="s">
        <v>472</v>
      </c>
      <c r="B50" s="372"/>
      <c r="C50" s="372"/>
      <c r="D50" s="3"/>
      <c r="E50" s="3"/>
      <c r="F50" s="3"/>
      <c r="G50" s="3"/>
      <c r="H50" s="3"/>
      <c r="I50" s="3"/>
      <c r="J50" s="10"/>
    </row>
    <row r="51" spans="1:10" ht="16.5" customHeight="1">
      <c r="A51" s="372"/>
      <c r="B51" s="372"/>
      <c r="C51" s="372"/>
      <c r="D51" s="3"/>
      <c r="E51" s="3"/>
      <c r="F51" s="3"/>
      <c r="G51" s="3"/>
      <c r="H51" s="3"/>
      <c r="I51" s="3"/>
      <c r="J51" s="10"/>
    </row>
    <row r="52" spans="1:10" ht="16.5" customHeight="1">
      <c r="A52" s="372"/>
      <c r="B52" s="305"/>
      <c r="C52" s="381" t="s">
        <v>457</v>
      </c>
      <c r="D52" s="381" t="s">
        <v>473</v>
      </c>
      <c r="E52" s="381" t="s">
        <v>468</v>
      </c>
      <c r="F52" s="381" t="s">
        <v>474</v>
      </c>
      <c r="G52" s="381" t="s">
        <v>475</v>
      </c>
      <c r="H52" s="381" t="s">
        <v>476</v>
      </c>
      <c r="I52" s="3"/>
      <c r="J52" s="10"/>
    </row>
    <row r="53" spans="1:10" ht="16.5" customHeight="1">
      <c r="A53" s="372"/>
      <c r="B53" s="398" t="s">
        <v>477</v>
      </c>
      <c r="C53" s="381">
        <v>358557</v>
      </c>
      <c r="D53" s="381">
        <v>344433</v>
      </c>
      <c r="E53" s="381">
        <v>78526</v>
      </c>
      <c r="F53" s="381">
        <v>62487</v>
      </c>
      <c r="G53" s="381">
        <v>1145782</v>
      </c>
      <c r="H53" s="381">
        <v>1989785</v>
      </c>
      <c r="I53" s="3"/>
      <c r="J53" s="10"/>
    </row>
    <row r="54" spans="1:10" ht="16.5" customHeight="1">
      <c r="A54" s="372"/>
      <c r="B54" s="398" t="s">
        <v>187</v>
      </c>
      <c r="C54" s="381">
        <v>376561</v>
      </c>
      <c r="D54" s="381">
        <v>353126</v>
      </c>
      <c r="E54" s="381">
        <v>94762</v>
      </c>
      <c r="F54" s="381">
        <v>76753</v>
      </c>
      <c r="G54" s="381">
        <v>1028837</v>
      </c>
      <c r="H54" s="381">
        <v>1930039</v>
      </c>
      <c r="I54" s="3"/>
      <c r="J54" s="10"/>
    </row>
    <row r="55" spans="1:10" ht="16.5" customHeight="1">
      <c r="A55" s="372"/>
      <c r="B55" s="398" t="s">
        <v>188</v>
      </c>
      <c r="C55" s="381">
        <v>356587</v>
      </c>
      <c r="D55" s="381">
        <v>312886</v>
      </c>
      <c r="E55" s="381">
        <v>104122</v>
      </c>
      <c r="F55" s="381">
        <v>61349</v>
      </c>
      <c r="G55" s="381">
        <v>868901</v>
      </c>
      <c r="H55" s="381">
        <v>1703845</v>
      </c>
      <c r="I55" s="3"/>
      <c r="J55" s="10"/>
    </row>
    <row r="56" spans="1:10" ht="16.5" customHeight="1">
      <c r="A56" s="372"/>
      <c r="B56" s="398" t="s">
        <v>189</v>
      </c>
      <c r="C56" s="381">
        <v>368992</v>
      </c>
      <c r="D56" s="381">
        <v>310190</v>
      </c>
      <c r="E56" s="381">
        <v>119460</v>
      </c>
      <c r="F56" s="381">
        <v>56334</v>
      </c>
      <c r="G56" s="381">
        <v>800357</v>
      </c>
      <c r="H56" s="381">
        <v>1655333</v>
      </c>
      <c r="I56" s="3"/>
      <c r="J56" s="10"/>
    </row>
    <row r="57" spans="1:10" ht="16.5" customHeight="1">
      <c r="A57" s="372"/>
      <c r="B57" s="398" t="s">
        <v>190</v>
      </c>
      <c r="C57" s="381">
        <v>378617</v>
      </c>
      <c r="D57" s="381">
        <v>307806</v>
      </c>
      <c r="E57" s="381">
        <v>127841</v>
      </c>
      <c r="F57" s="381">
        <v>53054</v>
      </c>
      <c r="G57" s="381">
        <v>751823</v>
      </c>
      <c r="H57" s="381">
        <v>1619141</v>
      </c>
      <c r="I57" s="3"/>
      <c r="J57" s="10"/>
    </row>
    <row r="58" spans="1:10" ht="16.5" customHeight="1">
      <c r="A58" s="372"/>
      <c r="B58" s="398" t="s">
        <v>191</v>
      </c>
      <c r="C58" s="381">
        <v>358213</v>
      </c>
      <c r="D58" s="381">
        <v>372984</v>
      </c>
      <c r="E58" s="381">
        <v>126499</v>
      </c>
      <c r="F58" s="381">
        <v>56099</v>
      </c>
      <c r="G58" s="381">
        <v>743166</v>
      </c>
      <c r="H58" s="381">
        <v>1656961</v>
      </c>
      <c r="I58" s="3"/>
      <c r="J58" s="1"/>
    </row>
    <row r="59" spans="1:10" ht="16.5" customHeight="1">
      <c r="A59" s="372"/>
      <c r="B59" s="398" t="s">
        <v>192</v>
      </c>
      <c r="C59" s="381">
        <v>366772</v>
      </c>
      <c r="D59" s="381">
        <v>367114</v>
      </c>
      <c r="E59" s="381">
        <v>117374</v>
      </c>
      <c r="F59" s="381">
        <v>46469</v>
      </c>
      <c r="G59" s="381">
        <v>684644</v>
      </c>
      <c r="H59" s="381">
        <v>1582373</v>
      </c>
      <c r="I59" s="3"/>
      <c r="J59" s="1"/>
    </row>
    <row r="60" spans="1:10" ht="16.5" customHeight="1">
      <c r="A60" s="372"/>
      <c r="B60" s="398" t="s">
        <v>193</v>
      </c>
      <c r="C60" s="381">
        <v>363652</v>
      </c>
      <c r="D60" s="381">
        <v>380799</v>
      </c>
      <c r="E60" s="381">
        <v>111525</v>
      </c>
      <c r="F60" s="381">
        <v>54239</v>
      </c>
      <c r="G60" s="381">
        <v>667471</v>
      </c>
      <c r="H60" s="381">
        <v>1577686</v>
      </c>
      <c r="I60" s="3"/>
      <c r="J60" s="1"/>
    </row>
    <row r="61" spans="1:10" ht="16.5" customHeight="1">
      <c r="A61" s="372"/>
      <c r="B61" s="398" t="s">
        <v>194</v>
      </c>
      <c r="C61" s="381">
        <v>389155</v>
      </c>
      <c r="D61" s="381">
        <v>392456</v>
      </c>
      <c r="E61" s="381">
        <v>104541</v>
      </c>
      <c r="F61" s="381">
        <v>74580</v>
      </c>
      <c r="G61" s="381">
        <v>684072</v>
      </c>
      <c r="H61" s="381">
        <v>1644804</v>
      </c>
      <c r="I61" s="3"/>
      <c r="J61" s="1"/>
    </row>
    <row r="62" spans="1:10" ht="16.5" customHeight="1">
      <c r="A62" s="372"/>
      <c r="B62" s="398" t="s">
        <v>195</v>
      </c>
      <c r="C62" s="381">
        <v>371887</v>
      </c>
      <c r="D62" s="381">
        <v>396698</v>
      </c>
      <c r="E62" s="381">
        <v>101938</v>
      </c>
      <c r="F62" s="381">
        <v>70319</v>
      </c>
      <c r="G62" s="381">
        <v>605755</v>
      </c>
      <c r="H62" s="381">
        <v>1546597</v>
      </c>
      <c r="I62" s="3"/>
      <c r="J62" s="1"/>
    </row>
    <row r="63" spans="1:10" ht="16.5" customHeight="1">
      <c r="A63" s="372"/>
      <c r="B63" s="398" t="s">
        <v>196</v>
      </c>
      <c r="C63" s="381">
        <v>339753</v>
      </c>
      <c r="D63" s="381">
        <v>429985</v>
      </c>
      <c r="E63" s="381">
        <v>99770</v>
      </c>
      <c r="F63" s="381">
        <v>65280</v>
      </c>
      <c r="G63" s="381">
        <v>520947</v>
      </c>
      <c r="H63" s="381">
        <v>1455735</v>
      </c>
      <c r="I63" s="3"/>
      <c r="J63" s="1"/>
    </row>
    <row r="64" spans="1:10" ht="16.5" customHeight="1">
      <c r="A64" s="372"/>
      <c r="B64" s="398" t="s">
        <v>443</v>
      </c>
      <c r="C64" s="381">
        <v>343150</v>
      </c>
      <c r="D64" s="381">
        <v>466329</v>
      </c>
      <c r="E64" s="381">
        <v>112359</v>
      </c>
      <c r="F64" s="381">
        <v>67864</v>
      </c>
      <c r="G64" s="381">
        <v>491690</v>
      </c>
      <c r="H64" s="381">
        <v>1481392</v>
      </c>
      <c r="I64" s="3"/>
      <c r="J64" s="1"/>
    </row>
    <row r="65" spans="1:10" ht="16.5" customHeight="1">
      <c r="A65" s="372"/>
      <c r="B65" s="398" t="s">
        <v>600</v>
      </c>
      <c r="C65" s="381">
        <v>352843</v>
      </c>
      <c r="D65" s="381">
        <v>474804</v>
      </c>
      <c r="E65" s="381">
        <v>119379</v>
      </c>
      <c r="F65" s="381">
        <v>76100</v>
      </c>
      <c r="G65" s="381">
        <v>440715</v>
      </c>
      <c r="H65" s="381">
        <v>1463841</v>
      </c>
      <c r="I65" s="3"/>
    </row>
    <row r="66" spans="1:10" ht="16.5" customHeight="1">
      <c r="A66" s="372"/>
      <c r="B66" s="398" t="s">
        <v>797</v>
      </c>
      <c r="C66" s="442">
        <v>319750</v>
      </c>
      <c r="D66" s="442">
        <v>486697</v>
      </c>
      <c r="E66" s="442">
        <v>118045</v>
      </c>
      <c r="F66" s="442">
        <v>113728</v>
      </c>
      <c r="G66" s="442">
        <v>381073</v>
      </c>
      <c r="H66" s="442">
        <v>1419293</v>
      </c>
      <c r="I66" s="3"/>
    </row>
    <row r="67" spans="1:10" ht="16.5" customHeight="1">
      <c r="B67" s="398" t="s">
        <v>782</v>
      </c>
      <c r="C67" s="381">
        <v>310502</v>
      </c>
      <c r="D67" s="381">
        <v>526756</v>
      </c>
      <c r="E67" s="381">
        <v>128552</v>
      </c>
      <c r="F67" s="381">
        <v>135327</v>
      </c>
      <c r="G67" s="381">
        <v>416410</v>
      </c>
      <c r="H67" s="381">
        <v>1517547</v>
      </c>
    </row>
    <row r="69" spans="1:10" ht="16.5" customHeight="1">
      <c r="J69" s="13"/>
    </row>
    <row r="70" spans="1:10" ht="16.5" customHeight="1">
      <c r="J70" s="13"/>
    </row>
    <row r="71" spans="1:10" ht="16.5" customHeight="1">
      <c r="A71" s="427" t="s">
        <v>621</v>
      </c>
      <c r="I71" s="426"/>
      <c r="J71" s="13"/>
    </row>
    <row r="72" spans="1:10" ht="16.5" customHeight="1">
      <c r="J72" s="13"/>
    </row>
    <row r="73" spans="1:10" ht="16.5" customHeight="1">
      <c r="J73" s="13"/>
    </row>
    <row r="74" spans="1:10" ht="16.5" customHeight="1">
      <c r="J74" s="13"/>
    </row>
    <row r="75" spans="1:10" ht="16.5" customHeight="1">
      <c r="C75" s="399"/>
      <c r="D75" s="399" t="s">
        <v>632</v>
      </c>
      <c r="E75" s="400" t="s">
        <v>97</v>
      </c>
      <c r="F75" s="400" t="s">
        <v>98</v>
      </c>
      <c r="J75" s="13"/>
    </row>
    <row r="76" spans="1:10" ht="16.5" customHeight="1">
      <c r="C76" s="401" t="s">
        <v>189</v>
      </c>
      <c r="D76" s="399">
        <v>3259</v>
      </c>
      <c r="E76" s="400">
        <v>1022</v>
      </c>
      <c r="F76" s="400">
        <v>255</v>
      </c>
      <c r="J76" s="13"/>
    </row>
    <row r="77" spans="1:10" ht="16.5" customHeight="1">
      <c r="C77" s="401" t="s">
        <v>190</v>
      </c>
      <c r="D77" s="399">
        <v>3221</v>
      </c>
      <c r="E77" s="400">
        <v>917</v>
      </c>
      <c r="F77" s="400">
        <v>258</v>
      </c>
      <c r="J77" s="13"/>
    </row>
    <row r="78" spans="1:10" ht="16.5" customHeight="1">
      <c r="C78" s="401" t="s">
        <v>191</v>
      </c>
      <c r="D78" s="399">
        <v>3519</v>
      </c>
      <c r="E78" s="400">
        <v>932</v>
      </c>
      <c r="F78" s="400">
        <v>245</v>
      </c>
      <c r="J78" s="13"/>
    </row>
    <row r="79" spans="1:10" ht="16.5" customHeight="1">
      <c r="C79" s="401" t="s">
        <v>192</v>
      </c>
      <c r="D79" s="399">
        <v>3751</v>
      </c>
      <c r="E79" s="400">
        <v>1163</v>
      </c>
      <c r="F79" s="400">
        <v>250</v>
      </c>
      <c r="J79" s="13"/>
    </row>
    <row r="80" spans="1:10" ht="16.5" customHeight="1">
      <c r="C80" s="401" t="s">
        <v>193</v>
      </c>
      <c r="D80" s="399">
        <v>4694</v>
      </c>
      <c r="E80" s="400">
        <v>1690</v>
      </c>
      <c r="F80" s="400">
        <v>309</v>
      </c>
      <c r="J80" s="13"/>
    </row>
    <row r="81" spans="1:10" ht="16.5" customHeight="1">
      <c r="C81" s="401" t="s">
        <v>194</v>
      </c>
      <c r="D81" s="399">
        <v>4730</v>
      </c>
      <c r="E81" s="400">
        <v>1789</v>
      </c>
      <c r="F81" s="400">
        <v>438</v>
      </c>
      <c r="J81" s="13"/>
    </row>
    <row r="82" spans="1:10" ht="16.5" customHeight="1">
      <c r="C82" s="401" t="s">
        <v>195</v>
      </c>
      <c r="D82" s="399">
        <v>4468</v>
      </c>
      <c r="E82" s="400">
        <v>1669</v>
      </c>
      <c r="F82" s="400">
        <v>360</v>
      </c>
      <c r="J82" s="13"/>
    </row>
    <row r="83" spans="1:10" ht="16.5" customHeight="1">
      <c r="C83" s="401" t="s">
        <v>196</v>
      </c>
      <c r="D83" s="399">
        <v>4497</v>
      </c>
      <c r="E83" s="400">
        <v>1691</v>
      </c>
      <c r="F83" s="400">
        <v>370</v>
      </c>
      <c r="J83" s="13"/>
    </row>
    <row r="84" spans="1:10" ht="16.5" customHeight="1">
      <c r="C84" s="401" t="s">
        <v>443</v>
      </c>
      <c r="D84" s="399">
        <v>5221</v>
      </c>
      <c r="E84" s="399">
        <v>1742</v>
      </c>
      <c r="F84" s="399">
        <v>349</v>
      </c>
      <c r="J84" s="13"/>
    </row>
    <row r="85" spans="1:10" ht="16.5" customHeight="1">
      <c r="C85" s="401" t="s">
        <v>600</v>
      </c>
      <c r="D85" s="399">
        <v>5630</v>
      </c>
      <c r="E85" s="399">
        <v>1934</v>
      </c>
      <c r="F85" s="399">
        <v>409</v>
      </c>
      <c r="J85" s="13"/>
    </row>
    <row r="86" spans="1:10" ht="16.5" customHeight="1">
      <c r="C86" s="401" t="s">
        <v>613</v>
      </c>
      <c r="D86" s="399">
        <v>5339</v>
      </c>
      <c r="E86" s="399">
        <v>2095</v>
      </c>
      <c r="F86" s="399">
        <v>409</v>
      </c>
      <c r="J86" s="300"/>
    </row>
    <row r="87" spans="1:10" ht="16.5" customHeight="1">
      <c r="C87" s="401" t="s">
        <v>782</v>
      </c>
      <c r="D87" s="399">
        <v>5741</v>
      </c>
      <c r="E87" s="399">
        <v>2226</v>
      </c>
      <c r="F87" s="399">
        <v>437</v>
      </c>
      <c r="J87" s="300"/>
    </row>
    <row r="93" spans="1:10" ht="16.5" customHeight="1">
      <c r="A93" s="82" t="s">
        <v>675</v>
      </c>
      <c r="B93" s="3"/>
      <c r="C93" s="3"/>
      <c r="D93" s="3"/>
      <c r="E93" s="3"/>
      <c r="F93" s="3"/>
      <c r="G93" s="3"/>
      <c r="H93" s="58"/>
      <c r="I93" s="58"/>
    </row>
    <row r="94" spans="1:10" ht="16.5" customHeight="1">
      <c r="A94" s="496" t="s">
        <v>478</v>
      </c>
      <c r="B94" s="513" t="s">
        <v>89</v>
      </c>
      <c r="C94" s="513"/>
      <c r="D94" s="513" t="s">
        <v>180</v>
      </c>
      <c r="E94" s="513"/>
      <c r="F94" s="513" t="s">
        <v>181</v>
      </c>
      <c r="G94" s="514"/>
      <c r="H94" s="58"/>
      <c r="I94" s="58"/>
    </row>
    <row r="95" spans="1:10" ht="16.5" customHeight="1">
      <c r="A95" s="207" t="s">
        <v>479</v>
      </c>
      <c r="B95" s="475" t="s">
        <v>480</v>
      </c>
      <c r="C95" s="475" t="s">
        <v>481</v>
      </c>
      <c r="D95" s="475" t="s">
        <v>480</v>
      </c>
      <c r="E95" s="475" t="s">
        <v>481</v>
      </c>
      <c r="F95" s="475" t="s">
        <v>480</v>
      </c>
      <c r="G95" s="497" t="s">
        <v>182</v>
      </c>
      <c r="H95" s="58"/>
      <c r="I95" s="58"/>
    </row>
    <row r="96" spans="1:10" ht="16.5" customHeight="1">
      <c r="A96" s="471">
        <v>2013</v>
      </c>
      <c r="B96" s="117">
        <v>1656961</v>
      </c>
      <c r="C96" s="288">
        <v>100</v>
      </c>
      <c r="D96" s="242">
        <v>358213</v>
      </c>
      <c r="E96" s="289">
        <v>100</v>
      </c>
      <c r="F96" s="242">
        <v>743166</v>
      </c>
      <c r="G96" s="29">
        <v>100</v>
      </c>
      <c r="H96" s="58"/>
      <c r="I96" s="58"/>
    </row>
    <row r="97" spans="1:9" ht="16.5" customHeight="1">
      <c r="A97" s="197">
        <v>2014</v>
      </c>
      <c r="B97" s="117">
        <v>1582373</v>
      </c>
      <c r="C97" s="288">
        <v>95.498505999839466</v>
      </c>
      <c r="D97" s="242">
        <v>366772</v>
      </c>
      <c r="E97" s="289">
        <v>102.38936052013744</v>
      </c>
      <c r="F97" s="242">
        <v>684644</v>
      </c>
      <c r="G97" s="29">
        <v>92.125312514296937</v>
      </c>
      <c r="H97" s="58"/>
      <c r="I97" s="58"/>
    </row>
    <row r="98" spans="1:9" ht="16.5" customHeight="1">
      <c r="A98" s="197">
        <v>2015</v>
      </c>
      <c r="B98" s="117">
        <v>1577686</v>
      </c>
      <c r="C98" s="288">
        <v>95.215638750700833</v>
      </c>
      <c r="D98" s="242">
        <v>363652</v>
      </c>
      <c r="E98" s="289">
        <v>101.51837035506807</v>
      </c>
      <c r="F98" s="242">
        <v>667471</v>
      </c>
      <c r="G98" s="29">
        <v>89.814523269363775</v>
      </c>
      <c r="H98" s="58"/>
      <c r="I98" s="58"/>
    </row>
    <row r="99" spans="1:9" ht="16.5" customHeight="1">
      <c r="A99" s="197">
        <v>2016</v>
      </c>
      <c r="B99" s="117">
        <v>1644804</v>
      </c>
      <c r="C99" s="288">
        <v>99.266307414598174</v>
      </c>
      <c r="D99" s="242">
        <v>389155</v>
      </c>
      <c r="E99" s="289">
        <v>108.63787746396696</v>
      </c>
      <c r="F99" s="242">
        <v>684072</v>
      </c>
      <c r="G99" s="29">
        <v>92.048344515222709</v>
      </c>
      <c r="H99" s="58"/>
      <c r="I99" s="58"/>
    </row>
    <row r="100" spans="1:9" ht="16.5" customHeight="1">
      <c r="A100" s="197">
        <v>2017</v>
      </c>
      <c r="B100" s="117">
        <v>1546597</v>
      </c>
      <c r="C100" s="288">
        <v>93.339372501827143</v>
      </c>
      <c r="D100" s="242">
        <v>371887</v>
      </c>
      <c r="E100" s="289">
        <v>103.81728189652526</v>
      </c>
      <c r="F100" s="242">
        <v>605755</v>
      </c>
      <c r="G100" s="29">
        <v>81.510052935683277</v>
      </c>
      <c r="H100" s="58"/>
      <c r="I100" s="58"/>
    </row>
    <row r="101" spans="1:9" ht="16.5" customHeight="1">
      <c r="A101" s="197">
        <v>2018</v>
      </c>
      <c r="B101" s="117">
        <v>1455735</v>
      </c>
      <c r="C101" s="288">
        <v>87.855718993989598</v>
      </c>
      <c r="D101" s="242">
        <v>339753</v>
      </c>
      <c r="E101" s="289">
        <v>94.846641523339471</v>
      </c>
      <c r="F101" s="242">
        <v>520947</v>
      </c>
      <c r="G101" s="29">
        <v>70.098336037978058</v>
      </c>
      <c r="H101" s="58"/>
      <c r="I101" s="58"/>
    </row>
    <row r="102" spans="1:9" ht="16.5" customHeight="1">
      <c r="A102" s="197">
        <v>2019</v>
      </c>
      <c r="B102" s="117">
        <v>1481392</v>
      </c>
      <c r="C102" s="288">
        <v>89.404156162999612</v>
      </c>
      <c r="D102" s="242">
        <v>343150</v>
      </c>
      <c r="E102" s="289">
        <v>95.794959981910196</v>
      </c>
      <c r="F102" s="242">
        <v>491690</v>
      </c>
      <c r="G102" s="29">
        <v>66.161530532882296</v>
      </c>
      <c r="H102" s="58"/>
      <c r="I102" s="58"/>
    </row>
    <row r="103" spans="1:9" ht="16.5" customHeight="1">
      <c r="A103" s="197">
        <v>2020</v>
      </c>
      <c r="B103" s="117">
        <v>1463841</v>
      </c>
      <c r="C103" s="288">
        <v>88.344927852858333</v>
      </c>
      <c r="D103" s="39">
        <v>352843</v>
      </c>
      <c r="E103" s="289">
        <v>98.500891927428654</v>
      </c>
      <c r="F103" s="39">
        <v>440715</v>
      </c>
      <c r="G103" s="29">
        <v>59.302363132866688</v>
      </c>
      <c r="H103" s="58"/>
      <c r="I103" s="58"/>
    </row>
    <row r="104" spans="1:9" ht="16.5" customHeight="1">
      <c r="A104" s="197">
        <v>2021</v>
      </c>
      <c r="B104" s="117">
        <v>1419293</v>
      </c>
      <c r="C104" s="288">
        <v>85.656391429852604</v>
      </c>
      <c r="D104" s="39">
        <v>319750</v>
      </c>
      <c r="E104" s="289">
        <v>89.262533743889804</v>
      </c>
      <c r="F104" s="39">
        <v>381073</v>
      </c>
      <c r="G104" s="29">
        <v>51.276969075549736</v>
      </c>
      <c r="H104" s="58"/>
      <c r="I104" s="58"/>
    </row>
    <row r="105" spans="1:9" ht="16.5" customHeight="1">
      <c r="A105" s="420">
        <v>2022</v>
      </c>
      <c r="B105" s="509">
        <v>1517547</v>
      </c>
      <c r="C105" s="510">
        <v>91.586162860803597</v>
      </c>
      <c r="D105" s="331">
        <v>310502</v>
      </c>
      <c r="E105" s="304">
        <v>86.680829562299522</v>
      </c>
      <c r="F105" s="331">
        <v>416410</v>
      </c>
      <c r="G105" s="502">
        <v>56.031895969406563</v>
      </c>
      <c r="H105" s="58"/>
      <c r="I105" s="58"/>
    </row>
    <row r="106" spans="1:9" ht="16.5" customHeight="1">
      <c r="A106" s="464" t="s">
        <v>478</v>
      </c>
      <c r="B106" s="518" t="s">
        <v>183</v>
      </c>
      <c r="C106" s="518"/>
      <c r="D106" s="518" t="s">
        <v>184</v>
      </c>
      <c r="E106" s="518"/>
      <c r="F106" s="518" t="s">
        <v>185</v>
      </c>
      <c r="G106" s="519"/>
    </row>
    <row r="107" spans="1:9" ht="16.5" customHeight="1">
      <c r="A107" s="207" t="s">
        <v>479</v>
      </c>
      <c r="B107" s="475" t="s">
        <v>102</v>
      </c>
      <c r="C107" s="475" t="s">
        <v>182</v>
      </c>
      <c r="D107" s="475" t="s">
        <v>102</v>
      </c>
      <c r="E107" s="475" t="s">
        <v>182</v>
      </c>
      <c r="F107" s="475" t="s">
        <v>102</v>
      </c>
      <c r="G107" s="497" t="s">
        <v>182</v>
      </c>
    </row>
    <row r="108" spans="1:9" ht="16.5" customHeight="1">
      <c r="A108" s="471">
        <v>2013</v>
      </c>
      <c r="B108" s="242">
        <v>56099</v>
      </c>
      <c r="C108" s="289">
        <v>100</v>
      </c>
      <c r="D108" s="242">
        <v>372984</v>
      </c>
      <c r="E108" s="289">
        <v>100</v>
      </c>
      <c r="F108" s="39">
        <v>126499</v>
      </c>
      <c r="G108" s="40">
        <v>100</v>
      </c>
    </row>
    <row r="109" spans="1:9" ht="16.5" customHeight="1">
      <c r="A109" s="471">
        <v>2014</v>
      </c>
      <c r="B109" s="242">
        <v>46469</v>
      </c>
      <c r="C109" s="289">
        <v>82.833918608174841</v>
      </c>
      <c r="D109" s="242">
        <v>367114</v>
      </c>
      <c r="E109" s="289">
        <v>98.42620594985307</v>
      </c>
      <c r="F109" s="39">
        <v>117374</v>
      </c>
      <c r="G109" s="40">
        <v>92.78650424114025</v>
      </c>
    </row>
    <row r="110" spans="1:9" ht="16.5" customHeight="1">
      <c r="A110" s="471">
        <v>2015</v>
      </c>
      <c r="B110" s="242">
        <v>54239</v>
      </c>
      <c r="C110" s="289">
        <v>96.684432877591391</v>
      </c>
      <c r="D110" s="242">
        <v>380799</v>
      </c>
      <c r="E110" s="289">
        <v>102.09526414001672</v>
      </c>
      <c r="F110" s="39">
        <v>111525</v>
      </c>
      <c r="G110" s="40">
        <v>88.162752274721541</v>
      </c>
    </row>
    <row r="111" spans="1:9" ht="16.5" customHeight="1">
      <c r="A111" s="471">
        <v>2016</v>
      </c>
      <c r="B111" s="470">
        <v>74580</v>
      </c>
      <c r="C111" s="289">
        <v>132.94354623077061</v>
      </c>
      <c r="D111" s="242">
        <v>392456</v>
      </c>
      <c r="E111" s="289">
        <v>105.22059927503594</v>
      </c>
      <c r="F111" s="116">
        <v>104541</v>
      </c>
      <c r="G111" s="40">
        <v>82.641760013913157</v>
      </c>
    </row>
    <row r="112" spans="1:9" ht="16.5" customHeight="1">
      <c r="A112" s="471">
        <v>2017</v>
      </c>
      <c r="B112" s="470">
        <v>70319</v>
      </c>
      <c r="C112" s="289">
        <v>125.34804541970446</v>
      </c>
      <c r="D112" s="242">
        <v>396698</v>
      </c>
      <c r="E112" s="289">
        <v>106.35791347618128</v>
      </c>
      <c r="F112" s="116">
        <v>101938</v>
      </c>
      <c r="G112" s="40">
        <v>80.584036237440614</v>
      </c>
    </row>
    <row r="113" spans="1:7" ht="16.5" customHeight="1">
      <c r="A113" s="471">
        <v>2018</v>
      </c>
      <c r="B113" s="470">
        <v>65280</v>
      </c>
      <c r="C113" s="289">
        <v>116.3657106187276</v>
      </c>
      <c r="D113" s="242">
        <v>429985</v>
      </c>
      <c r="E113" s="289">
        <v>115.28242498337731</v>
      </c>
      <c r="F113" s="116">
        <v>99770</v>
      </c>
      <c r="G113" s="40">
        <v>78.870188697143846</v>
      </c>
    </row>
    <row r="114" spans="1:7" ht="16.5" customHeight="1">
      <c r="A114" s="471">
        <v>2019</v>
      </c>
      <c r="B114" s="470">
        <v>67864</v>
      </c>
      <c r="C114" s="289">
        <v>120.97185333071891</v>
      </c>
      <c r="D114" s="242">
        <v>466329</v>
      </c>
      <c r="E114" s="289">
        <v>125.02654269352035</v>
      </c>
      <c r="F114" s="116">
        <v>112359</v>
      </c>
      <c r="G114" s="40">
        <v>88.822046024079242</v>
      </c>
    </row>
    <row r="115" spans="1:7" ht="16.5" customHeight="1">
      <c r="A115" s="471">
        <v>2020</v>
      </c>
      <c r="B115" s="116">
        <v>76100</v>
      </c>
      <c r="C115" s="511">
        <v>135.65304194370665</v>
      </c>
      <c r="D115" s="39">
        <v>474804</v>
      </c>
      <c r="E115" s="289">
        <v>127.29875812367285</v>
      </c>
      <c r="F115" s="116">
        <v>119379</v>
      </c>
      <c r="G115" s="40">
        <v>94.371497007881487</v>
      </c>
    </row>
    <row r="116" spans="1:7" ht="16.5" customHeight="1">
      <c r="A116" s="471">
        <v>2021</v>
      </c>
      <c r="B116" s="116">
        <v>113728</v>
      </c>
      <c r="C116" s="511">
        <v>202.72732134262642</v>
      </c>
      <c r="D116" s="39">
        <v>486697</v>
      </c>
      <c r="E116" s="289">
        <v>130.48736675031637</v>
      </c>
      <c r="F116" s="39">
        <v>118045</v>
      </c>
      <c r="G116" s="40">
        <v>93.316943216942434</v>
      </c>
    </row>
    <row r="117" spans="1:7" ht="16.5" customHeight="1">
      <c r="A117" s="420">
        <v>2022</v>
      </c>
      <c r="B117" s="330">
        <v>135327</v>
      </c>
      <c r="C117" s="512">
        <v>241.22889891085401</v>
      </c>
      <c r="D117" s="331">
        <v>526756</v>
      </c>
      <c r="E117" s="304">
        <v>141.22750573751154</v>
      </c>
      <c r="F117" s="331">
        <v>128552</v>
      </c>
      <c r="G117" s="332">
        <v>101.62293773073306</v>
      </c>
    </row>
    <row r="118" spans="1:7" ht="16.5" customHeight="1">
      <c r="A118" s="3" t="s">
        <v>482</v>
      </c>
      <c r="B118" s="3"/>
      <c r="C118" s="3"/>
      <c r="D118" s="3"/>
      <c r="E118" s="3"/>
      <c r="F118" s="3"/>
      <c r="G118" s="3"/>
    </row>
  </sheetData>
  <sheetProtection algorithmName="SHA-512" hashValue="kFkpncyn2GeTrZPSRMs1VzrJcWcXBhg6q1noFviqxgqjJOm8S0Kq0BqYyHnoz25YcyZDjUbollFsxNV+M/hs7w==" saltValue="wT0OIfuYN6r35fQ3H6eaSw==" spinCount="100000" sheet="1" objects="1" scenarios="1"/>
  <sortState ref="J10:Q15">
    <sortCondition descending="1" ref="J10:J15"/>
  </sortState>
  <mergeCells count="33">
    <mergeCell ref="B94:C94"/>
    <mergeCell ref="B31:C31"/>
    <mergeCell ref="D94:E94"/>
    <mergeCell ref="F94:G94"/>
    <mergeCell ref="B36:C36"/>
    <mergeCell ref="B37:C37"/>
    <mergeCell ref="A34:C34"/>
    <mergeCell ref="A35:C35"/>
    <mergeCell ref="A31:A33"/>
    <mergeCell ref="A11:C15"/>
    <mergeCell ref="A3:C9"/>
    <mergeCell ref="A23:C23"/>
    <mergeCell ref="A24:A30"/>
    <mergeCell ref="B24:B26"/>
    <mergeCell ref="B27:B28"/>
    <mergeCell ref="B29:B30"/>
    <mergeCell ref="A21:C21"/>
    <mergeCell ref="H19:I19"/>
    <mergeCell ref="D19:E19"/>
    <mergeCell ref="A22:C22"/>
    <mergeCell ref="F106:G106"/>
    <mergeCell ref="B106:C106"/>
    <mergeCell ref="D106:E106"/>
    <mergeCell ref="B38:C38"/>
    <mergeCell ref="B32:C32"/>
    <mergeCell ref="B33:C33"/>
    <mergeCell ref="A44:C44"/>
    <mergeCell ref="A39:A41"/>
    <mergeCell ref="B39:C39"/>
    <mergeCell ref="B40:C40"/>
    <mergeCell ref="B41:C41"/>
    <mergeCell ref="A36:A38"/>
    <mergeCell ref="F19:G19"/>
  </mergeCells>
  <phoneticPr fontId="6" type="noConversion"/>
  <pageMargins left="0.23622047244094491" right="7.874015748031496E-2" top="0.47244094488188981" bottom="0.11811023622047245" header="0.51181102362204722" footer="0.51181102362204722"/>
  <pageSetup paperSize="9" scale="81" fitToHeight="0" pageOrder="overThenDown" orientation="portrait" horizontalDpi="1200" verticalDpi="1200" r:id="rId1"/>
  <headerFooter alignWithMargins="0"/>
  <rowBreaks count="2" manualBreakCount="2">
    <brk id="47" max="16383" man="1"/>
    <brk id="9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85"/>
  <sheetViews>
    <sheetView showGridLines="0" zoomScaleNormal="100" zoomScaleSheetLayoutView="100" workbookViewId="0"/>
  </sheetViews>
  <sheetFormatPr defaultRowHeight="16.5" customHeight="1"/>
  <cols>
    <col min="1" max="8" width="11.109375" style="96" customWidth="1"/>
    <col min="9" max="15" width="8.88671875" style="53"/>
    <col min="16" max="16384" width="8.88671875" style="2"/>
  </cols>
  <sheetData>
    <row r="1" spans="1:9" s="1" customFormat="1" ht="16.5" customHeight="1">
      <c r="A1" s="82" t="s">
        <v>22</v>
      </c>
      <c r="B1" s="3"/>
      <c r="C1" s="3"/>
      <c r="D1" s="3"/>
      <c r="E1" s="3"/>
      <c r="F1" s="3"/>
      <c r="G1" s="3"/>
      <c r="H1" s="3"/>
      <c r="I1" s="54"/>
    </row>
    <row r="2" spans="1:9" s="1" customFormat="1" ht="16.5" customHeight="1">
      <c r="A2" s="3"/>
      <c r="B2" s="3"/>
      <c r="C2" s="3"/>
      <c r="D2" s="3"/>
      <c r="E2" s="3"/>
      <c r="F2" s="3"/>
      <c r="G2" s="3"/>
      <c r="H2" s="3"/>
      <c r="I2" s="246"/>
    </row>
    <row r="3" spans="1:9" s="1" customFormat="1" ht="16.5" customHeight="1">
      <c r="A3" s="82" t="s">
        <v>23</v>
      </c>
      <c r="B3" s="3"/>
      <c r="C3" s="3"/>
      <c r="D3" s="3"/>
      <c r="E3" s="3"/>
      <c r="F3" s="3"/>
      <c r="G3" s="3"/>
      <c r="H3" s="3"/>
      <c r="I3" s="246"/>
    </row>
    <row r="4" spans="1:9" s="1" customFormat="1" ht="16.5" customHeight="1">
      <c r="A4" s="529" t="s">
        <v>824</v>
      </c>
      <c r="B4" s="529"/>
      <c r="C4" s="529"/>
      <c r="D4" s="529"/>
      <c r="E4" s="529"/>
      <c r="F4" s="529"/>
      <c r="G4" s="529"/>
      <c r="H4" s="529"/>
      <c r="I4" s="246"/>
    </row>
    <row r="5" spans="1:9" s="1" customFormat="1" ht="16.5" customHeight="1">
      <c r="A5" s="529"/>
      <c r="B5" s="529"/>
      <c r="C5" s="529"/>
      <c r="D5" s="529"/>
      <c r="E5" s="529"/>
      <c r="F5" s="529"/>
      <c r="G5" s="529"/>
      <c r="H5" s="529"/>
      <c r="I5" s="246"/>
    </row>
    <row r="6" spans="1:9" s="1" customFormat="1" ht="16.5" customHeight="1">
      <c r="A6" s="529"/>
      <c r="B6" s="529"/>
      <c r="C6" s="529"/>
      <c r="D6" s="529"/>
      <c r="E6" s="529"/>
      <c r="F6" s="529"/>
      <c r="G6" s="529"/>
      <c r="H6" s="529"/>
      <c r="I6" s="246"/>
    </row>
    <row r="7" spans="1:9" s="1" customFormat="1" ht="16.5" customHeight="1">
      <c r="A7" s="66"/>
      <c r="B7" s="66"/>
      <c r="C7" s="66"/>
      <c r="D7" s="66"/>
      <c r="E7" s="66"/>
      <c r="F7" s="66"/>
      <c r="G7" s="66"/>
      <c r="H7" s="66"/>
      <c r="I7" s="246"/>
    </row>
    <row r="8" spans="1:9" s="1" customFormat="1" ht="16.5" customHeight="1">
      <c r="A8" s="82" t="s">
        <v>24</v>
      </c>
      <c r="B8" s="3"/>
      <c r="C8" s="3"/>
      <c r="D8" s="3"/>
      <c r="E8" s="76"/>
      <c r="F8" s="76"/>
      <c r="G8" s="76"/>
      <c r="H8" s="76"/>
      <c r="I8" s="246"/>
    </row>
    <row r="9" spans="1:9" s="1" customFormat="1" ht="16.5" customHeight="1">
      <c r="A9" s="82" t="s">
        <v>172</v>
      </c>
      <c r="B9" s="3"/>
      <c r="C9" s="3"/>
      <c r="D9" s="3"/>
      <c r="E9" s="3"/>
      <c r="F9" s="3"/>
      <c r="G9" s="3"/>
      <c r="H9" s="3"/>
      <c r="I9" s="246"/>
    </row>
    <row r="10" spans="1:9" s="1" customFormat="1" ht="16.5" customHeight="1">
      <c r="A10" s="66" t="s">
        <v>784</v>
      </c>
      <c r="B10" s="66"/>
      <c r="C10" s="66"/>
      <c r="D10" s="66"/>
      <c r="E10" s="3"/>
      <c r="F10" s="3"/>
      <c r="G10" s="3"/>
      <c r="H10" s="3"/>
      <c r="I10" s="246"/>
    </row>
    <row r="11" spans="1:9" s="1" customFormat="1" ht="16.5" customHeight="1">
      <c r="A11" s="82" t="s">
        <v>25</v>
      </c>
      <c r="B11" s="3"/>
      <c r="C11" s="3"/>
      <c r="D11" s="3"/>
      <c r="E11" s="3"/>
      <c r="F11" s="3"/>
      <c r="G11" s="3"/>
      <c r="H11" s="3"/>
      <c r="I11" s="246"/>
    </row>
    <row r="12" spans="1:9" s="1" customFormat="1" ht="16.5" customHeight="1">
      <c r="A12" s="529" t="s">
        <v>810</v>
      </c>
      <c r="B12" s="529"/>
      <c r="C12" s="529"/>
      <c r="D12" s="529"/>
      <c r="E12" s="529"/>
      <c r="F12" s="529"/>
      <c r="G12" s="529"/>
      <c r="H12" s="529"/>
      <c r="I12" s="246"/>
    </row>
    <row r="13" spans="1:9" s="1" customFormat="1" ht="16.5" customHeight="1">
      <c r="A13" s="529"/>
      <c r="B13" s="529"/>
      <c r="C13" s="529"/>
      <c r="D13" s="529"/>
      <c r="E13" s="529"/>
      <c r="F13" s="529"/>
      <c r="G13" s="529"/>
      <c r="H13" s="529"/>
      <c r="I13" s="246"/>
    </row>
    <row r="14" spans="1:9" s="1" customFormat="1" ht="16.5" customHeight="1">
      <c r="A14" s="66"/>
      <c r="B14" s="66"/>
      <c r="C14" s="66"/>
      <c r="D14" s="66"/>
      <c r="E14" s="66"/>
      <c r="F14" s="66"/>
      <c r="G14" s="66"/>
      <c r="H14" s="66"/>
      <c r="I14" s="25"/>
    </row>
    <row r="15" spans="1:9" s="1" customFormat="1" ht="16.5" customHeight="1">
      <c r="A15" s="82" t="s">
        <v>648</v>
      </c>
      <c r="B15" s="3"/>
      <c r="C15" s="3"/>
      <c r="D15" s="3"/>
      <c r="E15" s="3"/>
      <c r="F15" s="3"/>
      <c r="G15" s="3"/>
      <c r="H15" s="3"/>
      <c r="I15" s="25"/>
    </row>
    <row r="16" spans="1:9" s="1" customFormat="1" ht="16.5" customHeight="1">
      <c r="A16" s="3"/>
      <c r="B16" s="3"/>
      <c r="C16" s="3"/>
      <c r="D16" s="3"/>
      <c r="E16" s="3"/>
      <c r="F16" s="3"/>
      <c r="G16" s="3"/>
      <c r="H16" s="3"/>
      <c r="I16" s="25"/>
    </row>
    <row r="17" spans="1:9" s="1" customFormat="1" ht="16.5" customHeight="1">
      <c r="A17" s="3"/>
      <c r="B17" s="3"/>
      <c r="C17" s="3"/>
      <c r="D17" s="3"/>
      <c r="E17" s="269" t="s">
        <v>191</v>
      </c>
      <c r="F17" s="267">
        <v>270469</v>
      </c>
      <c r="G17" s="3"/>
      <c r="H17" s="3"/>
      <c r="I17" s="25"/>
    </row>
    <row r="18" spans="1:9" s="1" customFormat="1" ht="16.5" customHeight="1">
      <c r="A18" s="3"/>
      <c r="B18" s="3"/>
      <c r="C18" s="3"/>
      <c r="D18" s="3"/>
      <c r="E18" s="269" t="s">
        <v>192</v>
      </c>
      <c r="F18" s="267">
        <v>268823</v>
      </c>
      <c r="G18" s="3"/>
      <c r="H18" s="3"/>
      <c r="I18" s="25"/>
    </row>
    <row r="19" spans="1:9" s="1" customFormat="1" ht="16.5" customHeight="1">
      <c r="A19" s="3"/>
      <c r="B19" s="3"/>
      <c r="C19" s="3"/>
      <c r="D19" s="3"/>
      <c r="E19" s="269" t="s">
        <v>193</v>
      </c>
      <c r="F19" s="267">
        <v>259424</v>
      </c>
      <c r="G19" s="3"/>
      <c r="H19" s="3"/>
      <c r="I19" s="25"/>
    </row>
    <row r="20" spans="1:9" s="1" customFormat="1" ht="16.5" customHeight="1">
      <c r="A20" s="3"/>
      <c r="B20" s="3"/>
      <c r="C20" s="3"/>
      <c r="D20" s="3"/>
      <c r="E20" s="269" t="s">
        <v>194</v>
      </c>
      <c r="F20" s="267">
        <v>276074</v>
      </c>
      <c r="G20" s="3"/>
      <c r="H20" s="3"/>
      <c r="I20" s="25"/>
    </row>
    <row r="21" spans="1:9" s="1" customFormat="1" ht="16.5" customHeight="1">
      <c r="A21" s="3"/>
      <c r="B21" s="3"/>
      <c r="C21" s="3"/>
      <c r="D21" s="3"/>
      <c r="E21" s="269" t="s">
        <v>195</v>
      </c>
      <c r="F21" s="267">
        <v>262612</v>
      </c>
      <c r="G21" s="3"/>
      <c r="H21" s="3"/>
      <c r="I21" s="25"/>
    </row>
    <row r="22" spans="1:9" s="1" customFormat="1" ht="16.5" customHeight="1">
      <c r="A22" s="3"/>
      <c r="B22" s="3"/>
      <c r="C22" s="3"/>
      <c r="D22" s="3"/>
      <c r="E22" s="269" t="s">
        <v>196</v>
      </c>
      <c r="F22" s="267">
        <v>240244</v>
      </c>
      <c r="G22" s="3"/>
      <c r="H22" s="3"/>
      <c r="I22" s="25"/>
    </row>
    <row r="23" spans="1:9" s="1" customFormat="1" ht="16.5" customHeight="1">
      <c r="A23" s="3"/>
      <c r="B23" s="3"/>
      <c r="C23" s="3"/>
      <c r="D23" s="3"/>
      <c r="E23" s="269" t="s">
        <v>443</v>
      </c>
      <c r="F23" s="25">
        <v>247063</v>
      </c>
      <c r="G23" s="3"/>
      <c r="H23" s="3"/>
      <c r="I23" s="25"/>
    </row>
    <row r="24" spans="1:9" s="1" customFormat="1" ht="16.5" customHeight="1">
      <c r="A24" s="3"/>
      <c r="B24" s="3"/>
      <c r="C24" s="3"/>
      <c r="D24" s="3"/>
      <c r="E24" s="269" t="s">
        <v>600</v>
      </c>
      <c r="F24" s="25">
        <v>260154</v>
      </c>
      <c r="G24" s="3"/>
      <c r="H24" s="3"/>
      <c r="I24" s="25"/>
    </row>
    <row r="25" spans="1:9" s="1" customFormat="1" ht="16.5" customHeight="1">
      <c r="A25" s="3"/>
      <c r="B25" s="3"/>
      <c r="C25" s="3"/>
      <c r="D25" s="3"/>
      <c r="E25" s="269" t="s">
        <v>613</v>
      </c>
      <c r="F25" s="25">
        <v>226328</v>
      </c>
      <c r="G25" s="3"/>
      <c r="H25" s="3"/>
      <c r="I25" s="25"/>
    </row>
    <row r="26" spans="1:9" s="1" customFormat="1" ht="16.5" customHeight="1">
      <c r="A26" s="3"/>
      <c r="B26" s="3"/>
      <c r="C26" s="3"/>
      <c r="D26" s="3"/>
      <c r="E26" s="269">
        <v>22</v>
      </c>
      <c r="F26" s="25">
        <v>219908</v>
      </c>
      <c r="G26" s="3"/>
      <c r="H26" s="3"/>
      <c r="I26" s="25"/>
    </row>
    <row r="27" spans="1:9" s="1" customFormat="1" ht="16.5" customHeight="1">
      <c r="A27" s="3"/>
      <c r="B27" s="3"/>
      <c r="C27" s="3"/>
      <c r="D27" s="3"/>
      <c r="E27" s="3"/>
      <c r="F27" s="3"/>
      <c r="G27" s="3"/>
      <c r="H27" s="3"/>
      <c r="I27" s="25"/>
    </row>
    <row r="28" spans="1:9" s="1" customFormat="1" ht="16.5" customHeight="1">
      <c r="A28" s="3"/>
      <c r="B28" s="3"/>
      <c r="C28" s="3"/>
      <c r="D28" s="3"/>
      <c r="E28" s="3"/>
      <c r="F28" s="3"/>
      <c r="G28" s="3"/>
      <c r="H28" s="3"/>
      <c r="I28" s="25"/>
    </row>
    <row r="29" spans="1:9" s="1" customFormat="1" ht="16.5" customHeight="1">
      <c r="A29" s="3"/>
      <c r="B29" s="3"/>
      <c r="C29" s="3"/>
      <c r="D29" s="3"/>
      <c r="E29" s="3"/>
      <c r="F29" s="3"/>
      <c r="G29" s="3"/>
      <c r="H29" s="3"/>
      <c r="I29" s="25"/>
    </row>
    <row r="30" spans="1:9" s="1" customFormat="1" ht="16.5" customHeight="1">
      <c r="A30" s="3"/>
      <c r="B30" s="3"/>
      <c r="C30" s="3"/>
      <c r="D30" s="3"/>
      <c r="E30" s="3"/>
      <c r="F30" s="3"/>
      <c r="G30" s="3"/>
      <c r="H30" s="3"/>
      <c r="I30" s="25"/>
    </row>
    <row r="31" spans="1:9" s="1" customFormat="1" ht="16.5" customHeight="1">
      <c r="A31" s="82" t="s">
        <v>649</v>
      </c>
      <c r="B31" s="3"/>
      <c r="C31" s="3"/>
      <c r="D31" s="3"/>
      <c r="E31" s="3"/>
      <c r="F31" s="3"/>
      <c r="G31" s="3"/>
      <c r="H31" s="3"/>
      <c r="I31" s="25"/>
    </row>
    <row r="32" spans="1:9" ht="16.5" customHeight="1">
      <c r="A32" s="3"/>
      <c r="B32" s="3"/>
      <c r="C32" s="3"/>
      <c r="D32" s="3"/>
      <c r="E32" s="3"/>
      <c r="F32" s="3"/>
      <c r="G32" s="3"/>
      <c r="H32" s="3"/>
      <c r="I32" s="270"/>
    </row>
    <row r="33" spans="1:15" ht="16.5" customHeight="1">
      <c r="A33" s="3"/>
      <c r="B33" s="3"/>
      <c r="C33" s="3"/>
      <c r="D33" s="268">
        <v>10296</v>
      </c>
      <c r="E33" s="268">
        <v>56729</v>
      </c>
      <c r="F33" s="3"/>
      <c r="G33" s="3"/>
      <c r="H33" s="3"/>
      <c r="I33" s="270"/>
      <c r="J33" s="245"/>
      <c r="K33" s="373"/>
      <c r="L33" s="373"/>
      <c r="M33" s="373"/>
      <c r="N33" s="373"/>
      <c r="O33" s="373"/>
    </row>
    <row r="34" spans="1:15" ht="16.5" customHeight="1">
      <c r="A34" s="3"/>
      <c r="B34" s="3"/>
      <c r="C34" s="3"/>
      <c r="D34" s="268">
        <v>11227</v>
      </c>
      <c r="E34" s="268">
        <v>65471</v>
      </c>
      <c r="F34" s="3"/>
      <c r="G34" s="3"/>
      <c r="H34" s="3"/>
      <c r="I34" s="270"/>
      <c r="J34" s="271"/>
      <c r="K34" s="271"/>
      <c r="L34" s="271"/>
      <c r="M34" s="271"/>
      <c r="N34" s="271"/>
      <c r="O34" s="271"/>
    </row>
    <row r="35" spans="1:15" ht="16.5" customHeight="1">
      <c r="A35" s="3"/>
      <c r="B35" s="3"/>
      <c r="C35" s="3"/>
      <c r="D35" s="268">
        <v>10520</v>
      </c>
      <c r="E35" s="268">
        <v>69169</v>
      </c>
      <c r="F35" s="3"/>
      <c r="G35" s="3"/>
      <c r="H35" s="3"/>
      <c r="J35" s="270"/>
      <c r="K35" s="270"/>
      <c r="L35" s="270"/>
      <c r="M35" s="270"/>
      <c r="N35" s="270"/>
      <c r="O35" s="270"/>
    </row>
    <row r="36" spans="1:15" ht="16.5" customHeight="1">
      <c r="A36" s="3"/>
      <c r="B36" s="3"/>
      <c r="C36" s="3"/>
      <c r="D36" s="268">
        <v>10917</v>
      </c>
      <c r="E36" s="268">
        <v>76570</v>
      </c>
      <c r="F36" s="3"/>
      <c r="G36" s="3"/>
      <c r="H36" s="3"/>
      <c r="I36" s="54"/>
    </row>
    <row r="37" spans="1:15" ht="16.5" customHeight="1">
      <c r="D37" s="268">
        <v>10228</v>
      </c>
      <c r="E37" s="268">
        <v>73376</v>
      </c>
      <c r="I37" s="54"/>
    </row>
    <row r="38" spans="1:15" ht="16.5" customHeight="1">
      <c r="D38" s="268">
        <v>9729</v>
      </c>
      <c r="E38" s="268">
        <v>65523</v>
      </c>
      <c r="I38" s="54"/>
    </row>
    <row r="39" spans="1:15" ht="16.5" customHeight="1">
      <c r="D39" s="25">
        <v>9351</v>
      </c>
      <c r="E39" s="25">
        <v>64484</v>
      </c>
      <c r="I39" s="54"/>
    </row>
    <row r="40" spans="1:15" ht="16.5" customHeight="1">
      <c r="D40" s="25">
        <v>8472</v>
      </c>
      <c r="E40" s="25">
        <v>63197</v>
      </c>
      <c r="I40" s="54"/>
    </row>
    <row r="41" spans="1:15" ht="16.5" customHeight="1">
      <c r="D41" s="25">
        <v>8901</v>
      </c>
      <c r="E41" s="25">
        <v>64384</v>
      </c>
      <c r="I41" s="54"/>
    </row>
    <row r="42" spans="1:15" ht="16.5" customHeight="1">
      <c r="D42" s="25">
        <v>10059</v>
      </c>
      <c r="E42" s="25">
        <v>61108</v>
      </c>
      <c r="I42" s="54"/>
      <c r="J42" s="62"/>
    </row>
    <row r="43" spans="1:15" ht="16.5" customHeight="1">
      <c r="I43" s="54"/>
      <c r="J43" s="62"/>
    </row>
    <row r="44" spans="1:15" ht="16.5" customHeight="1">
      <c r="I44" s="54"/>
      <c r="J44" s="62"/>
    </row>
    <row r="45" spans="1:15" ht="16.5" customHeight="1">
      <c r="I45" s="54"/>
      <c r="J45" s="62"/>
    </row>
    <row r="46" spans="1:15" ht="16.5" customHeight="1">
      <c r="J46" s="62"/>
    </row>
    <row r="47" spans="1:15" ht="16.5" customHeight="1">
      <c r="A47" s="82" t="s">
        <v>650</v>
      </c>
      <c r="J47" s="62"/>
    </row>
    <row r="49" spans="1:13" ht="16.5" customHeight="1">
      <c r="D49" s="268">
        <v>20062</v>
      </c>
      <c r="E49" s="245">
        <v>0</v>
      </c>
    </row>
    <row r="50" spans="1:13" ht="16.5" customHeight="1">
      <c r="D50" s="268">
        <v>20773</v>
      </c>
      <c r="E50" s="245">
        <v>0</v>
      </c>
    </row>
    <row r="51" spans="1:13" ht="16.5" customHeight="1">
      <c r="D51" s="268">
        <v>24043</v>
      </c>
      <c r="E51" s="245">
        <v>0</v>
      </c>
    </row>
    <row r="52" spans="1:13" ht="16.5" customHeight="1">
      <c r="D52" s="268">
        <v>25088</v>
      </c>
      <c r="E52" s="245">
        <v>0</v>
      </c>
    </row>
    <row r="53" spans="1:13" ht="16.5" customHeight="1">
      <c r="D53" s="268">
        <v>25308</v>
      </c>
      <c r="E53" s="245">
        <v>0</v>
      </c>
    </row>
    <row r="54" spans="1:13" ht="16.5" customHeight="1">
      <c r="D54" s="268">
        <v>23975</v>
      </c>
      <c r="E54" s="245">
        <v>0</v>
      </c>
    </row>
    <row r="55" spans="1:13" ht="16.5" customHeight="1">
      <c r="D55" s="25">
        <v>21795</v>
      </c>
      <c r="E55" s="25">
        <v>0</v>
      </c>
    </row>
    <row r="56" spans="1:13" ht="16.5" customHeight="1">
      <c r="D56" s="25">
        <v>20746</v>
      </c>
      <c r="E56" s="25">
        <v>0</v>
      </c>
    </row>
    <row r="57" spans="1:13" ht="16.5" customHeight="1">
      <c r="D57" s="25">
        <v>19929</v>
      </c>
      <c r="E57" s="25">
        <v>0</v>
      </c>
    </row>
    <row r="58" spans="1:13" ht="16.5" customHeight="1">
      <c r="D58" s="25">
        <v>19179</v>
      </c>
      <c r="E58" s="25">
        <v>0</v>
      </c>
    </row>
    <row r="63" spans="1:13" ht="16.5" customHeight="1">
      <c r="A63" s="82" t="s">
        <v>677</v>
      </c>
      <c r="B63" s="3"/>
      <c r="C63" s="3"/>
      <c r="D63" s="3"/>
      <c r="E63" s="86"/>
      <c r="F63" s="86"/>
      <c r="G63" s="86"/>
      <c r="H63" s="86"/>
      <c r="J63" s="58"/>
      <c r="K63" s="58"/>
      <c r="L63" s="13"/>
      <c r="M63" s="13"/>
    </row>
    <row r="64" spans="1:13" ht="16.5" customHeight="1">
      <c r="A64" s="493" t="s">
        <v>36</v>
      </c>
      <c r="B64" s="536" t="s">
        <v>89</v>
      </c>
      <c r="C64" s="536" t="s">
        <v>198</v>
      </c>
      <c r="D64" s="538" t="s">
        <v>199</v>
      </c>
      <c r="E64" s="86"/>
      <c r="F64" s="86"/>
      <c r="G64" s="86"/>
      <c r="H64" s="86"/>
      <c r="J64" s="58"/>
      <c r="K64" s="58"/>
      <c r="L64" s="34"/>
      <c r="M64" s="34"/>
    </row>
    <row r="65" spans="1:13" ht="16.5" customHeight="1">
      <c r="A65" s="138" t="s">
        <v>232</v>
      </c>
      <c r="B65" s="537"/>
      <c r="C65" s="537"/>
      <c r="D65" s="539"/>
      <c r="E65" s="86"/>
      <c r="F65" s="86"/>
      <c r="G65" s="86"/>
      <c r="H65" s="86"/>
      <c r="J65" s="56"/>
      <c r="K65" s="56"/>
      <c r="L65" s="56"/>
      <c r="M65" s="56"/>
    </row>
    <row r="66" spans="1:13" ht="16.5" customHeight="1">
      <c r="A66" s="462" t="s">
        <v>200</v>
      </c>
      <c r="B66" s="485">
        <v>310254</v>
      </c>
      <c r="C66" s="243">
        <v>53636</v>
      </c>
      <c r="D66" s="243">
        <v>256618</v>
      </c>
      <c r="E66" s="86"/>
      <c r="F66" s="86"/>
      <c r="G66" s="86"/>
      <c r="H66" s="86"/>
      <c r="J66" s="13"/>
      <c r="K66" s="13"/>
      <c r="L66" s="13"/>
      <c r="M66" s="13"/>
    </row>
    <row r="67" spans="1:13" ht="16.5" customHeight="1">
      <c r="A67" s="461"/>
      <c r="B67" s="486">
        <v>100</v>
      </c>
      <c r="C67" s="37">
        <v>17.28777066532583</v>
      </c>
      <c r="D67" s="37">
        <v>82.712229334674163</v>
      </c>
      <c r="E67" s="86"/>
      <c r="F67" s="86"/>
      <c r="G67" s="86"/>
      <c r="H67" s="86"/>
      <c r="J67" s="13"/>
      <c r="K67" s="13"/>
      <c r="L67" s="13"/>
      <c r="M67" s="13"/>
    </row>
    <row r="68" spans="1:13" ht="16.5" customHeight="1">
      <c r="A68" s="462"/>
      <c r="B68" s="485"/>
      <c r="C68" s="242"/>
      <c r="D68" s="242"/>
      <c r="E68" s="86"/>
      <c r="F68" s="86"/>
      <c r="G68" s="86"/>
      <c r="H68" s="86"/>
      <c r="J68" s="13"/>
      <c r="K68" s="13"/>
      <c r="L68" s="13"/>
      <c r="M68" s="13"/>
    </row>
    <row r="69" spans="1:13" ht="16.5" customHeight="1">
      <c r="A69" s="462" t="s">
        <v>201</v>
      </c>
      <c r="B69" s="485">
        <v>219908</v>
      </c>
      <c r="C69" s="243">
        <v>18732</v>
      </c>
      <c r="D69" s="243">
        <v>201176</v>
      </c>
      <c r="E69" s="86"/>
      <c r="F69" s="86"/>
      <c r="G69" s="86"/>
      <c r="H69" s="86"/>
      <c r="J69" s="63"/>
      <c r="K69" s="13"/>
      <c r="L69" s="13"/>
      <c r="M69" s="13"/>
    </row>
    <row r="70" spans="1:13" ht="16.5" customHeight="1">
      <c r="A70" s="461"/>
      <c r="B70" s="486">
        <v>100</v>
      </c>
      <c r="C70" s="37">
        <v>8.5181075722574899</v>
      </c>
      <c r="D70" s="37">
        <v>91.481892427742508</v>
      </c>
      <c r="E70" s="86"/>
      <c r="F70" s="86"/>
      <c r="G70" s="86"/>
      <c r="H70" s="86"/>
      <c r="J70" s="64"/>
      <c r="K70" s="64"/>
      <c r="L70" s="64"/>
      <c r="M70" s="64"/>
    </row>
    <row r="71" spans="1:13" ht="16.5" customHeight="1">
      <c r="A71" s="461" t="s">
        <v>99</v>
      </c>
      <c r="B71" s="230">
        <v>21287</v>
      </c>
      <c r="C71" s="242">
        <v>4918</v>
      </c>
      <c r="D71" s="242">
        <v>16369</v>
      </c>
      <c r="J71" s="13"/>
      <c r="K71" s="13"/>
      <c r="L71" s="54"/>
      <c r="M71" s="13"/>
    </row>
    <row r="72" spans="1:13" ht="16.5" customHeight="1">
      <c r="A72" s="461" t="s">
        <v>100</v>
      </c>
      <c r="B72" s="230">
        <v>198621</v>
      </c>
      <c r="C72" s="242">
        <v>13814</v>
      </c>
      <c r="D72" s="242">
        <v>184807</v>
      </c>
      <c r="J72" s="63"/>
      <c r="K72" s="34"/>
      <c r="L72" s="54"/>
      <c r="M72" s="13"/>
    </row>
    <row r="73" spans="1:13" ht="16.5" customHeight="1">
      <c r="A73" s="462"/>
      <c r="B73" s="485"/>
      <c r="C73" s="242"/>
      <c r="D73" s="242"/>
      <c r="J73" s="64"/>
      <c r="K73" s="64"/>
      <c r="L73" s="64"/>
      <c r="M73" s="64"/>
    </row>
    <row r="74" spans="1:13" ht="16.5" customHeight="1">
      <c r="A74" s="462" t="s">
        <v>202</v>
      </c>
      <c r="B74" s="485">
        <v>71167</v>
      </c>
      <c r="C74" s="243">
        <v>25247</v>
      </c>
      <c r="D74" s="243">
        <v>45920</v>
      </c>
      <c r="J74" s="34"/>
      <c r="K74" s="13"/>
      <c r="L74" s="54"/>
      <c r="M74" s="13"/>
    </row>
    <row r="75" spans="1:13" ht="16.5" customHeight="1">
      <c r="A75" s="461"/>
      <c r="B75" s="486">
        <v>100</v>
      </c>
      <c r="C75" s="37">
        <v>35.475712057554766</v>
      </c>
      <c r="D75" s="37">
        <v>64.524287942445241</v>
      </c>
      <c r="J75" s="34"/>
      <c r="K75" s="13"/>
      <c r="L75" s="54"/>
      <c r="M75" s="13"/>
    </row>
    <row r="76" spans="1:13" ht="16.5" customHeight="1">
      <c r="A76" s="461" t="s">
        <v>60</v>
      </c>
      <c r="B76" s="230">
        <v>10059</v>
      </c>
      <c r="C76" s="242">
        <v>5455</v>
      </c>
      <c r="D76" s="242">
        <v>4604</v>
      </c>
      <c r="J76" s="13"/>
      <c r="K76" s="13"/>
      <c r="L76" s="54"/>
      <c r="M76" s="13"/>
    </row>
    <row r="77" spans="1:13" ht="16.5" customHeight="1">
      <c r="A77" s="461" t="s">
        <v>7</v>
      </c>
      <c r="B77" s="230">
        <v>61108</v>
      </c>
      <c r="C77" s="242">
        <v>19792</v>
      </c>
      <c r="D77" s="242">
        <v>41316</v>
      </c>
      <c r="J77" s="65"/>
      <c r="K77" s="13"/>
      <c r="L77" s="54"/>
      <c r="M77" s="13"/>
    </row>
    <row r="78" spans="1:13" ht="16.5" customHeight="1">
      <c r="A78" s="462"/>
      <c r="B78" s="485"/>
      <c r="C78" s="242"/>
      <c r="D78" s="242"/>
      <c r="J78" s="23"/>
      <c r="K78" s="54"/>
      <c r="L78" s="64"/>
      <c r="M78" s="64"/>
    </row>
    <row r="79" spans="1:13" ht="16.5" customHeight="1">
      <c r="A79" s="462" t="s">
        <v>203</v>
      </c>
      <c r="B79" s="485">
        <v>19179</v>
      </c>
      <c r="C79" s="243">
        <v>9657</v>
      </c>
      <c r="D79" s="243">
        <v>9522</v>
      </c>
      <c r="J79" s="13"/>
      <c r="K79" s="13"/>
      <c r="L79" s="54"/>
      <c r="M79" s="13"/>
    </row>
    <row r="80" spans="1:13" ht="16.5" customHeight="1">
      <c r="A80" s="461"/>
      <c r="B80" s="486">
        <v>100</v>
      </c>
      <c r="C80" s="37">
        <v>50.351947442515254</v>
      </c>
      <c r="D80" s="37">
        <v>49.648052557484753</v>
      </c>
      <c r="J80" s="13"/>
      <c r="K80" s="13"/>
      <c r="L80" s="54"/>
      <c r="M80" s="13"/>
    </row>
    <row r="81" spans="1:13" ht="16.5" customHeight="1">
      <c r="A81" s="461" t="s">
        <v>204</v>
      </c>
      <c r="B81" s="230">
        <v>3259</v>
      </c>
      <c r="C81" s="242">
        <v>2266</v>
      </c>
      <c r="D81" s="242">
        <v>993</v>
      </c>
      <c r="J81" s="13"/>
      <c r="K81" s="13"/>
      <c r="L81" s="54"/>
      <c r="M81" s="13"/>
    </row>
    <row r="82" spans="1:13" ht="16.5" customHeight="1">
      <c r="A82" s="461" t="s">
        <v>205</v>
      </c>
      <c r="B82" s="230">
        <v>15814</v>
      </c>
      <c r="C82" s="242">
        <v>7362</v>
      </c>
      <c r="D82" s="242">
        <v>8452</v>
      </c>
      <c r="J82" s="63"/>
      <c r="K82" s="13"/>
      <c r="L82" s="54"/>
      <c r="M82" s="13"/>
    </row>
    <row r="83" spans="1:13" ht="16.5" customHeight="1">
      <c r="A83" s="467" t="s">
        <v>179</v>
      </c>
      <c r="B83" s="231">
        <v>106</v>
      </c>
      <c r="C83" s="50">
        <v>29</v>
      </c>
      <c r="D83" s="50">
        <v>77</v>
      </c>
      <c r="J83" s="64"/>
      <c r="K83" s="54"/>
      <c r="L83" s="64"/>
      <c r="M83" s="64"/>
    </row>
    <row r="84" spans="1:13" ht="16.5" customHeight="1">
      <c r="A84" s="535" t="s">
        <v>595</v>
      </c>
      <c r="B84" s="535"/>
      <c r="C84" s="535"/>
      <c r="D84" s="535"/>
      <c r="E84" s="58"/>
      <c r="F84" s="58"/>
      <c r="G84" s="58"/>
      <c r="H84" s="58"/>
      <c r="J84" s="13"/>
      <c r="K84" s="13"/>
      <c r="L84" s="54"/>
      <c r="M84" s="13"/>
    </row>
    <row r="85" spans="1:13" ht="16.5" customHeight="1">
      <c r="A85" s="195" t="s">
        <v>413</v>
      </c>
      <c r="B85" s="3"/>
      <c r="C85" s="3"/>
      <c r="D85" s="3"/>
      <c r="E85" s="58"/>
      <c r="F85" s="58"/>
      <c r="G85" s="58"/>
      <c r="H85" s="58"/>
      <c r="J85" s="13"/>
      <c r="K85" s="13"/>
      <c r="L85" s="13"/>
      <c r="M85" s="34"/>
    </row>
  </sheetData>
  <sheetProtection algorithmName="SHA-512" hashValue="xko2A63WYj0TmLMR9zkHfu04VAIrIIof8Y/gpiNUvCefcej+81pXm4YVW5sLvnPGHVjdP0R+LL4DC/ETfinjtA==" saltValue="lDZqsZNFc9Iz6CRwtjm9uQ==" spinCount="100000" sheet="1" objects="1" scenarios="1"/>
  <mergeCells count="6">
    <mergeCell ref="A4:H6"/>
    <mergeCell ref="A84:D84"/>
    <mergeCell ref="B64:B65"/>
    <mergeCell ref="C64:C65"/>
    <mergeCell ref="D64:D65"/>
    <mergeCell ref="A12:H13"/>
  </mergeCells>
  <phoneticPr fontId="6" type="noConversion"/>
  <pageMargins left="0.55000000000000004" right="0.52" top="0.63" bottom="0.04" header="0.5" footer="7.0000000000000007E-2"/>
  <pageSetup paperSize="9" scale="79" pageOrder="overThenDown" orientation="portrait" verticalDpi="1200" r:id="rId1"/>
  <headerFooter alignWithMargins="0"/>
  <rowBreaks count="1" manualBreakCount="1">
    <brk id="46"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45"/>
  <sheetViews>
    <sheetView showGridLines="0" zoomScaleNormal="100" zoomScaleSheetLayoutView="100" workbookViewId="0"/>
  </sheetViews>
  <sheetFormatPr defaultColWidth="8" defaultRowHeight="16.5" customHeight="1"/>
  <cols>
    <col min="1" max="1" width="20" style="86" customWidth="1"/>
    <col min="2" max="5" width="12.21875" style="86" customWidth="1"/>
    <col min="6" max="6" width="8" style="51"/>
    <col min="7" max="16384" width="8" style="2"/>
  </cols>
  <sheetData>
    <row r="1" spans="1:6" s="1" customFormat="1" ht="16.5" customHeight="1">
      <c r="A1" s="82" t="s">
        <v>212</v>
      </c>
      <c r="B1" s="3"/>
      <c r="C1" s="3"/>
      <c r="D1" s="3"/>
      <c r="E1" s="3"/>
      <c r="F1" s="17"/>
    </row>
    <row r="2" spans="1:6" s="1" customFormat="1" ht="16.5" customHeight="1">
      <c r="A2" s="66" t="s">
        <v>811</v>
      </c>
      <c r="B2" s="66"/>
      <c r="C2" s="66"/>
      <c r="D2" s="66"/>
      <c r="E2" s="66"/>
      <c r="F2" s="17"/>
    </row>
    <row r="3" spans="1:6" s="1" customFormat="1" ht="16.5" customHeight="1">
      <c r="A3" s="66"/>
      <c r="B3" s="66"/>
      <c r="C3" s="66"/>
      <c r="D3" s="66"/>
      <c r="E3" s="3"/>
      <c r="F3" s="17"/>
    </row>
    <row r="4" spans="1:6" s="1" customFormat="1" ht="16.5" customHeight="1">
      <c r="A4" s="82" t="s">
        <v>218</v>
      </c>
      <c r="B4" s="3"/>
      <c r="C4" s="3"/>
      <c r="D4" s="3"/>
      <c r="E4" s="3"/>
      <c r="F4" s="17"/>
    </row>
    <row r="5" spans="1:6" s="1" customFormat="1" ht="52.5" customHeight="1">
      <c r="A5" s="541" t="s">
        <v>785</v>
      </c>
      <c r="B5" s="541"/>
      <c r="C5" s="541"/>
      <c r="D5" s="541"/>
      <c r="E5" s="541"/>
      <c r="F5" s="52"/>
    </row>
    <row r="6" spans="1:6" s="1" customFormat="1" ht="16.5" customHeight="1">
      <c r="A6" s="82" t="s">
        <v>219</v>
      </c>
      <c r="B6" s="3"/>
      <c r="C6" s="3"/>
      <c r="D6" s="3"/>
      <c r="E6" s="3"/>
      <c r="F6" s="17"/>
    </row>
    <row r="7" spans="1:6" s="1" customFormat="1" ht="16.5" customHeight="1">
      <c r="A7" s="3" t="s">
        <v>678</v>
      </c>
      <c r="B7" s="3"/>
      <c r="C7" s="3"/>
      <c r="D7" s="3"/>
      <c r="E7" s="3"/>
    </row>
    <row r="8" spans="1:6" s="1" customFormat="1" ht="16.5" customHeight="1">
      <c r="A8" s="66"/>
      <c r="B8" s="66"/>
      <c r="C8" s="66"/>
      <c r="D8" s="66"/>
      <c r="E8" s="3"/>
      <c r="F8" s="17"/>
    </row>
    <row r="9" spans="1:6" s="1" customFormat="1" ht="16.5" customHeight="1">
      <c r="A9" s="82" t="s">
        <v>679</v>
      </c>
      <c r="B9" s="3"/>
      <c r="C9" s="3"/>
      <c r="D9" s="3"/>
      <c r="E9" s="3"/>
      <c r="F9" s="17"/>
    </row>
    <row r="10" spans="1:6" s="1" customFormat="1" ht="16.5" customHeight="1">
      <c r="A10" s="493" t="s">
        <v>165</v>
      </c>
      <c r="B10" s="536" t="s">
        <v>89</v>
      </c>
      <c r="C10" s="540" t="s">
        <v>104</v>
      </c>
      <c r="D10" s="538" t="s">
        <v>29</v>
      </c>
      <c r="E10" s="3"/>
      <c r="F10" s="17"/>
    </row>
    <row r="11" spans="1:6" s="1" customFormat="1" ht="16.5" customHeight="1">
      <c r="A11" s="138" t="s">
        <v>38</v>
      </c>
      <c r="B11" s="537"/>
      <c r="C11" s="537"/>
      <c r="D11" s="539"/>
      <c r="E11" s="3"/>
      <c r="F11" s="17"/>
    </row>
    <row r="12" spans="1:6" s="5" customFormat="1" ht="16.5" customHeight="1">
      <c r="A12" s="462" t="s">
        <v>200</v>
      </c>
      <c r="B12" s="485">
        <v>310254</v>
      </c>
      <c r="C12" s="243">
        <v>266340</v>
      </c>
      <c r="D12" s="243">
        <v>43914</v>
      </c>
      <c r="E12" s="3"/>
      <c r="F12" s="17"/>
    </row>
    <row r="13" spans="1:6" s="1" customFormat="1" ht="16.5" customHeight="1">
      <c r="A13" s="461"/>
      <c r="B13" s="486">
        <v>100</v>
      </c>
      <c r="C13" s="37">
        <v>85.845790868127409</v>
      </c>
      <c r="D13" s="37">
        <v>14.154209131872594</v>
      </c>
      <c r="E13" s="97"/>
      <c r="F13" s="17"/>
    </row>
    <row r="14" spans="1:6" s="5" customFormat="1" ht="16.5" customHeight="1">
      <c r="A14" s="461" t="s">
        <v>96</v>
      </c>
      <c r="B14" s="230">
        <v>219908</v>
      </c>
      <c r="C14" s="242">
        <v>187848</v>
      </c>
      <c r="D14" s="242">
        <v>32060</v>
      </c>
      <c r="E14" s="98"/>
      <c r="F14" s="18"/>
    </row>
    <row r="15" spans="1:6" s="1" customFormat="1" ht="16.5" customHeight="1">
      <c r="A15" s="461"/>
      <c r="B15" s="488">
        <v>100</v>
      </c>
      <c r="C15" s="19">
        <v>85.421176128199065</v>
      </c>
      <c r="D15" s="19">
        <v>14.578823871800935</v>
      </c>
      <c r="E15" s="97"/>
      <c r="F15" s="17"/>
    </row>
    <row r="16" spans="1:6" s="5" customFormat="1" ht="16.5" customHeight="1">
      <c r="A16" s="461" t="s">
        <v>97</v>
      </c>
      <c r="B16" s="230">
        <v>71167</v>
      </c>
      <c r="C16" s="242">
        <v>61609</v>
      </c>
      <c r="D16" s="242">
        <v>9558</v>
      </c>
      <c r="E16" s="98"/>
      <c r="F16" s="18"/>
    </row>
    <row r="17" spans="1:6" s="1" customFormat="1" ht="16.5" customHeight="1">
      <c r="A17" s="461"/>
      <c r="B17" s="488">
        <v>100</v>
      </c>
      <c r="C17" s="19">
        <v>86.569617940899576</v>
      </c>
      <c r="D17" s="19">
        <v>13.430382059100426</v>
      </c>
      <c r="E17" s="97"/>
      <c r="F17" s="17"/>
    </row>
    <row r="18" spans="1:6" s="5" customFormat="1" ht="16.5" customHeight="1">
      <c r="A18" s="461" t="s">
        <v>98</v>
      </c>
      <c r="B18" s="230">
        <v>19179</v>
      </c>
      <c r="C18" s="242">
        <v>16883</v>
      </c>
      <c r="D18" s="242">
        <v>2296</v>
      </c>
      <c r="E18" s="98"/>
      <c r="F18" s="18"/>
    </row>
    <row r="19" spans="1:6" s="1" customFormat="1" ht="16.5" customHeight="1">
      <c r="A19" s="494"/>
      <c r="B19" s="489">
        <v>100</v>
      </c>
      <c r="C19" s="490">
        <v>88.028572918296049</v>
      </c>
      <c r="D19" s="495">
        <v>11.971427081703947</v>
      </c>
      <c r="E19" s="97"/>
      <c r="F19" s="17"/>
    </row>
    <row r="20" spans="1:6" s="1" customFormat="1" ht="16.5" customHeight="1">
      <c r="A20" s="3" t="s">
        <v>142</v>
      </c>
      <c r="B20" s="3"/>
      <c r="C20" s="3"/>
      <c r="D20" s="3"/>
      <c r="E20" s="98"/>
      <c r="F20" s="17"/>
    </row>
    <row r="21" spans="1:6" s="1" customFormat="1" ht="16.5" customHeight="1">
      <c r="A21" s="3"/>
      <c r="B21" s="3"/>
      <c r="C21" s="3"/>
      <c r="D21" s="3"/>
      <c r="E21" s="3"/>
      <c r="F21" s="17"/>
    </row>
    <row r="22" spans="1:6" s="1" customFormat="1" ht="16.5" customHeight="1">
      <c r="A22" s="82" t="s">
        <v>680</v>
      </c>
      <c r="B22" s="3"/>
      <c r="C22" s="3"/>
      <c r="D22" s="3"/>
      <c r="E22" s="3"/>
      <c r="F22" s="17"/>
    </row>
    <row r="23" spans="1:6" s="1" customFormat="1" ht="16.5" customHeight="1">
      <c r="A23" s="493" t="s">
        <v>220</v>
      </c>
      <c r="B23" s="536" t="s">
        <v>89</v>
      </c>
      <c r="C23" s="536" t="s">
        <v>96</v>
      </c>
      <c r="D23" s="536" t="s">
        <v>97</v>
      </c>
      <c r="E23" s="538" t="s">
        <v>98</v>
      </c>
      <c r="F23" s="17"/>
    </row>
    <row r="24" spans="1:6" s="1" customFormat="1" ht="16.5" customHeight="1">
      <c r="A24" s="138" t="s">
        <v>221</v>
      </c>
      <c r="B24" s="537"/>
      <c r="C24" s="537"/>
      <c r="D24" s="537"/>
      <c r="E24" s="539"/>
    </row>
    <row r="25" spans="1:6" s="1" customFormat="1" ht="16.5" customHeight="1">
      <c r="A25" s="462" t="s">
        <v>89</v>
      </c>
      <c r="B25" s="485">
        <v>310254</v>
      </c>
      <c r="C25" s="243">
        <v>219908</v>
      </c>
      <c r="D25" s="243">
        <v>71167</v>
      </c>
      <c r="E25" s="243">
        <v>19179</v>
      </c>
    </row>
    <row r="26" spans="1:6" s="1" customFormat="1" ht="16.5" customHeight="1">
      <c r="A26" s="462" t="s">
        <v>206</v>
      </c>
      <c r="B26" s="485">
        <v>161784</v>
      </c>
      <c r="C26" s="243">
        <v>112048</v>
      </c>
      <c r="D26" s="243">
        <v>39005</v>
      </c>
      <c r="E26" s="243">
        <v>10731</v>
      </c>
    </row>
    <row r="27" spans="1:6" s="1" customFormat="1" ht="16.5" customHeight="1">
      <c r="A27" s="461" t="s">
        <v>222</v>
      </c>
      <c r="B27" s="230">
        <v>10307</v>
      </c>
      <c r="C27" s="242">
        <v>7722</v>
      </c>
      <c r="D27" s="242">
        <v>2091</v>
      </c>
      <c r="E27" s="242">
        <v>494</v>
      </c>
    </row>
    <row r="28" spans="1:6" s="1" customFormat="1" ht="16.5" customHeight="1">
      <c r="A28" s="461" t="s">
        <v>223</v>
      </c>
      <c r="B28" s="230">
        <v>725</v>
      </c>
      <c r="C28" s="242">
        <v>508</v>
      </c>
      <c r="D28" s="242">
        <v>167</v>
      </c>
      <c r="E28" s="242">
        <v>50</v>
      </c>
    </row>
    <row r="29" spans="1:6" s="1" customFormat="1" ht="16.5" customHeight="1">
      <c r="A29" s="461" t="s">
        <v>224</v>
      </c>
      <c r="B29" s="230">
        <v>1255</v>
      </c>
      <c r="C29" s="242">
        <v>918</v>
      </c>
      <c r="D29" s="242">
        <v>261</v>
      </c>
      <c r="E29" s="242">
        <v>76</v>
      </c>
    </row>
    <row r="30" spans="1:6" s="1" customFormat="1" ht="16.5" customHeight="1">
      <c r="A30" s="461" t="s">
        <v>225</v>
      </c>
      <c r="B30" s="230">
        <v>26597</v>
      </c>
      <c r="C30" s="242">
        <v>19621</v>
      </c>
      <c r="D30" s="242">
        <v>5475</v>
      </c>
      <c r="E30" s="242">
        <v>1501</v>
      </c>
    </row>
    <row r="31" spans="1:6" s="1" customFormat="1" ht="16.5" customHeight="1">
      <c r="A31" s="461" t="s">
        <v>226</v>
      </c>
      <c r="B31" s="230">
        <v>10603</v>
      </c>
      <c r="C31" s="242">
        <v>6537</v>
      </c>
      <c r="D31" s="242">
        <v>3183</v>
      </c>
      <c r="E31" s="242">
        <v>883</v>
      </c>
    </row>
    <row r="32" spans="1:6" s="1" customFormat="1" ht="16.5" customHeight="1">
      <c r="A32" s="461" t="s">
        <v>611</v>
      </c>
      <c r="B32" s="230">
        <v>5922</v>
      </c>
      <c r="C32" s="242">
        <v>4034</v>
      </c>
      <c r="D32" s="242">
        <v>1389</v>
      </c>
      <c r="E32" s="242">
        <v>499</v>
      </c>
    </row>
    <row r="33" spans="1:5" s="1" customFormat="1" ht="16.5" customHeight="1">
      <c r="A33" s="461" t="s">
        <v>227</v>
      </c>
      <c r="B33" s="230">
        <v>13313</v>
      </c>
      <c r="C33" s="242">
        <v>10040</v>
      </c>
      <c r="D33" s="242">
        <v>2562</v>
      </c>
      <c r="E33" s="242">
        <v>711</v>
      </c>
    </row>
    <row r="34" spans="1:5" s="1" customFormat="1" ht="16.5" customHeight="1">
      <c r="A34" s="461" t="s">
        <v>228</v>
      </c>
      <c r="B34" s="230">
        <v>60205</v>
      </c>
      <c r="C34" s="242">
        <v>40796</v>
      </c>
      <c r="D34" s="242">
        <v>15480</v>
      </c>
      <c r="E34" s="242">
        <v>3929</v>
      </c>
    </row>
    <row r="35" spans="1:5" s="1" customFormat="1" ht="16.5" customHeight="1">
      <c r="A35" s="461" t="s">
        <v>229</v>
      </c>
      <c r="B35" s="230">
        <v>5100</v>
      </c>
      <c r="C35" s="242">
        <v>3125</v>
      </c>
      <c r="D35" s="242">
        <v>1504</v>
      </c>
      <c r="E35" s="242">
        <v>471</v>
      </c>
    </row>
    <row r="36" spans="1:5" s="1" customFormat="1" ht="16.5" customHeight="1">
      <c r="A36" s="461" t="s">
        <v>79</v>
      </c>
      <c r="B36" s="230">
        <v>27757</v>
      </c>
      <c r="C36" s="242">
        <v>18747</v>
      </c>
      <c r="D36" s="242">
        <v>6893</v>
      </c>
      <c r="E36" s="242">
        <v>2117</v>
      </c>
    </row>
    <row r="37" spans="1:5" s="1" customFormat="1" ht="16.5" customHeight="1">
      <c r="A37" s="462" t="s">
        <v>207</v>
      </c>
      <c r="B37" s="485">
        <v>148470</v>
      </c>
      <c r="C37" s="243">
        <v>107860</v>
      </c>
      <c r="D37" s="243">
        <v>32162</v>
      </c>
      <c r="E37" s="243">
        <v>8448</v>
      </c>
    </row>
    <row r="38" spans="1:5" s="1" customFormat="1" ht="16.5" customHeight="1">
      <c r="A38" s="461" t="s">
        <v>230</v>
      </c>
      <c r="B38" s="230">
        <v>10859</v>
      </c>
      <c r="C38" s="242">
        <v>8865</v>
      </c>
      <c r="D38" s="242">
        <v>1743</v>
      </c>
      <c r="E38" s="242">
        <v>251</v>
      </c>
    </row>
    <row r="39" spans="1:5" s="1" customFormat="1" ht="16.5" customHeight="1">
      <c r="A39" s="461" t="s">
        <v>208</v>
      </c>
      <c r="B39" s="230">
        <v>56</v>
      </c>
      <c r="C39" s="242">
        <v>33</v>
      </c>
      <c r="D39" s="242">
        <v>15</v>
      </c>
      <c r="E39" s="242">
        <v>8</v>
      </c>
    </row>
    <row r="40" spans="1:5" s="1" customFormat="1" ht="16.5" customHeight="1">
      <c r="A40" s="461" t="s">
        <v>209</v>
      </c>
      <c r="B40" s="230">
        <v>44148</v>
      </c>
      <c r="C40" s="242">
        <v>34941</v>
      </c>
      <c r="D40" s="242">
        <v>7803</v>
      </c>
      <c r="E40" s="242">
        <v>1404</v>
      </c>
    </row>
    <row r="41" spans="1:5" s="1" customFormat="1" ht="16.5" customHeight="1">
      <c r="A41" s="461" t="s">
        <v>210</v>
      </c>
      <c r="B41" s="230">
        <v>99</v>
      </c>
      <c r="C41" s="242">
        <v>64</v>
      </c>
      <c r="D41" s="242">
        <v>29</v>
      </c>
      <c r="E41" s="242">
        <v>6</v>
      </c>
    </row>
    <row r="42" spans="1:5" s="1" customFormat="1" ht="16.5" customHeight="1">
      <c r="A42" s="461" t="s">
        <v>211</v>
      </c>
      <c r="B42" s="230">
        <v>417</v>
      </c>
      <c r="C42" s="242">
        <v>330</v>
      </c>
      <c r="D42" s="242">
        <v>69</v>
      </c>
      <c r="E42" s="242">
        <v>18</v>
      </c>
    </row>
    <row r="43" spans="1:5" s="1" customFormat="1" ht="16.5" customHeight="1">
      <c r="A43" s="461" t="s">
        <v>231</v>
      </c>
      <c r="B43" s="230">
        <v>14038</v>
      </c>
      <c r="C43" s="242">
        <v>9969</v>
      </c>
      <c r="D43" s="242">
        <v>3179</v>
      </c>
      <c r="E43" s="242">
        <v>890</v>
      </c>
    </row>
    <row r="44" spans="1:5" s="1" customFormat="1" ht="16.5" customHeight="1">
      <c r="A44" s="461" t="s">
        <v>358</v>
      </c>
      <c r="B44" s="230">
        <v>5931</v>
      </c>
      <c r="C44" s="242">
        <v>4167</v>
      </c>
      <c r="D44" s="242">
        <v>1375</v>
      </c>
      <c r="E44" s="242">
        <v>389</v>
      </c>
    </row>
    <row r="45" spans="1:5" s="1" customFormat="1" ht="16.5" customHeight="1">
      <c r="A45" s="494" t="s">
        <v>79</v>
      </c>
      <c r="B45" s="231">
        <v>72922</v>
      </c>
      <c r="C45" s="487">
        <v>49491</v>
      </c>
      <c r="D45" s="487">
        <v>17949</v>
      </c>
      <c r="E45" s="487">
        <v>5482</v>
      </c>
    </row>
  </sheetData>
  <sheetProtection algorithmName="SHA-512" hashValue="RJ1iiLkWNA4ZlbS/H6PAE8vBiQMq1St1230Tr5/by+ybyOlzkD/Wy9eQFCNS5Dq1hyRar80+Ea5/zlKMeUFEDw==" saltValue="IevFfGWoBkX4TEdJyVhvow==" spinCount="100000" sheet="1" objects="1" scenarios="1"/>
  <mergeCells count="8">
    <mergeCell ref="B10:B11"/>
    <mergeCell ref="C10:C11"/>
    <mergeCell ref="D10:D11"/>
    <mergeCell ref="A5:E5"/>
    <mergeCell ref="B23:B24"/>
    <mergeCell ref="C23:C24"/>
    <mergeCell ref="D23:D24"/>
    <mergeCell ref="E23:E24"/>
  </mergeCells>
  <phoneticPr fontId="6" type="noConversion"/>
  <pageMargins left="0.36" right="0.06" top="0.63" bottom="0.17" header="0.5" footer="0.27"/>
  <pageSetup paperSize="9" scale="98" orientation="portrait" verticalDpi="12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O56"/>
  <sheetViews>
    <sheetView showGridLines="0" zoomScaleNormal="100" zoomScaleSheetLayoutView="100" workbookViewId="0"/>
  </sheetViews>
  <sheetFormatPr defaultRowHeight="16.5" customHeight="1"/>
  <cols>
    <col min="1" max="1" width="14.44140625" style="86" customWidth="1"/>
    <col min="2" max="13" width="8" style="86" customWidth="1"/>
    <col min="14" max="14" width="8" style="87" customWidth="1"/>
    <col min="15" max="15" width="8.88671875" style="24"/>
    <col min="16" max="16384" width="8.88671875" style="2"/>
  </cols>
  <sheetData>
    <row r="1" spans="1:15" s="1" customFormat="1" ht="16.5" customHeight="1">
      <c r="A1" s="82" t="s">
        <v>681</v>
      </c>
      <c r="B1" s="3"/>
      <c r="C1" s="3"/>
      <c r="D1" s="3"/>
      <c r="E1" s="3"/>
      <c r="F1" s="3"/>
      <c r="G1" s="3"/>
      <c r="H1" s="3"/>
      <c r="I1" s="3"/>
      <c r="J1" s="3"/>
      <c r="K1" s="3"/>
      <c r="L1" s="3"/>
      <c r="M1" s="3"/>
      <c r="N1" s="58"/>
      <c r="O1" s="13"/>
    </row>
    <row r="2" spans="1:15" s="1" customFormat="1" ht="16.5" customHeight="1">
      <c r="A2" s="496" t="s">
        <v>38</v>
      </c>
      <c r="B2" s="513" t="s">
        <v>96</v>
      </c>
      <c r="C2" s="513"/>
      <c r="D2" s="513"/>
      <c r="E2" s="513" t="s">
        <v>97</v>
      </c>
      <c r="F2" s="514"/>
      <c r="G2" s="3"/>
      <c r="H2" s="3"/>
      <c r="I2" s="3"/>
      <c r="J2" s="3"/>
      <c r="K2" s="3"/>
      <c r="L2" s="3"/>
      <c r="M2" s="3"/>
      <c r="N2" s="58"/>
      <c r="O2" s="13"/>
    </row>
    <row r="3" spans="1:15" s="1" customFormat="1" ht="16.5" customHeight="1">
      <c r="A3" s="207" t="s">
        <v>319</v>
      </c>
      <c r="B3" s="475" t="s">
        <v>320</v>
      </c>
      <c r="C3" s="475" t="s">
        <v>99</v>
      </c>
      <c r="D3" s="475" t="s">
        <v>100</v>
      </c>
      <c r="E3" s="475" t="s">
        <v>270</v>
      </c>
      <c r="F3" s="497" t="s">
        <v>269</v>
      </c>
      <c r="G3" s="3"/>
      <c r="H3" s="103"/>
      <c r="I3" s="103"/>
      <c r="J3" s="103"/>
      <c r="K3" s="103"/>
      <c r="L3" s="103"/>
      <c r="M3" s="103"/>
      <c r="N3" s="83"/>
      <c r="O3" s="54"/>
    </row>
    <row r="4" spans="1:15" s="1" customFormat="1" ht="16.5" customHeight="1">
      <c r="A4" s="462" t="s">
        <v>89</v>
      </c>
      <c r="B4" s="48">
        <v>219908</v>
      </c>
      <c r="C4" s="243">
        <v>21287</v>
      </c>
      <c r="D4" s="265">
        <v>198621</v>
      </c>
      <c r="E4" s="243">
        <v>61108</v>
      </c>
      <c r="F4" s="243">
        <v>10059</v>
      </c>
      <c r="G4" s="3"/>
      <c r="H4" s="106"/>
      <c r="I4" s="106"/>
      <c r="J4" s="107"/>
      <c r="K4" s="103"/>
      <c r="L4" s="103"/>
      <c r="M4" s="103"/>
      <c r="N4" s="83"/>
    </row>
    <row r="5" spans="1:15" s="1" customFormat="1" ht="16.5" customHeight="1">
      <c r="A5" s="461" t="s">
        <v>321</v>
      </c>
      <c r="B5" s="244">
        <v>12538</v>
      </c>
      <c r="C5" s="242">
        <v>1420</v>
      </c>
      <c r="D5" s="266">
        <v>11118</v>
      </c>
      <c r="E5" s="242">
        <v>4056</v>
      </c>
      <c r="F5" s="242">
        <v>4449</v>
      </c>
      <c r="G5" s="3"/>
      <c r="H5" s="108"/>
      <c r="I5" s="108"/>
      <c r="J5" s="109"/>
      <c r="K5" s="103"/>
      <c r="L5" s="103"/>
      <c r="M5" s="103"/>
      <c r="N5" s="83"/>
    </row>
    <row r="6" spans="1:15" s="1" customFormat="1" ht="16.5" customHeight="1">
      <c r="A6" s="461" t="s">
        <v>322</v>
      </c>
      <c r="B6" s="244">
        <v>5322</v>
      </c>
      <c r="C6" s="242">
        <v>499</v>
      </c>
      <c r="D6" s="266">
        <v>4823</v>
      </c>
      <c r="E6" s="242">
        <v>1906</v>
      </c>
      <c r="F6" s="242">
        <v>0</v>
      </c>
      <c r="G6" s="3"/>
      <c r="H6" s="108"/>
      <c r="I6" s="108"/>
      <c r="J6" s="109"/>
      <c r="K6" s="103"/>
      <c r="L6" s="103"/>
      <c r="M6" s="103"/>
      <c r="N6" s="83"/>
    </row>
    <row r="7" spans="1:15" s="1" customFormat="1" ht="16.5" customHeight="1">
      <c r="A7" s="461" t="s">
        <v>323</v>
      </c>
      <c r="B7" s="244">
        <v>8013</v>
      </c>
      <c r="C7" s="242">
        <v>697</v>
      </c>
      <c r="D7" s="266">
        <v>7316</v>
      </c>
      <c r="E7" s="242">
        <v>2352</v>
      </c>
      <c r="F7" s="242">
        <v>0</v>
      </c>
      <c r="G7" s="3"/>
      <c r="H7" s="108"/>
      <c r="I7" s="108"/>
      <c r="J7" s="109"/>
      <c r="K7" s="103"/>
      <c r="L7" s="103"/>
      <c r="M7" s="103"/>
      <c r="N7" s="83"/>
    </row>
    <row r="8" spans="1:15" s="1" customFormat="1" ht="16.5" customHeight="1">
      <c r="A8" s="461" t="s">
        <v>324</v>
      </c>
      <c r="B8" s="244">
        <v>8025</v>
      </c>
      <c r="C8" s="242">
        <v>641</v>
      </c>
      <c r="D8" s="266">
        <v>7384</v>
      </c>
      <c r="E8" s="242">
        <v>2318</v>
      </c>
      <c r="F8" s="242">
        <v>0</v>
      </c>
      <c r="G8" s="3"/>
      <c r="H8" s="108"/>
      <c r="I8" s="108"/>
      <c r="J8" s="109"/>
      <c r="K8" s="103"/>
      <c r="L8" s="103"/>
      <c r="M8" s="103"/>
      <c r="N8" s="83"/>
    </row>
    <row r="9" spans="1:15" s="1" customFormat="1" ht="16.5" customHeight="1">
      <c r="A9" s="461" t="s">
        <v>325</v>
      </c>
      <c r="B9" s="244">
        <v>4743</v>
      </c>
      <c r="C9" s="242">
        <v>478</v>
      </c>
      <c r="D9" s="266">
        <v>4265</v>
      </c>
      <c r="E9" s="242">
        <v>1527</v>
      </c>
      <c r="F9" s="242">
        <v>0</v>
      </c>
      <c r="G9" s="3"/>
      <c r="H9" s="108"/>
      <c r="I9" s="108"/>
      <c r="J9" s="109"/>
      <c r="K9" s="103"/>
      <c r="L9" s="103"/>
      <c r="M9" s="103"/>
      <c r="N9" s="83"/>
    </row>
    <row r="10" spans="1:15" s="1" customFormat="1" ht="16.5" customHeight="1">
      <c r="A10" s="461" t="s">
        <v>326</v>
      </c>
      <c r="B10" s="244">
        <v>12970</v>
      </c>
      <c r="C10" s="242">
        <v>1155</v>
      </c>
      <c r="D10" s="266">
        <v>11815</v>
      </c>
      <c r="E10" s="242">
        <v>4276</v>
      </c>
      <c r="F10" s="242">
        <v>0</v>
      </c>
      <c r="G10" s="3"/>
      <c r="H10" s="106"/>
      <c r="I10" s="106"/>
      <c r="J10" s="107"/>
      <c r="K10" s="103"/>
      <c r="L10" s="103"/>
      <c r="M10" s="103"/>
      <c r="N10" s="83"/>
    </row>
    <row r="11" spans="1:15" s="1" customFormat="1" ht="16.5" customHeight="1">
      <c r="A11" s="461" t="s">
        <v>327</v>
      </c>
      <c r="B11" s="244">
        <v>19933</v>
      </c>
      <c r="C11" s="242">
        <v>1766</v>
      </c>
      <c r="D11" s="266">
        <v>18167</v>
      </c>
      <c r="E11" s="242">
        <v>5445</v>
      </c>
      <c r="F11" s="242">
        <v>0</v>
      </c>
      <c r="G11" s="3"/>
      <c r="H11" s="106"/>
      <c r="I11" s="106"/>
      <c r="J11" s="107"/>
      <c r="K11" s="103"/>
      <c r="L11" s="103"/>
      <c r="M11" s="103"/>
      <c r="N11" s="83"/>
    </row>
    <row r="12" spans="1:15" s="1" customFormat="1" ht="16.5" customHeight="1">
      <c r="A12" s="461" t="s">
        <v>328</v>
      </c>
      <c r="B12" s="244">
        <v>31828</v>
      </c>
      <c r="C12" s="242">
        <v>3130</v>
      </c>
      <c r="D12" s="266">
        <v>28698</v>
      </c>
      <c r="E12" s="242">
        <v>8576</v>
      </c>
      <c r="F12" s="242">
        <v>1502</v>
      </c>
      <c r="G12" s="3"/>
      <c r="H12" s="106"/>
      <c r="I12" s="106"/>
      <c r="J12" s="107"/>
      <c r="K12" s="103"/>
      <c r="L12" s="103"/>
      <c r="M12" s="103"/>
      <c r="N12" s="83"/>
    </row>
    <row r="13" spans="1:15" s="1" customFormat="1" ht="16.5" customHeight="1">
      <c r="A13" s="461" t="s">
        <v>329</v>
      </c>
      <c r="B13" s="244">
        <v>7534</v>
      </c>
      <c r="C13" s="242">
        <v>657</v>
      </c>
      <c r="D13" s="266">
        <v>6877</v>
      </c>
      <c r="E13" s="242">
        <v>2198</v>
      </c>
      <c r="F13" s="242">
        <v>0</v>
      </c>
      <c r="G13" s="3"/>
      <c r="H13" s="106"/>
      <c r="I13" s="106"/>
      <c r="J13" s="107"/>
      <c r="K13" s="103"/>
      <c r="L13" s="103"/>
      <c r="M13" s="103"/>
      <c r="N13" s="83"/>
    </row>
    <row r="14" spans="1:15" s="1" customFormat="1" ht="16.5" customHeight="1">
      <c r="A14" s="461" t="s">
        <v>330</v>
      </c>
      <c r="B14" s="244">
        <v>16639</v>
      </c>
      <c r="C14" s="242">
        <v>1519</v>
      </c>
      <c r="D14" s="266">
        <v>15120</v>
      </c>
      <c r="E14" s="242">
        <v>4280</v>
      </c>
      <c r="F14" s="242">
        <v>936</v>
      </c>
      <c r="G14" s="3"/>
      <c r="H14" s="106"/>
      <c r="I14" s="106"/>
      <c r="J14" s="107"/>
      <c r="K14" s="103"/>
      <c r="L14" s="103"/>
      <c r="M14" s="103"/>
      <c r="N14" s="83"/>
    </row>
    <row r="15" spans="1:15" s="1" customFormat="1" ht="16.5" customHeight="1">
      <c r="A15" s="461" t="s">
        <v>331</v>
      </c>
      <c r="B15" s="244">
        <v>6720</v>
      </c>
      <c r="C15" s="242">
        <v>687</v>
      </c>
      <c r="D15" s="266">
        <v>6033</v>
      </c>
      <c r="E15" s="242">
        <v>1779</v>
      </c>
      <c r="F15" s="242">
        <v>0</v>
      </c>
      <c r="G15" s="3"/>
      <c r="H15" s="106"/>
      <c r="I15" s="106"/>
      <c r="J15" s="107"/>
      <c r="K15" s="103"/>
      <c r="L15" s="103"/>
      <c r="M15" s="103"/>
      <c r="N15" s="83"/>
    </row>
    <row r="16" spans="1:15" s="1" customFormat="1" ht="16.5" customHeight="1">
      <c r="A16" s="461" t="s">
        <v>332</v>
      </c>
      <c r="B16" s="244">
        <v>22288</v>
      </c>
      <c r="C16" s="242">
        <v>1871</v>
      </c>
      <c r="D16" s="266">
        <v>20417</v>
      </c>
      <c r="E16" s="242">
        <v>5821</v>
      </c>
      <c r="F16" s="242">
        <v>710</v>
      </c>
      <c r="G16" s="3"/>
      <c r="H16" s="106"/>
      <c r="I16" s="106"/>
      <c r="J16" s="107"/>
      <c r="K16" s="103"/>
      <c r="L16" s="103"/>
      <c r="M16" s="103"/>
      <c r="N16" s="83"/>
    </row>
    <row r="17" spans="1:15" s="1" customFormat="1" ht="16.5" customHeight="1">
      <c r="A17" s="461" t="s">
        <v>333</v>
      </c>
      <c r="B17" s="244">
        <v>15999</v>
      </c>
      <c r="C17" s="242">
        <v>1518</v>
      </c>
      <c r="D17" s="266">
        <v>14481</v>
      </c>
      <c r="E17" s="242">
        <v>4309</v>
      </c>
      <c r="F17" s="242">
        <v>1395</v>
      </c>
      <c r="G17" s="3"/>
      <c r="H17" s="106"/>
      <c r="I17" s="106"/>
      <c r="J17" s="107"/>
      <c r="K17" s="103"/>
      <c r="L17" s="103"/>
      <c r="M17" s="103"/>
      <c r="N17" s="83"/>
    </row>
    <row r="18" spans="1:15" s="1" customFormat="1" ht="16.5" customHeight="1">
      <c r="A18" s="461" t="s">
        <v>334</v>
      </c>
      <c r="B18" s="244">
        <v>6918</v>
      </c>
      <c r="C18" s="242">
        <v>549</v>
      </c>
      <c r="D18" s="266">
        <v>6369</v>
      </c>
      <c r="E18" s="242">
        <v>1639</v>
      </c>
      <c r="F18" s="242">
        <v>0</v>
      </c>
      <c r="G18" s="3"/>
      <c r="H18" s="108"/>
      <c r="I18" s="108"/>
      <c r="J18" s="109"/>
      <c r="K18" s="103"/>
      <c r="L18" s="103"/>
      <c r="M18" s="103"/>
      <c r="N18" s="83"/>
    </row>
    <row r="19" spans="1:15" s="1" customFormat="1" ht="16.5" customHeight="1">
      <c r="A19" s="461" t="s">
        <v>335</v>
      </c>
      <c r="B19" s="244">
        <v>13846</v>
      </c>
      <c r="C19" s="242">
        <v>1255</v>
      </c>
      <c r="D19" s="266">
        <v>12591</v>
      </c>
      <c r="E19" s="242">
        <v>3876</v>
      </c>
      <c r="F19" s="242">
        <v>0</v>
      </c>
      <c r="G19" s="3"/>
      <c r="H19" s="106"/>
      <c r="I19" s="106"/>
      <c r="J19" s="107"/>
      <c r="K19" s="103"/>
      <c r="L19" s="103"/>
      <c r="M19" s="103"/>
      <c r="N19" s="83"/>
    </row>
    <row r="20" spans="1:15" s="1" customFormat="1" ht="16.5" customHeight="1">
      <c r="A20" s="461" t="s">
        <v>336</v>
      </c>
      <c r="B20" s="244">
        <v>14753</v>
      </c>
      <c r="C20" s="242">
        <v>1601</v>
      </c>
      <c r="D20" s="266">
        <v>13152</v>
      </c>
      <c r="E20" s="242">
        <v>3470</v>
      </c>
      <c r="F20" s="242">
        <v>1067</v>
      </c>
      <c r="G20" s="3"/>
      <c r="H20" s="106"/>
      <c r="I20" s="106"/>
      <c r="J20" s="107"/>
      <c r="K20" s="103"/>
      <c r="L20" s="103"/>
      <c r="M20" s="103"/>
      <c r="N20" s="83"/>
    </row>
    <row r="21" spans="1:15" s="1" customFormat="1" ht="16.5" customHeight="1">
      <c r="A21" s="461" t="s">
        <v>337</v>
      </c>
      <c r="B21" s="244">
        <v>7219</v>
      </c>
      <c r="C21" s="242">
        <v>785</v>
      </c>
      <c r="D21" s="266">
        <v>6434</v>
      </c>
      <c r="E21" s="242">
        <v>1969</v>
      </c>
      <c r="F21" s="242">
        <v>0</v>
      </c>
      <c r="G21" s="3"/>
      <c r="H21" s="106"/>
      <c r="I21" s="106"/>
      <c r="J21" s="107"/>
      <c r="K21" s="103"/>
      <c r="L21" s="103"/>
      <c r="M21" s="103"/>
      <c r="N21" s="83"/>
    </row>
    <row r="22" spans="1:15" s="1" customFormat="1" ht="16.5" customHeight="1">
      <c r="A22" s="467" t="s">
        <v>338</v>
      </c>
      <c r="B22" s="303">
        <v>4620</v>
      </c>
      <c r="C22" s="50">
        <v>1059</v>
      </c>
      <c r="D22" s="406">
        <v>3561</v>
      </c>
      <c r="E22" s="50">
        <v>1311</v>
      </c>
      <c r="F22" s="50">
        <v>0</v>
      </c>
      <c r="G22" s="3"/>
      <c r="H22" s="108"/>
      <c r="I22" s="108"/>
      <c r="J22" s="109"/>
      <c r="K22" s="103"/>
      <c r="L22" s="103"/>
      <c r="M22" s="103"/>
      <c r="N22" s="83"/>
    </row>
    <row r="23" spans="1:15" s="1" customFormat="1" ht="16.5" customHeight="1">
      <c r="A23" s="104"/>
      <c r="B23" s="59"/>
      <c r="C23" s="59"/>
      <c r="D23" s="59"/>
      <c r="E23" s="59"/>
      <c r="F23" s="59"/>
      <c r="G23" s="3"/>
      <c r="H23" s="84"/>
      <c r="I23" s="84"/>
      <c r="J23" s="84"/>
      <c r="K23" s="84"/>
      <c r="L23" s="84"/>
      <c r="M23" s="84"/>
      <c r="N23" s="58"/>
      <c r="O23" s="13"/>
    </row>
    <row r="24" spans="1:15" s="1" customFormat="1" ht="16.5" customHeight="1">
      <c r="A24" s="105" t="s">
        <v>339</v>
      </c>
      <c r="B24" s="59"/>
      <c r="C24" s="59"/>
      <c r="D24" s="59"/>
      <c r="E24" s="59"/>
      <c r="F24" s="59"/>
      <c r="G24" s="3"/>
      <c r="H24" s="3"/>
      <c r="I24" s="3"/>
      <c r="J24" s="3"/>
      <c r="K24" s="3"/>
      <c r="L24" s="3"/>
      <c r="M24" s="3"/>
      <c r="N24" s="58"/>
      <c r="O24" s="13"/>
    </row>
    <row r="25" spans="1:15" s="1" customFormat="1" ht="16.5" customHeight="1">
      <c r="A25" s="59"/>
      <c r="B25" s="59"/>
      <c r="C25" s="59"/>
      <c r="D25" s="59"/>
      <c r="E25" s="59"/>
      <c r="F25" s="59"/>
      <c r="G25" s="3"/>
      <c r="H25" s="3"/>
      <c r="I25" s="3"/>
      <c r="J25" s="3"/>
      <c r="K25" s="3"/>
      <c r="L25" s="3"/>
      <c r="M25" s="3"/>
      <c r="N25" s="58"/>
      <c r="O25" s="13"/>
    </row>
    <row r="26" spans="1:15" s="1" customFormat="1" ht="16.5" customHeight="1">
      <c r="A26" s="105" t="s">
        <v>340</v>
      </c>
      <c r="B26" s="59"/>
      <c r="C26" s="59"/>
      <c r="D26" s="59"/>
      <c r="E26" s="59"/>
      <c r="F26" s="59"/>
      <c r="G26" s="3"/>
      <c r="H26" s="3"/>
      <c r="I26" s="3"/>
      <c r="J26" s="3"/>
      <c r="K26" s="3"/>
      <c r="L26" s="3"/>
      <c r="M26" s="3"/>
      <c r="N26" s="58"/>
      <c r="O26" s="13"/>
    </row>
    <row r="27" spans="1:15" s="1" customFormat="1" ht="16.5" customHeight="1">
      <c r="A27" s="61" t="s">
        <v>786</v>
      </c>
      <c r="B27" s="55"/>
      <c r="C27" s="55"/>
      <c r="D27" s="55"/>
      <c r="E27" s="55"/>
      <c r="F27" s="55"/>
      <c r="G27" s="3"/>
      <c r="H27" s="3"/>
      <c r="I27" s="3"/>
      <c r="J27" s="3"/>
      <c r="K27" s="3"/>
      <c r="L27" s="3"/>
      <c r="M27" s="3"/>
      <c r="N27" s="58"/>
      <c r="O27" s="13"/>
    </row>
    <row r="28" spans="1:15" s="1" customFormat="1" ht="16.5" customHeight="1">
      <c r="A28" s="3"/>
      <c r="B28" s="3"/>
      <c r="C28" s="3"/>
      <c r="D28" s="3"/>
      <c r="E28" s="3"/>
      <c r="F28" s="3"/>
      <c r="G28" s="3"/>
      <c r="H28" s="3"/>
      <c r="I28" s="3"/>
      <c r="J28" s="3"/>
      <c r="K28" s="3"/>
      <c r="L28" s="3"/>
      <c r="M28" s="3"/>
      <c r="N28" s="58"/>
      <c r="O28" s="13"/>
    </row>
    <row r="29" spans="1:15" s="1" customFormat="1" ht="16.5" customHeight="1">
      <c r="A29" s="82" t="s">
        <v>682</v>
      </c>
      <c r="B29" s="3"/>
      <c r="C29" s="3"/>
      <c r="D29" s="3"/>
      <c r="E29" s="3"/>
      <c r="F29" s="3"/>
      <c r="G29" s="3"/>
      <c r="H29" s="3"/>
      <c r="I29" s="3"/>
      <c r="J29" s="3"/>
      <c r="K29" s="3"/>
      <c r="L29" s="3"/>
      <c r="M29" s="3"/>
      <c r="N29" s="58"/>
      <c r="O29" s="13"/>
    </row>
    <row r="30" spans="1:15" s="1" customFormat="1" ht="16.5" customHeight="1">
      <c r="A30" s="496" t="s">
        <v>341</v>
      </c>
      <c r="B30" s="536" t="s">
        <v>441</v>
      </c>
      <c r="C30" s="536" t="s">
        <v>342</v>
      </c>
      <c r="D30" s="513" t="s">
        <v>343</v>
      </c>
      <c r="E30" s="514" t="s">
        <v>344</v>
      </c>
      <c r="F30" s="3"/>
      <c r="G30" s="3"/>
      <c r="H30" s="3"/>
      <c r="I30" s="3"/>
      <c r="J30" s="3"/>
      <c r="K30" s="3"/>
      <c r="L30" s="3"/>
      <c r="M30" s="3"/>
      <c r="N30" s="58"/>
      <c r="O30" s="13"/>
    </row>
    <row r="31" spans="1:15" s="1" customFormat="1" ht="16.5" customHeight="1">
      <c r="A31" s="207" t="s">
        <v>220</v>
      </c>
      <c r="B31" s="537"/>
      <c r="C31" s="537"/>
      <c r="D31" s="544"/>
      <c r="E31" s="545"/>
      <c r="F31" s="3"/>
      <c r="G31" s="3"/>
      <c r="H31" s="3"/>
      <c r="I31" s="3"/>
      <c r="J31" s="3"/>
      <c r="K31" s="3"/>
      <c r="L31" s="3"/>
      <c r="M31" s="3"/>
      <c r="N31" s="58"/>
      <c r="O31" s="13"/>
    </row>
    <row r="32" spans="1:15" s="1" customFormat="1" ht="16.5" customHeight="1">
      <c r="A32" s="472" t="s">
        <v>200</v>
      </c>
      <c r="B32" s="48">
        <v>310254</v>
      </c>
      <c r="C32" s="243">
        <v>312972</v>
      </c>
      <c r="D32" s="243">
        <v>161116</v>
      </c>
      <c r="E32" s="41">
        <v>100.87605639250421</v>
      </c>
      <c r="F32" s="3"/>
      <c r="G32" s="3"/>
      <c r="H32" s="3"/>
      <c r="I32" s="3"/>
      <c r="J32" s="3"/>
      <c r="K32" s="3"/>
      <c r="L32" s="3"/>
      <c r="M32" s="3"/>
      <c r="N32" s="58"/>
      <c r="O32" s="13"/>
    </row>
    <row r="33" spans="1:15" s="1" customFormat="1" ht="16.5" customHeight="1">
      <c r="A33" s="501" t="s">
        <v>201</v>
      </c>
      <c r="B33" s="48">
        <v>219908</v>
      </c>
      <c r="C33" s="243">
        <v>223504</v>
      </c>
      <c r="D33" s="243">
        <v>114194</v>
      </c>
      <c r="E33" s="41">
        <v>101.63522927769795</v>
      </c>
      <c r="F33" s="3"/>
      <c r="G33" s="3"/>
      <c r="H33" s="3"/>
      <c r="I33" s="3"/>
      <c r="J33" s="3"/>
      <c r="K33" s="3"/>
      <c r="L33" s="3"/>
      <c r="M33" s="3"/>
      <c r="N33" s="58"/>
      <c r="O33" s="13"/>
    </row>
    <row r="34" spans="1:15" s="1" customFormat="1" ht="16.5" customHeight="1">
      <c r="A34" s="197" t="s">
        <v>99</v>
      </c>
      <c r="B34" s="244">
        <v>21287</v>
      </c>
      <c r="C34" s="242">
        <v>19800</v>
      </c>
      <c r="D34" s="242">
        <v>14136</v>
      </c>
      <c r="E34" s="29">
        <v>93.014515901724053</v>
      </c>
      <c r="F34" s="3"/>
      <c r="G34" s="3"/>
      <c r="H34" s="3"/>
      <c r="I34" s="3"/>
      <c r="J34" s="3"/>
      <c r="K34" s="3"/>
      <c r="L34" s="3"/>
      <c r="M34" s="3"/>
      <c r="N34" s="58"/>
      <c r="O34" s="13"/>
    </row>
    <row r="35" spans="1:15" s="1" customFormat="1" ht="16.5" customHeight="1">
      <c r="A35" s="197" t="s">
        <v>100</v>
      </c>
      <c r="B35" s="244">
        <v>198621</v>
      </c>
      <c r="C35" s="242">
        <v>203704</v>
      </c>
      <c r="D35" s="242">
        <v>100058</v>
      </c>
      <c r="E35" s="29">
        <v>102.55914530689101</v>
      </c>
      <c r="F35" s="3"/>
      <c r="G35" s="3"/>
      <c r="H35" s="3"/>
      <c r="I35" s="3"/>
      <c r="J35" s="3"/>
      <c r="K35" s="3"/>
      <c r="L35" s="3"/>
      <c r="M35" s="3"/>
      <c r="N35" s="58"/>
      <c r="O35" s="13"/>
    </row>
    <row r="36" spans="1:15" s="1" customFormat="1" ht="16.5" customHeight="1">
      <c r="A36" s="501" t="s">
        <v>202</v>
      </c>
      <c r="B36" s="48">
        <v>71167</v>
      </c>
      <c r="C36" s="243">
        <v>70036</v>
      </c>
      <c r="D36" s="243">
        <v>42944</v>
      </c>
      <c r="E36" s="41">
        <v>98.41078027737575</v>
      </c>
      <c r="F36" s="3"/>
      <c r="G36" s="3"/>
      <c r="H36" s="3"/>
      <c r="I36" s="3"/>
      <c r="J36" s="3"/>
      <c r="K36" s="3"/>
      <c r="L36" s="3"/>
      <c r="M36" s="3"/>
      <c r="N36" s="58"/>
      <c r="O36" s="13"/>
    </row>
    <row r="37" spans="1:15" s="1" customFormat="1" ht="16.5" customHeight="1">
      <c r="A37" s="197" t="s">
        <v>60</v>
      </c>
      <c r="B37" s="244">
        <v>10059</v>
      </c>
      <c r="C37" s="242">
        <v>9201</v>
      </c>
      <c r="D37" s="242">
        <v>4833</v>
      </c>
      <c r="E37" s="29">
        <v>91.470325082016103</v>
      </c>
      <c r="F37" s="3"/>
      <c r="G37" s="3"/>
      <c r="H37" s="3"/>
      <c r="I37" s="3"/>
      <c r="J37" s="3"/>
      <c r="K37" s="3"/>
      <c r="L37" s="3"/>
      <c r="M37" s="3"/>
      <c r="N37" s="58"/>
      <c r="O37" s="13"/>
    </row>
    <row r="38" spans="1:15" s="1" customFormat="1" ht="16.5" customHeight="1">
      <c r="A38" s="197" t="s">
        <v>7</v>
      </c>
      <c r="B38" s="244">
        <v>61108</v>
      </c>
      <c r="C38" s="242">
        <v>60835</v>
      </c>
      <c r="D38" s="242">
        <v>38111</v>
      </c>
      <c r="E38" s="29">
        <v>99.553249983635524</v>
      </c>
      <c r="F38" s="3"/>
      <c r="G38" s="3"/>
      <c r="H38" s="3"/>
      <c r="I38" s="3"/>
      <c r="J38" s="3"/>
      <c r="K38" s="3"/>
      <c r="L38" s="3"/>
      <c r="M38" s="3"/>
      <c r="N38" s="58"/>
      <c r="O38" s="13"/>
    </row>
    <row r="39" spans="1:15" s="1" customFormat="1" ht="16.5" customHeight="1">
      <c r="A39" s="501" t="s">
        <v>203</v>
      </c>
      <c r="B39" s="48">
        <v>19179</v>
      </c>
      <c r="C39" s="243">
        <v>19432</v>
      </c>
      <c r="D39" s="243">
        <v>3978</v>
      </c>
      <c r="E39" s="41">
        <v>101.31915115490901</v>
      </c>
      <c r="F39" s="3"/>
      <c r="G39" s="3"/>
      <c r="H39" s="3"/>
      <c r="I39" s="3"/>
      <c r="J39" s="3"/>
      <c r="K39" s="3"/>
      <c r="L39" s="3"/>
      <c r="M39" s="3"/>
      <c r="N39" s="58"/>
      <c r="O39" s="13"/>
    </row>
    <row r="40" spans="1:15" s="1" customFormat="1" ht="16.5" customHeight="1">
      <c r="A40" s="197" t="s">
        <v>204</v>
      </c>
      <c r="B40" s="244">
        <v>3259</v>
      </c>
      <c r="C40" s="242">
        <v>3379</v>
      </c>
      <c r="D40" s="242">
        <v>759</v>
      </c>
      <c r="E40" s="29">
        <v>103.68211107701748</v>
      </c>
      <c r="F40" s="3"/>
      <c r="G40" s="3"/>
      <c r="H40" s="3"/>
      <c r="I40" s="3"/>
      <c r="J40" s="3"/>
      <c r="K40" s="3"/>
      <c r="L40" s="3"/>
      <c r="M40" s="3"/>
      <c r="N40" s="58"/>
      <c r="O40" s="13"/>
    </row>
    <row r="41" spans="1:15" s="1" customFormat="1" ht="16.5" customHeight="1">
      <c r="A41" s="197" t="s">
        <v>205</v>
      </c>
      <c r="B41" s="244">
        <v>15814</v>
      </c>
      <c r="C41" s="242">
        <v>15901</v>
      </c>
      <c r="D41" s="242">
        <v>3207</v>
      </c>
      <c r="E41" s="29">
        <v>100.55014544074869</v>
      </c>
      <c r="F41" s="3"/>
      <c r="G41" s="3"/>
      <c r="H41" s="3"/>
      <c r="I41" s="3"/>
      <c r="J41" s="3"/>
      <c r="K41" s="3"/>
      <c r="L41" s="3"/>
      <c r="M41" s="3"/>
      <c r="N41" s="58"/>
      <c r="O41" s="13"/>
    </row>
    <row r="42" spans="1:15" s="1" customFormat="1" ht="16.5" customHeight="1">
      <c r="A42" s="420" t="s">
        <v>345</v>
      </c>
      <c r="B42" s="303">
        <v>106</v>
      </c>
      <c r="C42" s="50">
        <v>152</v>
      </c>
      <c r="D42" s="50">
        <v>12</v>
      </c>
      <c r="E42" s="502">
        <v>143.39622641509433</v>
      </c>
      <c r="F42" s="3"/>
      <c r="G42" s="3"/>
      <c r="H42" s="3"/>
      <c r="I42" s="3"/>
      <c r="J42" s="3"/>
      <c r="K42" s="3"/>
      <c r="L42" s="3"/>
      <c r="M42" s="3"/>
      <c r="N42" s="58"/>
      <c r="O42" s="13"/>
    </row>
    <row r="43" spans="1:15" s="1" customFormat="1" ht="16.5" customHeight="1">
      <c r="A43" s="3" t="s">
        <v>580</v>
      </c>
      <c r="B43" s="3"/>
      <c r="C43" s="3"/>
      <c r="D43" s="3"/>
      <c r="E43" s="3"/>
      <c r="F43" s="3"/>
      <c r="G43" s="3"/>
      <c r="H43" s="3"/>
      <c r="I43" s="3"/>
      <c r="J43" s="3"/>
      <c r="K43" s="3"/>
      <c r="L43" s="3"/>
      <c r="M43" s="3"/>
      <c r="N43" s="58"/>
      <c r="O43" s="13"/>
    </row>
    <row r="44" spans="1:15" s="1" customFormat="1" ht="16.5" customHeight="1">
      <c r="A44" s="87"/>
      <c r="B44" s="3"/>
      <c r="C44" s="3"/>
      <c r="D44" s="3"/>
      <c r="E44" s="3"/>
      <c r="F44" s="3"/>
      <c r="G44" s="3"/>
      <c r="H44" s="3"/>
      <c r="I44" s="3"/>
      <c r="J44" s="3"/>
      <c r="K44" s="3"/>
      <c r="L44" s="3"/>
      <c r="M44" s="3"/>
      <c r="N44" s="58"/>
      <c r="O44" s="13"/>
    </row>
    <row r="45" spans="1:15" s="1" customFormat="1" ht="16.5" customHeight="1">
      <c r="A45" s="3" t="s">
        <v>683</v>
      </c>
      <c r="B45" s="3"/>
      <c r="C45" s="3"/>
      <c r="D45" s="3"/>
      <c r="E45" s="3"/>
      <c r="F45" s="3"/>
      <c r="G45" s="3"/>
      <c r="H45" s="3"/>
      <c r="I45" s="3"/>
      <c r="J45" s="3"/>
      <c r="K45" s="3"/>
      <c r="L45" s="3"/>
      <c r="M45" s="3"/>
      <c r="N45" s="58"/>
      <c r="O45" s="13"/>
    </row>
    <row r="46" spans="1:15" s="1" customFormat="1" ht="16.5" customHeight="1">
      <c r="A46" s="3"/>
      <c r="B46" s="3"/>
      <c r="C46" s="3"/>
      <c r="D46" s="3"/>
      <c r="E46" s="3"/>
      <c r="F46" s="3"/>
      <c r="G46" s="3"/>
      <c r="H46" s="3"/>
      <c r="I46" s="3"/>
      <c r="J46" s="3"/>
      <c r="K46" s="3"/>
      <c r="L46" s="3"/>
      <c r="M46" s="3"/>
      <c r="N46" s="58"/>
      <c r="O46" s="13"/>
    </row>
    <row r="47" spans="1:15" ht="16.5" customHeight="1">
      <c r="A47" s="110" t="s">
        <v>684</v>
      </c>
      <c r="B47" s="111"/>
      <c r="C47" s="111"/>
      <c r="D47" s="111"/>
      <c r="E47" s="111"/>
      <c r="F47" s="111"/>
      <c r="G47" s="111"/>
      <c r="H47" s="111"/>
      <c r="I47" s="111"/>
      <c r="J47" s="111"/>
      <c r="K47" s="111"/>
      <c r="L47" s="111"/>
      <c r="M47" s="111"/>
    </row>
    <row r="48" spans="1:15" ht="16.5" customHeight="1">
      <c r="A48" s="496" t="s">
        <v>341</v>
      </c>
      <c r="B48" s="542" t="s">
        <v>346</v>
      </c>
      <c r="C48" s="513" t="s">
        <v>347</v>
      </c>
      <c r="D48" s="513"/>
      <c r="E48" s="513"/>
      <c r="F48" s="513"/>
      <c r="G48" s="513"/>
      <c r="H48" s="513"/>
      <c r="I48" s="513"/>
      <c r="J48" s="513"/>
      <c r="K48" s="513"/>
      <c r="L48" s="513"/>
      <c r="M48" s="513"/>
      <c r="N48" s="514"/>
    </row>
    <row r="49" spans="1:15" ht="22.5">
      <c r="A49" s="207" t="s">
        <v>348</v>
      </c>
      <c r="B49" s="543"/>
      <c r="C49" s="475" t="s">
        <v>77</v>
      </c>
      <c r="D49" s="475" t="s">
        <v>349</v>
      </c>
      <c r="E49" s="475" t="s">
        <v>213</v>
      </c>
      <c r="F49" s="475" t="s">
        <v>350</v>
      </c>
      <c r="G49" s="491" t="s">
        <v>351</v>
      </c>
      <c r="H49" s="475" t="s">
        <v>352</v>
      </c>
      <c r="I49" s="475" t="s">
        <v>353</v>
      </c>
      <c r="J49" s="491" t="s">
        <v>173</v>
      </c>
      <c r="K49" s="491" t="s">
        <v>354</v>
      </c>
      <c r="L49" s="491" t="s">
        <v>355</v>
      </c>
      <c r="M49" s="491" t="s">
        <v>356</v>
      </c>
      <c r="N49" s="497" t="s">
        <v>357</v>
      </c>
    </row>
    <row r="50" spans="1:15" ht="16.5" customHeight="1">
      <c r="A50" s="197">
        <v>2018</v>
      </c>
      <c r="B50" s="395">
        <v>1230</v>
      </c>
      <c r="C50" s="468">
        <v>1348</v>
      </c>
      <c r="D50" s="470">
        <v>87</v>
      </c>
      <c r="E50" s="470">
        <v>54</v>
      </c>
      <c r="F50" s="470">
        <v>5</v>
      </c>
      <c r="G50" s="470">
        <v>0</v>
      </c>
      <c r="H50" s="470">
        <v>5</v>
      </c>
      <c r="I50" s="470">
        <v>136</v>
      </c>
      <c r="J50" s="470">
        <v>5</v>
      </c>
      <c r="K50" s="470">
        <v>0</v>
      </c>
      <c r="L50" s="470">
        <v>947</v>
      </c>
      <c r="M50" s="470">
        <v>30</v>
      </c>
      <c r="N50" s="470">
        <v>79</v>
      </c>
    </row>
    <row r="51" spans="1:15" ht="16.5" customHeight="1">
      <c r="A51" s="197">
        <v>2019</v>
      </c>
      <c r="B51" s="395">
        <v>1002</v>
      </c>
      <c r="C51" s="468">
        <v>1042</v>
      </c>
      <c r="D51" s="470">
        <v>30</v>
      </c>
      <c r="E51" s="470">
        <v>20</v>
      </c>
      <c r="F51" s="470">
        <v>1</v>
      </c>
      <c r="G51" s="470">
        <v>1</v>
      </c>
      <c r="H51" s="470">
        <v>1</v>
      </c>
      <c r="I51" s="470">
        <v>135</v>
      </c>
      <c r="J51" s="470">
        <v>7</v>
      </c>
      <c r="K51" s="470">
        <v>19</v>
      </c>
      <c r="L51" s="470">
        <v>718</v>
      </c>
      <c r="M51" s="470">
        <v>23</v>
      </c>
      <c r="N51" s="470">
        <v>87</v>
      </c>
    </row>
    <row r="52" spans="1:15" ht="16.5" customHeight="1">
      <c r="A52" s="197">
        <v>2020</v>
      </c>
      <c r="B52" s="395">
        <v>1116</v>
      </c>
      <c r="C52" s="468">
        <v>870</v>
      </c>
      <c r="D52" s="470">
        <v>11</v>
      </c>
      <c r="E52" s="470">
        <v>4</v>
      </c>
      <c r="F52" s="470">
        <v>4</v>
      </c>
      <c r="G52" s="470">
        <v>0</v>
      </c>
      <c r="H52" s="470">
        <v>2</v>
      </c>
      <c r="I52" s="470">
        <v>145</v>
      </c>
      <c r="J52" s="470">
        <v>2</v>
      </c>
      <c r="K52" s="470">
        <v>0</v>
      </c>
      <c r="L52" s="470">
        <v>617</v>
      </c>
      <c r="M52" s="470">
        <v>27</v>
      </c>
      <c r="N52" s="470">
        <v>58</v>
      </c>
    </row>
    <row r="53" spans="1:15" ht="16.5" customHeight="1">
      <c r="A53" s="461">
        <v>2021</v>
      </c>
      <c r="B53" s="395">
        <v>1688</v>
      </c>
      <c r="C53" s="299">
        <v>1139</v>
      </c>
      <c r="D53" s="470">
        <v>22</v>
      </c>
      <c r="E53" s="470">
        <v>8</v>
      </c>
      <c r="F53" s="470">
        <v>1</v>
      </c>
      <c r="G53" s="470">
        <v>0</v>
      </c>
      <c r="H53" s="470">
        <v>2</v>
      </c>
      <c r="I53" s="470">
        <v>426</v>
      </c>
      <c r="J53" s="470">
        <v>1</v>
      </c>
      <c r="K53" s="470">
        <v>0</v>
      </c>
      <c r="L53" s="470">
        <v>581</v>
      </c>
      <c r="M53" s="470">
        <v>24</v>
      </c>
      <c r="N53" s="470">
        <v>74</v>
      </c>
    </row>
    <row r="54" spans="1:15" ht="16.5" customHeight="1">
      <c r="A54" s="420">
        <v>2022</v>
      </c>
      <c r="B54" s="396">
        <v>4548</v>
      </c>
      <c r="C54" s="397">
        <v>4966</v>
      </c>
      <c r="D54" s="503">
        <v>1072</v>
      </c>
      <c r="E54" s="503">
        <v>973</v>
      </c>
      <c r="F54" s="503">
        <v>674</v>
      </c>
      <c r="G54" s="503">
        <v>0</v>
      </c>
      <c r="H54" s="503">
        <v>0</v>
      </c>
      <c r="I54" s="503">
        <v>746</v>
      </c>
      <c r="J54" s="503">
        <v>1</v>
      </c>
      <c r="K54" s="503">
        <v>0</v>
      </c>
      <c r="L54" s="503">
        <v>1170</v>
      </c>
      <c r="M54" s="503">
        <v>159</v>
      </c>
      <c r="N54" s="503">
        <v>171</v>
      </c>
      <c r="O54" s="57"/>
    </row>
    <row r="55" spans="1:15" ht="16.5" customHeight="1">
      <c r="A55" s="86" t="s">
        <v>812</v>
      </c>
    </row>
    <row r="56" spans="1:15" ht="16.5" customHeight="1">
      <c r="A56" s="86" t="s">
        <v>813</v>
      </c>
    </row>
  </sheetData>
  <sheetProtection algorithmName="SHA-512" hashValue="N13aJewlaxYGNlC13ierzUHimChC1V5ZjLOOXm+rWZq7+7OS8uvPQyuF9wJp0St31cv+eOiw4IU7WqRrJxpmzg==" saltValue="2TJbK21eaRThIaS7VGuNEA==" spinCount="100000" sheet="1" objects="1" scenarios="1"/>
  <mergeCells count="8">
    <mergeCell ref="B48:B49"/>
    <mergeCell ref="C48:N48"/>
    <mergeCell ref="B2:D2"/>
    <mergeCell ref="E2:F2"/>
    <mergeCell ref="B30:B31"/>
    <mergeCell ref="C30:C31"/>
    <mergeCell ref="D30:D31"/>
    <mergeCell ref="E30:E31"/>
  </mergeCells>
  <phoneticPr fontId="6" type="noConversion"/>
  <pageMargins left="0.45" right="0.18" top="0.61" bottom="0.33" header="0.5" footer="0.5"/>
  <pageSetup paperSize="9" scale="67" pageOrder="overThenDown" orientation="portrait" horizontalDpi="1200"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49"/>
  <sheetViews>
    <sheetView showGridLines="0" zoomScaleNormal="100" zoomScaleSheetLayoutView="100" workbookViewId="0"/>
  </sheetViews>
  <sheetFormatPr defaultColWidth="8" defaultRowHeight="16.5" customHeight="1"/>
  <cols>
    <col min="1" max="4" width="5.33203125" style="118" customWidth="1"/>
    <col min="5" max="11" width="11.109375" style="118" customWidth="1"/>
    <col min="12" max="16384" width="8" style="118"/>
  </cols>
  <sheetData>
    <row r="1" spans="1:12" ht="16.5" customHeight="1">
      <c r="A1" s="82" t="s">
        <v>233</v>
      </c>
      <c r="B1" s="3"/>
      <c r="C1" s="3"/>
      <c r="D1" s="3"/>
      <c r="E1" s="3"/>
      <c r="F1" s="3"/>
    </row>
    <row r="2" spans="1:12" ht="24" customHeight="1">
      <c r="A2" s="541" t="s">
        <v>787</v>
      </c>
      <c r="B2" s="541"/>
      <c r="C2" s="541"/>
      <c r="D2" s="541"/>
      <c r="E2" s="541"/>
      <c r="F2" s="541"/>
      <c r="G2" s="541"/>
      <c r="H2" s="541"/>
      <c r="I2" s="541"/>
      <c r="J2" s="541"/>
      <c r="K2" s="541"/>
    </row>
    <row r="4" spans="1:12" s="3" customFormat="1" ht="16.5" customHeight="1">
      <c r="A4" s="82" t="s">
        <v>685</v>
      </c>
      <c r="B4" s="119"/>
      <c r="L4" s="118"/>
    </row>
    <row r="5" spans="1:12" s="3" customFormat="1" ht="16.5" customHeight="1">
      <c r="A5" s="82" t="s">
        <v>21</v>
      </c>
      <c r="L5" s="118"/>
    </row>
    <row r="6" spans="1:12" s="3" customFormat="1" ht="16.5" customHeight="1">
      <c r="A6" s="552" t="s">
        <v>216</v>
      </c>
      <c r="B6" s="552"/>
      <c r="C6" s="552"/>
      <c r="D6" s="553"/>
      <c r="E6" s="513" t="s">
        <v>89</v>
      </c>
      <c r="F6" s="513"/>
      <c r="G6" s="513" t="s">
        <v>99</v>
      </c>
      <c r="H6" s="513"/>
      <c r="I6" s="513" t="s">
        <v>100</v>
      </c>
      <c r="J6" s="514"/>
    </row>
    <row r="7" spans="1:12" s="3" customFormat="1" ht="16.5" customHeight="1">
      <c r="A7" s="554" t="s">
        <v>234</v>
      </c>
      <c r="B7" s="554"/>
      <c r="C7" s="554"/>
      <c r="D7" s="555"/>
      <c r="E7" s="475" t="s">
        <v>198</v>
      </c>
      <c r="F7" s="475" t="s">
        <v>199</v>
      </c>
      <c r="G7" s="475" t="s">
        <v>198</v>
      </c>
      <c r="H7" s="475" t="s">
        <v>199</v>
      </c>
      <c r="I7" s="475" t="s">
        <v>198</v>
      </c>
      <c r="J7" s="497" t="s">
        <v>199</v>
      </c>
      <c r="L7" s="118"/>
    </row>
    <row r="8" spans="1:12" s="3" customFormat="1" ht="16.5" customHeight="1">
      <c r="A8" s="551" t="s">
        <v>89</v>
      </c>
      <c r="B8" s="551"/>
      <c r="C8" s="551"/>
      <c r="D8" s="551"/>
      <c r="E8" s="48">
        <v>18371</v>
      </c>
      <c r="F8" s="220">
        <v>205133</v>
      </c>
      <c r="G8" s="48">
        <v>4725</v>
      </c>
      <c r="H8" s="220">
        <v>15075</v>
      </c>
      <c r="I8" s="48">
        <v>13646</v>
      </c>
      <c r="J8" s="243">
        <v>190058</v>
      </c>
      <c r="L8" s="118"/>
    </row>
    <row r="9" spans="1:12" s="3" customFormat="1" ht="16.5" customHeight="1">
      <c r="A9" s="551" t="s">
        <v>426</v>
      </c>
      <c r="B9" s="551"/>
      <c r="C9" s="551"/>
      <c r="D9" s="551"/>
      <c r="E9" s="48">
        <v>17663</v>
      </c>
      <c r="F9" s="220">
        <v>191503</v>
      </c>
      <c r="G9" s="48">
        <v>4555</v>
      </c>
      <c r="H9" s="220">
        <v>14087</v>
      </c>
      <c r="I9" s="243">
        <v>13108</v>
      </c>
      <c r="J9" s="243">
        <v>177416</v>
      </c>
      <c r="L9" s="118"/>
    </row>
    <row r="10" spans="1:12" s="3" customFormat="1" ht="16.5" customHeight="1">
      <c r="A10" s="548" t="s">
        <v>235</v>
      </c>
      <c r="B10" s="548"/>
      <c r="C10" s="548" t="s">
        <v>236</v>
      </c>
      <c r="D10" s="548"/>
      <c r="E10" s="244">
        <v>1</v>
      </c>
      <c r="F10" s="257">
        <v>0</v>
      </c>
      <c r="G10" s="244">
        <v>1</v>
      </c>
      <c r="H10" s="257">
        <v>0</v>
      </c>
      <c r="I10" s="242">
        <v>0</v>
      </c>
      <c r="J10" s="242">
        <v>0</v>
      </c>
      <c r="L10" s="118"/>
    </row>
    <row r="11" spans="1:12" s="3" customFormat="1" ht="16.5" customHeight="1">
      <c r="A11" s="548"/>
      <c r="B11" s="548"/>
      <c r="C11" s="548" t="s">
        <v>237</v>
      </c>
      <c r="D11" s="548"/>
      <c r="E11" s="244">
        <v>14040</v>
      </c>
      <c r="F11" s="257">
        <v>51298</v>
      </c>
      <c r="G11" s="244">
        <v>3764</v>
      </c>
      <c r="H11" s="257">
        <v>5374</v>
      </c>
      <c r="I11" s="242">
        <v>10276</v>
      </c>
      <c r="J11" s="242">
        <v>45924</v>
      </c>
      <c r="L11" s="118"/>
    </row>
    <row r="12" spans="1:12" s="3" customFormat="1" ht="16.5" customHeight="1">
      <c r="A12" s="548"/>
      <c r="B12" s="548"/>
      <c r="C12" s="548" t="s">
        <v>238</v>
      </c>
      <c r="D12" s="548"/>
      <c r="E12" s="244">
        <v>3306</v>
      </c>
      <c r="F12" s="257">
        <v>71471</v>
      </c>
      <c r="G12" s="244">
        <v>737</v>
      </c>
      <c r="H12" s="257">
        <v>5882</v>
      </c>
      <c r="I12" s="242">
        <v>2569</v>
      </c>
      <c r="J12" s="242">
        <v>65589</v>
      </c>
      <c r="L12" s="118"/>
    </row>
    <row r="13" spans="1:12" s="3" customFormat="1" ht="16.5" customHeight="1">
      <c r="A13" s="548"/>
      <c r="B13" s="548"/>
      <c r="C13" s="548" t="s">
        <v>239</v>
      </c>
      <c r="D13" s="548"/>
      <c r="E13" s="244">
        <v>0</v>
      </c>
      <c r="F13" s="257">
        <v>10</v>
      </c>
      <c r="G13" s="244">
        <v>0</v>
      </c>
      <c r="H13" s="257">
        <v>9</v>
      </c>
      <c r="I13" s="242">
        <v>0</v>
      </c>
      <c r="J13" s="242">
        <v>1</v>
      </c>
      <c r="L13" s="118"/>
    </row>
    <row r="14" spans="1:12" s="3" customFormat="1" ht="16.5" customHeight="1">
      <c r="A14" s="548"/>
      <c r="B14" s="548"/>
      <c r="C14" s="548" t="s">
        <v>217</v>
      </c>
      <c r="D14" s="548"/>
      <c r="E14" s="244">
        <v>174</v>
      </c>
      <c r="F14" s="257">
        <v>55125</v>
      </c>
      <c r="G14" s="244">
        <v>8</v>
      </c>
      <c r="H14" s="257">
        <v>1228</v>
      </c>
      <c r="I14" s="242">
        <v>166</v>
      </c>
      <c r="J14" s="242">
        <v>53897</v>
      </c>
      <c r="L14" s="118"/>
    </row>
    <row r="15" spans="1:12" s="3" customFormat="1" ht="16.5" customHeight="1">
      <c r="A15" s="548"/>
      <c r="B15" s="548"/>
      <c r="C15" s="548" t="s">
        <v>240</v>
      </c>
      <c r="D15" s="548"/>
      <c r="E15" s="244">
        <v>2</v>
      </c>
      <c r="F15" s="257">
        <v>2048</v>
      </c>
      <c r="G15" s="244">
        <v>1</v>
      </c>
      <c r="H15" s="257">
        <v>40</v>
      </c>
      <c r="I15" s="242">
        <v>1</v>
      </c>
      <c r="J15" s="242">
        <v>2008</v>
      </c>
      <c r="L15" s="118"/>
    </row>
    <row r="16" spans="1:12" s="3" customFormat="1" ht="16.5" customHeight="1">
      <c r="A16" s="548" t="s">
        <v>418</v>
      </c>
      <c r="B16" s="548"/>
      <c r="C16" s="548"/>
      <c r="D16" s="548"/>
      <c r="E16" s="244">
        <v>1</v>
      </c>
      <c r="F16" s="257">
        <v>1585</v>
      </c>
      <c r="G16" s="244">
        <v>1</v>
      </c>
      <c r="H16" s="257">
        <v>123</v>
      </c>
      <c r="I16" s="242">
        <v>0</v>
      </c>
      <c r="J16" s="242">
        <v>1462</v>
      </c>
      <c r="L16" s="118"/>
    </row>
    <row r="17" spans="1:12" s="3" customFormat="1" ht="16.5" customHeight="1">
      <c r="A17" s="548" t="s">
        <v>78</v>
      </c>
      <c r="B17" s="548"/>
      <c r="C17" s="548"/>
      <c r="D17" s="548"/>
      <c r="E17" s="244">
        <v>110</v>
      </c>
      <c r="F17" s="257">
        <v>6906</v>
      </c>
      <c r="G17" s="244">
        <v>38</v>
      </c>
      <c r="H17" s="257">
        <v>1392</v>
      </c>
      <c r="I17" s="242">
        <v>72</v>
      </c>
      <c r="J17" s="242">
        <v>5514</v>
      </c>
      <c r="L17" s="118"/>
    </row>
    <row r="18" spans="1:12" s="3" customFormat="1" ht="16.5" customHeight="1">
      <c r="A18" s="548" t="s">
        <v>174</v>
      </c>
      <c r="B18" s="548"/>
      <c r="C18" s="548"/>
      <c r="D18" s="548"/>
      <c r="E18" s="244">
        <v>4</v>
      </c>
      <c r="F18" s="257">
        <v>428</v>
      </c>
      <c r="G18" s="244">
        <v>3</v>
      </c>
      <c r="H18" s="257">
        <v>23</v>
      </c>
      <c r="I18" s="242">
        <v>1</v>
      </c>
      <c r="J18" s="242">
        <v>405</v>
      </c>
      <c r="L18" s="118"/>
    </row>
    <row r="19" spans="1:12" s="3" customFormat="1" ht="16.5" customHeight="1">
      <c r="A19" s="548" t="s">
        <v>427</v>
      </c>
      <c r="B19" s="548"/>
      <c r="C19" s="548"/>
      <c r="D19" s="548"/>
      <c r="E19" s="244">
        <v>0</v>
      </c>
      <c r="F19" s="257">
        <v>1</v>
      </c>
      <c r="G19" s="244">
        <v>0</v>
      </c>
      <c r="H19" s="257">
        <v>0</v>
      </c>
      <c r="I19" s="242">
        <v>0</v>
      </c>
      <c r="J19" s="242">
        <v>1</v>
      </c>
      <c r="L19" s="118"/>
    </row>
    <row r="20" spans="1:12" s="3" customFormat="1" ht="16.5" customHeight="1">
      <c r="A20" s="548" t="s">
        <v>419</v>
      </c>
      <c r="B20" s="548"/>
      <c r="C20" s="548"/>
      <c r="D20" s="548"/>
      <c r="E20" s="244">
        <v>25</v>
      </c>
      <c r="F20" s="257">
        <v>2631</v>
      </c>
      <c r="G20" s="244">
        <v>2</v>
      </c>
      <c r="H20" s="257">
        <v>16</v>
      </c>
      <c r="I20" s="242">
        <v>23</v>
      </c>
      <c r="J20" s="242">
        <v>2615</v>
      </c>
      <c r="L20" s="118"/>
    </row>
    <row r="21" spans="1:12" s="3" customFormat="1" ht="16.5" customHeight="1">
      <c r="A21" s="551" t="s">
        <v>428</v>
      </c>
      <c r="B21" s="551"/>
      <c r="C21" s="551"/>
      <c r="D21" s="551"/>
      <c r="E21" s="48">
        <v>708</v>
      </c>
      <c r="F21" s="220">
        <v>13630</v>
      </c>
      <c r="G21" s="48">
        <v>170</v>
      </c>
      <c r="H21" s="220">
        <v>988</v>
      </c>
      <c r="I21" s="243">
        <v>538</v>
      </c>
      <c r="J21" s="243">
        <v>12642</v>
      </c>
      <c r="L21" s="118"/>
    </row>
    <row r="22" spans="1:12" s="3" customFormat="1" ht="16.5" customHeight="1">
      <c r="A22" s="548" t="s">
        <v>241</v>
      </c>
      <c r="B22" s="548"/>
      <c r="C22" s="548"/>
      <c r="D22" s="548"/>
      <c r="E22" s="244">
        <v>24</v>
      </c>
      <c r="F22" s="257">
        <v>1669</v>
      </c>
      <c r="G22" s="244">
        <v>10</v>
      </c>
      <c r="H22" s="257">
        <v>92</v>
      </c>
      <c r="I22" s="242">
        <v>14</v>
      </c>
      <c r="J22" s="242">
        <v>1577</v>
      </c>
      <c r="L22" s="118"/>
    </row>
    <row r="23" spans="1:12" s="3" customFormat="1" ht="16.5" customHeight="1">
      <c r="A23" s="548" t="s">
        <v>242</v>
      </c>
      <c r="B23" s="548"/>
      <c r="C23" s="548"/>
      <c r="D23" s="548"/>
      <c r="E23" s="244">
        <v>117</v>
      </c>
      <c r="F23" s="257">
        <v>972</v>
      </c>
      <c r="G23" s="244">
        <v>33</v>
      </c>
      <c r="H23" s="257">
        <v>272</v>
      </c>
      <c r="I23" s="242">
        <v>84</v>
      </c>
      <c r="J23" s="242">
        <v>700</v>
      </c>
      <c r="L23" s="118"/>
    </row>
    <row r="24" spans="1:12" s="3" customFormat="1" ht="16.5" customHeight="1">
      <c r="A24" s="556" t="s">
        <v>243</v>
      </c>
      <c r="B24" s="556"/>
      <c r="C24" s="556"/>
      <c r="D24" s="556"/>
      <c r="E24" s="303">
        <v>567</v>
      </c>
      <c r="F24" s="406">
        <v>10989</v>
      </c>
      <c r="G24" s="303">
        <v>127</v>
      </c>
      <c r="H24" s="406">
        <v>624</v>
      </c>
      <c r="I24" s="50">
        <v>440</v>
      </c>
      <c r="J24" s="50">
        <v>10365</v>
      </c>
      <c r="L24" s="118"/>
    </row>
    <row r="25" spans="1:12" s="3" customFormat="1" ht="16.5" customHeight="1">
      <c r="A25" s="86" t="s">
        <v>814</v>
      </c>
      <c r="D25" s="104"/>
      <c r="E25" s="59"/>
      <c r="F25" s="59"/>
      <c r="G25" s="59"/>
      <c r="H25" s="59"/>
      <c r="I25" s="59"/>
      <c r="J25" s="59"/>
      <c r="K25" s="58"/>
      <c r="L25" s="118"/>
    </row>
    <row r="26" spans="1:12" s="3" customFormat="1" ht="16.5" customHeight="1">
      <c r="A26" s="86"/>
      <c r="D26" s="104"/>
      <c r="E26" s="59"/>
      <c r="F26" s="59"/>
      <c r="G26" s="59"/>
      <c r="H26" s="59"/>
      <c r="I26" s="59"/>
      <c r="J26" s="59"/>
      <c r="K26" s="58"/>
      <c r="L26" s="118"/>
    </row>
    <row r="27" spans="1:12" s="3" customFormat="1" ht="16.5" customHeight="1">
      <c r="A27" s="82" t="s">
        <v>359</v>
      </c>
      <c r="L27" s="118"/>
    </row>
    <row r="28" spans="1:12" s="3" customFormat="1" ht="16.5" customHeight="1">
      <c r="A28" s="552" t="s">
        <v>244</v>
      </c>
      <c r="B28" s="552"/>
      <c r="C28" s="552"/>
      <c r="D28" s="552"/>
      <c r="E28" s="553"/>
      <c r="F28" s="513" t="s">
        <v>89</v>
      </c>
      <c r="G28" s="549"/>
      <c r="H28" s="513" t="s">
        <v>60</v>
      </c>
      <c r="I28" s="549"/>
      <c r="J28" s="513" t="s">
        <v>7</v>
      </c>
      <c r="K28" s="550"/>
      <c r="L28" s="118"/>
    </row>
    <row r="29" spans="1:12" s="3" customFormat="1" ht="16.5" customHeight="1">
      <c r="A29" s="554" t="s">
        <v>245</v>
      </c>
      <c r="B29" s="554"/>
      <c r="C29" s="554"/>
      <c r="D29" s="554"/>
      <c r="E29" s="555"/>
      <c r="F29" s="475" t="s">
        <v>198</v>
      </c>
      <c r="G29" s="475" t="s">
        <v>199</v>
      </c>
      <c r="H29" s="475" t="s">
        <v>198</v>
      </c>
      <c r="I29" s="475" t="s">
        <v>199</v>
      </c>
      <c r="J29" s="475" t="s">
        <v>198</v>
      </c>
      <c r="K29" s="497" t="s">
        <v>199</v>
      </c>
      <c r="L29" s="118"/>
    </row>
    <row r="30" spans="1:12" s="3" customFormat="1" ht="16.5" customHeight="1">
      <c r="A30" s="557" t="s">
        <v>89</v>
      </c>
      <c r="B30" s="557"/>
      <c r="C30" s="557"/>
      <c r="D30" s="557"/>
      <c r="E30" s="557"/>
      <c r="F30" s="48">
        <v>25416</v>
      </c>
      <c r="G30" s="220">
        <v>44620</v>
      </c>
      <c r="H30" s="48">
        <v>5135</v>
      </c>
      <c r="I30" s="220">
        <v>4066</v>
      </c>
      <c r="J30" s="243">
        <v>20281</v>
      </c>
      <c r="K30" s="243">
        <v>40554</v>
      </c>
      <c r="L30" s="118"/>
    </row>
    <row r="31" spans="1:12" s="3" customFormat="1" ht="16.5" customHeight="1">
      <c r="A31" s="560" t="s">
        <v>246</v>
      </c>
      <c r="B31" s="562" t="s">
        <v>247</v>
      </c>
      <c r="C31" s="564" t="s">
        <v>248</v>
      </c>
      <c r="D31" s="567" t="s">
        <v>249</v>
      </c>
      <c r="E31" s="461" t="s">
        <v>414</v>
      </c>
      <c r="F31" s="244">
        <v>0</v>
      </c>
      <c r="G31" s="257">
        <v>0</v>
      </c>
      <c r="H31" s="244">
        <v>0</v>
      </c>
      <c r="I31" s="257">
        <v>0</v>
      </c>
      <c r="J31" s="242">
        <v>0</v>
      </c>
      <c r="K31" s="242">
        <v>0</v>
      </c>
      <c r="L31" s="118"/>
    </row>
    <row r="32" spans="1:12" s="3" customFormat="1" ht="16.5" customHeight="1">
      <c r="A32" s="561"/>
      <c r="B32" s="563"/>
      <c r="C32" s="565"/>
      <c r="D32" s="568"/>
      <c r="E32" s="461" t="s">
        <v>415</v>
      </c>
      <c r="F32" s="244">
        <v>7842</v>
      </c>
      <c r="G32" s="257">
        <v>4388</v>
      </c>
      <c r="H32" s="244">
        <v>1644</v>
      </c>
      <c r="I32" s="257">
        <v>599</v>
      </c>
      <c r="J32" s="242">
        <v>6198</v>
      </c>
      <c r="K32" s="242">
        <v>3789</v>
      </c>
      <c r="L32" s="118"/>
    </row>
    <row r="33" spans="1:12" s="3" customFormat="1" ht="16.5" customHeight="1">
      <c r="A33" s="561"/>
      <c r="B33" s="563"/>
      <c r="C33" s="565"/>
      <c r="D33" s="568"/>
      <c r="E33" s="461" t="s">
        <v>213</v>
      </c>
      <c r="F33" s="244">
        <v>3162</v>
      </c>
      <c r="G33" s="257">
        <v>5403</v>
      </c>
      <c r="H33" s="244">
        <v>734</v>
      </c>
      <c r="I33" s="257">
        <v>688</v>
      </c>
      <c r="J33" s="242">
        <v>2428</v>
      </c>
      <c r="K33" s="242">
        <v>4715</v>
      </c>
      <c r="L33" s="118"/>
    </row>
    <row r="34" spans="1:12" s="3" customFormat="1" ht="16.5" customHeight="1">
      <c r="A34" s="561"/>
      <c r="B34" s="563"/>
      <c r="C34" s="565"/>
      <c r="D34" s="568"/>
      <c r="E34" s="461" t="s">
        <v>416</v>
      </c>
      <c r="F34" s="244">
        <v>0</v>
      </c>
      <c r="G34" s="257">
        <v>1</v>
      </c>
      <c r="H34" s="244">
        <v>0</v>
      </c>
      <c r="I34" s="257">
        <v>0</v>
      </c>
      <c r="J34" s="242">
        <v>0</v>
      </c>
      <c r="K34" s="242">
        <v>1</v>
      </c>
      <c r="L34" s="118"/>
    </row>
    <row r="35" spans="1:12" s="3" customFormat="1" ht="16.5" customHeight="1">
      <c r="A35" s="561"/>
      <c r="B35" s="563"/>
      <c r="C35" s="565"/>
      <c r="D35" s="568"/>
      <c r="E35" s="461" t="s">
        <v>417</v>
      </c>
      <c r="F35" s="244">
        <v>293</v>
      </c>
      <c r="G35" s="257">
        <v>4967</v>
      </c>
      <c r="H35" s="244">
        <v>25</v>
      </c>
      <c r="I35" s="257">
        <v>151</v>
      </c>
      <c r="J35" s="242">
        <v>268</v>
      </c>
      <c r="K35" s="242">
        <v>4816</v>
      </c>
      <c r="L35" s="118"/>
    </row>
    <row r="36" spans="1:12" s="3" customFormat="1" ht="16.5" customHeight="1">
      <c r="A36" s="561"/>
      <c r="B36" s="563"/>
      <c r="C36" s="565"/>
      <c r="D36" s="568"/>
      <c r="E36" s="461" t="s">
        <v>240</v>
      </c>
      <c r="F36" s="244">
        <v>0</v>
      </c>
      <c r="G36" s="257">
        <v>372</v>
      </c>
      <c r="H36" s="244">
        <v>0</v>
      </c>
      <c r="I36" s="257">
        <v>6</v>
      </c>
      <c r="J36" s="242">
        <v>0</v>
      </c>
      <c r="K36" s="242">
        <v>366</v>
      </c>
      <c r="L36" s="118"/>
    </row>
    <row r="37" spans="1:12" s="3" customFormat="1" ht="16.5" customHeight="1">
      <c r="A37" s="561"/>
      <c r="B37" s="563"/>
      <c r="C37" s="565"/>
      <c r="D37" s="546" t="s">
        <v>418</v>
      </c>
      <c r="E37" s="547"/>
      <c r="F37" s="244">
        <v>1</v>
      </c>
      <c r="G37" s="257">
        <v>258</v>
      </c>
      <c r="H37" s="244">
        <v>1</v>
      </c>
      <c r="I37" s="257">
        <v>27</v>
      </c>
      <c r="J37" s="242">
        <v>0</v>
      </c>
      <c r="K37" s="242">
        <v>231</v>
      </c>
      <c r="L37" s="118"/>
    </row>
    <row r="38" spans="1:12" s="3" customFormat="1" ht="16.5" customHeight="1">
      <c r="A38" s="561"/>
      <c r="B38" s="563"/>
      <c r="C38" s="565"/>
      <c r="D38" s="546" t="s">
        <v>78</v>
      </c>
      <c r="E38" s="547"/>
      <c r="F38" s="244">
        <v>103</v>
      </c>
      <c r="G38" s="257">
        <v>1080</v>
      </c>
      <c r="H38" s="244">
        <v>27</v>
      </c>
      <c r="I38" s="257">
        <v>151</v>
      </c>
      <c r="J38" s="242">
        <v>76</v>
      </c>
      <c r="K38" s="242">
        <v>929</v>
      </c>
      <c r="L38" s="118"/>
    </row>
    <row r="39" spans="1:12" s="3" customFormat="1" ht="16.5" customHeight="1">
      <c r="A39" s="561"/>
      <c r="B39" s="563"/>
      <c r="C39" s="565"/>
      <c r="D39" s="546" t="s">
        <v>174</v>
      </c>
      <c r="E39" s="547"/>
      <c r="F39" s="244">
        <v>2</v>
      </c>
      <c r="G39" s="257">
        <v>78</v>
      </c>
      <c r="H39" s="244">
        <v>0</v>
      </c>
      <c r="I39" s="257">
        <v>6</v>
      </c>
      <c r="J39" s="242">
        <v>2</v>
      </c>
      <c r="K39" s="242">
        <v>72</v>
      </c>
      <c r="L39" s="118"/>
    </row>
    <row r="40" spans="1:12" s="3" customFormat="1" ht="16.5" customHeight="1">
      <c r="A40" s="561"/>
      <c r="B40" s="563"/>
      <c r="C40" s="566"/>
      <c r="D40" s="546" t="s">
        <v>419</v>
      </c>
      <c r="E40" s="547"/>
      <c r="F40" s="244">
        <v>3</v>
      </c>
      <c r="G40" s="257">
        <v>41</v>
      </c>
      <c r="H40" s="244">
        <v>1</v>
      </c>
      <c r="I40" s="257">
        <v>3</v>
      </c>
      <c r="J40" s="242">
        <v>2</v>
      </c>
      <c r="K40" s="242">
        <v>38</v>
      </c>
      <c r="L40" s="118"/>
    </row>
    <row r="41" spans="1:12" s="3" customFormat="1" ht="16.5" customHeight="1">
      <c r="A41" s="561"/>
      <c r="B41" s="563"/>
      <c r="C41" s="547" t="s">
        <v>420</v>
      </c>
      <c r="D41" s="547"/>
      <c r="E41" s="547"/>
      <c r="F41" s="244">
        <v>5</v>
      </c>
      <c r="G41" s="257">
        <v>19</v>
      </c>
      <c r="H41" s="244">
        <v>2</v>
      </c>
      <c r="I41" s="257">
        <v>1</v>
      </c>
      <c r="J41" s="242">
        <v>3</v>
      </c>
      <c r="K41" s="242">
        <v>18</v>
      </c>
      <c r="L41" s="118"/>
    </row>
    <row r="42" spans="1:12" s="3" customFormat="1" ht="16.5" customHeight="1">
      <c r="A42" s="561"/>
      <c r="B42" s="563"/>
      <c r="C42" s="547" t="s">
        <v>421</v>
      </c>
      <c r="D42" s="547"/>
      <c r="E42" s="547"/>
      <c r="F42" s="244">
        <v>7</v>
      </c>
      <c r="G42" s="257">
        <v>9</v>
      </c>
      <c r="H42" s="244">
        <v>3</v>
      </c>
      <c r="I42" s="257">
        <v>8</v>
      </c>
      <c r="J42" s="242">
        <v>4</v>
      </c>
      <c r="K42" s="242">
        <v>1</v>
      </c>
      <c r="L42" s="118"/>
    </row>
    <row r="43" spans="1:12" s="3" customFormat="1" ht="16.5" customHeight="1">
      <c r="A43" s="561"/>
      <c r="B43" s="562" t="s">
        <v>250</v>
      </c>
      <c r="C43" s="547" t="s">
        <v>422</v>
      </c>
      <c r="D43" s="547"/>
      <c r="E43" s="547"/>
      <c r="F43" s="244">
        <v>12746</v>
      </c>
      <c r="G43" s="257">
        <v>23044</v>
      </c>
      <c r="H43" s="244">
        <v>2552</v>
      </c>
      <c r="I43" s="257">
        <v>2134</v>
      </c>
      <c r="J43" s="242">
        <v>10194</v>
      </c>
      <c r="K43" s="242">
        <v>20910</v>
      </c>
      <c r="L43" s="118"/>
    </row>
    <row r="44" spans="1:12" s="3" customFormat="1" ht="16.5" customHeight="1">
      <c r="A44" s="561"/>
      <c r="B44" s="563"/>
      <c r="C44" s="547" t="s">
        <v>423</v>
      </c>
      <c r="D44" s="547"/>
      <c r="E44" s="547"/>
      <c r="F44" s="244">
        <v>0</v>
      </c>
      <c r="G44" s="257">
        <v>61</v>
      </c>
      <c r="H44" s="244">
        <v>0</v>
      </c>
      <c r="I44" s="257">
        <v>2</v>
      </c>
      <c r="J44" s="242">
        <v>0</v>
      </c>
      <c r="K44" s="242">
        <v>59</v>
      </c>
      <c r="L44" s="118"/>
    </row>
    <row r="45" spans="1:12" s="3" customFormat="1" ht="16.5" customHeight="1">
      <c r="A45" s="561"/>
      <c r="B45" s="558" t="s">
        <v>215</v>
      </c>
      <c r="C45" s="559"/>
      <c r="D45" s="559"/>
      <c r="E45" s="559"/>
      <c r="F45" s="48">
        <v>24164</v>
      </c>
      <c r="G45" s="220">
        <v>39721</v>
      </c>
      <c r="H45" s="48">
        <v>4989</v>
      </c>
      <c r="I45" s="220">
        <v>3776</v>
      </c>
      <c r="J45" s="243">
        <v>19175</v>
      </c>
      <c r="K45" s="243">
        <v>35945</v>
      </c>
      <c r="L45" s="118"/>
    </row>
    <row r="46" spans="1:12" s="3" customFormat="1" ht="16.5" customHeight="1">
      <c r="A46" s="547" t="s">
        <v>424</v>
      </c>
      <c r="B46" s="547"/>
      <c r="C46" s="547"/>
      <c r="D46" s="547"/>
      <c r="E46" s="547"/>
      <c r="F46" s="244">
        <v>15</v>
      </c>
      <c r="G46" s="257">
        <v>12</v>
      </c>
      <c r="H46" s="244">
        <v>11</v>
      </c>
      <c r="I46" s="257">
        <v>9</v>
      </c>
      <c r="J46" s="242">
        <v>4</v>
      </c>
      <c r="K46" s="242">
        <v>3</v>
      </c>
      <c r="L46" s="118"/>
    </row>
    <row r="47" spans="1:12" s="3" customFormat="1" ht="16.5" customHeight="1">
      <c r="A47" s="547" t="s">
        <v>425</v>
      </c>
      <c r="B47" s="547"/>
      <c r="C47" s="547"/>
      <c r="D47" s="547"/>
      <c r="E47" s="547"/>
      <c r="F47" s="244">
        <v>1100</v>
      </c>
      <c r="G47" s="257">
        <v>2041</v>
      </c>
      <c r="H47" s="244">
        <v>117</v>
      </c>
      <c r="I47" s="257">
        <v>147</v>
      </c>
      <c r="J47" s="242">
        <v>983</v>
      </c>
      <c r="K47" s="242">
        <v>1894</v>
      </c>
      <c r="L47" s="118"/>
    </row>
    <row r="48" spans="1:12" s="3" customFormat="1" ht="16.5" customHeight="1">
      <c r="A48" s="547" t="s">
        <v>79</v>
      </c>
      <c r="B48" s="547"/>
      <c r="C48" s="547"/>
      <c r="D48" s="547"/>
      <c r="E48" s="547"/>
      <c r="F48" s="303">
        <v>137</v>
      </c>
      <c r="G48" s="406">
        <v>2846</v>
      </c>
      <c r="H48" s="303">
        <v>18</v>
      </c>
      <c r="I48" s="406">
        <v>134</v>
      </c>
      <c r="J48" s="50">
        <v>119</v>
      </c>
      <c r="K48" s="50">
        <v>2712</v>
      </c>
      <c r="L48" s="118"/>
    </row>
    <row r="49" spans="4:12" ht="16.5" customHeight="1">
      <c r="D49" s="247"/>
      <c r="E49" s="247"/>
      <c r="F49" s="247"/>
      <c r="G49" s="247"/>
      <c r="H49" s="247"/>
      <c r="I49" s="247"/>
      <c r="J49" s="247"/>
      <c r="K49" s="247"/>
      <c r="L49" s="247"/>
    </row>
  </sheetData>
  <sheetProtection algorithmName="SHA-512" hashValue="gsFjmwjbU22AIzuAiGnhE1mOzNf+KmshuYiQFQLf4tscQPziFpsGgvvFPbX8ulJSYf+DEuACJEjjehZHb1Azuw==" saltValue="FVPFAsZh2bR6z36kFYvRUA==" spinCount="100000" sheet="1" objects="1" scenarios="1"/>
  <mergeCells count="47">
    <mergeCell ref="A28:E28"/>
    <mergeCell ref="A30:E30"/>
    <mergeCell ref="A48:E48"/>
    <mergeCell ref="A46:E46"/>
    <mergeCell ref="A47:E47"/>
    <mergeCell ref="B45:E45"/>
    <mergeCell ref="A31:A45"/>
    <mergeCell ref="B43:B44"/>
    <mergeCell ref="C43:E43"/>
    <mergeCell ref="C44:E44"/>
    <mergeCell ref="C31:C40"/>
    <mergeCell ref="C41:E41"/>
    <mergeCell ref="C42:E42"/>
    <mergeCell ref="B31:B42"/>
    <mergeCell ref="D31:D36"/>
    <mergeCell ref="I6:J6"/>
    <mergeCell ref="F28:G28"/>
    <mergeCell ref="H28:I28"/>
    <mergeCell ref="C11:D11"/>
    <mergeCell ref="A2:K2"/>
    <mergeCell ref="J28:K28"/>
    <mergeCell ref="E6:F6"/>
    <mergeCell ref="A9:D9"/>
    <mergeCell ref="A8:D8"/>
    <mergeCell ref="G6:H6"/>
    <mergeCell ref="A6:D6"/>
    <mergeCell ref="A7:D7"/>
    <mergeCell ref="A24:D24"/>
    <mergeCell ref="A23:D23"/>
    <mergeCell ref="A22:D22"/>
    <mergeCell ref="A21:D21"/>
    <mergeCell ref="D37:E37"/>
    <mergeCell ref="D38:E38"/>
    <mergeCell ref="D39:E39"/>
    <mergeCell ref="D40:E40"/>
    <mergeCell ref="A10:B15"/>
    <mergeCell ref="A16:D16"/>
    <mergeCell ref="A20:D20"/>
    <mergeCell ref="A19:D19"/>
    <mergeCell ref="A18:D18"/>
    <mergeCell ref="A17:D17"/>
    <mergeCell ref="C15:D15"/>
    <mergeCell ref="C10:D10"/>
    <mergeCell ref="C12:D12"/>
    <mergeCell ref="C13:D13"/>
    <mergeCell ref="C14:D14"/>
    <mergeCell ref="A29:E29"/>
  </mergeCells>
  <phoneticPr fontId="6" type="noConversion"/>
  <pageMargins left="0.39370078740157483" right="0.15748031496062992" top="0.51181102362204722" bottom="0.19685039370078741" header="0.51181102362204722" footer="0.51181102362204722"/>
  <pageSetup paperSize="9" scale="50" orientation="portrait" horizontalDpi="1200"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Q49"/>
  <sheetViews>
    <sheetView showGridLines="0" zoomScaleNormal="100" zoomScaleSheetLayoutView="100" workbookViewId="0"/>
  </sheetViews>
  <sheetFormatPr defaultColWidth="8" defaultRowHeight="16.5" customHeight="1"/>
  <cols>
    <col min="1" max="4" width="3.5546875" style="86" customWidth="1"/>
    <col min="5" max="5" width="12" style="86" bestFit="1" customWidth="1"/>
    <col min="6" max="17" width="10.44140625" style="86" customWidth="1"/>
    <col min="18" max="16384" width="8" style="2"/>
  </cols>
  <sheetData>
    <row r="1" spans="1:13" ht="16.5" customHeight="1">
      <c r="A1" s="110" t="s">
        <v>18</v>
      </c>
    </row>
    <row r="2" spans="1:13" ht="16.5" customHeight="1">
      <c r="A2" s="603" t="s">
        <v>36</v>
      </c>
      <c r="B2" s="603"/>
      <c r="C2" s="603"/>
      <c r="D2" s="603"/>
      <c r="E2" s="604"/>
      <c r="F2" s="513" t="s">
        <v>89</v>
      </c>
      <c r="G2" s="569"/>
      <c r="H2" s="513" t="s">
        <v>360</v>
      </c>
      <c r="I2" s="569"/>
      <c r="J2" s="513" t="s">
        <v>361</v>
      </c>
      <c r="K2" s="569"/>
      <c r="L2" s="513" t="s">
        <v>440</v>
      </c>
      <c r="M2" s="570"/>
    </row>
    <row r="3" spans="1:13" ht="16.5" customHeight="1">
      <c r="A3" s="605" t="s">
        <v>166</v>
      </c>
      <c r="B3" s="605"/>
      <c r="C3" s="605"/>
      <c r="D3" s="605"/>
      <c r="E3" s="606"/>
      <c r="F3" s="475" t="s">
        <v>198</v>
      </c>
      <c r="G3" s="475" t="s">
        <v>93</v>
      </c>
      <c r="H3" s="475" t="s">
        <v>198</v>
      </c>
      <c r="I3" s="475" t="s">
        <v>93</v>
      </c>
      <c r="J3" s="475" t="s">
        <v>198</v>
      </c>
      <c r="K3" s="475" t="s">
        <v>93</v>
      </c>
      <c r="L3" s="475" t="s">
        <v>198</v>
      </c>
      <c r="M3" s="497" t="s">
        <v>93</v>
      </c>
    </row>
    <row r="4" spans="1:13" ht="16.5" customHeight="1">
      <c r="A4" s="591" t="s">
        <v>89</v>
      </c>
      <c r="B4" s="589"/>
      <c r="C4" s="589"/>
      <c r="D4" s="589"/>
      <c r="E4" s="592"/>
      <c r="F4" s="48">
        <v>9825</v>
      </c>
      <c r="G4" s="220">
        <v>9607</v>
      </c>
      <c r="H4" s="243">
        <v>2322</v>
      </c>
      <c r="I4" s="243">
        <v>1057</v>
      </c>
      <c r="J4" s="48">
        <v>7466</v>
      </c>
      <c r="K4" s="220">
        <v>8435</v>
      </c>
      <c r="L4" s="243">
        <v>37</v>
      </c>
      <c r="M4" s="243">
        <v>115</v>
      </c>
    </row>
    <row r="5" spans="1:13" ht="16.5" customHeight="1">
      <c r="A5" s="585" t="s">
        <v>158</v>
      </c>
      <c r="B5" s="586" t="s">
        <v>87</v>
      </c>
      <c r="C5" s="586" t="s">
        <v>88</v>
      </c>
      <c r="D5" s="586" t="s">
        <v>157</v>
      </c>
      <c r="E5" s="469" t="s">
        <v>33</v>
      </c>
      <c r="F5" s="242">
        <v>0</v>
      </c>
      <c r="G5" s="257">
        <v>0</v>
      </c>
      <c r="H5" s="242">
        <v>0</v>
      </c>
      <c r="I5" s="242">
        <v>0</v>
      </c>
      <c r="J5" s="244">
        <v>0</v>
      </c>
      <c r="K5" s="257">
        <v>0</v>
      </c>
      <c r="L5" s="242">
        <v>0</v>
      </c>
      <c r="M5" s="242">
        <v>0</v>
      </c>
    </row>
    <row r="6" spans="1:13" ht="16.5" customHeight="1">
      <c r="A6" s="579"/>
      <c r="B6" s="580"/>
      <c r="C6" s="580"/>
      <c r="D6" s="587"/>
      <c r="E6" s="466" t="s">
        <v>34</v>
      </c>
      <c r="F6" s="242">
        <v>0</v>
      </c>
      <c r="G6" s="257">
        <v>1</v>
      </c>
      <c r="H6" s="242">
        <v>0</v>
      </c>
      <c r="I6" s="242">
        <v>1</v>
      </c>
      <c r="J6" s="244">
        <v>0</v>
      </c>
      <c r="K6" s="257">
        <v>0</v>
      </c>
      <c r="L6" s="242">
        <v>0</v>
      </c>
      <c r="M6" s="242">
        <v>0</v>
      </c>
    </row>
    <row r="7" spans="1:13" ht="16.5" customHeight="1">
      <c r="A7" s="579"/>
      <c r="B7" s="580"/>
      <c r="C7" s="580"/>
      <c r="D7" s="587"/>
      <c r="E7" s="465" t="s">
        <v>213</v>
      </c>
      <c r="F7" s="242">
        <v>0</v>
      </c>
      <c r="G7" s="257">
        <v>0</v>
      </c>
      <c r="H7" s="242">
        <v>0</v>
      </c>
      <c r="I7" s="242">
        <v>0</v>
      </c>
      <c r="J7" s="244">
        <v>0</v>
      </c>
      <c r="K7" s="257">
        <v>0</v>
      </c>
      <c r="L7" s="242">
        <v>0</v>
      </c>
      <c r="M7" s="242">
        <v>0</v>
      </c>
    </row>
    <row r="8" spans="1:13" ht="16.5" customHeight="1">
      <c r="A8" s="579"/>
      <c r="B8" s="580"/>
      <c r="C8" s="580"/>
      <c r="D8" s="587"/>
      <c r="E8" s="465" t="s">
        <v>416</v>
      </c>
      <c r="F8" s="242">
        <v>0</v>
      </c>
      <c r="G8" s="257">
        <v>0</v>
      </c>
      <c r="H8" s="242">
        <v>0</v>
      </c>
      <c r="I8" s="242">
        <v>0</v>
      </c>
      <c r="J8" s="244">
        <v>0</v>
      </c>
      <c r="K8" s="257">
        <v>0</v>
      </c>
      <c r="L8" s="242">
        <v>0</v>
      </c>
      <c r="M8" s="242">
        <v>0</v>
      </c>
    </row>
    <row r="9" spans="1:13" ht="16.5" customHeight="1">
      <c r="A9" s="579"/>
      <c r="B9" s="580"/>
      <c r="C9" s="580"/>
      <c r="D9" s="587"/>
      <c r="E9" s="465" t="s">
        <v>417</v>
      </c>
      <c r="F9" s="242">
        <v>0</v>
      </c>
      <c r="G9" s="257">
        <v>15</v>
      </c>
      <c r="H9" s="242">
        <v>0</v>
      </c>
      <c r="I9" s="242">
        <v>14</v>
      </c>
      <c r="J9" s="244">
        <v>0</v>
      </c>
      <c r="K9" s="257">
        <v>1</v>
      </c>
      <c r="L9" s="242">
        <v>0</v>
      </c>
      <c r="M9" s="242">
        <v>0</v>
      </c>
    </row>
    <row r="10" spans="1:13" ht="16.5" customHeight="1">
      <c r="A10" s="579"/>
      <c r="B10" s="580"/>
      <c r="C10" s="580"/>
      <c r="D10" s="588"/>
      <c r="E10" s="302" t="s">
        <v>663</v>
      </c>
      <c r="F10" s="242">
        <v>0</v>
      </c>
      <c r="G10" s="257">
        <v>0</v>
      </c>
      <c r="H10" s="242">
        <v>0</v>
      </c>
      <c r="I10" s="242">
        <v>0</v>
      </c>
      <c r="J10" s="244">
        <v>0</v>
      </c>
      <c r="K10" s="257">
        <v>0</v>
      </c>
      <c r="L10" s="242">
        <v>0</v>
      </c>
      <c r="M10" s="242">
        <v>0</v>
      </c>
    </row>
    <row r="11" spans="1:13" ht="16.5" customHeight="1">
      <c r="A11" s="579"/>
      <c r="B11" s="580"/>
      <c r="C11" s="580"/>
      <c r="D11" s="568" t="s">
        <v>418</v>
      </c>
      <c r="E11" s="575"/>
      <c r="F11" s="244">
        <v>1</v>
      </c>
      <c r="G11" s="257">
        <v>1</v>
      </c>
      <c r="H11" s="242">
        <v>0</v>
      </c>
      <c r="I11" s="242">
        <v>0</v>
      </c>
      <c r="J11" s="244">
        <v>1</v>
      </c>
      <c r="K11" s="257">
        <v>1</v>
      </c>
      <c r="L11" s="242">
        <v>0</v>
      </c>
      <c r="M11" s="242">
        <v>0</v>
      </c>
    </row>
    <row r="12" spans="1:13" ht="16.5" customHeight="1">
      <c r="A12" s="579"/>
      <c r="B12" s="580"/>
      <c r="C12" s="580"/>
      <c r="D12" s="568" t="s">
        <v>78</v>
      </c>
      <c r="E12" s="575"/>
      <c r="F12" s="244">
        <v>0</v>
      </c>
      <c r="G12" s="257">
        <v>0</v>
      </c>
      <c r="H12" s="242">
        <v>0</v>
      </c>
      <c r="I12" s="242">
        <v>0</v>
      </c>
      <c r="J12" s="244">
        <v>0</v>
      </c>
      <c r="K12" s="257">
        <v>0</v>
      </c>
      <c r="L12" s="242">
        <v>0</v>
      </c>
      <c r="M12" s="242">
        <v>0</v>
      </c>
    </row>
    <row r="13" spans="1:13" ht="16.5" customHeight="1">
      <c r="A13" s="579"/>
      <c r="B13" s="580"/>
      <c r="C13" s="580"/>
      <c r="D13" s="568" t="s">
        <v>174</v>
      </c>
      <c r="E13" s="575"/>
      <c r="F13" s="244">
        <v>0</v>
      </c>
      <c r="G13" s="257">
        <v>0</v>
      </c>
      <c r="H13" s="242">
        <v>0</v>
      </c>
      <c r="I13" s="242">
        <v>0</v>
      </c>
      <c r="J13" s="244">
        <v>0</v>
      </c>
      <c r="K13" s="257">
        <v>0</v>
      </c>
      <c r="L13" s="242">
        <v>0</v>
      </c>
      <c r="M13" s="242">
        <v>0</v>
      </c>
    </row>
    <row r="14" spans="1:13" ht="16.5" customHeight="1">
      <c r="A14" s="579"/>
      <c r="B14" s="580"/>
      <c r="C14" s="583"/>
      <c r="D14" s="599" t="s">
        <v>419</v>
      </c>
      <c r="E14" s="600"/>
      <c r="F14" s="244">
        <v>0</v>
      </c>
      <c r="G14" s="257">
        <v>3</v>
      </c>
      <c r="H14" s="242">
        <v>0</v>
      </c>
      <c r="I14" s="242">
        <v>3</v>
      </c>
      <c r="J14" s="244">
        <v>0</v>
      </c>
      <c r="K14" s="257">
        <v>0</v>
      </c>
      <c r="L14" s="242">
        <v>0</v>
      </c>
      <c r="M14" s="242">
        <v>0</v>
      </c>
    </row>
    <row r="15" spans="1:13" ht="16.5" customHeight="1">
      <c r="A15" s="579"/>
      <c r="B15" s="580"/>
      <c r="C15" s="601" t="s">
        <v>420</v>
      </c>
      <c r="D15" s="601"/>
      <c r="E15" s="602"/>
      <c r="F15" s="244">
        <v>230</v>
      </c>
      <c r="G15" s="257">
        <v>293</v>
      </c>
      <c r="H15" s="242">
        <v>31</v>
      </c>
      <c r="I15" s="242">
        <v>16</v>
      </c>
      <c r="J15" s="244">
        <v>199</v>
      </c>
      <c r="K15" s="257">
        <v>270</v>
      </c>
      <c r="L15" s="242">
        <v>0</v>
      </c>
      <c r="M15" s="242">
        <v>7</v>
      </c>
    </row>
    <row r="16" spans="1:13" ht="16.5" customHeight="1">
      <c r="A16" s="579"/>
      <c r="B16" s="583"/>
      <c r="C16" s="583" t="s">
        <v>421</v>
      </c>
      <c r="D16" s="583"/>
      <c r="E16" s="584"/>
      <c r="F16" s="244">
        <v>0</v>
      </c>
      <c r="G16" s="257">
        <v>4</v>
      </c>
      <c r="H16" s="242">
        <v>0</v>
      </c>
      <c r="I16" s="242">
        <v>0</v>
      </c>
      <c r="J16" s="244">
        <v>0</v>
      </c>
      <c r="K16" s="257">
        <v>0</v>
      </c>
      <c r="L16" s="242">
        <v>0</v>
      </c>
      <c r="M16" s="242">
        <v>4</v>
      </c>
    </row>
    <row r="17" spans="1:17" ht="16.5" customHeight="1">
      <c r="A17" s="579"/>
      <c r="B17" s="583" t="s">
        <v>429</v>
      </c>
      <c r="C17" s="583"/>
      <c r="D17" s="583"/>
      <c r="E17" s="584"/>
      <c r="F17" s="244">
        <v>1578</v>
      </c>
      <c r="G17" s="257">
        <v>3169</v>
      </c>
      <c r="H17" s="242">
        <v>943</v>
      </c>
      <c r="I17" s="242">
        <v>624</v>
      </c>
      <c r="J17" s="244">
        <v>616</v>
      </c>
      <c r="K17" s="257">
        <v>2483</v>
      </c>
      <c r="L17" s="242">
        <v>19</v>
      </c>
      <c r="M17" s="242">
        <v>62</v>
      </c>
    </row>
    <row r="18" spans="1:17" ht="16.5" customHeight="1">
      <c r="A18" s="582"/>
      <c r="B18" s="589" t="s">
        <v>31</v>
      </c>
      <c r="C18" s="589"/>
      <c r="D18" s="589"/>
      <c r="E18" s="590"/>
      <c r="F18" s="48">
        <v>1809</v>
      </c>
      <c r="G18" s="220">
        <v>3486</v>
      </c>
      <c r="H18" s="243">
        <v>974</v>
      </c>
      <c r="I18" s="243">
        <v>658</v>
      </c>
      <c r="J18" s="48">
        <v>816</v>
      </c>
      <c r="K18" s="220">
        <v>2755</v>
      </c>
      <c r="L18" s="243">
        <v>19</v>
      </c>
      <c r="M18" s="243">
        <v>73</v>
      </c>
    </row>
    <row r="19" spans="1:17" ht="16.5" customHeight="1">
      <c r="A19" s="579" t="s">
        <v>430</v>
      </c>
      <c r="B19" s="580"/>
      <c r="C19" s="580"/>
      <c r="D19" s="580"/>
      <c r="E19" s="581"/>
      <c r="F19" s="244">
        <v>2329</v>
      </c>
      <c r="G19" s="257">
        <v>206</v>
      </c>
      <c r="H19" s="242">
        <v>349</v>
      </c>
      <c r="I19" s="242">
        <v>16</v>
      </c>
      <c r="J19" s="244">
        <v>1977</v>
      </c>
      <c r="K19" s="257">
        <v>186</v>
      </c>
      <c r="L19" s="242">
        <v>3</v>
      </c>
      <c r="M19" s="242">
        <v>4</v>
      </c>
    </row>
    <row r="20" spans="1:17" ht="16.5" customHeight="1">
      <c r="A20" s="582" t="s">
        <v>79</v>
      </c>
      <c r="B20" s="583"/>
      <c r="C20" s="583"/>
      <c r="D20" s="583"/>
      <c r="E20" s="584"/>
      <c r="F20" s="303">
        <v>5687</v>
      </c>
      <c r="G20" s="406">
        <v>5915</v>
      </c>
      <c r="H20" s="50">
        <v>999</v>
      </c>
      <c r="I20" s="50">
        <v>383</v>
      </c>
      <c r="J20" s="303">
        <v>4673</v>
      </c>
      <c r="K20" s="406">
        <v>5494</v>
      </c>
      <c r="L20" s="50">
        <v>15</v>
      </c>
      <c r="M20" s="50">
        <v>38</v>
      </c>
    </row>
    <row r="22" spans="1:17" s="6" customFormat="1" ht="16.5" customHeight="1">
      <c r="A22" s="82" t="s">
        <v>686</v>
      </c>
      <c r="B22" s="122"/>
      <c r="C22" s="122"/>
      <c r="D22" s="122"/>
      <c r="E22" s="122"/>
      <c r="F22" s="122"/>
      <c r="G22" s="122"/>
      <c r="H22" s="122"/>
      <c r="I22" s="122"/>
      <c r="J22" s="122"/>
      <c r="K22" s="122"/>
      <c r="L22" s="122"/>
      <c r="M22" s="122"/>
      <c r="N22" s="122"/>
      <c r="O22" s="122"/>
      <c r="P22" s="122"/>
      <c r="Q22" s="122"/>
    </row>
    <row r="23" spans="1:17" s="6" customFormat="1" ht="16.5" customHeight="1">
      <c r="A23" s="552" t="s">
        <v>36</v>
      </c>
      <c r="B23" s="552"/>
      <c r="C23" s="553"/>
      <c r="D23" s="538" t="s">
        <v>37</v>
      </c>
      <c r="E23" s="576"/>
      <c r="F23" s="513" t="s">
        <v>362</v>
      </c>
      <c r="G23" s="513"/>
      <c r="H23" s="514"/>
      <c r="I23" s="514" t="s">
        <v>363</v>
      </c>
      <c r="J23" s="573"/>
      <c r="K23" s="573"/>
      <c r="L23" s="573"/>
      <c r="M23" s="573"/>
      <c r="N23" s="573"/>
      <c r="O23" s="573"/>
      <c r="P23" s="574"/>
      <c r="Q23" s="571" t="s">
        <v>162</v>
      </c>
    </row>
    <row r="24" spans="1:17" s="6" customFormat="1" ht="45">
      <c r="A24" s="554" t="s">
        <v>38</v>
      </c>
      <c r="B24" s="554"/>
      <c r="C24" s="555"/>
      <c r="D24" s="577"/>
      <c r="E24" s="578"/>
      <c r="F24" s="123" t="s">
        <v>159</v>
      </c>
      <c r="G24" s="123" t="s">
        <v>160</v>
      </c>
      <c r="H24" s="124" t="s">
        <v>161</v>
      </c>
      <c r="I24" s="124" t="s">
        <v>586</v>
      </c>
      <c r="J24" s="124" t="s">
        <v>587</v>
      </c>
      <c r="K24" s="124" t="s">
        <v>588</v>
      </c>
      <c r="L24" s="124" t="s">
        <v>589</v>
      </c>
      <c r="M24" s="124" t="s">
        <v>590</v>
      </c>
      <c r="N24" s="124" t="s">
        <v>591</v>
      </c>
      <c r="O24" s="124" t="s">
        <v>592</v>
      </c>
      <c r="P24" s="124" t="s">
        <v>593</v>
      </c>
      <c r="Q24" s="572"/>
    </row>
    <row r="25" spans="1:17" s="6" customFormat="1" ht="16.5" customHeight="1">
      <c r="A25" s="551" t="s">
        <v>21</v>
      </c>
      <c r="B25" s="551"/>
      <c r="C25" s="551"/>
      <c r="D25" s="594">
        <v>76827</v>
      </c>
      <c r="E25" s="595"/>
      <c r="F25" s="243">
        <v>4080</v>
      </c>
      <c r="G25" s="243">
        <v>10775</v>
      </c>
      <c r="H25" s="243">
        <v>13190</v>
      </c>
      <c r="I25" s="243">
        <v>4048</v>
      </c>
      <c r="J25" s="243">
        <v>3132</v>
      </c>
      <c r="K25" s="243">
        <v>244</v>
      </c>
      <c r="L25" s="243">
        <v>10509</v>
      </c>
      <c r="M25" s="243">
        <v>3114</v>
      </c>
      <c r="N25" s="243">
        <v>4</v>
      </c>
      <c r="O25" s="243">
        <v>29</v>
      </c>
      <c r="P25" s="243">
        <v>0</v>
      </c>
      <c r="Q25" s="243">
        <v>49125</v>
      </c>
    </row>
    <row r="26" spans="1:17" s="6" customFormat="1" ht="16.5" customHeight="1">
      <c r="A26" s="593" t="s">
        <v>39</v>
      </c>
      <c r="B26" s="593"/>
      <c r="C26" s="551"/>
      <c r="D26" s="594">
        <v>8937</v>
      </c>
      <c r="E26" s="595"/>
      <c r="F26" s="243">
        <v>380</v>
      </c>
      <c r="G26" s="243">
        <v>1347</v>
      </c>
      <c r="H26" s="243">
        <v>1543</v>
      </c>
      <c r="I26" s="243">
        <v>307</v>
      </c>
      <c r="J26" s="243">
        <v>287</v>
      </c>
      <c r="K26" s="243">
        <v>8</v>
      </c>
      <c r="L26" s="243">
        <v>862</v>
      </c>
      <c r="M26" s="243">
        <v>238</v>
      </c>
      <c r="N26" s="243">
        <v>0</v>
      </c>
      <c r="O26" s="243">
        <v>5</v>
      </c>
      <c r="P26" s="243">
        <v>0</v>
      </c>
      <c r="Q26" s="243">
        <v>4977</v>
      </c>
    </row>
    <row r="27" spans="1:17" s="6" customFormat="1" ht="16.5" customHeight="1">
      <c r="A27" s="565" t="s">
        <v>2</v>
      </c>
      <c r="B27" s="565"/>
      <c r="C27" s="548"/>
      <c r="D27" s="596">
        <v>1428</v>
      </c>
      <c r="E27" s="595"/>
      <c r="F27" s="242">
        <v>44</v>
      </c>
      <c r="G27" s="242">
        <v>81</v>
      </c>
      <c r="H27" s="242">
        <v>566</v>
      </c>
      <c r="I27" s="242">
        <v>25</v>
      </c>
      <c r="J27" s="242">
        <v>78</v>
      </c>
      <c r="K27" s="242">
        <v>2</v>
      </c>
      <c r="L27" s="242">
        <v>151</v>
      </c>
      <c r="M27" s="242">
        <v>60</v>
      </c>
      <c r="N27" s="242">
        <v>0</v>
      </c>
      <c r="O27" s="242">
        <v>2</v>
      </c>
      <c r="P27" s="242">
        <v>0</v>
      </c>
      <c r="Q27" s="242">
        <v>1009</v>
      </c>
    </row>
    <row r="28" spans="1:17" s="6" customFormat="1" ht="16.5" customHeight="1">
      <c r="A28" s="556" t="s">
        <v>3</v>
      </c>
      <c r="B28" s="556"/>
      <c r="C28" s="556"/>
      <c r="D28" s="597">
        <v>7509</v>
      </c>
      <c r="E28" s="598"/>
      <c r="F28" s="50">
        <v>336</v>
      </c>
      <c r="G28" s="50">
        <v>1266</v>
      </c>
      <c r="H28" s="50">
        <v>977</v>
      </c>
      <c r="I28" s="50">
        <v>282</v>
      </c>
      <c r="J28" s="50">
        <v>209</v>
      </c>
      <c r="K28" s="50">
        <v>6</v>
      </c>
      <c r="L28" s="50">
        <v>711</v>
      </c>
      <c r="M28" s="50">
        <v>178</v>
      </c>
      <c r="N28" s="50">
        <v>0</v>
      </c>
      <c r="O28" s="50">
        <v>3</v>
      </c>
      <c r="P28" s="50">
        <v>0</v>
      </c>
      <c r="Q28" s="50">
        <v>3968</v>
      </c>
    </row>
    <row r="29" spans="1:17" s="1" customFormat="1" ht="16.5" customHeight="1">
      <c r="A29" s="125" t="s">
        <v>599</v>
      </c>
      <c r="B29" s="125"/>
      <c r="C29" s="320"/>
      <c r="D29" s="125"/>
      <c r="E29" s="125"/>
      <c r="F29" s="125"/>
      <c r="G29" s="125"/>
      <c r="H29" s="125"/>
      <c r="I29" s="125"/>
      <c r="J29" s="125"/>
      <c r="K29" s="125"/>
      <c r="L29" s="125"/>
      <c r="M29" s="125"/>
      <c r="N29" s="83"/>
      <c r="O29" s="83"/>
      <c r="P29" s="83"/>
      <c r="Q29" s="83"/>
    </row>
    <row r="30" spans="1:17" s="1" customFormat="1" ht="16.5" customHeight="1">
      <c r="A30" s="3" t="s">
        <v>598</v>
      </c>
      <c r="B30" s="3"/>
      <c r="C30" s="58"/>
      <c r="D30" s="3"/>
      <c r="E30" s="3"/>
      <c r="F30" s="3"/>
      <c r="G30" s="3"/>
      <c r="H30" s="3"/>
      <c r="I30" s="3"/>
      <c r="J30" s="3"/>
      <c r="K30" s="3"/>
      <c r="L30" s="3"/>
      <c r="M30" s="3"/>
      <c r="N30" s="58"/>
      <c r="O30" s="58"/>
      <c r="P30" s="58"/>
      <c r="Q30" s="58"/>
    </row>
    <row r="31" spans="1:17" s="1" customFormat="1" ht="16.5" customHeight="1">
      <c r="A31" s="3"/>
      <c r="B31" s="3"/>
      <c r="C31" s="3"/>
      <c r="D31" s="3"/>
      <c r="E31" s="3"/>
      <c r="F31" s="3"/>
      <c r="G31" s="3"/>
      <c r="H31" s="3"/>
      <c r="I31" s="3"/>
      <c r="J31" s="3"/>
      <c r="K31" s="3"/>
      <c r="L31" s="3"/>
      <c r="M31" s="3"/>
      <c r="N31" s="58"/>
      <c r="O31" s="58"/>
      <c r="P31" s="58"/>
      <c r="Q31" s="58"/>
    </row>
    <row r="32" spans="1:17" s="1" customFormat="1" ht="16.5" customHeight="1">
      <c r="A32" s="66" t="s">
        <v>788</v>
      </c>
      <c r="B32" s="66"/>
      <c r="C32" s="66"/>
      <c r="D32" s="66"/>
      <c r="E32" s="66"/>
      <c r="F32" s="66"/>
      <c r="G32" s="66"/>
      <c r="H32" s="66"/>
      <c r="I32" s="66"/>
      <c r="J32" s="66"/>
      <c r="K32" s="66"/>
      <c r="L32" s="66"/>
      <c r="M32" s="66"/>
      <c r="N32" s="126"/>
      <c r="O32" s="126"/>
      <c r="P32" s="126"/>
      <c r="Q32" s="126"/>
    </row>
    <row r="33" spans="1:17" s="1" customFormat="1" ht="16.5" customHeight="1">
      <c r="A33" s="66" t="s">
        <v>789</v>
      </c>
      <c r="B33" s="66"/>
      <c r="C33" s="66"/>
      <c r="D33" s="66"/>
      <c r="E33" s="66"/>
      <c r="F33" s="66"/>
      <c r="G33" s="66"/>
      <c r="H33" s="66"/>
      <c r="I33" s="66"/>
      <c r="J33" s="66"/>
      <c r="K33" s="66"/>
      <c r="L33" s="66"/>
      <c r="M33" s="66"/>
      <c r="N33" s="126"/>
      <c r="O33" s="126"/>
      <c r="P33" s="126"/>
      <c r="Q33" s="126"/>
    </row>
    <row r="34" spans="1:17" s="114" customFormat="1" ht="16.5" customHeight="1">
      <c r="A34" s="127"/>
      <c r="B34" s="128"/>
      <c r="C34" s="128"/>
      <c r="D34" s="128"/>
      <c r="E34" s="128"/>
      <c r="F34" s="128"/>
      <c r="G34" s="128"/>
      <c r="H34" s="128"/>
      <c r="I34" s="128"/>
      <c r="J34" s="128"/>
      <c r="K34" s="128"/>
      <c r="L34" s="128"/>
      <c r="M34" s="128"/>
      <c r="N34" s="129"/>
      <c r="O34" s="129"/>
      <c r="P34" s="129"/>
      <c r="Q34" s="129"/>
    </row>
    <row r="35" spans="1:17" s="114" customFormat="1" ht="16.5" customHeight="1">
      <c r="A35" s="82" t="s">
        <v>651</v>
      </c>
      <c r="B35" s="130"/>
      <c r="C35" s="130"/>
      <c r="D35" s="128"/>
      <c r="E35" s="128"/>
      <c r="F35" s="128"/>
      <c r="G35" s="128"/>
      <c r="H35" s="128"/>
      <c r="I35" s="128"/>
      <c r="J35" s="128"/>
      <c r="K35" s="128"/>
      <c r="L35" s="128"/>
      <c r="M35" s="128"/>
      <c r="N35" s="129"/>
      <c r="O35" s="129"/>
      <c r="P35" s="129"/>
      <c r="Q35" s="129"/>
    </row>
    <row r="36" spans="1:17" s="114" customFormat="1" ht="16.5" customHeight="1">
      <c r="A36" s="130"/>
      <c r="B36" s="131"/>
      <c r="C36" s="131"/>
      <c r="D36" s="128"/>
      <c r="E36" s="128"/>
      <c r="F36" s="128"/>
      <c r="G36" s="128"/>
      <c r="H36" s="128"/>
      <c r="I36" s="128"/>
      <c r="J36" s="128"/>
      <c r="K36" s="128"/>
      <c r="L36" s="128"/>
      <c r="M36" s="128"/>
      <c r="N36" s="129"/>
      <c r="O36" s="129"/>
      <c r="P36" s="129"/>
      <c r="Q36" s="129"/>
    </row>
    <row r="37" spans="1:17" s="114" customFormat="1" ht="16.5" customHeight="1">
      <c r="A37" s="130"/>
      <c r="B37" s="3"/>
      <c r="C37" s="3"/>
      <c r="D37" s="128"/>
      <c r="E37" s="128"/>
      <c r="F37" s="128"/>
      <c r="G37" s="128"/>
      <c r="H37" s="128"/>
      <c r="I37" s="128"/>
      <c r="J37" s="128"/>
      <c r="K37" s="128"/>
      <c r="L37" s="128"/>
      <c r="M37" s="128"/>
      <c r="N37" s="129"/>
      <c r="O37" s="129"/>
      <c r="P37" s="129"/>
      <c r="Q37" s="129"/>
    </row>
    <row r="38" spans="1:17" s="114" customFormat="1" ht="16.5" customHeight="1">
      <c r="A38" s="130"/>
      <c r="B38" s="3"/>
      <c r="C38" s="3"/>
      <c r="D38" s="128"/>
      <c r="E38" s="128"/>
      <c r="F38" s="128"/>
      <c r="G38" s="128"/>
      <c r="H38" s="128"/>
      <c r="I38" s="128"/>
      <c r="J38" s="128"/>
      <c r="K38" s="128"/>
      <c r="L38" s="128"/>
      <c r="M38" s="128"/>
      <c r="N38" s="129"/>
      <c r="O38" s="129"/>
      <c r="P38" s="129"/>
      <c r="Q38" s="129"/>
    </row>
    <row r="39" spans="1:17" s="114" customFormat="1" ht="16.5" customHeight="1">
      <c r="A39" s="132"/>
      <c r="B39" s="132"/>
      <c r="C39" s="132"/>
      <c r="D39" s="128"/>
      <c r="E39" s="128"/>
      <c r="G39" s="237" t="s">
        <v>439</v>
      </c>
      <c r="H39" s="115"/>
      <c r="I39" s="115"/>
      <c r="J39" s="128"/>
      <c r="K39" s="128"/>
      <c r="L39" s="128"/>
      <c r="M39" s="128"/>
      <c r="N39" s="129"/>
      <c r="O39" s="129"/>
      <c r="P39" s="129"/>
      <c r="Q39" s="129"/>
    </row>
    <row r="40" spans="1:17" s="114" customFormat="1" ht="16.5" customHeight="1">
      <c r="A40" s="133"/>
      <c r="B40" s="133"/>
      <c r="C40" s="133"/>
      <c r="D40" s="128"/>
      <c r="E40" s="128"/>
      <c r="F40" s="25"/>
      <c r="G40" s="25" t="s">
        <v>18</v>
      </c>
      <c r="H40" s="25" t="s">
        <v>60</v>
      </c>
      <c r="I40" s="25" t="s">
        <v>7</v>
      </c>
      <c r="J40" s="128"/>
      <c r="K40" s="128"/>
      <c r="L40" s="128"/>
      <c r="M40" s="128"/>
      <c r="N40" s="129"/>
      <c r="O40" s="129"/>
      <c r="P40" s="129"/>
      <c r="Q40" s="129"/>
    </row>
    <row r="41" spans="1:17" s="114" customFormat="1" ht="16.5" customHeight="1">
      <c r="A41" s="133"/>
      <c r="B41" s="133"/>
      <c r="C41" s="133"/>
      <c r="D41" s="128"/>
      <c r="E41" s="128"/>
      <c r="F41" s="25" t="s">
        <v>59</v>
      </c>
      <c r="G41" s="25">
        <v>548</v>
      </c>
      <c r="H41" s="25">
        <v>4077</v>
      </c>
      <c r="I41" s="25">
        <v>23957</v>
      </c>
      <c r="J41" s="128"/>
      <c r="K41" s="128"/>
      <c r="L41" s="128"/>
      <c r="M41" s="128"/>
      <c r="N41" s="129"/>
      <c r="O41" s="129"/>
      <c r="P41" s="129"/>
      <c r="Q41" s="129"/>
    </row>
    <row r="42" spans="1:17" s="114" customFormat="1" ht="16.5" customHeight="1">
      <c r="A42" s="133"/>
      <c r="B42" s="133"/>
      <c r="C42" s="133"/>
      <c r="D42" s="128"/>
      <c r="E42" s="128"/>
      <c r="F42" s="25" t="s">
        <v>61</v>
      </c>
      <c r="G42" s="25">
        <v>4747</v>
      </c>
      <c r="H42" s="25">
        <v>4688</v>
      </c>
      <c r="I42" s="25">
        <v>31163</v>
      </c>
      <c r="J42" s="128"/>
      <c r="K42" s="128"/>
      <c r="L42" s="128"/>
      <c r="M42" s="128"/>
      <c r="N42" s="129"/>
      <c r="O42" s="129"/>
      <c r="P42" s="129"/>
      <c r="Q42" s="129"/>
    </row>
    <row r="43" spans="1:17" s="114" customFormat="1" ht="16.5" customHeight="1">
      <c r="A43" s="133"/>
      <c r="B43" s="133"/>
      <c r="C43" s="133"/>
      <c r="D43" s="128"/>
      <c r="E43" s="128"/>
      <c r="F43" s="28" t="s">
        <v>318</v>
      </c>
      <c r="G43" s="350">
        <v>10.349386213408875</v>
      </c>
      <c r="H43" s="350">
        <v>46.514546491728467</v>
      </c>
      <c r="I43" s="350">
        <v>43.463352685050801</v>
      </c>
      <c r="J43" s="128"/>
      <c r="K43" s="128"/>
      <c r="L43" s="128"/>
      <c r="M43" s="128"/>
      <c r="N43" s="129"/>
      <c r="O43" s="129"/>
      <c r="P43" s="129"/>
      <c r="Q43" s="129"/>
    </row>
    <row r="44" spans="1:17" s="114" customFormat="1" ht="16.5" customHeight="1">
      <c r="A44" s="132"/>
      <c r="B44" s="132"/>
      <c r="C44" s="132"/>
      <c r="D44" s="128"/>
      <c r="E44" s="128"/>
      <c r="F44" s="28" t="s">
        <v>81</v>
      </c>
      <c r="G44" s="350">
        <v>89.650613786591123</v>
      </c>
      <c r="H44" s="350">
        <v>53.485453508271533</v>
      </c>
      <c r="I44" s="350">
        <v>56.536647314949199</v>
      </c>
      <c r="J44" s="128"/>
      <c r="K44" s="128"/>
      <c r="L44" s="128"/>
      <c r="M44" s="128"/>
      <c r="N44" s="129"/>
      <c r="O44" s="129"/>
      <c r="P44" s="129"/>
      <c r="Q44" s="129"/>
    </row>
    <row r="45" spans="1:17" s="114" customFormat="1" ht="16.5" customHeight="1">
      <c r="A45" s="132"/>
      <c r="B45" s="132"/>
      <c r="C45" s="135"/>
      <c r="D45" s="128"/>
      <c r="E45" s="128"/>
      <c r="F45" s="128"/>
      <c r="G45" s="128"/>
      <c r="H45" s="134"/>
      <c r="I45" s="135"/>
      <c r="J45" s="128"/>
      <c r="K45" s="128"/>
      <c r="L45" s="128"/>
      <c r="M45" s="128"/>
      <c r="N45" s="129"/>
      <c r="O45" s="129"/>
      <c r="P45" s="129"/>
      <c r="Q45" s="129"/>
    </row>
    <row r="46" spans="1:17" s="114" customFormat="1" ht="16.5" customHeight="1">
      <c r="A46" s="132"/>
      <c r="B46" s="132"/>
      <c r="C46" s="135"/>
      <c r="D46" s="128"/>
      <c r="E46" s="128"/>
      <c r="F46" s="128"/>
      <c r="G46" s="128"/>
      <c r="H46" s="134"/>
      <c r="I46" s="135"/>
      <c r="J46" s="128"/>
      <c r="K46" s="128"/>
      <c r="L46" s="128"/>
      <c r="M46" s="128"/>
      <c r="N46" s="129"/>
      <c r="O46" s="129"/>
      <c r="P46" s="129"/>
      <c r="Q46" s="129"/>
    </row>
    <row r="47" spans="1:17" s="114" customFormat="1" ht="16.5" customHeight="1">
      <c r="A47" s="128"/>
      <c r="B47" s="128"/>
      <c r="C47" s="135"/>
      <c r="D47" s="128"/>
      <c r="E47" s="128"/>
      <c r="F47" s="128"/>
      <c r="G47" s="128"/>
      <c r="H47" s="134"/>
      <c r="I47" s="129"/>
      <c r="J47" s="129"/>
      <c r="K47" s="128"/>
      <c r="L47" s="128"/>
      <c r="M47" s="128"/>
      <c r="N47" s="129"/>
      <c r="O47" s="129"/>
      <c r="P47" s="129"/>
      <c r="Q47" s="129"/>
    </row>
    <row r="48" spans="1:17" s="114" customFormat="1" ht="16.5" customHeight="1">
      <c r="A48" s="128"/>
      <c r="B48" s="128"/>
      <c r="C48" s="135"/>
      <c r="D48" s="128"/>
      <c r="E48" s="128"/>
      <c r="F48" s="128"/>
      <c r="G48" s="128"/>
      <c r="H48" s="134"/>
      <c r="I48" s="129"/>
      <c r="J48" s="129"/>
      <c r="K48" s="128"/>
      <c r="L48" s="128"/>
      <c r="M48" s="128"/>
      <c r="N48" s="129"/>
      <c r="O48" s="129"/>
      <c r="P48" s="129"/>
      <c r="Q48" s="129"/>
    </row>
    <row r="49" spans="1:17" s="114" customFormat="1" ht="16.5" customHeight="1">
      <c r="A49" s="128"/>
      <c r="B49" s="128"/>
      <c r="C49" s="135"/>
      <c r="D49" s="128"/>
      <c r="E49" s="128"/>
      <c r="F49" s="128"/>
      <c r="G49" s="128"/>
      <c r="H49" s="134"/>
      <c r="I49" s="129"/>
      <c r="J49" s="129"/>
      <c r="K49" s="128"/>
      <c r="L49" s="128"/>
      <c r="M49" s="128"/>
      <c r="N49" s="129"/>
      <c r="O49" s="129"/>
      <c r="P49" s="129"/>
      <c r="Q49" s="129"/>
    </row>
  </sheetData>
  <sheetProtection algorithmName="SHA-512" hashValue="zLIzisuKML/d5AZZ0MR0ZhEA6HoD+VIVTFXajqatixUtyvT5dqKxg+w0ihIs9hKQycajnMgVmr98EvLiZDUKlA==" saltValue="1929Ccr8ME0HV+u2K396ng==" spinCount="100000" sheet="1" objects="1" scenarios="1"/>
  <mergeCells count="35">
    <mergeCell ref="F2:G2"/>
    <mergeCell ref="H2:I2"/>
    <mergeCell ref="B5:B16"/>
    <mergeCell ref="D13:E13"/>
    <mergeCell ref="D14:E14"/>
    <mergeCell ref="C15:E15"/>
    <mergeCell ref="C16:E16"/>
    <mergeCell ref="A2:E2"/>
    <mergeCell ref="A3:E3"/>
    <mergeCell ref="A28:C28"/>
    <mergeCell ref="D25:E25"/>
    <mergeCell ref="D26:E26"/>
    <mergeCell ref="D27:E27"/>
    <mergeCell ref="D28:E28"/>
    <mergeCell ref="C5:C14"/>
    <mergeCell ref="D11:E11"/>
    <mergeCell ref="A25:C25"/>
    <mergeCell ref="A26:C26"/>
    <mergeCell ref="A27:C27"/>
    <mergeCell ref="J2:K2"/>
    <mergeCell ref="L2:M2"/>
    <mergeCell ref="A23:C23"/>
    <mergeCell ref="A24:C24"/>
    <mergeCell ref="Q23:Q24"/>
    <mergeCell ref="I23:P23"/>
    <mergeCell ref="D12:E12"/>
    <mergeCell ref="F23:H23"/>
    <mergeCell ref="D23:E24"/>
    <mergeCell ref="A19:E19"/>
    <mergeCell ref="A20:E20"/>
    <mergeCell ref="A5:A18"/>
    <mergeCell ref="D5:D10"/>
    <mergeCell ref="B17:E17"/>
    <mergeCell ref="B18:E18"/>
    <mergeCell ref="A4:E4"/>
  </mergeCells>
  <phoneticPr fontId="56" type="noConversion"/>
  <pageMargins left="0.43307086614173229" right="7.874015748031496E-2" top="0.35433070866141736" bottom="7.874015748031496E-2" header="0.35433070866141736" footer="0.11811023622047245"/>
  <pageSetup paperSize="9" scale="34" pageOrder="overThenDown" orientation="portrait" horizontalDpi="1200" verticalDpi="12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M46"/>
  <sheetViews>
    <sheetView showGridLines="0" zoomScaleNormal="100" zoomScaleSheetLayoutView="100" workbookViewId="0"/>
  </sheetViews>
  <sheetFormatPr defaultRowHeight="16.5" customHeight="1"/>
  <cols>
    <col min="1" max="1" width="21.109375" style="2" customWidth="1"/>
    <col min="2" max="13" width="8" style="2" customWidth="1"/>
    <col min="14" max="16384" width="8.88671875" style="86"/>
  </cols>
  <sheetData>
    <row r="1" spans="1:13" s="3" customFormat="1" ht="16.5" customHeight="1">
      <c r="A1" s="82" t="s">
        <v>687</v>
      </c>
    </row>
    <row r="2" spans="1:13" s="3" customFormat="1" ht="16.5" customHeight="1">
      <c r="A2" s="504" t="s">
        <v>163</v>
      </c>
      <c r="B2" s="574" t="s">
        <v>89</v>
      </c>
      <c r="C2" s="513" t="s">
        <v>92</v>
      </c>
      <c r="D2" s="513"/>
      <c r="E2" s="513"/>
      <c r="F2" s="513"/>
      <c r="G2" s="513"/>
      <c r="H2" s="513"/>
      <c r="I2" s="513"/>
      <c r="J2" s="514"/>
      <c r="L2" s="61"/>
      <c r="M2" s="61"/>
    </row>
    <row r="3" spans="1:13" s="3" customFormat="1" ht="16.5" customHeight="1">
      <c r="A3" s="505" t="s">
        <v>38</v>
      </c>
      <c r="B3" s="543"/>
      <c r="C3" s="475" t="s">
        <v>91</v>
      </c>
      <c r="D3" s="475" t="s">
        <v>282</v>
      </c>
      <c r="E3" s="475" t="s">
        <v>283</v>
      </c>
      <c r="F3" s="475" t="s">
        <v>284</v>
      </c>
      <c r="G3" s="475" t="s">
        <v>285</v>
      </c>
      <c r="H3" s="475" t="s">
        <v>286</v>
      </c>
      <c r="I3" s="475" t="s">
        <v>37</v>
      </c>
      <c r="J3" s="497" t="s">
        <v>5</v>
      </c>
      <c r="M3" s="61"/>
    </row>
    <row r="4" spans="1:13" s="3" customFormat="1" ht="16.5" customHeight="1">
      <c r="A4" s="461" t="s">
        <v>21</v>
      </c>
      <c r="B4" s="485">
        <v>140115</v>
      </c>
      <c r="C4" s="242">
        <v>25</v>
      </c>
      <c r="D4" s="242">
        <v>625</v>
      </c>
      <c r="E4" s="242">
        <v>2814</v>
      </c>
      <c r="F4" s="242">
        <v>7698</v>
      </c>
      <c r="G4" s="242">
        <v>34206</v>
      </c>
      <c r="H4" s="242">
        <v>19349</v>
      </c>
      <c r="I4" s="242">
        <v>74777</v>
      </c>
      <c r="J4" s="242">
        <v>621</v>
      </c>
      <c r="M4" s="97"/>
    </row>
    <row r="5" spans="1:13" s="3" customFormat="1" ht="16.5" customHeight="1">
      <c r="A5" s="467" t="s">
        <v>20</v>
      </c>
      <c r="B5" s="291">
        <v>20795</v>
      </c>
      <c r="C5" s="50">
        <v>5</v>
      </c>
      <c r="D5" s="50">
        <v>156</v>
      </c>
      <c r="E5" s="50">
        <v>647</v>
      </c>
      <c r="F5" s="50">
        <v>1557</v>
      </c>
      <c r="G5" s="50">
        <v>6471</v>
      </c>
      <c r="H5" s="50">
        <v>3308</v>
      </c>
      <c r="I5" s="50">
        <v>8565</v>
      </c>
      <c r="J5" s="50">
        <v>86</v>
      </c>
      <c r="K5" s="66"/>
      <c r="L5" s="66"/>
      <c r="M5" s="97"/>
    </row>
    <row r="6" spans="1:13" s="3" customFormat="1" ht="16.5" customHeight="1">
      <c r="L6" s="103"/>
      <c r="M6" s="103"/>
    </row>
    <row r="7" spans="1:13" s="3" customFormat="1" ht="16.5" customHeight="1">
      <c r="A7" s="82" t="s">
        <v>578</v>
      </c>
    </row>
    <row r="8" spans="1:13" s="3" customFormat="1" ht="16.5" customHeight="1">
      <c r="A8" s="66" t="s">
        <v>790</v>
      </c>
      <c r="B8" s="66"/>
      <c r="C8" s="66"/>
      <c r="D8" s="66"/>
      <c r="E8" s="66"/>
      <c r="F8" s="66"/>
      <c r="G8" s="66"/>
      <c r="H8" s="66"/>
      <c r="I8" s="66"/>
      <c r="J8" s="66"/>
      <c r="K8" s="66"/>
      <c r="L8" s="66"/>
    </row>
    <row r="9" spans="1:13" s="3" customFormat="1" ht="16.5" customHeight="1"/>
    <row r="10" spans="1:13" s="3" customFormat="1" ht="16.5" customHeight="1">
      <c r="A10" s="82" t="s">
        <v>688</v>
      </c>
    </row>
    <row r="11" spans="1:13" s="3" customFormat="1" ht="16.5" customHeight="1">
      <c r="A11" s="504" t="s">
        <v>163</v>
      </c>
      <c r="B11" s="608" t="s">
        <v>89</v>
      </c>
      <c r="C11" s="608" t="s">
        <v>33</v>
      </c>
      <c r="D11" s="608" t="s">
        <v>90</v>
      </c>
      <c r="E11" s="612" t="s">
        <v>287</v>
      </c>
      <c r="F11" s="608" t="s">
        <v>288</v>
      </c>
      <c r="G11" s="608" t="s">
        <v>289</v>
      </c>
      <c r="H11" s="608" t="s">
        <v>290</v>
      </c>
      <c r="I11" s="612" t="s">
        <v>291</v>
      </c>
      <c r="J11" s="608" t="s">
        <v>292</v>
      </c>
      <c r="K11" s="608" t="s">
        <v>78</v>
      </c>
      <c r="L11" s="608" t="s">
        <v>293</v>
      </c>
      <c r="M11" s="610" t="s">
        <v>79</v>
      </c>
    </row>
    <row r="12" spans="1:13" s="3" customFormat="1" ht="16.5" customHeight="1">
      <c r="A12" s="505" t="s">
        <v>294</v>
      </c>
      <c r="B12" s="609"/>
      <c r="C12" s="609"/>
      <c r="D12" s="609"/>
      <c r="E12" s="609"/>
      <c r="F12" s="609" t="s">
        <v>295</v>
      </c>
      <c r="G12" s="609"/>
      <c r="H12" s="609"/>
      <c r="I12" s="609"/>
      <c r="J12" s="609"/>
      <c r="K12" s="609"/>
      <c r="L12" s="609"/>
      <c r="M12" s="611"/>
    </row>
    <row r="13" spans="1:13" s="3" customFormat="1" ht="16.5" customHeight="1">
      <c r="A13" s="462" t="s">
        <v>296</v>
      </c>
      <c r="B13" s="485">
        <v>2540</v>
      </c>
      <c r="C13" s="70">
        <v>0</v>
      </c>
      <c r="D13" s="70">
        <v>0</v>
      </c>
      <c r="E13" s="70">
        <v>1</v>
      </c>
      <c r="F13" s="243">
        <v>621</v>
      </c>
      <c r="G13" s="243">
        <v>449</v>
      </c>
      <c r="H13" s="243">
        <v>81</v>
      </c>
      <c r="I13" s="243">
        <v>9</v>
      </c>
      <c r="J13" s="243">
        <v>8</v>
      </c>
      <c r="K13" s="243">
        <v>11</v>
      </c>
      <c r="L13" s="243">
        <v>1089</v>
      </c>
      <c r="M13" s="243">
        <v>271</v>
      </c>
    </row>
    <row r="14" spans="1:13" s="3" customFormat="1" ht="16.5" customHeight="1">
      <c r="A14" s="461" t="s">
        <v>6</v>
      </c>
      <c r="B14" s="492">
        <v>100</v>
      </c>
      <c r="C14" s="293" t="s">
        <v>608</v>
      </c>
      <c r="D14" s="293" t="s">
        <v>70</v>
      </c>
      <c r="E14" s="46">
        <v>3.937007874015748E-2</v>
      </c>
      <c r="F14" s="46">
        <v>24.448818897637796</v>
      </c>
      <c r="G14" s="46">
        <v>17.677165354330711</v>
      </c>
      <c r="H14" s="46">
        <v>3.188976377952756</v>
      </c>
      <c r="I14" s="46">
        <v>0.3543307086614173</v>
      </c>
      <c r="J14" s="46">
        <v>0.31496062992125984</v>
      </c>
      <c r="K14" s="46">
        <v>0.43307086614173229</v>
      </c>
      <c r="L14" s="46">
        <v>42.874015748031496</v>
      </c>
      <c r="M14" s="46">
        <v>10.669291338582678</v>
      </c>
    </row>
    <row r="15" spans="1:13" s="3" customFormat="1" ht="16.5" customHeight="1">
      <c r="A15" s="461" t="s">
        <v>433</v>
      </c>
      <c r="B15" s="230">
        <v>824</v>
      </c>
      <c r="C15" s="71">
        <v>0</v>
      </c>
      <c r="D15" s="71">
        <v>0</v>
      </c>
      <c r="E15" s="71">
        <v>0</v>
      </c>
      <c r="F15" s="242">
        <v>158</v>
      </c>
      <c r="G15" s="242">
        <v>135</v>
      </c>
      <c r="H15" s="242">
        <v>5</v>
      </c>
      <c r="I15" s="242">
        <v>1</v>
      </c>
      <c r="J15" s="242">
        <v>1</v>
      </c>
      <c r="K15" s="242">
        <v>0</v>
      </c>
      <c r="L15" s="242">
        <v>456</v>
      </c>
      <c r="M15" s="242">
        <v>68</v>
      </c>
    </row>
    <row r="16" spans="1:13" s="3" customFormat="1" ht="16.5" customHeight="1">
      <c r="A16" s="461" t="s">
        <v>434</v>
      </c>
      <c r="B16" s="230">
        <v>97</v>
      </c>
      <c r="C16" s="71">
        <v>0</v>
      </c>
      <c r="D16" s="71">
        <v>0</v>
      </c>
      <c r="E16" s="71">
        <v>1</v>
      </c>
      <c r="F16" s="242">
        <v>31</v>
      </c>
      <c r="G16" s="242">
        <v>29</v>
      </c>
      <c r="H16" s="242">
        <v>0</v>
      </c>
      <c r="I16" s="242">
        <v>0</v>
      </c>
      <c r="J16" s="242">
        <v>0</v>
      </c>
      <c r="K16" s="242">
        <v>0</v>
      </c>
      <c r="L16" s="242">
        <v>36</v>
      </c>
      <c r="M16" s="242">
        <v>0</v>
      </c>
    </row>
    <row r="17" spans="1:13" s="3" customFormat="1" ht="16.5" customHeight="1">
      <c r="A17" s="461" t="s">
        <v>435</v>
      </c>
      <c r="B17" s="230">
        <v>327</v>
      </c>
      <c r="C17" s="242">
        <v>0</v>
      </c>
      <c r="D17" s="242">
        <v>0</v>
      </c>
      <c r="E17" s="242">
        <v>0</v>
      </c>
      <c r="F17" s="242">
        <v>127</v>
      </c>
      <c r="G17" s="242">
        <v>45</v>
      </c>
      <c r="H17" s="242">
        <v>6</v>
      </c>
      <c r="I17" s="242">
        <v>0</v>
      </c>
      <c r="J17" s="242">
        <v>0</v>
      </c>
      <c r="K17" s="242">
        <v>1</v>
      </c>
      <c r="L17" s="242">
        <v>117</v>
      </c>
      <c r="M17" s="242">
        <v>31</v>
      </c>
    </row>
    <row r="18" spans="1:13" s="3" customFormat="1" ht="16.5" customHeight="1">
      <c r="A18" s="461" t="s">
        <v>436</v>
      </c>
      <c r="B18" s="230">
        <v>87</v>
      </c>
      <c r="C18" s="242">
        <v>0</v>
      </c>
      <c r="D18" s="242">
        <v>0</v>
      </c>
      <c r="E18" s="242">
        <v>0</v>
      </c>
      <c r="F18" s="242">
        <v>21</v>
      </c>
      <c r="G18" s="242">
        <v>18</v>
      </c>
      <c r="H18" s="242">
        <v>5</v>
      </c>
      <c r="I18" s="242">
        <v>2</v>
      </c>
      <c r="J18" s="242">
        <v>2</v>
      </c>
      <c r="K18" s="242">
        <v>0</v>
      </c>
      <c r="L18" s="242">
        <v>31</v>
      </c>
      <c r="M18" s="242">
        <v>8</v>
      </c>
    </row>
    <row r="19" spans="1:13" s="3" customFormat="1" ht="16.5" customHeight="1">
      <c r="A19" s="461" t="s">
        <v>231</v>
      </c>
      <c r="B19" s="230">
        <v>24</v>
      </c>
      <c r="C19" s="242">
        <v>0</v>
      </c>
      <c r="D19" s="242">
        <v>0</v>
      </c>
      <c r="E19" s="242">
        <v>0</v>
      </c>
      <c r="F19" s="242">
        <v>7</v>
      </c>
      <c r="G19" s="242">
        <v>6</v>
      </c>
      <c r="H19" s="242">
        <v>1</v>
      </c>
      <c r="I19" s="242">
        <v>0</v>
      </c>
      <c r="J19" s="242">
        <v>0</v>
      </c>
      <c r="K19" s="242">
        <v>0</v>
      </c>
      <c r="L19" s="242">
        <v>8</v>
      </c>
      <c r="M19" s="242">
        <v>2</v>
      </c>
    </row>
    <row r="20" spans="1:13" s="3" customFormat="1" ht="16.5" customHeight="1">
      <c r="A20" s="461" t="s">
        <v>297</v>
      </c>
      <c r="B20" s="230">
        <v>253</v>
      </c>
      <c r="C20" s="242">
        <v>0</v>
      </c>
      <c r="D20" s="242">
        <v>0</v>
      </c>
      <c r="E20" s="242">
        <v>0</v>
      </c>
      <c r="F20" s="242">
        <v>45</v>
      </c>
      <c r="G20" s="242">
        <v>58</v>
      </c>
      <c r="H20" s="242">
        <v>10</v>
      </c>
      <c r="I20" s="242">
        <v>1</v>
      </c>
      <c r="J20" s="242">
        <v>2</v>
      </c>
      <c r="K20" s="242">
        <v>0</v>
      </c>
      <c r="L20" s="242">
        <v>100</v>
      </c>
      <c r="M20" s="242">
        <v>37</v>
      </c>
    </row>
    <row r="21" spans="1:13" s="3" customFormat="1" ht="16.5" customHeight="1">
      <c r="A21" s="461" t="s">
        <v>298</v>
      </c>
      <c r="B21" s="230">
        <v>138</v>
      </c>
      <c r="C21" s="242">
        <v>0</v>
      </c>
      <c r="D21" s="242">
        <v>0</v>
      </c>
      <c r="E21" s="242">
        <v>0</v>
      </c>
      <c r="F21" s="242">
        <v>37</v>
      </c>
      <c r="G21" s="242">
        <v>29</v>
      </c>
      <c r="H21" s="242">
        <v>3</v>
      </c>
      <c r="I21" s="242">
        <v>1</v>
      </c>
      <c r="J21" s="242">
        <v>2</v>
      </c>
      <c r="K21" s="242">
        <v>1</v>
      </c>
      <c r="L21" s="242">
        <v>58</v>
      </c>
      <c r="M21" s="242">
        <v>7</v>
      </c>
    </row>
    <row r="22" spans="1:13" s="3" customFormat="1" ht="16.5" customHeight="1">
      <c r="A22" s="461" t="s">
        <v>299</v>
      </c>
      <c r="B22" s="230">
        <v>44</v>
      </c>
      <c r="C22" s="242">
        <v>0</v>
      </c>
      <c r="D22" s="242">
        <v>0</v>
      </c>
      <c r="E22" s="242">
        <v>0</v>
      </c>
      <c r="F22" s="242">
        <v>10</v>
      </c>
      <c r="G22" s="242">
        <v>7</v>
      </c>
      <c r="H22" s="242">
        <v>8</v>
      </c>
      <c r="I22" s="242">
        <v>0</v>
      </c>
      <c r="J22" s="242">
        <v>0</v>
      </c>
      <c r="K22" s="242">
        <v>0</v>
      </c>
      <c r="L22" s="242">
        <v>14</v>
      </c>
      <c r="M22" s="242">
        <v>5</v>
      </c>
    </row>
    <row r="23" spans="1:13" s="3" customFormat="1" ht="16.5" customHeight="1">
      <c r="A23" s="467" t="s">
        <v>300</v>
      </c>
      <c r="B23" s="231">
        <v>746</v>
      </c>
      <c r="C23" s="50">
        <v>0</v>
      </c>
      <c r="D23" s="50">
        <v>0</v>
      </c>
      <c r="E23" s="50">
        <v>0</v>
      </c>
      <c r="F23" s="50">
        <v>185</v>
      </c>
      <c r="G23" s="50">
        <v>122</v>
      </c>
      <c r="H23" s="50">
        <v>43</v>
      </c>
      <c r="I23" s="50">
        <v>4</v>
      </c>
      <c r="J23" s="50">
        <v>1</v>
      </c>
      <c r="K23" s="50">
        <v>9</v>
      </c>
      <c r="L23" s="50">
        <v>269</v>
      </c>
      <c r="M23" s="50">
        <v>113</v>
      </c>
    </row>
    <row r="24" spans="1:13" s="3" customFormat="1" ht="16.5" customHeight="1">
      <c r="A24" s="104"/>
      <c r="B24" s="59"/>
      <c r="C24" s="59"/>
      <c r="D24" s="59"/>
      <c r="E24" s="59"/>
      <c r="F24" s="59"/>
      <c r="G24" s="59"/>
      <c r="H24" s="59"/>
      <c r="I24" s="59"/>
      <c r="J24" s="59"/>
      <c r="K24" s="59"/>
      <c r="L24" s="59"/>
    </row>
    <row r="25" spans="1:13" s="3" customFormat="1" ht="16.5" customHeight="1">
      <c r="A25" s="105" t="s">
        <v>301</v>
      </c>
      <c r="B25" s="105"/>
      <c r="C25" s="59"/>
      <c r="D25" s="59"/>
      <c r="E25" s="59"/>
      <c r="F25" s="445"/>
      <c r="G25" s="445"/>
      <c r="H25" s="445"/>
      <c r="I25" s="445"/>
      <c r="J25" s="445"/>
      <c r="K25" s="445"/>
      <c r="L25" s="445"/>
      <c r="M25" s="445"/>
    </row>
    <row r="26" spans="1:13" s="3" customFormat="1" ht="16.5" customHeight="1">
      <c r="A26" s="613" t="s">
        <v>815</v>
      </c>
      <c r="B26" s="613"/>
      <c r="C26" s="613"/>
      <c r="D26" s="613"/>
      <c r="E26" s="613"/>
      <c r="F26" s="613"/>
      <c r="G26" s="613"/>
      <c r="H26" s="613"/>
      <c r="I26" s="613"/>
      <c r="J26" s="613"/>
      <c r="K26" s="613"/>
      <c r="L26" s="613"/>
      <c r="M26" s="613"/>
    </row>
    <row r="27" spans="1:13" s="3" customFormat="1" ht="16.5" customHeight="1">
      <c r="A27" s="613"/>
      <c r="B27" s="613"/>
      <c r="C27" s="613"/>
      <c r="D27" s="613"/>
      <c r="E27" s="613"/>
      <c r="F27" s="613"/>
      <c r="G27" s="613"/>
      <c r="H27" s="613"/>
      <c r="I27" s="613"/>
      <c r="J27" s="613"/>
      <c r="K27" s="613"/>
      <c r="L27" s="613"/>
      <c r="M27" s="613"/>
    </row>
    <row r="28" spans="1:13" s="3" customFormat="1" ht="16.5" customHeight="1">
      <c r="A28" s="8" t="s">
        <v>10</v>
      </c>
      <c r="B28" s="8"/>
      <c r="C28" s="9"/>
      <c r="D28" s="9"/>
      <c r="E28" s="9"/>
      <c r="F28" s="9"/>
      <c r="G28" s="9"/>
      <c r="H28" s="136"/>
      <c r="I28" s="136"/>
      <c r="J28" s="136"/>
      <c r="K28" s="136"/>
      <c r="L28" s="136"/>
      <c r="M28" s="136"/>
    </row>
    <row r="29" spans="1:13" s="3" customFormat="1" ht="16.5" customHeight="1">
      <c r="A29" s="607" t="s">
        <v>816</v>
      </c>
      <c r="B29" s="607"/>
      <c r="C29" s="607"/>
      <c r="D29" s="607"/>
      <c r="E29" s="607"/>
      <c r="F29" s="607"/>
      <c r="G29" s="607"/>
      <c r="H29" s="607"/>
      <c r="I29" s="607"/>
      <c r="J29" s="607"/>
      <c r="K29" s="607"/>
      <c r="L29" s="607"/>
      <c r="M29" s="607"/>
    </row>
    <row r="30" spans="1:13" s="3" customFormat="1" ht="16.5" customHeight="1">
      <c r="A30" s="607"/>
      <c r="B30" s="607"/>
      <c r="C30" s="607"/>
      <c r="D30" s="607"/>
      <c r="E30" s="607"/>
      <c r="F30" s="607"/>
      <c r="G30" s="607"/>
      <c r="H30" s="607"/>
      <c r="I30" s="607"/>
      <c r="J30" s="607"/>
      <c r="K30" s="607"/>
      <c r="L30" s="607"/>
      <c r="M30" s="607"/>
    </row>
    <row r="31" spans="1:13" s="3" customFormat="1" ht="16.5" customHeight="1">
      <c r="A31" s="44"/>
      <c r="B31" s="44"/>
      <c r="C31" s="44"/>
      <c r="D31" s="44"/>
      <c r="E31" s="44"/>
      <c r="F31" s="44"/>
      <c r="G31" s="44"/>
      <c r="H31" s="44"/>
      <c r="I31" s="44"/>
      <c r="J31" s="44"/>
      <c r="K31" s="44"/>
      <c r="L31" s="44"/>
      <c r="M31" s="44"/>
    </row>
    <row r="32" spans="1:13" s="59" customFormat="1" ht="16.5" customHeight="1">
      <c r="A32" s="82" t="s">
        <v>652</v>
      </c>
    </row>
    <row r="33" spans="1:7" s="59" customFormat="1" ht="16.5" customHeight="1"/>
    <row r="34" spans="1:7" s="59" customFormat="1" ht="16.5" customHeight="1"/>
    <row r="35" spans="1:7" s="59" customFormat="1" ht="16.5" customHeight="1"/>
    <row r="36" spans="1:7" s="59" customFormat="1" ht="16.5" customHeight="1">
      <c r="D36" s="269" t="s">
        <v>196</v>
      </c>
      <c r="E36" s="268">
        <v>6646</v>
      </c>
    </row>
    <row r="37" spans="1:7" s="59" customFormat="1" ht="16.5" customHeight="1">
      <c r="D37" s="269" t="s">
        <v>443</v>
      </c>
      <c r="E37" s="268">
        <v>8224</v>
      </c>
    </row>
    <row r="38" spans="1:7" s="59" customFormat="1" ht="16.5" customHeight="1">
      <c r="A38" s="104"/>
      <c r="B38" s="105"/>
      <c r="D38" s="269" t="s">
        <v>600</v>
      </c>
      <c r="E38" s="333">
        <v>9340</v>
      </c>
    </row>
    <row r="39" spans="1:7" s="59" customFormat="1" ht="16.5" customHeight="1">
      <c r="D39" s="269" t="s">
        <v>798</v>
      </c>
      <c r="E39" s="333">
        <v>6847</v>
      </c>
    </row>
    <row r="40" spans="1:7" s="59" customFormat="1" ht="16.5" customHeight="1">
      <c r="D40" s="269" t="s">
        <v>782</v>
      </c>
      <c r="E40" s="333">
        <v>5631</v>
      </c>
    </row>
    <row r="41" spans="1:7" s="59" customFormat="1" ht="16.5" customHeight="1"/>
    <row r="42" spans="1:7" s="59" customFormat="1" ht="16.5" customHeight="1"/>
    <row r="43" spans="1:7" s="59" customFormat="1" ht="16.5" customHeight="1"/>
    <row r="44" spans="1:7" s="59" customFormat="1" ht="16.5" customHeight="1"/>
    <row r="45" spans="1:7" s="59" customFormat="1" ht="16.5" customHeight="1">
      <c r="A45" s="104"/>
      <c r="B45" s="105"/>
      <c r="D45" s="83"/>
      <c r="E45" s="83"/>
      <c r="F45" s="83"/>
      <c r="G45" s="83"/>
    </row>
    <row r="46" spans="1:7" s="59" customFormat="1" ht="16.5" customHeight="1">
      <c r="A46" s="104"/>
      <c r="B46" s="105"/>
      <c r="D46" s="83"/>
      <c r="E46" s="83"/>
      <c r="F46" s="83"/>
      <c r="G46" s="83"/>
    </row>
  </sheetData>
  <sheetProtection algorithmName="SHA-512" hashValue="ebzGITrgTJaa0tiUn5/+cdlxTThAiLZu8DVxZfJC0oa8MZRxSIvsacfhE/2Ib4Bzl8+2sDMDo5W/nyHa7r5kyg==" saltValue="/wWzHJ3QTlD07vxKQj2hPw==" spinCount="100000" sheet="1" objects="1" scenarios="1"/>
  <mergeCells count="16">
    <mergeCell ref="B2:B3"/>
    <mergeCell ref="C2:J2"/>
    <mergeCell ref="B11:B12"/>
    <mergeCell ref="C11:C12"/>
    <mergeCell ref="D11:D12"/>
    <mergeCell ref="E11:E12"/>
    <mergeCell ref="F11:F12"/>
    <mergeCell ref="G11:G12"/>
    <mergeCell ref="H11:H12"/>
    <mergeCell ref="J11:J12"/>
    <mergeCell ref="A29:M30"/>
    <mergeCell ref="L11:L12"/>
    <mergeCell ref="M11:M12"/>
    <mergeCell ref="I11:I12"/>
    <mergeCell ref="K11:K12"/>
    <mergeCell ref="A26:M27"/>
  </mergeCells>
  <phoneticPr fontId="6" type="noConversion"/>
  <pageMargins left="0.28999999999999998" right="0.08" top="0.36" bottom="0.05" header="0.5" footer="0.06"/>
  <pageSetup paperSize="9" scale="65" pageOrder="overThenDown" orientation="portrait" horizontalDpi="1200" verticalDpi="12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AB39"/>
  <sheetViews>
    <sheetView showGridLines="0" zoomScaleNormal="100" zoomScaleSheetLayoutView="100" workbookViewId="0"/>
  </sheetViews>
  <sheetFormatPr defaultRowHeight="16.5" customHeight="1"/>
  <cols>
    <col min="1" max="1" width="14.44140625" style="86" customWidth="1"/>
    <col min="2" max="7" width="8.88671875" style="86" customWidth="1"/>
    <col min="8" max="16384" width="8.88671875" style="86"/>
  </cols>
  <sheetData>
    <row r="1" spans="1:28" s="2" customFormat="1" ht="16.5" customHeight="1">
      <c r="A1" s="82" t="s">
        <v>689</v>
      </c>
      <c r="B1" s="3"/>
      <c r="C1" s="3"/>
      <c r="D1" s="3"/>
      <c r="E1" s="3"/>
      <c r="F1" s="3"/>
      <c r="G1" s="3"/>
      <c r="H1" s="3"/>
      <c r="I1" s="3"/>
      <c r="J1" s="3"/>
      <c r="K1" s="3"/>
      <c r="L1" s="3"/>
      <c r="M1" s="3"/>
      <c r="N1" s="3"/>
      <c r="O1" s="3"/>
    </row>
    <row r="2" spans="1:28" s="2" customFormat="1" ht="16.5" customHeight="1">
      <c r="A2" s="206" t="s">
        <v>163</v>
      </c>
      <c r="B2" s="614" t="s">
        <v>302</v>
      </c>
      <c r="C2" s="615" t="s">
        <v>303</v>
      </c>
      <c r="D2" s="621"/>
      <c r="E2" s="621"/>
      <c r="F2" s="621"/>
      <c r="G2" s="621"/>
      <c r="H2" s="621"/>
      <c r="I2" s="621"/>
      <c r="J2" s="621"/>
      <c r="K2" s="621"/>
      <c r="L2" s="622"/>
      <c r="M2" s="614" t="s">
        <v>304</v>
      </c>
      <c r="N2" s="618"/>
      <c r="O2" s="618"/>
    </row>
    <row r="3" spans="1:28" s="2" customFormat="1" ht="16.5" customHeight="1">
      <c r="A3" s="207"/>
      <c r="B3" s="616"/>
      <c r="C3" s="623" t="s">
        <v>305</v>
      </c>
      <c r="D3" s="624"/>
      <c r="E3" s="624"/>
      <c r="F3" s="624"/>
      <c r="G3" s="625"/>
      <c r="H3" s="620" t="s">
        <v>306</v>
      </c>
      <c r="I3" s="616" t="s">
        <v>307</v>
      </c>
      <c r="J3" s="619" t="s">
        <v>644</v>
      </c>
      <c r="K3" s="619" t="s">
        <v>308</v>
      </c>
      <c r="L3" s="619" t="s">
        <v>309</v>
      </c>
      <c r="M3" s="619" t="s">
        <v>309</v>
      </c>
      <c r="N3" s="619" t="s">
        <v>310</v>
      </c>
      <c r="O3" s="616" t="s">
        <v>300</v>
      </c>
      <c r="P3" s="362"/>
      <c r="Q3" s="362"/>
      <c r="R3" s="362"/>
      <c r="S3" s="362"/>
      <c r="T3" s="362"/>
      <c r="U3" s="362"/>
      <c r="V3" s="362"/>
      <c r="W3" s="362"/>
      <c r="X3" s="362"/>
      <c r="Y3" s="362"/>
      <c r="Z3" s="362"/>
      <c r="AA3" s="362"/>
      <c r="AB3" s="362"/>
    </row>
    <row r="4" spans="1:28" s="2" customFormat="1" ht="22.5">
      <c r="A4" s="207" t="s">
        <v>66</v>
      </c>
      <c r="B4" s="617"/>
      <c r="C4" s="232" t="s">
        <v>311</v>
      </c>
      <c r="D4" s="232" t="s">
        <v>312</v>
      </c>
      <c r="E4" s="208" t="s">
        <v>313</v>
      </c>
      <c r="F4" s="208" t="s">
        <v>314</v>
      </c>
      <c r="G4" s="232" t="s">
        <v>315</v>
      </c>
      <c r="H4" s="537"/>
      <c r="I4" s="617"/>
      <c r="J4" s="617"/>
      <c r="K4" s="617"/>
      <c r="L4" s="617"/>
      <c r="M4" s="617"/>
      <c r="N4" s="617"/>
      <c r="O4" s="617"/>
    </row>
    <row r="5" spans="1:28" s="7" customFormat="1" ht="16.5" customHeight="1">
      <c r="A5" s="73" t="s">
        <v>432</v>
      </c>
      <c r="B5" s="101">
        <v>5631</v>
      </c>
      <c r="C5" s="242">
        <v>940</v>
      </c>
      <c r="D5" s="242">
        <v>2789</v>
      </c>
      <c r="E5" s="242">
        <v>0</v>
      </c>
      <c r="F5" s="242">
        <v>1710</v>
      </c>
      <c r="G5" s="242">
        <v>38</v>
      </c>
      <c r="H5" s="242">
        <v>50</v>
      </c>
      <c r="I5" s="242">
        <v>5</v>
      </c>
      <c r="J5" s="242">
        <v>14</v>
      </c>
      <c r="K5" s="242">
        <v>0</v>
      </c>
      <c r="L5" s="242">
        <v>41</v>
      </c>
      <c r="M5" s="90">
        <v>6</v>
      </c>
      <c r="N5" s="242">
        <v>5</v>
      </c>
      <c r="O5" s="242">
        <v>33</v>
      </c>
    </row>
    <row r="6" spans="1:28" s="7" customFormat="1" ht="16.5" customHeight="1">
      <c r="A6" s="75" t="s">
        <v>316</v>
      </c>
      <c r="B6" s="171">
        <v>100</v>
      </c>
      <c r="C6" s="45">
        <v>16.693304919197299</v>
      </c>
      <c r="D6" s="45">
        <v>49.529390871958803</v>
      </c>
      <c r="E6" s="312" t="s">
        <v>70</v>
      </c>
      <c r="F6" s="45">
        <v>30.367607884922748</v>
      </c>
      <c r="G6" s="45">
        <v>0.67483573077606107</v>
      </c>
      <c r="H6" s="45">
        <v>0.88794175102113304</v>
      </c>
      <c r="I6" s="45">
        <v>8.8794175102113307E-2</v>
      </c>
      <c r="J6" s="45">
        <v>0.24862369028591727</v>
      </c>
      <c r="K6" s="312" t="s">
        <v>317</v>
      </c>
      <c r="L6" s="313">
        <v>0.72811223583732909</v>
      </c>
      <c r="M6" s="314">
        <v>0.10655301012253596</v>
      </c>
      <c r="N6" s="45">
        <v>8.8794175102113307E-2</v>
      </c>
      <c r="O6" s="45">
        <v>0.58604155567394778</v>
      </c>
    </row>
    <row r="7" spans="1:28" s="3" customFormat="1" ht="16.5" customHeight="1">
      <c r="B7" s="298"/>
      <c r="C7" s="337"/>
      <c r="D7" s="337"/>
      <c r="E7" s="337"/>
      <c r="F7" s="337"/>
      <c r="G7" s="337"/>
      <c r="H7" s="337"/>
      <c r="I7" s="337"/>
      <c r="J7" s="337"/>
      <c r="K7" s="337"/>
      <c r="L7" s="337"/>
      <c r="M7" s="337"/>
      <c r="N7" s="337"/>
      <c r="O7" s="337"/>
    </row>
    <row r="8" spans="1:28" s="3" customFormat="1" ht="16.5" customHeight="1">
      <c r="A8" s="82" t="s">
        <v>690</v>
      </c>
    </row>
    <row r="9" spans="1:28" s="3" customFormat="1" ht="16.5" customHeight="1">
      <c r="A9" s="206" t="s">
        <v>38</v>
      </c>
      <c r="B9" s="614" t="s">
        <v>96</v>
      </c>
      <c r="C9" s="614"/>
      <c r="D9" s="614"/>
      <c r="E9" s="614" t="s">
        <v>97</v>
      </c>
      <c r="F9" s="614"/>
      <c r="G9" s="615"/>
    </row>
    <row r="10" spans="1:28" s="3" customFormat="1" ht="16.5" customHeight="1">
      <c r="A10" s="207" t="s">
        <v>66</v>
      </c>
      <c r="B10" s="208" t="s">
        <v>596</v>
      </c>
      <c r="C10" s="208" t="s">
        <v>597</v>
      </c>
      <c r="D10" s="208" t="s">
        <v>13</v>
      </c>
      <c r="E10" s="321" t="s">
        <v>596</v>
      </c>
      <c r="F10" s="321" t="s">
        <v>641</v>
      </c>
      <c r="G10" s="221" t="s">
        <v>14</v>
      </c>
    </row>
    <row r="11" spans="1:28" s="3" customFormat="1" ht="16.5" customHeight="1">
      <c r="A11" s="74" t="s">
        <v>89</v>
      </c>
      <c r="B11" s="91">
        <v>209166</v>
      </c>
      <c r="C11" s="36">
        <v>92602</v>
      </c>
      <c r="D11" s="225">
        <v>44.272013615979652</v>
      </c>
      <c r="E11" s="36">
        <v>63885</v>
      </c>
      <c r="F11" s="36">
        <v>20048</v>
      </c>
      <c r="G11" s="41">
        <v>31.381388432339357</v>
      </c>
    </row>
    <row r="12" spans="1:28" s="3" customFormat="1" ht="16.5" customHeight="1">
      <c r="A12" s="73" t="s">
        <v>99</v>
      </c>
      <c r="B12" s="90">
        <v>18642</v>
      </c>
      <c r="C12" s="14">
        <v>11627</v>
      </c>
      <c r="D12" s="172">
        <v>62.369917390837891</v>
      </c>
      <c r="E12" s="14">
        <v>8765</v>
      </c>
      <c r="F12" s="14">
        <v>3408</v>
      </c>
      <c r="G12" s="29">
        <v>38.881916714204223</v>
      </c>
    </row>
    <row r="13" spans="1:28" s="3" customFormat="1" ht="16.5" customHeight="1">
      <c r="A13" s="75" t="s">
        <v>100</v>
      </c>
      <c r="B13" s="173">
        <v>190524</v>
      </c>
      <c r="C13" s="174">
        <v>80975</v>
      </c>
      <c r="D13" s="175">
        <v>42.501207196993555</v>
      </c>
      <c r="E13" s="38">
        <v>55120</v>
      </c>
      <c r="F13" s="38">
        <v>16640</v>
      </c>
      <c r="G13" s="42">
        <v>30.188679245283019</v>
      </c>
    </row>
    <row r="14" spans="1:28" s="3" customFormat="1" ht="16.5" customHeight="1">
      <c r="A14" s="3" t="s">
        <v>364</v>
      </c>
    </row>
    <row r="15" spans="1:28" s="3" customFormat="1" ht="16.5" customHeight="1">
      <c r="A15" s="59"/>
      <c r="B15" s="59"/>
      <c r="C15" s="59"/>
    </row>
    <row r="16" spans="1:28" s="3" customFormat="1" ht="16.5" customHeight="1">
      <c r="A16" s="59" t="s">
        <v>653</v>
      </c>
      <c r="B16" s="59"/>
      <c r="C16" s="59"/>
      <c r="H16" s="137"/>
      <c r="I16" s="137"/>
    </row>
    <row r="17" spans="1:18" s="3" customFormat="1" ht="16.5" customHeight="1">
      <c r="H17" s="137"/>
    </row>
    <row r="18" spans="1:18" s="3" customFormat="1" ht="16.5" customHeight="1">
      <c r="A18" s="82" t="s">
        <v>654</v>
      </c>
      <c r="H18" s="82" t="s">
        <v>655</v>
      </c>
    </row>
    <row r="19" spans="1:18" s="3" customFormat="1" ht="16.5" customHeight="1">
      <c r="H19" s="137"/>
    </row>
    <row r="20" spans="1:18" s="3" customFormat="1" ht="16.5" customHeight="1">
      <c r="C20" s="154"/>
      <c r="D20" s="154" t="s">
        <v>0</v>
      </c>
      <c r="E20" s="154" t="s">
        <v>1</v>
      </c>
      <c r="L20" s="137"/>
    </row>
    <row r="21" spans="1:18" s="3" customFormat="1" ht="16.5" customHeight="1">
      <c r="C21" s="229" t="s">
        <v>365</v>
      </c>
      <c r="D21" s="154">
        <v>55.4</v>
      </c>
      <c r="E21" s="154">
        <v>30.4</v>
      </c>
      <c r="I21" s="58"/>
      <c r="K21" s="154" t="s">
        <v>2</v>
      </c>
      <c r="L21" s="154" t="s">
        <v>3</v>
      </c>
    </row>
    <row r="22" spans="1:18" s="3" customFormat="1" ht="16.5" customHeight="1">
      <c r="C22" s="229" t="s">
        <v>187</v>
      </c>
      <c r="D22" s="154">
        <v>60.2</v>
      </c>
      <c r="E22" s="154">
        <v>29.9</v>
      </c>
      <c r="I22" s="58"/>
      <c r="J22" s="58"/>
      <c r="K22" s="272">
        <v>28.832292167227298</v>
      </c>
      <c r="L22" s="272">
        <v>24.561403508771928</v>
      </c>
      <c r="R22" s="239"/>
    </row>
    <row r="23" spans="1:18" s="3" customFormat="1" ht="16.5" customHeight="1">
      <c r="C23" s="229" t="s">
        <v>188</v>
      </c>
      <c r="D23" s="154">
        <v>62.8</v>
      </c>
      <c r="E23" s="154">
        <v>31.1</v>
      </c>
      <c r="K23" s="272">
        <v>35.163851918129964</v>
      </c>
      <c r="L23" s="272">
        <v>29.435856544825214</v>
      </c>
      <c r="P23" s="153"/>
    </row>
    <row r="24" spans="1:18" s="3" customFormat="1" ht="16.5" customHeight="1">
      <c r="C24" s="229" t="s">
        <v>189</v>
      </c>
      <c r="D24" s="154">
        <v>66.099999999999994</v>
      </c>
      <c r="E24" s="154">
        <v>29.6</v>
      </c>
      <c r="K24" s="272">
        <v>38.799999999999997</v>
      </c>
      <c r="L24" s="272">
        <v>32.6</v>
      </c>
      <c r="P24" s="153"/>
    </row>
    <row r="25" spans="1:18" s="3" customFormat="1" ht="16.5" customHeight="1">
      <c r="C25" s="229" t="s">
        <v>190</v>
      </c>
      <c r="D25" s="154">
        <v>51.1</v>
      </c>
      <c r="E25" s="154">
        <v>27</v>
      </c>
      <c r="K25" s="272">
        <v>41.6</v>
      </c>
      <c r="L25" s="272">
        <v>33.9</v>
      </c>
      <c r="P25" s="153"/>
    </row>
    <row r="26" spans="1:18" s="3" customFormat="1" ht="16.5" customHeight="1">
      <c r="C26" s="229" t="s">
        <v>191</v>
      </c>
      <c r="D26" s="154">
        <v>62.3</v>
      </c>
      <c r="E26" s="154">
        <v>31.6</v>
      </c>
      <c r="K26" s="154">
        <v>39.4</v>
      </c>
      <c r="L26" s="154">
        <v>32.5</v>
      </c>
      <c r="P26" s="153"/>
    </row>
    <row r="27" spans="1:18" s="3" customFormat="1" ht="16.5" customHeight="1">
      <c r="C27" s="229" t="s">
        <v>192</v>
      </c>
      <c r="D27" s="154">
        <v>66.8</v>
      </c>
      <c r="E27" s="154">
        <v>36</v>
      </c>
      <c r="K27" s="154">
        <v>43.2</v>
      </c>
      <c r="L27" s="154">
        <v>33.200000000000003</v>
      </c>
      <c r="P27" s="153"/>
    </row>
    <row r="28" spans="1:18" s="3" customFormat="1" ht="16.5" customHeight="1">
      <c r="C28" s="229" t="s">
        <v>193</v>
      </c>
      <c r="D28" s="154">
        <v>68.099999999999994</v>
      </c>
      <c r="E28" s="154">
        <v>38.700000000000003</v>
      </c>
      <c r="K28" s="154">
        <v>38</v>
      </c>
      <c r="L28" s="154">
        <v>33.5</v>
      </c>
      <c r="P28" s="153"/>
    </row>
    <row r="29" spans="1:18" s="3" customFormat="1" ht="16.5" customHeight="1">
      <c r="C29" s="229" t="s">
        <v>194</v>
      </c>
      <c r="D29" s="154">
        <v>67</v>
      </c>
      <c r="E29" s="154">
        <v>40.9</v>
      </c>
      <c r="K29" s="154">
        <v>41.8</v>
      </c>
      <c r="L29" s="154">
        <v>33.200000000000003</v>
      </c>
      <c r="P29" s="153"/>
    </row>
    <row r="30" spans="1:18" s="3" customFormat="1" ht="16.5" customHeight="1">
      <c r="C30" s="229" t="s">
        <v>195</v>
      </c>
      <c r="D30" s="154">
        <v>65.099999999999994</v>
      </c>
      <c r="E30" s="154">
        <v>39.200000000000003</v>
      </c>
      <c r="K30" s="154">
        <v>40.799999999999997</v>
      </c>
      <c r="L30" s="154">
        <v>32.700000000000003</v>
      </c>
      <c r="P30" s="153"/>
    </row>
    <row r="31" spans="1:18" s="3" customFormat="1" ht="16.5" customHeight="1">
      <c r="C31" s="229" t="s">
        <v>196</v>
      </c>
      <c r="D31" s="154">
        <v>65.496817049543324</v>
      </c>
      <c r="E31" s="154">
        <v>39.807876946223367</v>
      </c>
      <c r="K31" s="154">
        <v>41.2</v>
      </c>
      <c r="L31" s="154">
        <v>31.2</v>
      </c>
      <c r="P31" s="153"/>
    </row>
    <row r="32" spans="1:18" s="3" customFormat="1" ht="16.5" customHeight="1">
      <c r="C32" s="229" t="s">
        <v>443</v>
      </c>
      <c r="D32" s="154">
        <v>65.734552702544264</v>
      </c>
      <c r="E32" s="154">
        <v>40.781923237297221</v>
      </c>
      <c r="H32" s="137"/>
      <c r="K32" s="154">
        <v>41.344331735592462</v>
      </c>
      <c r="L32" s="154">
        <v>33.482883860047004</v>
      </c>
      <c r="P32" s="153"/>
    </row>
    <row r="33" spans="3:21" s="3" customFormat="1" ht="16.5" customHeight="1">
      <c r="C33" s="229" t="s">
        <v>614</v>
      </c>
      <c r="D33" s="154">
        <v>67.47323747387091</v>
      </c>
      <c r="E33" s="154">
        <v>39.697265394823063</v>
      </c>
      <c r="H33" s="137"/>
      <c r="K33" s="154">
        <v>40.667998224589432</v>
      </c>
      <c r="L33" s="154">
        <v>33.603931561703675</v>
      </c>
      <c r="P33" s="153"/>
    </row>
    <row r="34" spans="3:21" s="3" customFormat="1" ht="16.5" customHeight="1">
      <c r="C34" s="229" t="s">
        <v>791</v>
      </c>
      <c r="D34" s="154">
        <v>65.06330611761922</v>
      </c>
      <c r="E34" s="154">
        <v>42.341359927830041</v>
      </c>
      <c r="H34" s="137"/>
      <c r="K34" s="154">
        <v>46.322628095121352</v>
      </c>
      <c r="L34" s="154">
        <v>32.001387950399035</v>
      </c>
      <c r="P34" s="153"/>
    </row>
    <row r="35" spans="3:21" s="3" customFormat="1" ht="16.5" customHeight="1">
      <c r="C35" s="229" t="s">
        <v>782</v>
      </c>
      <c r="D35" s="154">
        <v>62.369917390837891</v>
      </c>
      <c r="E35" s="154">
        <v>42.501207196993555</v>
      </c>
      <c r="H35" s="137"/>
      <c r="I35" s="58"/>
      <c r="J35" s="58"/>
      <c r="K35" s="154">
        <v>42.234557694578953</v>
      </c>
      <c r="L35" s="154">
        <v>30.961261494146758</v>
      </c>
      <c r="P35" s="153"/>
    </row>
    <row r="36" spans="3:21" s="3" customFormat="1" ht="16.5" customHeight="1">
      <c r="D36" s="58"/>
      <c r="E36" s="58"/>
      <c r="H36" s="137"/>
      <c r="I36" s="58"/>
      <c r="J36" s="58"/>
      <c r="K36" s="154">
        <v>38.881916714204223</v>
      </c>
      <c r="L36" s="154">
        <v>30.188679245283019</v>
      </c>
      <c r="P36" s="153"/>
    </row>
    <row r="37" spans="3:21" s="3" customFormat="1" ht="16.5" customHeight="1">
      <c r="D37" s="58"/>
      <c r="E37" s="58"/>
      <c r="H37" s="137"/>
      <c r="I37" s="58"/>
      <c r="J37" s="58"/>
      <c r="K37" s="58"/>
      <c r="P37" s="153"/>
    </row>
    <row r="38" spans="3:21" s="3" customFormat="1" ht="16.5" customHeight="1">
      <c r="D38" s="58"/>
      <c r="E38" s="58"/>
      <c r="H38" s="137"/>
      <c r="I38" s="58"/>
      <c r="J38" s="58"/>
      <c r="K38" s="58"/>
      <c r="P38" s="153"/>
    </row>
    <row r="39" spans="3:21" ht="16.5" customHeight="1">
      <c r="Q39" s="153"/>
      <c r="R39" s="153"/>
      <c r="S39" s="153"/>
      <c r="T39" s="153"/>
      <c r="U39" s="153"/>
    </row>
  </sheetData>
  <sheetProtection algorithmName="SHA-512" hashValue="Z0V7Wl9NPdiMK7QheVqgK69oZTEk+Fl8Q30GqeFRCOMchSXt7UCkSP5Km33B333VGP8UOacoVZJcgDiYR7+gtg==" saltValue="thj57kNlP6wyDV1WnmSE9Q==" spinCount="100000" sheet="1" objects="1" scenarios="1"/>
  <mergeCells count="14">
    <mergeCell ref="B9:D9"/>
    <mergeCell ref="E9:G9"/>
    <mergeCell ref="O3:O4"/>
    <mergeCell ref="M2:O2"/>
    <mergeCell ref="I3:I4"/>
    <mergeCell ref="J3:J4"/>
    <mergeCell ref="B2:B4"/>
    <mergeCell ref="K3:K4"/>
    <mergeCell ref="L3:L4"/>
    <mergeCell ref="M3:M4"/>
    <mergeCell ref="N3:N4"/>
    <mergeCell ref="H3:H4"/>
    <mergeCell ref="C2:L2"/>
    <mergeCell ref="C3:G3"/>
  </mergeCells>
  <phoneticPr fontId="6" type="noConversion"/>
  <pageMargins left="0.47244094488188981" right="0.15748031496062992" top="0.55118110236220474" bottom="3.937007874015748E-2" header="0.51181102362204722" footer="0"/>
  <pageSetup paperSize="9" scale="33"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M43"/>
  <sheetViews>
    <sheetView showGridLines="0" zoomScaleNormal="100" zoomScaleSheetLayoutView="100" workbookViewId="0"/>
  </sheetViews>
  <sheetFormatPr defaultRowHeight="16.5" customHeight="1"/>
  <cols>
    <col min="1" max="1" width="22.21875" style="86" customWidth="1"/>
    <col min="2" max="13" width="8" style="86" customWidth="1"/>
    <col min="14" max="16384" width="8.88671875" style="86"/>
  </cols>
  <sheetData>
    <row r="1" spans="1:13" s="1" customFormat="1" ht="16.5" customHeight="1">
      <c r="A1" s="105" t="s">
        <v>11</v>
      </c>
      <c r="B1" s="3"/>
      <c r="C1" s="3"/>
      <c r="D1" s="3"/>
      <c r="E1" s="3"/>
      <c r="F1" s="3"/>
      <c r="G1" s="3"/>
      <c r="H1" s="3"/>
      <c r="I1" s="3"/>
      <c r="J1" s="3"/>
      <c r="K1" s="3"/>
      <c r="L1" s="3"/>
      <c r="M1" s="3"/>
    </row>
    <row r="2" spans="1:13" s="1" customFormat="1" ht="30" customHeight="1">
      <c r="A2" s="541" t="s">
        <v>803</v>
      </c>
      <c r="B2" s="541"/>
      <c r="C2" s="541"/>
      <c r="D2" s="541"/>
      <c r="E2" s="541"/>
      <c r="F2" s="541"/>
      <c r="G2" s="541"/>
      <c r="H2" s="541"/>
      <c r="I2" s="541"/>
      <c r="J2" s="541"/>
      <c r="K2" s="541"/>
      <c r="L2" s="541"/>
      <c r="M2" s="541"/>
    </row>
    <row r="3" spans="1:13" s="1" customFormat="1" ht="16.5" customHeight="1">
      <c r="A3" s="3"/>
      <c r="B3" s="3"/>
      <c r="C3" s="3"/>
      <c r="D3" s="3"/>
      <c r="E3" s="3"/>
      <c r="F3" s="3"/>
      <c r="G3" s="3"/>
      <c r="H3" s="3"/>
      <c r="I3" s="3"/>
      <c r="J3" s="3"/>
      <c r="K3" s="3"/>
      <c r="L3" s="3"/>
      <c r="M3" s="3"/>
    </row>
    <row r="4" spans="1:13" s="1" customFormat="1" ht="16.5" customHeight="1">
      <c r="A4" s="82" t="s">
        <v>691</v>
      </c>
      <c r="B4" s="3"/>
      <c r="C4" s="3"/>
      <c r="D4" s="3"/>
      <c r="E4" s="3"/>
      <c r="F4" s="3"/>
      <c r="G4" s="3"/>
      <c r="H4" s="3"/>
      <c r="I4" s="3"/>
      <c r="J4" s="3"/>
      <c r="K4" s="3"/>
      <c r="L4" s="3"/>
      <c r="M4" s="3"/>
    </row>
    <row r="5" spans="1:13" s="1" customFormat="1" ht="16.5" customHeight="1">
      <c r="A5" s="165" t="s">
        <v>164</v>
      </c>
      <c r="B5" s="614" t="s">
        <v>89</v>
      </c>
      <c r="C5" s="614"/>
      <c r="D5" s="622" t="s">
        <v>96</v>
      </c>
      <c r="E5" s="614"/>
      <c r="F5" s="614"/>
      <c r="G5" s="615"/>
      <c r="H5" s="630" t="s">
        <v>97</v>
      </c>
      <c r="I5" s="614"/>
      <c r="J5" s="614"/>
      <c r="K5" s="631"/>
      <c r="L5" s="622" t="s">
        <v>98</v>
      </c>
      <c r="M5" s="615"/>
    </row>
    <row r="6" spans="1:13" s="1" customFormat="1" ht="16.5" customHeight="1">
      <c r="A6" s="138"/>
      <c r="B6" s="616"/>
      <c r="C6" s="616"/>
      <c r="D6" s="626" t="s">
        <v>99</v>
      </c>
      <c r="E6" s="616"/>
      <c r="F6" s="616" t="s">
        <v>100</v>
      </c>
      <c r="G6" s="628"/>
      <c r="H6" s="632" t="s">
        <v>269</v>
      </c>
      <c r="I6" s="616"/>
      <c r="J6" s="616" t="s">
        <v>270</v>
      </c>
      <c r="K6" s="633"/>
      <c r="L6" s="626"/>
      <c r="M6" s="628"/>
    </row>
    <row r="7" spans="1:13" s="1" customFormat="1" ht="16.5" customHeight="1">
      <c r="A7" s="138" t="s">
        <v>271</v>
      </c>
      <c r="B7" s="208" t="s">
        <v>101</v>
      </c>
      <c r="C7" s="208" t="s">
        <v>102</v>
      </c>
      <c r="D7" s="167" t="s">
        <v>272</v>
      </c>
      <c r="E7" s="208" t="s">
        <v>273</v>
      </c>
      <c r="F7" s="208" t="s">
        <v>272</v>
      </c>
      <c r="G7" s="221" t="s">
        <v>273</v>
      </c>
      <c r="H7" s="233" t="s">
        <v>272</v>
      </c>
      <c r="I7" s="208" t="s">
        <v>273</v>
      </c>
      <c r="J7" s="208" t="s">
        <v>272</v>
      </c>
      <c r="K7" s="234" t="s">
        <v>273</v>
      </c>
      <c r="L7" s="167" t="s">
        <v>272</v>
      </c>
      <c r="M7" s="221" t="s">
        <v>273</v>
      </c>
    </row>
    <row r="8" spans="1:13" s="1" customFormat="1" ht="16.5" customHeight="1">
      <c r="A8" s="166" t="s">
        <v>89</v>
      </c>
      <c r="B8" s="91">
        <v>115807</v>
      </c>
      <c r="C8" s="220">
        <v>122541</v>
      </c>
      <c r="D8" s="36">
        <v>7167</v>
      </c>
      <c r="E8" s="36">
        <v>8590</v>
      </c>
      <c r="F8" s="36">
        <v>67669</v>
      </c>
      <c r="G8" s="36">
        <v>71145</v>
      </c>
      <c r="H8" s="36">
        <v>4024</v>
      </c>
      <c r="I8" s="36">
        <v>4371</v>
      </c>
      <c r="J8" s="36">
        <v>26979</v>
      </c>
      <c r="K8" s="36">
        <v>28006</v>
      </c>
      <c r="L8" s="36">
        <v>9968</v>
      </c>
      <c r="M8" s="36">
        <v>10429</v>
      </c>
    </row>
    <row r="9" spans="1:13" s="1" customFormat="1" ht="16.5" customHeight="1">
      <c r="A9" s="73" t="s">
        <v>175</v>
      </c>
      <c r="B9" s="90">
        <v>4291</v>
      </c>
      <c r="C9" s="176">
        <v>4717</v>
      </c>
      <c r="D9" s="311">
        <v>2186</v>
      </c>
      <c r="E9" s="311">
        <v>2457</v>
      </c>
      <c r="F9" s="311">
        <v>809</v>
      </c>
      <c r="G9" s="311">
        <v>841</v>
      </c>
      <c r="H9" s="311">
        <v>965</v>
      </c>
      <c r="I9" s="311">
        <v>1057</v>
      </c>
      <c r="J9" s="311">
        <v>144</v>
      </c>
      <c r="K9" s="311">
        <v>149</v>
      </c>
      <c r="L9" s="311">
        <v>187</v>
      </c>
      <c r="M9" s="311">
        <v>213</v>
      </c>
    </row>
    <row r="10" spans="1:13" s="1" customFormat="1" ht="16.5" customHeight="1">
      <c r="A10" s="73" t="s">
        <v>94</v>
      </c>
      <c r="B10" s="90">
        <v>666</v>
      </c>
      <c r="C10" s="176">
        <v>836</v>
      </c>
      <c r="D10" s="242">
        <v>78</v>
      </c>
      <c r="E10" s="242">
        <v>124</v>
      </c>
      <c r="F10" s="242">
        <v>515</v>
      </c>
      <c r="G10" s="242">
        <v>628</v>
      </c>
      <c r="H10" s="242">
        <v>8</v>
      </c>
      <c r="I10" s="242">
        <v>10</v>
      </c>
      <c r="J10" s="242">
        <v>58</v>
      </c>
      <c r="K10" s="242">
        <v>67</v>
      </c>
      <c r="L10" s="242">
        <v>7</v>
      </c>
      <c r="M10" s="242">
        <v>7</v>
      </c>
    </row>
    <row r="11" spans="1:13" s="1" customFormat="1" ht="16.5" customHeight="1">
      <c r="A11" s="73" t="s">
        <v>95</v>
      </c>
      <c r="B11" s="90">
        <v>7143</v>
      </c>
      <c r="C11" s="176">
        <v>7308</v>
      </c>
      <c r="D11" s="242">
        <v>133</v>
      </c>
      <c r="E11" s="242">
        <v>145</v>
      </c>
      <c r="F11" s="242">
        <v>4884</v>
      </c>
      <c r="G11" s="242">
        <v>4987</v>
      </c>
      <c r="H11" s="242">
        <v>21</v>
      </c>
      <c r="I11" s="242">
        <v>21</v>
      </c>
      <c r="J11" s="242">
        <v>1475</v>
      </c>
      <c r="K11" s="242">
        <v>1502</v>
      </c>
      <c r="L11" s="242">
        <v>630</v>
      </c>
      <c r="M11" s="242">
        <v>653</v>
      </c>
    </row>
    <row r="12" spans="1:13" s="1" customFormat="1" ht="16.5" customHeight="1">
      <c r="A12" s="73" t="s">
        <v>834</v>
      </c>
      <c r="B12" s="90">
        <v>40</v>
      </c>
      <c r="C12" s="176">
        <v>46</v>
      </c>
      <c r="D12" s="242">
        <v>2</v>
      </c>
      <c r="E12" s="242">
        <v>2</v>
      </c>
      <c r="F12" s="242">
        <v>28</v>
      </c>
      <c r="G12" s="242">
        <v>29</v>
      </c>
      <c r="H12" s="242">
        <v>1</v>
      </c>
      <c r="I12" s="242">
        <v>1</v>
      </c>
      <c r="J12" s="242">
        <v>5</v>
      </c>
      <c r="K12" s="242">
        <v>5</v>
      </c>
      <c r="L12" s="242">
        <v>4</v>
      </c>
      <c r="M12" s="242">
        <v>9</v>
      </c>
    </row>
    <row r="13" spans="1:13" s="1" customFormat="1" ht="16.5" customHeight="1">
      <c r="A13" s="73" t="s">
        <v>274</v>
      </c>
      <c r="B13" s="90">
        <v>118</v>
      </c>
      <c r="C13" s="176">
        <v>118</v>
      </c>
      <c r="D13" s="242">
        <v>6</v>
      </c>
      <c r="E13" s="242">
        <v>6</v>
      </c>
      <c r="F13" s="242">
        <v>88</v>
      </c>
      <c r="G13" s="242">
        <v>88</v>
      </c>
      <c r="H13" s="242">
        <v>0</v>
      </c>
      <c r="I13" s="242">
        <v>0</v>
      </c>
      <c r="J13" s="242">
        <v>15</v>
      </c>
      <c r="K13" s="242">
        <v>15</v>
      </c>
      <c r="L13" s="242">
        <v>9</v>
      </c>
      <c r="M13" s="242">
        <v>9</v>
      </c>
    </row>
    <row r="14" spans="1:13" s="1" customFormat="1" ht="16.5" customHeight="1">
      <c r="A14" s="73" t="s">
        <v>275</v>
      </c>
      <c r="B14" s="90">
        <v>103529</v>
      </c>
      <c r="C14" s="176">
        <v>109496</v>
      </c>
      <c r="D14" s="311">
        <v>4762</v>
      </c>
      <c r="E14" s="311">
        <v>5856</v>
      </c>
      <c r="F14" s="311">
        <v>61345</v>
      </c>
      <c r="G14" s="311">
        <v>64572</v>
      </c>
      <c r="H14" s="311">
        <v>3029</v>
      </c>
      <c r="I14" s="311">
        <v>3282</v>
      </c>
      <c r="J14" s="311">
        <v>25282</v>
      </c>
      <c r="K14" s="311">
        <v>26268</v>
      </c>
      <c r="L14" s="311">
        <v>9111</v>
      </c>
      <c r="M14" s="311">
        <v>9518</v>
      </c>
    </row>
    <row r="15" spans="1:13" s="1" customFormat="1" ht="16.5" customHeight="1">
      <c r="A15" s="75" t="s">
        <v>276</v>
      </c>
      <c r="B15" s="173">
        <v>20</v>
      </c>
      <c r="C15" s="177">
        <v>20</v>
      </c>
      <c r="D15" s="319">
        <v>0</v>
      </c>
      <c r="E15" s="319">
        <v>0</v>
      </c>
      <c r="F15" s="319">
        <v>0</v>
      </c>
      <c r="G15" s="319">
        <v>0</v>
      </c>
      <c r="H15" s="319">
        <v>0</v>
      </c>
      <c r="I15" s="319">
        <v>0</v>
      </c>
      <c r="J15" s="319">
        <v>0</v>
      </c>
      <c r="K15" s="319">
        <v>0</v>
      </c>
      <c r="L15" s="319">
        <v>20</v>
      </c>
      <c r="M15" s="319">
        <v>20</v>
      </c>
    </row>
    <row r="16" spans="1:13" s="3" customFormat="1" ht="16.5" customHeight="1">
      <c r="A16" s="66" t="s">
        <v>277</v>
      </c>
      <c r="B16" s="139"/>
      <c r="C16" s="140"/>
      <c r="D16" s="95"/>
      <c r="E16" s="66"/>
      <c r="F16" s="66"/>
      <c r="G16" s="66"/>
      <c r="H16" s="66"/>
      <c r="I16" s="66"/>
      <c r="J16" s="66"/>
      <c r="K16" s="66"/>
      <c r="L16" s="66"/>
      <c r="M16" s="66"/>
    </row>
    <row r="17" spans="1:13" s="3" customFormat="1" ht="16.5" customHeight="1">
      <c r="A17" s="329" t="s">
        <v>804</v>
      </c>
      <c r="B17" s="120"/>
      <c r="C17" s="120"/>
      <c r="D17" s="120"/>
      <c r="E17" s="120"/>
      <c r="F17" s="120"/>
      <c r="G17" s="120"/>
      <c r="H17" s="120"/>
      <c r="I17" s="120"/>
      <c r="J17" s="120"/>
      <c r="K17" s="66"/>
      <c r="L17" s="66"/>
      <c r="M17" s="66"/>
    </row>
    <row r="18" spans="1:13" s="3" customFormat="1" ht="16.5" customHeight="1">
      <c r="A18" s="66"/>
      <c r="B18" s="66"/>
      <c r="C18" s="66"/>
      <c r="D18" s="66"/>
      <c r="E18" s="66"/>
      <c r="F18" s="66"/>
      <c r="G18" s="66"/>
      <c r="H18" s="66"/>
      <c r="I18" s="66"/>
      <c r="J18" s="66"/>
      <c r="K18" s="66"/>
      <c r="L18" s="66"/>
      <c r="M18" s="66"/>
    </row>
    <row r="19" spans="1:13" s="3" customFormat="1" ht="16.5" customHeight="1">
      <c r="A19" s="105" t="s">
        <v>278</v>
      </c>
      <c r="B19" s="66"/>
      <c r="C19" s="66"/>
      <c r="D19" s="66"/>
      <c r="E19" s="66"/>
      <c r="F19" s="66"/>
      <c r="G19" s="66"/>
      <c r="H19" s="66"/>
      <c r="I19" s="66"/>
      <c r="J19" s="66"/>
      <c r="K19" s="66"/>
      <c r="L19" s="66"/>
      <c r="M19" s="66" t="s">
        <v>279</v>
      </c>
    </row>
    <row r="20" spans="1:13" s="3" customFormat="1" ht="48" customHeight="1">
      <c r="A20" s="541" t="s">
        <v>825</v>
      </c>
      <c r="B20" s="541"/>
      <c r="C20" s="541"/>
      <c r="D20" s="541"/>
      <c r="E20" s="541"/>
      <c r="F20" s="541"/>
      <c r="G20" s="541"/>
      <c r="H20" s="541"/>
      <c r="I20" s="541"/>
      <c r="J20" s="541"/>
      <c r="K20" s="541"/>
      <c r="L20" s="541"/>
      <c r="M20" s="541"/>
    </row>
    <row r="21" spans="1:13" s="3" customFormat="1" ht="16.5" customHeight="1">
      <c r="A21" s="76"/>
      <c r="B21" s="76"/>
      <c r="C21" s="76"/>
      <c r="D21" s="76"/>
      <c r="E21" s="76"/>
      <c r="F21" s="76"/>
      <c r="G21" s="76"/>
      <c r="H21" s="76"/>
      <c r="I21" s="76"/>
      <c r="J21" s="76"/>
      <c r="K21" s="76"/>
      <c r="L21" s="76"/>
      <c r="M21" s="76"/>
    </row>
    <row r="22" spans="1:13" s="3" customFormat="1" ht="16.5" customHeight="1">
      <c r="A22" s="82" t="s">
        <v>692</v>
      </c>
    </row>
    <row r="23" spans="1:13" s="3" customFormat="1" ht="16.5" customHeight="1">
      <c r="A23" s="206" t="s">
        <v>366</v>
      </c>
      <c r="B23" s="537" t="s">
        <v>89</v>
      </c>
      <c r="C23" s="629" t="s">
        <v>367</v>
      </c>
      <c r="D23" s="629" t="s">
        <v>368</v>
      </c>
      <c r="E23" s="629" t="s">
        <v>369</v>
      </c>
      <c r="F23" s="629" t="s">
        <v>370</v>
      </c>
      <c r="G23" s="629" t="s">
        <v>371</v>
      </c>
      <c r="H23" s="629" t="s">
        <v>372</v>
      </c>
      <c r="I23" s="629" t="s">
        <v>373</v>
      </c>
      <c r="J23" s="629" t="s">
        <v>374</v>
      </c>
      <c r="K23" s="629" t="s">
        <v>375</v>
      </c>
      <c r="L23" s="627" t="s">
        <v>376</v>
      </c>
      <c r="M23" s="58"/>
    </row>
    <row r="24" spans="1:13" s="3" customFormat="1" ht="16.5" customHeight="1">
      <c r="A24" s="207" t="s">
        <v>164</v>
      </c>
      <c r="B24" s="537"/>
      <c r="C24" s="537"/>
      <c r="D24" s="537"/>
      <c r="E24" s="537"/>
      <c r="F24" s="537"/>
      <c r="G24" s="537"/>
      <c r="H24" s="537"/>
      <c r="I24" s="537"/>
      <c r="J24" s="537"/>
      <c r="K24" s="537"/>
      <c r="L24" s="539"/>
      <c r="M24" s="58"/>
    </row>
    <row r="25" spans="1:13" s="1" customFormat="1" ht="16.5" customHeight="1">
      <c r="A25" s="78" t="s">
        <v>201</v>
      </c>
      <c r="B25" s="101">
        <v>223504</v>
      </c>
      <c r="C25" s="36">
        <v>7529</v>
      </c>
      <c r="D25" s="36">
        <v>24146</v>
      </c>
      <c r="E25" s="36">
        <v>37396</v>
      </c>
      <c r="F25" s="36">
        <v>33599</v>
      </c>
      <c r="G25" s="36">
        <v>26491</v>
      </c>
      <c r="H25" s="36">
        <v>23028</v>
      </c>
      <c r="I25" s="36">
        <v>33107</v>
      </c>
      <c r="J25" s="36">
        <v>16180</v>
      </c>
      <c r="K25" s="36">
        <v>18025</v>
      </c>
      <c r="L25" s="36">
        <v>4003</v>
      </c>
      <c r="M25" s="13"/>
    </row>
    <row r="26" spans="1:13" s="7" customFormat="1" ht="16.5" customHeight="1">
      <c r="A26" s="31"/>
      <c r="B26" s="178">
        <v>100</v>
      </c>
      <c r="C26" s="46">
        <v>3.3686198009879016</v>
      </c>
      <c r="D26" s="46">
        <v>10.803386069153124</v>
      </c>
      <c r="E26" s="46">
        <v>16.731691602834847</v>
      </c>
      <c r="F26" s="46">
        <v>15.032840575560169</v>
      </c>
      <c r="G26" s="46">
        <v>11.852584293793401</v>
      </c>
      <c r="H26" s="46">
        <v>10.303171307896056</v>
      </c>
      <c r="I26" s="46">
        <v>14.812710287064213</v>
      </c>
      <c r="J26" s="46">
        <v>7.2392440403751159</v>
      </c>
      <c r="K26" s="46">
        <v>8.0647326222349491</v>
      </c>
      <c r="L26" s="46">
        <v>1.791019400100222</v>
      </c>
      <c r="M26" s="13"/>
    </row>
    <row r="27" spans="1:13" s="1" customFormat="1" ht="16.5" customHeight="1">
      <c r="A27" s="12" t="s">
        <v>198</v>
      </c>
      <c r="B27" s="100">
        <v>4725</v>
      </c>
      <c r="C27" s="14">
        <v>111</v>
      </c>
      <c r="D27" s="14">
        <v>486</v>
      </c>
      <c r="E27" s="242">
        <v>885</v>
      </c>
      <c r="F27" s="242">
        <v>842</v>
      </c>
      <c r="G27" s="242">
        <v>797</v>
      </c>
      <c r="H27" s="242">
        <v>1070</v>
      </c>
      <c r="I27" s="242">
        <v>230</v>
      </c>
      <c r="J27" s="242">
        <v>138</v>
      </c>
      <c r="K27" s="242">
        <v>125</v>
      </c>
      <c r="L27" s="242">
        <v>41</v>
      </c>
      <c r="M27" s="13"/>
    </row>
    <row r="28" spans="1:13" s="7" customFormat="1" ht="16.5" customHeight="1">
      <c r="A28" s="30" t="s">
        <v>99</v>
      </c>
      <c r="B28" s="170">
        <v>100</v>
      </c>
      <c r="C28" s="339">
        <v>2.3492063492063493</v>
      </c>
      <c r="D28" s="440">
        <v>10.285714285714285</v>
      </c>
      <c r="E28" s="440">
        <v>18.730158730158731</v>
      </c>
      <c r="F28" s="440">
        <v>17.82010582010582</v>
      </c>
      <c r="G28" s="440">
        <v>16.867724867724867</v>
      </c>
      <c r="H28" s="440">
        <v>22.7</v>
      </c>
      <c r="I28" s="440">
        <v>4.8677248677248679</v>
      </c>
      <c r="J28" s="440">
        <v>2.9206349206349209</v>
      </c>
      <c r="K28" s="440">
        <v>2.6455026455026456</v>
      </c>
      <c r="L28" s="440">
        <v>0.86772486772486779</v>
      </c>
      <c r="M28" s="13"/>
    </row>
    <row r="29" spans="1:13" s="1" customFormat="1" ht="16.5" customHeight="1">
      <c r="A29" s="12" t="s">
        <v>280</v>
      </c>
      <c r="B29" s="100">
        <v>15075</v>
      </c>
      <c r="C29" s="14">
        <v>392</v>
      </c>
      <c r="D29" s="14">
        <v>1749</v>
      </c>
      <c r="E29" s="242">
        <v>1992</v>
      </c>
      <c r="F29" s="242">
        <v>1800</v>
      </c>
      <c r="G29" s="242">
        <v>1546</v>
      </c>
      <c r="H29" s="242">
        <v>1435</v>
      </c>
      <c r="I29" s="242">
        <v>2349</v>
      </c>
      <c r="J29" s="242">
        <v>1379</v>
      </c>
      <c r="K29" s="242">
        <v>1762</v>
      </c>
      <c r="L29" s="242">
        <v>671</v>
      </c>
      <c r="M29" s="13"/>
    </row>
    <row r="30" spans="1:13" s="7" customFormat="1" ht="16.5" customHeight="1">
      <c r="A30" s="30"/>
      <c r="B30" s="170">
        <v>100</v>
      </c>
      <c r="C30" s="301">
        <v>2.6003316749585408</v>
      </c>
      <c r="D30" s="440">
        <v>11.601990049751244</v>
      </c>
      <c r="E30" s="440">
        <v>13.213930348258707</v>
      </c>
      <c r="F30" s="440">
        <v>11.940298507462686</v>
      </c>
      <c r="G30" s="440">
        <v>10.255389718076286</v>
      </c>
      <c r="H30" s="440">
        <v>9.519071310116086</v>
      </c>
      <c r="I30" s="440">
        <v>15.582089552238806</v>
      </c>
      <c r="J30" s="440">
        <v>9.1475953565505801</v>
      </c>
      <c r="K30" s="440">
        <v>11.688225538971809</v>
      </c>
      <c r="L30" s="440">
        <v>4.4510779436152577</v>
      </c>
      <c r="M30" s="13"/>
    </row>
    <row r="31" spans="1:13" s="1" customFormat="1" ht="16.5" customHeight="1">
      <c r="A31" s="12" t="s">
        <v>198</v>
      </c>
      <c r="B31" s="100">
        <v>13646</v>
      </c>
      <c r="C31" s="14">
        <v>553</v>
      </c>
      <c r="D31" s="14">
        <v>3308</v>
      </c>
      <c r="E31" s="242">
        <v>3043</v>
      </c>
      <c r="F31" s="242">
        <v>1920</v>
      </c>
      <c r="G31" s="242">
        <v>1565</v>
      </c>
      <c r="H31" s="242">
        <v>1874</v>
      </c>
      <c r="I31" s="242">
        <v>644</v>
      </c>
      <c r="J31" s="242">
        <v>438</v>
      </c>
      <c r="K31" s="242">
        <v>237</v>
      </c>
      <c r="L31" s="242">
        <v>64</v>
      </c>
      <c r="M31" s="13"/>
    </row>
    <row r="32" spans="1:13" s="7" customFormat="1" ht="16.5" customHeight="1">
      <c r="A32" s="30" t="s">
        <v>100</v>
      </c>
      <c r="B32" s="170">
        <v>100</v>
      </c>
      <c r="C32" s="339">
        <v>4.0524695881577015</v>
      </c>
      <c r="D32" s="440">
        <v>24.241535981239924</v>
      </c>
      <c r="E32" s="440">
        <v>22.299574967023304</v>
      </c>
      <c r="F32" s="440">
        <v>14.070057159607211</v>
      </c>
      <c r="G32" s="440">
        <v>11.468562216034002</v>
      </c>
      <c r="H32" s="440">
        <v>13.73296204015829</v>
      </c>
      <c r="I32" s="440">
        <v>4.7193316722849188</v>
      </c>
      <c r="J32" s="440">
        <v>3.209731789535395</v>
      </c>
      <c r="K32" s="440">
        <v>1.7367726806390154</v>
      </c>
      <c r="L32" s="440">
        <v>0.46900190532024033</v>
      </c>
      <c r="M32" s="13"/>
    </row>
    <row r="33" spans="1:13" s="1" customFormat="1" ht="16.5" customHeight="1">
      <c r="A33" s="12" t="s">
        <v>280</v>
      </c>
      <c r="B33" s="100">
        <v>190058</v>
      </c>
      <c r="C33" s="14">
        <v>6473</v>
      </c>
      <c r="D33" s="14">
        <v>18603</v>
      </c>
      <c r="E33" s="242">
        <v>31476</v>
      </c>
      <c r="F33" s="242">
        <v>29037</v>
      </c>
      <c r="G33" s="242">
        <v>22583</v>
      </c>
      <c r="H33" s="242">
        <v>18649</v>
      </c>
      <c r="I33" s="242">
        <v>29884</v>
      </c>
      <c r="J33" s="242">
        <v>14225</v>
      </c>
      <c r="K33" s="242">
        <v>15901</v>
      </c>
      <c r="L33" s="242">
        <v>3227</v>
      </c>
      <c r="M33" s="13"/>
    </row>
    <row r="34" spans="1:13" s="7" customFormat="1" ht="16.5" customHeight="1">
      <c r="A34" s="30"/>
      <c r="B34" s="170">
        <v>100</v>
      </c>
      <c r="C34" s="336">
        <v>3.405802439255385</v>
      </c>
      <c r="D34" s="440">
        <v>9.7880646960401574</v>
      </c>
      <c r="E34" s="440">
        <v>16.56126024687201</v>
      </c>
      <c r="F34" s="440">
        <v>15.277967778257166</v>
      </c>
      <c r="G34" s="440">
        <v>11.882162287301771</v>
      </c>
      <c r="H34" s="440">
        <v>9.8122678340296119</v>
      </c>
      <c r="I34" s="440">
        <v>15.6</v>
      </c>
      <c r="J34" s="440">
        <v>7.4845573456523802</v>
      </c>
      <c r="K34" s="440">
        <v>8.3663934167464671</v>
      </c>
      <c r="L34" s="440">
        <v>1.6979027454776963</v>
      </c>
      <c r="M34" s="20"/>
    </row>
    <row r="35" spans="1:13" s="1" customFormat="1" ht="16.5" customHeight="1">
      <c r="A35" s="78" t="s">
        <v>202</v>
      </c>
      <c r="B35" s="101">
        <v>70036</v>
      </c>
      <c r="C35" s="36">
        <v>2030</v>
      </c>
      <c r="D35" s="36">
        <v>4817</v>
      </c>
      <c r="E35" s="243">
        <v>11556</v>
      </c>
      <c r="F35" s="243">
        <v>8539</v>
      </c>
      <c r="G35" s="243">
        <v>6147</v>
      </c>
      <c r="H35" s="243">
        <v>5390</v>
      </c>
      <c r="I35" s="243">
        <v>10997</v>
      </c>
      <c r="J35" s="243">
        <v>9403</v>
      </c>
      <c r="K35" s="243">
        <v>10719</v>
      </c>
      <c r="L35" s="243">
        <v>438</v>
      </c>
      <c r="M35" s="13"/>
    </row>
    <row r="36" spans="1:13" s="7" customFormat="1" ht="16.5" customHeight="1">
      <c r="A36" s="31"/>
      <c r="B36" s="178">
        <v>100</v>
      </c>
      <c r="C36" s="46">
        <v>2.8985093380547147</v>
      </c>
      <c r="D36" s="46">
        <v>6.8778913701524935</v>
      </c>
      <c r="E36" s="46">
        <v>16.500085670226742</v>
      </c>
      <c r="F36" s="46">
        <v>12.192301102290251</v>
      </c>
      <c r="G36" s="46">
        <v>8.7769147295676504</v>
      </c>
      <c r="H36" s="46">
        <v>7.696042035524588</v>
      </c>
      <c r="I36" s="46">
        <v>15.701924724427437</v>
      </c>
      <c r="J36" s="46">
        <v>13.425952367353933</v>
      </c>
      <c r="K36" s="46">
        <v>15.3049860071963</v>
      </c>
      <c r="L36" s="46">
        <v>0.62539265520589415</v>
      </c>
      <c r="M36" s="13"/>
    </row>
    <row r="37" spans="1:13" s="1" customFormat="1" ht="16.5" customHeight="1">
      <c r="A37" s="12" t="s">
        <v>60</v>
      </c>
      <c r="B37" s="100">
        <v>9201</v>
      </c>
      <c r="C37" s="14">
        <v>192</v>
      </c>
      <c r="D37" s="242">
        <v>417</v>
      </c>
      <c r="E37" s="242">
        <v>1673</v>
      </c>
      <c r="F37" s="242">
        <v>1852</v>
      </c>
      <c r="G37" s="242">
        <v>1664</v>
      </c>
      <c r="H37" s="242">
        <v>1375</v>
      </c>
      <c r="I37" s="242">
        <v>1238</v>
      </c>
      <c r="J37" s="242">
        <v>382</v>
      </c>
      <c r="K37" s="242">
        <v>318</v>
      </c>
      <c r="L37" s="242">
        <v>90</v>
      </c>
      <c r="M37" s="13"/>
    </row>
    <row r="38" spans="1:13" s="7" customFormat="1" ht="16.5" customHeight="1">
      <c r="A38" s="30"/>
      <c r="B38" s="170">
        <v>100</v>
      </c>
      <c r="C38" s="339">
        <v>2.0867297032931202</v>
      </c>
      <c r="D38" s="440">
        <v>4.5321160743397453</v>
      </c>
      <c r="E38" s="440">
        <v>18.182806216715576</v>
      </c>
      <c r="F38" s="440">
        <v>20.128246929681556</v>
      </c>
      <c r="G38" s="440">
        <v>18.084990761873708</v>
      </c>
      <c r="H38" s="440">
        <v>14.944027823062711</v>
      </c>
      <c r="I38" s="440">
        <v>13.455059232692099</v>
      </c>
      <c r="J38" s="440">
        <v>4.1517226388436042</v>
      </c>
      <c r="K38" s="440">
        <v>3.4</v>
      </c>
      <c r="L38" s="440">
        <v>0.97815454841865013</v>
      </c>
      <c r="M38" s="13"/>
    </row>
    <row r="39" spans="1:13" s="1" customFormat="1" ht="16.5" customHeight="1">
      <c r="A39" s="12" t="s">
        <v>7</v>
      </c>
      <c r="B39" s="100">
        <v>60835</v>
      </c>
      <c r="C39" s="14">
        <v>1838</v>
      </c>
      <c r="D39" s="14">
        <v>4400</v>
      </c>
      <c r="E39" s="242">
        <v>9883</v>
      </c>
      <c r="F39" s="242">
        <v>6687</v>
      </c>
      <c r="G39" s="242">
        <v>4483</v>
      </c>
      <c r="H39" s="242">
        <v>4015</v>
      </c>
      <c r="I39" s="242">
        <v>9759</v>
      </c>
      <c r="J39" s="242">
        <v>9021</v>
      </c>
      <c r="K39" s="242">
        <v>10401</v>
      </c>
      <c r="L39" s="242">
        <v>348</v>
      </c>
      <c r="M39" s="13"/>
    </row>
    <row r="40" spans="1:13" s="7" customFormat="1" ht="16.5" customHeight="1">
      <c r="A40" s="30"/>
      <c r="B40" s="170">
        <v>100</v>
      </c>
      <c r="C40" s="310">
        <v>3.0212870880249856</v>
      </c>
      <c r="D40" s="440">
        <v>7.2326785567518703</v>
      </c>
      <c r="E40" s="440">
        <v>16.245582312813347</v>
      </c>
      <c r="F40" s="440">
        <v>10.992027615681762</v>
      </c>
      <c r="G40" s="440">
        <v>7.369113174981508</v>
      </c>
      <c r="H40" s="440">
        <v>6.5998191830360806</v>
      </c>
      <c r="I40" s="440">
        <v>16.041752280759429</v>
      </c>
      <c r="J40" s="440">
        <v>14.828634831922413</v>
      </c>
      <c r="K40" s="440">
        <v>17.097065833812771</v>
      </c>
      <c r="L40" s="440">
        <v>0.7</v>
      </c>
      <c r="M40" s="315"/>
    </row>
    <row r="41" spans="1:13" s="1" customFormat="1" ht="16.5" customHeight="1">
      <c r="A41" s="78" t="s">
        <v>98</v>
      </c>
      <c r="B41" s="101">
        <v>19432</v>
      </c>
      <c r="C41" s="36">
        <v>2327</v>
      </c>
      <c r="D41" s="36">
        <v>10139</v>
      </c>
      <c r="E41" s="243">
        <v>3737</v>
      </c>
      <c r="F41" s="243">
        <v>1141</v>
      </c>
      <c r="G41" s="243">
        <v>579</v>
      </c>
      <c r="H41" s="243">
        <v>351</v>
      </c>
      <c r="I41" s="243">
        <v>519</v>
      </c>
      <c r="J41" s="243">
        <v>182</v>
      </c>
      <c r="K41" s="243">
        <v>275</v>
      </c>
      <c r="L41" s="243">
        <v>182</v>
      </c>
      <c r="M41" s="13"/>
    </row>
    <row r="42" spans="1:13" s="7" customFormat="1" ht="16.5" customHeight="1">
      <c r="A42" s="141"/>
      <c r="B42" s="171">
        <v>100</v>
      </c>
      <c r="C42" s="316">
        <v>11.975092630712227</v>
      </c>
      <c r="D42" s="316">
        <v>52.176821737340475</v>
      </c>
      <c r="E42" s="316">
        <v>19.231165088513791</v>
      </c>
      <c r="F42" s="316">
        <v>5.8717579250720462</v>
      </c>
      <c r="G42" s="316">
        <v>2.979621243310004</v>
      </c>
      <c r="H42" s="316">
        <v>1.8062988884314533</v>
      </c>
      <c r="I42" s="316">
        <v>2.6708522025524908</v>
      </c>
      <c r="J42" s="316">
        <v>0.93659942363112392</v>
      </c>
      <c r="K42" s="316">
        <v>1.4151914368052696</v>
      </c>
      <c r="L42" s="316">
        <v>0.93659942363112392</v>
      </c>
      <c r="M42" s="13"/>
    </row>
    <row r="43" spans="1:13" s="3" customFormat="1" ht="16.5" customHeight="1">
      <c r="A43" s="3" t="s">
        <v>281</v>
      </c>
      <c r="C43" s="66"/>
      <c r="D43" s="66"/>
      <c r="E43" s="66"/>
      <c r="F43" s="66"/>
      <c r="G43" s="66"/>
      <c r="H43" s="66"/>
      <c r="I43" s="66"/>
      <c r="J43" s="66"/>
      <c r="K43" s="66"/>
      <c r="L43" s="66"/>
      <c r="M43" s="58"/>
    </row>
  </sheetData>
  <sheetProtection algorithmName="SHA-512" hashValue="8lrj/Ew6xopB+OTN9mRbsrlBhd7Uf8d7qAsyyKCgpjEluTPL2Yye0tpdUDvn9tNcQ+UhAU8BXu5mWwSMy7i+Yg==" saltValue="Vs5H6RRV841hAfaeScdDyg==" spinCount="100000" sheet="1" objects="1" scenarios="1"/>
  <mergeCells count="21">
    <mergeCell ref="A2:M2"/>
    <mergeCell ref="J23:J24"/>
    <mergeCell ref="H5:K5"/>
    <mergeCell ref="K23:K24"/>
    <mergeCell ref="F6:G6"/>
    <mergeCell ref="I23:I24"/>
    <mergeCell ref="B5:C6"/>
    <mergeCell ref="G23:G24"/>
    <mergeCell ref="H6:I6"/>
    <mergeCell ref="H23:H24"/>
    <mergeCell ref="A20:M20"/>
    <mergeCell ref="B23:B24"/>
    <mergeCell ref="C23:C24"/>
    <mergeCell ref="D23:D24"/>
    <mergeCell ref="J6:K6"/>
    <mergeCell ref="D5:G5"/>
    <mergeCell ref="D6:E6"/>
    <mergeCell ref="L23:L24"/>
    <mergeCell ref="L5:M6"/>
    <mergeCell ref="F23:F24"/>
    <mergeCell ref="E23:E24"/>
  </mergeCells>
  <phoneticPr fontId="6" type="noConversion"/>
  <pageMargins left="0" right="0" top="0.51181102362204722" bottom="0.35433070866141736" header="0.51181102362204722" footer="0.51181102362204722"/>
  <pageSetup paperSize="9" scale="39" pageOrder="overThenDown" orientation="portrait" horizontalDpi="1200" verticalDpi="12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J55"/>
  <sheetViews>
    <sheetView showGridLines="0" zoomScaleNormal="100" zoomScaleSheetLayoutView="100" workbookViewId="0"/>
  </sheetViews>
  <sheetFormatPr defaultRowHeight="16.5" customHeight="1"/>
  <cols>
    <col min="1" max="1" width="14.44140625" style="86" customWidth="1"/>
    <col min="2" max="8" width="12.21875" style="86" customWidth="1"/>
    <col min="9" max="9" width="8.88671875" style="87" customWidth="1"/>
    <col min="10" max="16384" width="8.88671875" style="86"/>
  </cols>
  <sheetData>
    <row r="1" spans="1:9" s="3" customFormat="1" ht="16.5" customHeight="1">
      <c r="A1" s="82" t="s">
        <v>693</v>
      </c>
      <c r="D1" s="59"/>
      <c r="E1" s="59"/>
      <c r="F1" s="59"/>
      <c r="G1" s="142" t="s">
        <v>65</v>
      </c>
      <c r="H1" s="104"/>
      <c r="I1" s="58"/>
    </row>
    <row r="2" spans="1:9" s="3" customFormat="1" ht="16.5" customHeight="1">
      <c r="A2" s="165" t="s">
        <v>164</v>
      </c>
      <c r="B2" s="614" t="s">
        <v>96</v>
      </c>
      <c r="C2" s="614"/>
      <c r="D2" s="614" t="s">
        <v>97</v>
      </c>
      <c r="E2" s="614"/>
      <c r="F2" s="614" t="s">
        <v>98</v>
      </c>
      <c r="G2" s="615"/>
      <c r="I2" s="83"/>
    </row>
    <row r="3" spans="1:9" s="3" customFormat="1" ht="16.5" customHeight="1">
      <c r="A3" s="138" t="s">
        <v>163</v>
      </c>
      <c r="B3" s="208" t="s">
        <v>99</v>
      </c>
      <c r="C3" s="208" t="s">
        <v>100</v>
      </c>
      <c r="D3" s="208" t="s">
        <v>380</v>
      </c>
      <c r="E3" s="208" t="s">
        <v>381</v>
      </c>
      <c r="F3" s="208" t="s">
        <v>382</v>
      </c>
      <c r="G3" s="221" t="s">
        <v>383</v>
      </c>
    </row>
    <row r="4" spans="1:9" s="3" customFormat="1" ht="16.5" customHeight="1">
      <c r="A4" s="73" t="s">
        <v>198</v>
      </c>
      <c r="B4" s="235">
        <v>141.27960177928401</v>
      </c>
      <c r="C4" s="226">
        <v>116.808752382349</v>
      </c>
      <c r="D4" s="235">
        <v>127.384375608806</v>
      </c>
      <c r="E4" s="226">
        <v>99.921617080162093</v>
      </c>
      <c r="F4" s="29">
        <v>55.694575459420044</v>
      </c>
      <c r="G4" s="29">
        <v>42.358016017985101</v>
      </c>
    </row>
    <row r="5" spans="1:9" s="3" customFormat="1" ht="16.5" customHeight="1">
      <c r="A5" s="179" t="s">
        <v>199</v>
      </c>
      <c r="B5" s="182">
        <v>223.650013304949</v>
      </c>
      <c r="C5" s="226">
        <v>182.53268961450601</v>
      </c>
      <c r="D5" s="235">
        <v>191.670614359734</v>
      </c>
      <c r="E5" s="226">
        <v>274.79883072672601</v>
      </c>
      <c r="F5" s="180">
        <v>173.94002404002163</v>
      </c>
      <c r="G5" s="42">
        <v>101.392359871474</v>
      </c>
    </row>
    <row r="6" spans="1:9" s="3" customFormat="1" ht="16.5" customHeight="1">
      <c r="A6" s="155" t="s">
        <v>581</v>
      </c>
      <c r="B6" s="143"/>
      <c r="C6" s="143"/>
      <c r="D6" s="143"/>
      <c r="E6" s="143"/>
      <c r="F6" s="143"/>
      <c r="G6" s="143"/>
    </row>
    <row r="7" spans="1:9" s="3" customFormat="1" ht="16.5" customHeight="1">
      <c r="A7" s="157"/>
      <c r="B7" s="144"/>
      <c r="C7" s="144"/>
      <c r="D7" s="144"/>
      <c r="E7" s="144"/>
      <c r="F7" s="144"/>
      <c r="G7" s="144"/>
    </row>
    <row r="8" spans="1:9" s="3" customFormat="1" ht="16.5" customHeight="1">
      <c r="A8" s="145" t="s">
        <v>694</v>
      </c>
      <c r="B8" s="146"/>
      <c r="C8" s="147"/>
      <c r="D8" s="147"/>
      <c r="E8" s="147"/>
      <c r="F8" s="147"/>
      <c r="G8" s="148" t="s">
        <v>103</v>
      </c>
      <c r="I8" s="112"/>
    </row>
    <row r="9" spans="1:9" s="3" customFormat="1" ht="16.5" customHeight="1">
      <c r="A9" s="322" t="s">
        <v>579</v>
      </c>
      <c r="B9" s="614" t="s">
        <v>377</v>
      </c>
      <c r="C9" s="614"/>
      <c r="D9" s="614" t="s">
        <v>378</v>
      </c>
      <c r="E9" s="614"/>
      <c r="F9" s="614" t="s">
        <v>379</v>
      </c>
      <c r="G9" s="615"/>
      <c r="H9" s="112"/>
      <c r="I9" s="58"/>
    </row>
    <row r="10" spans="1:9" s="3" customFormat="1" ht="16.5" customHeight="1">
      <c r="A10" s="138" t="s">
        <v>163</v>
      </c>
      <c r="B10" s="208" t="s">
        <v>99</v>
      </c>
      <c r="C10" s="208" t="s">
        <v>100</v>
      </c>
      <c r="D10" s="208" t="s">
        <v>380</v>
      </c>
      <c r="E10" s="208" t="s">
        <v>381</v>
      </c>
      <c r="F10" s="412" t="s">
        <v>382</v>
      </c>
      <c r="G10" s="413" t="s">
        <v>383</v>
      </c>
      <c r="H10" s="112"/>
      <c r="I10" s="58"/>
    </row>
    <row r="11" spans="1:9" s="3" customFormat="1" ht="16.5" customHeight="1">
      <c r="A11" s="168" t="s">
        <v>267</v>
      </c>
      <c r="B11" s="90">
        <v>6835</v>
      </c>
      <c r="C11" s="257">
        <v>114209</v>
      </c>
      <c r="D11" s="90">
        <v>4965</v>
      </c>
      <c r="E11" s="257">
        <v>33309</v>
      </c>
      <c r="F11" s="242">
        <v>2574</v>
      </c>
      <c r="G11" s="242">
        <v>13892</v>
      </c>
      <c r="H11" s="112"/>
      <c r="I11" s="58"/>
    </row>
    <row r="12" spans="1:9" s="3" customFormat="1" ht="16.5" customHeight="1">
      <c r="A12" s="181" t="s">
        <v>268</v>
      </c>
      <c r="B12" s="182">
        <v>185.17</v>
      </c>
      <c r="C12" s="175">
        <v>161.41999999999999</v>
      </c>
      <c r="D12" s="182">
        <v>396.05</v>
      </c>
      <c r="E12" s="175">
        <v>465.54</v>
      </c>
      <c r="F12" s="180">
        <v>586.41999999999996</v>
      </c>
      <c r="G12" s="42">
        <v>550.78</v>
      </c>
      <c r="H12" s="87"/>
      <c r="I12" s="58"/>
    </row>
    <row r="13" spans="1:9" s="3" customFormat="1" ht="16.5" customHeight="1">
      <c r="A13" s="155" t="s">
        <v>799</v>
      </c>
      <c r="B13" s="147"/>
      <c r="C13" s="147"/>
      <c r="D13" s="147"/>
      <c r="E13" s="147"/>
      <c r="F13" s="147"/>
      <c r="G13" s="147"/>
      <c r="H13" s="147"/>
      <c r="I13" s="87"/>
    </row>
    <row r="14" spans="1:9" s="3" customFormat="1" ht="16.5" customHeight="1">
      <c r="A14" s="155" t="s">
        <v>582</v>
      </c>
      <c r="B14" s="147"/>
      <c r="C14" s="147"/>
      <c r="D14" s="147"/>
      <c r="E14" s="147"/>
      <c r="F14" s="147"/>
      <c r="G14" s="147"/>
      <c r="H14" s="147"/>
      <c r="I14" s="87"/>
    </row>
    <row r="15" spans="1:9" s="3" customFormat="1" ht="16.5" customHeight="1">
      <c r="A15" s="156" t="s">
        <v>583</v>
      </c>
      <c r="B15" s="147"/>
      <c r="C15" s="147"/>
      <c r="D15" s="147"/>
      <c r="E15" s="147"/>
      <c r="F15" s="147"/>
      <c r="G15" s="147"/>
      <c r="H15" s="147"/>
      <c r="I15" s="58"/>
    </row>
    <row r="16" spans="1:9" s="3" customFormat="1" ht="16.5" customHeight="1">
      <c r="H16" s="59"/>
    </row>
    <row r="17" spans="1:10" s="122" customFormat="1" ht="16.5" customHeight="1">
      <c r="A17" s="145" t="s">
        <v>656</v>
      </c>
      <c r="B17" s="3"/>
      <c r="C17" s="3"/>
      <c r="D17" s="3"/>
      <c r="E17" s="145" t="s">
        <v>657</v>
      </c>
      <c r="F17" s="3"/>
      <c r="G17" s="3"/>
      <c r="H17" s="3"/>
      <c r="I17" s="149"/>
    </row>
    <row r="18" spans="1:10" s="122" customFormat="1" ht="16.5" customHeight="1">
      <c r="I18" s="149"/>
    </row>
    <row r="19" spans="1:10" s="122" customFormat="1" ht="16.5" customHeight="1">
      <c r="I19" s="149"/>
    </row>
    <row r="20" spans="1:10" s="122" customFormat="1" ht="16.5" customHeight="1">
      <c r="I20" s="149"/>
    </row>
    <row r="21" spans="1:10" s="122" customFormat="1" ht="16.5" customHeight="1">
      <c r="I21" s="149"/>
    </row>
    <row r="22" spans="1:10" s="122" customFormat="1" ht="16.5" customHeight="1">
      <c r="I22" s="149"/>
    </row>
    <row r="23" spans="1:10" s="122" customFormat="1" ht="16.5" customHeight="1">
      <c r="A23" s="151"/>
      <c r="B23" s="151" t="s">
        <v>1</v>
      </c>
      <c r="C23" s="151" t="s">
        <v>0</v>
      </c>
      <c r="I23" s="149"/>
    </row>
    <row r="24" spans="1:10" s="122" customFormat="1" ht="16.5" customHeight="1">
      <c r="A24" s="152" t="s">
        <v>64</v>
      </c>
      <c r="B24" s="154">
        <v>100.4</v>
      </c>
      <c r="C24" s="154">
        <v>133.9</v>
      </c>
      <c r="F24" s="151" t="s">
        <v>18</v>
      </c>
      <c r="G24" s="151" t="s">
        <v>437</v>
      </c>
      <c r="H24" s="151" t="s">
        <v>438</v>
      </c>
      <c r="I24" s="149"/>
    </row>
    <row r="25" spans="1:10" s="122" customFormat="1" ht="16.5" customHeight="1">
      <c r="A25" s="152" t="s">
        <v>67</v>
      </c>
      <c r="B25" s="154">
        <v>113.4</v>
      </c>
      <c r="C25" s="154">
        <v>150.4</v>
      </c>
      <c r="F25" s="154">
        <v>101.6</v>
      </c>
      <c r="G25" s="154">
        <v>109.7</v>
      </c>
      <c r="H25" s="154">
        <v>161.80000000000001</v>
      </c>
      <c r="I25" s="149"/>
    </row>
    <row r="26" spans="1:10" s="122" customFormat="1" ht="16.5" customHeight="1">
      <c r="A26" s="151" t="s">
        <v>68</v>
      </c>
      <c r="B26" s="154">
        <v>115.5</v>
      </c>
      <c r="C26" s="154">
        <v>148.69999999999999</v>
      </c>
      <c r="F26" s="154">
        <v>112.9</v>
      </c>
      <c r="G26" s="154">
        <v>124.9</v>
      </c>
      <c r="H26" s="154">
        <v>149</v>
      </c>
      <c r="I26" s="149"/>
      <c r="J26" s="150"/>
    </row>
    <row r="27" spans="1:10" s="122" customFormat="1" ht="16.5" customHeight="1">
      <c r="A27" s="151" t="s">
        <v>80</v>
      </c>
      <c r="B27" s="154">
        <v>119.4</v>
      </c>
      <c r="C27" s="154">
        <v>153.30000000000001</v>
      </c>
      <c r="F27" s="154">
        <v>85</v>
      </c>
      <c r="G27" s="154">
        <v>137.1</v>
      </c>
      <c r="H27" s="154">
        <v>135.19999999999999</v>
      </c>
      <c r="I27" s="149"/>
      <c r="J27" s="150"/>
    </row>
    <row r="28" spans="1:10" s="122" customFormat="1" ht="16.5" customHeight="1">
      <c r="A28" s="151" t="s">
        <v>83</v>
      </c>
      <c r="B28" s="154">
        <v>125</v>
      </c>
      <c r="C28" s="154">
        <v>150.80000000000001</v>
      </c>
      <c r="F28" s="154">
        <v>87.2</v>
      </c>
      <c r="G28" s="154">
        <v>143.69999999999999</v>
      </c>
      <c r="H28" s="154">
        <v>124.4</v>
      </c>
      <c r="I28" s="149"/>
      <c r="J28" s="150"/>
    </row>
    <row r="29" spans="1:10" s="122" customFormat="1" ht="16.5" customHeight="1">
      <c r="A29" s="151" t="s">
        <v>214</v>
      </c>
      <c r="B29" s="154">
        <v>133.78843861915803</v>
      </c>
      <c r="C29" s="154">
        <v>147.81632938119031</v>
      </c>
      <c r="F29" s="154">
        <v>79.5</v>
      </c>
      <c r="G29" s="154">
        <v>141.19999999999999</v>
      </c>
      <c r="H29" s="154">
        <v>125.2</v>
      </c>
      <c r="I29" s="149"/>
      <c r="J29" s="150"/>
    </row>
    <row r="30" spans="1:10" s="122" customFormat="1" ht="16.5" customHeight="1">
      <c r="A30" s="151" t="s">
        <v>444</v>
      </c>
      <c r="B30" s="154">
        <v>142.20768006546848</v>
      </c>
      <c r="C30" s="154">
        <v>158.7311349850836</v>
      </c>
      <c r="F30" s="154">
        <v>79.967114552650756</v>
      </c>
      <c r="G30" s="154">
        <v>140.78939835779886</v>
      </c>
      <c r="H30" s="154">
        <v>139.86896441543496</v>
      </c>
      <c r="I30" s="149"/>
      <c r="J30" s="150"/>
    </row>
    <row r="31" spans="1:10" s="122" customFormat="1" ht="16.5" customHeight="1">
      <c r="A31" s="151" t="s">
        <v>601</v>
      </c>
      <c r="B31" s="154">
        <v>155.39362494606283</v>
      </c>
      <c r="C31" s="154">
        <v>176.5835496335815</v>
      </c>
      <c r="F31" s="154">
        <v>83.093555593408198</v>
      </c>
      <c r="G31" s="154">
        <v>154.93348247240061</v>
      </c>
      <c r="H31" s="154">
        <v>147.83964050431106</v>
      </c>
      <c r="I31" s="58"/>
      <c r="J31" s="150"/>
    </row>
    <row r="32" spans="1:10" s="122" customFormat="1" ht="16.5" customHeight="1">
      <c r="A32" s="151" t="s">
        <v>792</v>
      </c>
      <c r="B32" s="154">
        <v>173.9401139166097</v>
      </c>
      <c r="C32" s="154">
        <v>197.75099582463125</v>
      </c>
      <c r="F32" s="154">
        <v>86.970315594950833</v>
      </c>
      <c r="G32" s="154">
        <v>180.6862794280145</v>
      </c>
      <c r="H32" s="154">
        <v>157.63536660601142</v>
      </c>
      <c r="I32" s="58"/>
      <c r="J32" s="150"/>
    </row>
    <row r="33" spans="1:10" s="122" customFormat="1" ht="16.5" customHeight="1">
      <c r="A33" s="151" t="s">
        <v>781</v>
      </c>
      <c r="B33" s="154">
        <v>178.12988531282309</v>
      </c>
      <c r="C33" s="154">
        <v>203.99343782723349</v>
      </c>
      <c r="F33" s="154">
        <v>90.359079330508393</v>
      </c>
      <c r="G33" s="154">
        <v>189.82721017889355</v>
      </c>
      <c r="H33" s="154">
        <v>161.92172464463169</v>
      </c>
      <c r="I33" s="58"/>
      <c r="J33" s="150"/>
    </row>
    <row r="34" spans="1:10" s="122" customFormat="1" ht="16.5" customHeight="1">
      <c r="F34" s="154">
        <v>78.168710203652097</v>
      </c>
      <c r="G34" s="154">
        <v>216.57367580998101</v>
      </c>
      <c r="H34" s="154">
        <v>155.748421510995</v>
      </c>
      <c r="I34" s="58"/>
      <c r="J34" s="150"/>
    </row>
    <row r="35" spans="1:10" s="3" customFormat="1" ht="16.5" customHeight="1">
      <c r="H35" s="152"/>
      <c r="I35" s="58"/>
      <c r="J35" s="150"/>
    </row>
    <row r="36" spans="1:10" s="3" customFormat="1" ht="16.5" customHeight="1">
      <c r="H36" s="59"/>
      <c r="I36" s="58"/>
      <c r="J36" s="153"/>
    </row>
    <row r="37" spans="1:10" s="3" customFormat="1" ht="16.5" customHeight="1">
      <c r="H37" s="59"/>
      <c r="I37" s="58"/>
      <c r="J37" s="153"/>
    </row>
    <row r="38" spans="1:10" s="3" customFormat="1" ht="16.5" customHeight="1">
      <c r="H38" s="59"/>
      <c r="I38" s="58"/>
      <c r="J38" s="153"/>
    </row>
    <row r="39" spans="1:10" s="3" customFormat="1" ht="16.5" customHeight="1">
      <c r="H39" s="59"/>
      <c r="I39" s="58"/>
      <c r="J39" s="153"/>
    </row>
    <row r="40" spans="1:10" s="3" customFormat="1" ht="16.5" customHeight="1">
      <c r="A40" s="94"/>
      <c r="B40" s="94"/>
      <c r="C40" s="94"/>
      <c r="D40" s="94"/>
      <c r="E40" s="89"/>
      <c r="F40" s="89"/>
      <c r="H40" s="59"/>
      <c r="I40" s="58"/>
      <c r="J40" s="153"/>
    </row>
    <row r="42" spans="1:10" ht="16.5" customHeight="1">
      <c r="A42" s="427" t="s">
        <v>695</v>
      </c>
      <c r="B42" s="3"/>
      <c r="C42" s="3"/>
      <c r="D42" s="3"/>
      <c r="E42" s="3"/>
      <c r="F42" s="3"/>
      <c r="G42" s="142" t="s">
        <v>620</v>
      </c>
      <c r="H42" s="426"/>
    </row>
    <row r="43" spans="1:10" ht="16.5" customHeight="1">
      <c r="A43" s="378" t="s">
        <v>38</v>
      </c>
      <c r="B43" s="614" t="s">
        <v>96</v>
      </c>
      <c r="C43" s="614"/>
      <c r="D43" s="614"/>
      <c r="E43" s="614" t="s">
        <v>97</v>
      </c>
      <c r="F43" s="614"/>
      <c r="G43" s="615"/>
    </row>
    <row r="44" spans="1:10" ht="16.5" customHeight="1">
      <c r="A44" s="207" t="s">
        <v>36</v>
      </c>
      <c r="B44" s="375" t="s">
        <v>155</v>
      </c>
      <c r="C44" s="375" t="s">
        <v>0</v>
      </c>
      <c r="D44" s="375" t="s">
        <v>1</v>
      </c>
      <c r="E44" s="375" t="s">
        <v>155</v>
      </c>
      <c r="F44" s="375" t="s">
        <v>380</v>
      </c>
      <c r="G44" s="376" t="s">
        <v>381</v>
      </c>
    </row>
    <row r="45" spans="1:10" ht="16.5" customHeight="1">
      <c r="A45" s="179" t="s">
        <v>618</v>
      </c>
      <c r="B45" s="382">
        <v>2.7346991733290502</v>
      </c>
      <c r="C45" s="383">
        <v>3.6979183475875401</v>
      </c>
      <c r="D45" s="384">
        <v>2.6548240331861401</v>
      </c>
      <c r="E45" s="383">
        <v>1.93634668324305</v>
      </c>
      <c r="F45" s="383">
        <v>2.4151340727221702</v>
      </c>
      <c r="G45" s="383">
        <v>1.8670041885242601</v>
      </c>
    </row>
    <row r="46" spans="1:10" ht="16.5" customHeight="1">
      <c r="A46" s="3" t="s">
        <v>619</v>
      </c>
    </row>
    <row r="48" spans="1:10" ht="16.5" customHeight="1">
      <c r="A48" s="427" t="s">
        <v>696</v>
      </c>
      <c r="B48" s="3"/>
      <c r="C48" s="3"/>
      <c r="D48" s="3"/>
      <c r="E48" s="3"/>
      <c r="F48" s="3"/>
      <c r="G48" s="148" t="s">
        <v>103</v>
      </c>
      <c r="H48" s="426"/>
    </row>
    <row r="49" spans="1:7" ht="16.5" customHeight="1">
      <c r="A49" s="378" t="s">
        <v>38</v>
      </c>
      <c r="B49" s="614" t="s">
        <v>622</v>
      </c>
      <c r="C49" s="614"/>
      <c r="D49" s="614"/>
      <c r="E49" s="614" t="s">
        <v>623</v>
      </c>
      <c r="F49" s="614"/>
      <c r="G49" s="615"/>
    </row>
    <row r="50" spans="1:7" ht="16.5" customHeight="1">
      <c r="A50" s="207" t="s">
        <v>348</v>
      </c>
      <c r="B50" s="375" t="s">
        <v>155</v>
      </c>
      <c r="C50" s="375" t="s">
        <v>0</v>
      </c>
      <c r="D50" s="375" t="s">
        <v>1</v>
      </c>
      <c r="E50" s="375" t="s">
        <v>155</v>
      </c>
      <c r="F50" s="375" t="s">
        <v>0</v>
      </c>
      <c r="G50" s="375" t="s">
        <v>1</v>
      </c>
    </row>
    <row r="51" spans="1:7" ht="16.5" customHeight="1">
      <c r="A51" s="441">
        <v>2018</v>
      </c>
      <c r="B51" s="235">
        <v>134.92752377269767</v>
      </c>
      <c r="C51" s="29">
        <v>147.81632938119031</v>
      </c>
      <c r="D51" s="226">
        <v>133.78843861915803</v>
      </c>
      <c r="E51" s="29">
        <v>157.09963521867701</v>
      </c>
      <c r="F51" s="29">
        <v>153.12220670391099</v>
      </c>
      <c r="G51" s="29">
        <v>157.64699509885301</v>
      </c>
    </row>
    <row r="52" spans="1:7" ht="16.5" customHeight="1">
      <c r="A52" s="441">
        <v>2019</v>
      </c>
      <c r="B52" s="235">
        <v>143.46887573953057</v>
      </c>
      <c r="C52" s="29">
        <v>158.7311349850836</v>
      </c>
      <c r="D52" s="172">
        <v>142.20768006546848</v>
      </c>
      <c r="E52" s="29">
        <v>163.56853213455801</v>
      </c>
      <c r="F52" s="29">
        <v>163.93009590706501</v>
      </c>
      <c r="G52" s="29">
        <v>163.52255687527401</v>
      </c>
    </row>
    <row r="53" spans="1:7" ht="16.5" customHeight="1">
      <c r="A53" s="441">
        <v>2020</v>
      </c>
      <c r="B53" s="235">
        <v>156.84440553211857</v>
      </c>
      <c r="C53" s="29">
        <v>176.51604071186199</v>
      </c>
      <c r="D53" s="172">
        <v>155.39362494606283</v>
      </c>
      <c r="E53" s="29">
        <v>177.22700170677999</v>
      </c>
      <c r="F53" s="29">
        <v>182.30658284023701</v>
      </c>
      <c r="G53" s="29">
        <v>176.65220666393299</v>
      </c>
    </row>
    <row r="54" spans="1:7" ht="16.5" customHeight="1">
      <c r="A54" s="377">
        <v>2021</v>
      </c>
      <c r="B54" s="235">
        <v>175.76969711408111</v>
      </c>
      <c r="C54" s="29">
        <v>197.75099582463125</v>
      </c>
      <c r="D54" s="172">
        <v>173.9401139166097</v>
      </c>
      <c r="E54" s="29">
        <v>195.53297932837501</v>
      </c>
      <c r="F54" s="29">
        <v>203.72742564930701</v>
      </c>
      <c r="G54" s="29">
        <v>194.522652043703</v>
      </c>
    </row>
    <row r="55" spans="1:7" ht="16.5" customHeight="1">
      <c r="A55" s="379">
        <v>2022</v>
      </c>
      <c r="B55" s="182">
        <v>180.41518785402658</v>
      </c>
      <c r="C55" s="180">
        <v>203.963347339645</v>
      </c>
      <c r="D55" s="175">
        <v>178.12610820501499</v>
      </c>
      <c r="E55" s="42">
        <v>197.52819458870201</v>
      </c>
      <c r="F55" s="42">
        <v>207.428392559027</v>
      </c>
      <c r="G55" s="42">
        <v>196.13262621763101</v>
      </c>
    </row>
  </sheetData>
  <sheetProtection algorithmName="SHA-512" hashValue="AEaxUdrM+ahDa2wAvIxwXdwi9EKyhyphkV1ILf+hrd6qWbo4ML85NdVWd91gLU8Xy6wGL3ROtTlf66kENoCdzA==" saltValue="UuHbSh4v9qMXLe9lET3fkw==" spinCount="100000" sheet="1" objects="1" scenarios="1"/>
  <mergeCells count="10">
    <mergeCell ref="B2:C2"/>
    <mergeCell ref="D2:E2"/>
    <mergeCell ref="F2:G2"/>
    <mergeCell ref="D9:E9"/>
    <mergeCell ref="F9:G9"/>
    <mergeCell ref="B43:D43"/>
    <mergeCell ref="E43:G43"/>
    <mergeCell ref="B49:D49"/>
    <mergeCell ref="E49:G49"/>
    <mergeCell ref="B9:C9"/>
  </mergeCells>
  <phoneticPr fontId="6" type="noConversion"/>
  <pageMargins left="0.39370078740157483" right="0.15748031496062992" top="0.59055118110236227" bottom="7.874015748031496E-2" header="0.62992125984251968" footer="7.874015748031496E-2"/>
  <pageSetup paperSize="9" scale="47" pageOrder="overThenDown"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H52"/>
  <sheetViews>
    <sheetView showGridLines="0" zoomScaleNormal="100" zoomScaleSheetLayoutView="100" workbookViewId="0">
      <selection sqref="A1:G2"/>
    </sheetView>
  </sheetViews>
  <sheetFormatPr defaultRowHeight="16.5" customHeight="1"/>
  <cols>
    <col min="1" max="7" width="13.33203125" style="118" customWidth="1"/>
    <col min="8" max="16384" width="8.88671875" style="118"/>
  </cols>
  <sheetData>
    <row r="1" spans="1:8" ht="16.5" customHeight="1">
      <c r="A1" s="645" t="s">
        <v>832</v>
      </c>
      <c r="B1" s="645"/>
      <c r="C1" s="645"/>
      <c r="D1" s="645"/>
      <c r="E1" s="645"/>
      <c r="F1" s="645"/>
      <c r="G1" s="645"/>
      <c r="H1" s="59"/>
    </row>
    <row r="2" spans="1:8" ht="16.5" customHeight="1">
      <c r="A2" s="645"/>
      <c r="B2" s="645"/>
      <c r="C2" s="645"/>
      <c r="D2" s="645"/>
      <c r="E2" s="645"/>
      <c r="F2" s="645"/>
      <c r="G2" s="645"/>
      <c r="H2" s="59"/>
    </row>
    <row r="4" spans="1:8" s="3" customFormat="1" ht="16.5" customHeight="1">
      <c r="A4" s="105" t="s">
        <v>697</v>
      </c>
      <c r="B4" s="59"/>
      <c r="C4" s="59"/>
      <c r="D4" s="59"/>
      <c r="E4" s="59"/>
      <c r="F4" s="59"/>
      <c r="G4" s="59"/>
      <c r="H4" s="59"/>
    </row>
    <row r="5" spans="1:8" s="3" customFormat="1" ht="16.5" customHeight="1">
      <c r="A5" s="206" t="s">
        <v>36</v>
      </c>
      <c r="B5" s="539" t="s">
        <v>42</v>
      </c>
      <c r="C5" s="615" t="s">
        <v>43</v>
      </c>
      <c r="D5" s="621"/>
      <c r="E5" s="59"/>
      <c r="F5" s="59"/>
    </row>
    <row r="6" spans="1:8" s="3" customFormat="1" ht="16.5" customHeight="1">
      <c r="A6" s="207" t="s">
        <v>38</v>
      </c>
      <c r="B6" s="539"/>
      <c r="C6" s="221" t="s">
        <v>44</v>
      </c>
      <c r="D6" s="221" t="s">
        <v>45</v>
      </c>
      <c r="E6" s="59"/>
      <c r="F6" s="59"/>
    </row>
    <row r="7" spans="1:8" s="3" customFormat="1" ht="16.5" customHeight="1">
      <c r="A7" s="81" t="s">
        <v>89</v>
      </c>
      <c r="B7" s="101">
        <v>312972</v>
      </c>
      <c r="C7" s="36">
        <v>121043</v>
      </c>
      <c r="D7" s="36">
        <v>89974</v>
      </c>
      <c r="E7" s="59"/>
      <c r="F7" s="59"/>
    </row>
    <row r="8" spans="1:8" s="3" customFormat="1" ht="16.5" customHeight="1">
      <c r="A8" s="81" t="s">
        <v>46</v>
      </c>
      <c r="B8" s="101">
        <v>223504</v>
      </c>
      <c r="C8" s="36">
        <v>78238</v>
      </c>
      <c r="D8" s="36">
        <v>60525</v>
      </c>
      <c r="E8" s="59"/>
    </row>
    <row r="9" spans="1:8" s="3" customFormat="1" ht="16.5" customHeight="1">
      <c r="A9" s="79" t="s">
        <v>99</v>
      </c>
      <c r="B9" s="100">
        <v>19800</v>
      </c>
      <c r="C9" s="242">
        <v>8566</v>
      </c>
      <c r="D9" s="242">
        <v>9259</v>
      </c>
      <c r="E9" s="59"/>
    </row>
    <row r="10" spans="1:8" s="3" customFormat="1" ht="16.5" customHeight="1">
      <c r="A10" s="79" t="s">
        <v>100</v>
      </c>
      <c r="B10" s="100">
        <v>203704</v>
      </c>
      <c r="C10" s="242">
        <v>69672</v>
      </c>
      <c r="D10" s="242">
        <v>51266</v>
      </c>
      <c r="E10" s="59"/>
    </row>
    <row r="11" spans="1:8" s="3" customFormat="1" ht="16.5" customHeight="1">
      <c r="A11" s="81" t="s">
        <v>39</v>
      </c>
      <c r="B11" s="101">
        <v>70036</v>
      </c>
      <c r="C11" s="243">
        <v>32376</v>
      </c>
      <c r="D11" s="36">
        <v>24672</v>
      </c>
      <c r="E11" s="59"/>
    </row>
    <row r="12" spans="1:8" s="3" customFormat="1" ht="16.5" customHeight="1">
      <c r="A12" s="79" t="s">
        <v>2</v>
      </c>
      <c r="B12" s="100">
        <v>9201</v>
      </c>
      <c r="C12" s="242">
        <v>4371</v>
      </c>
      <c r="D12" s="242">
        <v>4813</v>
      </c>
      <c r="E12" s="59"/>
    </row>
    <row r="13" spans="1:8" s="3" customFormat="1" ht="16.5" customHeight="1">
      <c r="A13" s="79" t="s">
        <v>3</v>
      </c>
      <c r="B13" s="100">
        <v>60835</v>
      </c>
      <c r="C13" s="242">
        <v>28005</v>
      </c>
      <c r="D13" s="242">
        <v>19859</v>
      </c>
      <c r="E13" s="59"/>
    </row>
    <row r="14" spans="1:8" s="3" customFormat="1" ht="16.5" customHeight="1">
      <c r="A14" s="81" t="s">
        <v>47</v>
      </c>
      <c r="B14" s="101">
        <v>19432</v>
      </c>
      <c r="C14" s="243">
        <v>10429</v>
      </c>
      <c r="D14" s="36">
        <v>4777</v>
      </c>
      <c r="E14" s="59"/>
    </row>
    <row r="15" spans="1:8" s="3" customFormat="1" ht="16.5" customHeight="1">
      <c r="A15" s="79" t="s">
        <v>40</v>
      </c>
      <c r="B15" s="100">
        <v>3531</v>
      </c>
      <c r="C15" s="242">
        <v>2084</v>
      </c>
      <c r="D15" s="242">
        <v>1367</v>
      </c>
      <c r="E15" s="59"/>
      <c r="F15" s="86"/>
      <c r="G15" s="86"/>
    </row>
    <row r="16" spans="1:8" s="3" customFormat="1" ht="16.5" customHeight="1">
      <c r="A16" s="80" t="s">
        <v>41</v>
      </c>
      <c r="B16" s="102">
        <v>15901</v>
      </c>
      <c r="C16" s="174">
        <v>8345</v>
      </c>
      <c r="D16" s="38">
        <v>3410</v>
      </c>
      <c r="E16" s="59"/>
      <c r="F16" s="86"/>
      <c r="G16" s="86"/>
    </row>
    <row r="17" spans="1:8" s="3" customFormat="1" ht="16.5" customHeight="1">
      <c r="A17" s="59" t="s">
        <v>176</v>
      </c>
      <c r="B17" s="59"/>
      <c r="C17" s="61"/>
      <c r="D17" s="59"/>
      <c r="E17" s="59"/>
      <c r="F17" s="59"/>
      <c r="G17" s="59"/>
      <c r="H17" s="86"/>
    </row>
    <row r="18" spans="1:8" s="3" customFormat="1" ht="16.5" customHeight="1">
      <c r="A18" s="86"/>
      <c r="B18" s="86"/>
      <c r="C18" s="86"/>
      <c r="D18" s="86"/>
      <c r="E18" s="86"/>
      <c r="F18" s="86"/>
      <c r="G18" s="86"/>
      <c r="H18" s="86"/>
    </row>
    <row r="19" spans="1:8" ht="16.5" customHeight="1">
      <c r="A19" s="161" t="s">
        <v>698</v>
      </c>
      <c r="B19" s="162"/>
      <c r="C19" s="162"/>
      <c r="D19" s="162"/>
      <c r="E19" s="162"/>
    </row>
    <row r="20" spans="1:8" ht="16.5" customHeight="1">
      <c r="A20" s="165"/>
      <c r="B20" s="165" t="s">
        <v>163</v>
      </c>
      <c r="C20" s="643" t="s">
        <v>384</v>
      </c>
      <c r="D20" s="644" t="s">
        <v>385</v>
      </c>
      <c r="E20" s="162"/>
    </row>
    <row r="21" spans="1:8" ht="16.5" customHeight="1">
      <c r="A21" s="138" t="s">
        <v>164</v>
      </c>
      <c r="B21" s="138"/>
      <c r="C21" s="640"/>
      <c r="D21" s="644"/>
      <c r="E21" s="162"/>
    </row>
    <row r="22" spans="1:8" ht="16.5" customHeight="1">
      <c r="A22" s="638" t="s">
        <v>71</v>
      </c>
      <c r="B22" s="418" t="s">
        <v>72</v>
      </c>
      <c r="C22" s="244">
        <v>4044</v>
      </c>
      <c r="D22" s="242">
        <v>14878</v>
      </c>
      <c r="E22" s="162"/>
    </row>
    <row r="23" spans="1:8" ht="16.5" customHeight="1">
      <c r="A23" s="639"/>
      <c r="B23" s="419" t="s">
        <v>73</v>
      </c>
      <c r="C23" s="303">
        <v>21995</v>
      </c>
      <c r="D23" s="174">
        <v>60295</v>
      </c>
      <c r="E23" s="162"/>
    </row>
    <row r="24" spans="1:8" ht="16.5" customHeight="1">
      <c r="A24" s="147" t="s">
        <v>74</v>
      </c>
      <c r="B24" s="162"/>
      <c r="C24" s="162"/>
      <c r="D24" s="162"/>
      <c r="E24" s="162"/>
    </row>
    <row r="25" spans="1:8" ht="16.5" customHeight="1">
      <c r="A25" s="162"/>
      <c r="B25" s="162"/>
      <c r="C25" s="162"/>
      <c r="D25" s="162"/>
      <c r="E25" s="162"/>
    </row>
    <row r="26" spans="1:8" ht="16.5" customHeight="1">
      <c r="A26" s="161" t="s">
        <v>699</v>
      </c>
      <c r="B26" s="161"/>
      <c r="C26" s="162"/>
      <c r="D26" s="162"/>
      <c r="E26" s="162"/>
    </row>
    <row r="27" spans="1:8" ht="16.5" customHeight="1">
      <c r="A27" s="165"/>
      <c r="B27" s="164" t="s">
        <v>163</v>
      </c>
      <c r="C27" s="641" t="s">
        <v>265</v>
      </c>
      <c r="D27" s="162"/>
      <c r="E27" s="162"/>
    </row>
    <row r="28" spans="1:8" ht="16.5" customHeight="1">
      <c r="A28" s="138" t="s">
        <v>164</v>
      </c>
      <c r="B28" s="236"/>
      <c r="C28" s="641"/>
      <c r="D28" s="162"/>
      <c r="E28" s="162"/>
    </row>
    <row r="29" spans="1:8" ht="16.5" customHeight="1">
      <c r="A29" s="638" t="s">
        <v>71</v>
      </c>
      <c r="B29" s="418" t="s">
        <v>72</v>
      </c>
      <c r="C29" s="90">
        <v>1485</v>
      </c>
      <c r="D29" s="162"/>
      <c r="E29" s="162"/>
    </row>
    <row r="30" spans="1:8" ht="16.5" customHeight="1">
      <c r="A30" s="639"/>
      <c r="B30" s="419" t="s">
        <v>73</v>
      </c>
      <c r="C30" s="173">
        <v>8721</v>
      </c>
      <c r="D30" s="162"/>
      <c r="E30" s="162"/>
    </row>
    <row r="31" spans="1:8" ht="16.5" customHeight="1">
      <c r="A31" s="147" t="s">
        <v>84</v>
      </c>
      <c r="B31" s="147"/>
      <c r="C31" s="147"/>
      <c r="D31" s="147"/>
      <c r="E31" s="147"/>
    </row>
    <row r="32" spans="1:8" ht="16.5" customHeight="1">
      <c r="A32" s="364" t="s">
        <v>85</v>
      </c>
      <c r="B32" s="147"/>
      <c r="C32" s="147"/>
      <c r="D32" s="147"/>
      <c r="E32" s="147"/>
    </row>
    <row r="33" spans="1:5" ht="16.5" customHeight="1">
      <c r="A33" s="163"/>
      <c r="B33" s="147"/>
      <c r="C33" s="147"/>
      <c r="D33" s="147"/>
      <c r="E33" s="147"/>
    </row>
    <row r="34" spans="1:5" ht="16.5" customHeight="1">
      <c r="A34" s="161" t="s">
        <v>700</v>
      </c>
      <c r="B34" s="161"/>
      <c r="C34" s="161"/>
      <c r="D34" s="147"/>
      <c r="E34" s="147"/>
    </row>
    <row r="35" spans="1:5" ht="16.5" customHeight="1">
      <c r="A35" s="165"/>
      <c r="B35" s="164" t="s">
        <v>163</v>
      </c>
      <c r="C35" s="640" t="s">
        <v>82</v>
      </c>
      <c r="D35" s="641" t="s">
        <v>645</v>
      </c>
      <c r="E35" s="147"/>
    </row>
    <row r="36" spans="1:5" ht="16.5" customHeight="1">
      <c r="A36" s="138" t="s">
        <v>164</v>
      </c>
      <c r="B36" s="236"/>
      <c r="C36" s="640"/>
      <c r="D36" s="641"/>
      <c r="E36" s="147"/>
    </row>
    <row r="37" spans="1:5" ht="16.5" customHeight="1">
      <c r="A37" s="638" t="s">
        <v>71</v>
      </c>
      <c r="B37" s="418" t="s">
        <v>72</v>
      </c>
      <c r="C37" s="423">
        <v>19800</v>
      </c>
      <c r="D37" s="242">
        <v>997</v>
      </c>
      <c r="E37" s="147"/>
    </row>
    <row r="38" spans="1:5" ht="16.5" customHeight="1">
      <c r="A38" s="639"/>
      <c r="B38" s="419" t="s">
        <v>73</v>
      </c>
      <c r="C38" s="424">
        <v>203704</v>
      </c>
      <c r="D38" s="174">
        <v>10205</v>
      </c>
      <c r="E38" s="147"/>
    </row>
    <row r="39" spans="1:5" ht="16.5" customHeight="1">
      <c r="A39" s="147" t="s">
        <v>75</v>
      </c>
      <c r="B39" s="147"/>
      <c r="C39" s="146"/>
      <c r="D39" s="146"/>
      <c r="E39" s="147"/>
    </row>
    <row r="40" spans="1:5" ht="16.5" customHeight="1">
      <c r="A40" s="147" t="s">
        <v>386</v>
      </c>
      <c r="B40" s="147"/>
      <c r="C40" s="147"/>
      <c r="D40" s="147"/>
      <c r="E40" s="147"/>
    </row>
    <row r="41" spans="1:5" ht="16.5" customHeight="1">
      <c r="A41" s="147" t="s">
        <v>387</v>
      </c>
      <c r="B41" s="147"/>
      <c r="C41" s="147"/>
      <c r="D41" s="147"/>
      <c r="E41" s="147"/>
    </row>
    <row r="42" spans="1:5" ht="16.5" customHeight="1">
      <c r="A42" s="147" t="s">
        <v>388</v>
      </c>
      <c r="B42" s="147"/>
      <c r="C42" s="147"/>
      <c r="D42" s="147"/>
      <c r="E42" s="147"/>
    </row>
    <row r="43" spans="1:5" ht="16.5" customHeight="1">
      <c r="A43" s="147"/>
      <c r="B43" s="147"/>
      <c r="C43" s="147"/>
      <c r="D43" s="147"/>
      <c r="E43" s="147"/>
    </row>
    <row r="44" spans="1:5" ht="16.5" customHeight="1">
      <c r="A44" s="161" t="s">
        <v>701</v>
      </c>
      <c r="B44" s="161"/>
      <c r="C44" s="161"/>
      <c r="D44" s="162"/>
      <c r="E44" s="147"/>
    </row>
    <row r="45" spans="1:5" ht="16.5" customHeight="1">
      <c r="A45" s="165"/>
      <c r="B45" s="164" t="s">
        <v>163</v>
      </c>
      <c r="C45" s="640" t="s">
        <v>266</v>
      </c>
      <c r="D45" s="641" t="s">
        <v>105</v>
      </c>
      <c r="E45" s="147"/>
    </row>
    <row r="46" spans="1:5" ht="16.5" customHeight="1">
      <c r="A46" s="138" t="s">
        <v>164</v>
      </c>
      <c r="B46" s="236"/>
      <c r="C46" s="640"/>
      <c r="D46" s="641"/>
      <c r="E46" s="147"/>
    </row>
    <row r="47" spans="1:5" ht="16.5" customHeight="1">
      <c r="A47" s="634" t="s">
        <v>76</v>
      </c>
      <c r="B47" s="635"/>
      <c r="C47" s="423">
        <v>9607</v>
      </c>
      <c r="D47" s="242">
        <v>0</v>
      </c>
      <c r="E47" s="147"/>
    </row>
    <row r="48" spans="1:5" ht="16.5" customHeight="1">
      <c r="A48" s="642" t="s">
        <v>20</v>
      </c>
      <c r="B48" s="416" t="s">
        <v>380</v>
      </c>
      <c r="C48" s="423">
        <v>4066</v>
      </c>
      <c r="D48" s="242">
        <v>263</v>
      </c>
      <c r="E48" s="147"/>
    </row>
    <row r="49" spans="1:5" ht="16.5" customHeight="1">
      <c r="A49" s="637"/>
      <c r="B49" s="420" t="s">
        <v>381</v>
      </c>
      <c r="C49" s="423">
        <v>40554</v>
      </c>
      <c r="D49" s="242">
        <v>1272</v>
      </c>
      <c r="E49" s="147"/>
    </row>
    <row r="50" spans="1:5" ht="16.5" customHeight="1">
      <c r="A50" s="636" t="s">
        <v>21</v>
      </c>
      <c r="B50" s="416" t="s">
        <v>0</v>
      </c>
      <c r="C50" s="423">
        <v>15075</v>
      </c>
      <c r="D50" s="242">
        <v>1817</v>
      </c>
      <c r="E50" s="147"/>
    </row>
    <row r="51" spans="1:5" ht="16.5" customHeight="1">
      <c r="A51" s="637"/>
      <c r="B51" s="420" t="s">
        <v>1</v>
      </c>
      <c r="C51" s="424">
        <v>190058</v>
      </c>
      <c r="D51" s="174">
        <v>10002</v>
      </c>
      <c r="E51" s="147"/>
    </row>
    <row r="52" spans="1:5" ht="16.5" customHeight="1">
      <c r="A52" s="86" t="s">
        <v>594</v>
      </c>
      <c r="B52" s="147"/>
      <c r="C52" s="146"/>
      <c r="D52" s="146"/>
      <c r="E52" s="147"/>
    </row>
  </sheetData>
  <sheetProtection algorithmName="SHA-512" hashValue="9lly+bf3dOOUN5pr0LA2SgMwRqItTg6rPwxYsP/RhCjQgcaZmKDG/hebYgNfAbW4w0/UicSut9xT28+7snd7dw==" saltValue="uS5vd19P/e27LUKyzDv6ww==" spinCount="100000" sheet="1" objects="1" scenarios="1"/>
  <mergeCells count="16">
    <mergeCell ref="C20:C21"/>
    <mergeCell ref="D20:D21"/>
    <mergeCell ref="A22:A23"/>
    <mergeCell ref="C27:C28"/>
    <mergeCell ref="A1:G2"/>
    <mergeCell ref="B5:B6"/>
    <mergeCell ref="C5:D5"/>
    <mergeCell ref="A47:B47"/>
    <mergeCell ref="A50:A51"/>
    <mergeCell ref="A29:A30"/>
    <mergeCell ref="C35:C36"/>
    <mergeCell ref="D35:D36"/>
    <mergeCell ref="A37:A38"/>
    <mergeCell ref="C45:C46"/>
    <mergeCell ref="D45:D46"/>
    <mergeCell ref="A48:A49"/>
  </mergeCells>
  <phoneticPr fontId="6" type="noConversion"/>
  <pageMargins left="0.70866141732283472" right="0.70866141732283472" top="0.74803149606299213" bottom="0.74803149606299213" header="0.31496062992125984" footer="0.31496062992125984"/>
  <pageSetup paperSize="9" scale="58" orientation="portrait" verticalDpi="4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R47"/>
  <sheetViews>
    <sheetView showGridLines="0" zoomScaleNormal="100" zoomScaleSheetLayoutView="100" workbookViewId="0"/>
  </sheetViews>
  <sheetFormatPr defaultColWidth="8" defaultRowHeight="16.5" customHeight="1"/>
  <cols>
    <col min="1" max="1" width="14.44140625" style="86" customWidth="1"/>
    <col min="2" max="12" width="8" style="86" customWidth="1"/>
    <col min="13" max="16384" width="8" style="86"/>
  </cols>
  <sheetData>
    <row r="1" spans="1:18" s="3" customFormat="1" ht="16.5" customHeight="1">
      <c r="A1" s="61" t="s">
        <v>833</v>
      </c>
      <c r="B1" s="61"/>
      <c r="C1" s="61"/>
      <c r="D1" s="61"/>
      <c r="E1" s="61"/>
      <c r="F1" s="61"/>
      <c r="G1" s="61"/>
      <c r="H1" s="61"/>
      <c r="I1" s="61"/>
      <c r="J1" s="61"/>
      <c r="K1" s="60"/>
      <c r="L1" s="60"/>
    </row>
    <row r="2" spans="1:18" s="3" customFormat="1" ht="16.5" customHeight="1">
      <c r="A2" s="59"/>
      <c r="B2" s="59"/>
      <c r="C2" s="59"/>
      <c r="D2" s="59"/>
      <c r="E2" s="59"/>
      <c r="F2" s="59"/>
      <c r="G2" s="59"/>
      <c r="I2" s="59"/>
    </row>
    <row r="3" spans="1:18" s="3" customFormat="1" ht="16.5" customHeight="1">
      <c r="A3" s="82" t="s">
        <v>673</v>
      </c>
    </row>
    <row r="4" spans="1:18" s="3" customFormat="1" ht="16.5" customHeight="1">
      <c r="A4" s="206" t="s">
        <v>167</v>
      </c>
      <c r="B4" s="537" t="s">
        <v>89</v>
      </c>
      <c r="C4" s="629" t="s">
        <v>367</v>
      </c>
      <c r="D4" s="629" t="s">
        <v>576</v>
      </c>
      <c r="E4" s="629" t="s">
        <v>369</v>
      </c>
      <c r="F4" s="629" t="s">
        <v>370</v>
      </c>
      <c r="G4" s="629" t="s">
        <v>371</v>
      </c>
      <c r="H4" s="629" t="s">
        <v>577</v>
      </c>
      <c r="I4" s="629" t="s">
        <v>373</v>
      </c>
      <c r="J4" s="629" t="s">
        <v>374</v>
      </c>
      <c r="K4" s="629" t="s">
        <v>375</v>
      </c>
      <c r="L4" s="627" t="s">
        <v>376</v>
      </c>
    </row>
    <row r="5" spans="1:18" s="3" customFormat="1" ht="16.5" customHeight="1">
      <c r="A5" s="207" t="s">
        <v>36</v>
      </c>
      <c r="B5" s="537"/>
      <c r="C5" s="537"/>
      <c r="D5" s="537"/>
      <c r="E5" s="537"/>
      <c r="F5" s="537"/>
      <c r="G5" s="537"/>
      <c r="H5" s="537"/>
      <c r="I5" s="537"/>
      <c r="J5" s="537"/>
      <c r="K5" s="537"/>
      <c r="L5" s="539"/>
    </row>
    <row r="6" spans="1:18" s="3" customFormat="1" ht="16.5" customHeight="1">
      <c r="A6" s="159" t="s">
        <v>89</v>
      </c>
      <c r="B6" s="101">
        <v>5631</v>
      </c>
      <c r="C6" s="243">
        <v>39</v>
      </c>
      <c r="D6" s="243">
        <v>453</v>
      </c>
      <c r="E6" s="243">
        <v>986</v>
      </c>
      <c r="F6" s="243">
        <v>1255</v>
      </c>
      <c r="G6" s="243">
        <v>934</v>
      </c>
      <c r="H6" s="243">
        <v>708</v>
      </c>
      <c r="I6" s="243">
        <v>827</v>
      </c>
      <c r="J6" s="243">
        <v>254</v>
      </c>
      <c r="K6" s="243">
        <v>150</v>
      </c>
      <c r="L6" s="243">
        <v>25</v>
      </c>
    </row>
    <row r="7" spans="1:18" s="3" customFormat="1" ht="16.5" customHeight="1">
      <c r="A7" s="159"/>
      <c r="B7" s="178">
        <v>100</v>
      </c>
      <c r="C7" s="46">
        <v>0.69259456579648371</v>
      </c>
      <c r="D7" s="46">
        <v>8.0447522642514642</v>
      </c>
      <c r="E7" s="46">
        <v>17.510211330136745</v>
      </c>
      <c r="F7" s="46">
        <v>22.287337950630441</v>
      </c>
      <c r="G7" s="46">
        <v>16.586751909074763</v>
      </c>
      <c r="H7" s="46">
        <v>12.573255194459243</v>
      </c>
      <c r="I7" s="46">
        <v>14.686556561889541</v>
      </c>
      <c r="J7" s="46">
        <v>4.5107440951873556</v>
      </c>
      <c r="K7" s="46">
        <v>2.6638252530633988</v>
      </c>
      <c r="L7" s="46">
        <v>0.44397087551056652</v>
      </c>
    </row>
    <row r="8" spans="1:18" s="3" customFormat="1" ht="16.5" customHeight="1">
      <c r="A8" s="158" t="s">
        <v>198</v>
      </c>
      <c r="B8" s="100">
        <v>315</v>
      </c>
      <c r="C8" s="242">
        <v>30</v>
      </c>
      <c r="D8" s="242">
        <v>105</v>
      </c>
      <c r="E8" s="242">
        <v>62</v>
      </c>
      <c r="F8" s="242">
        <v>37</v>
      </c>
      <c r="G8" s="242">
        <v>31</v>
      </c>
      <c r="H8" s="242">
        <v>28</v>
      </c>
      <c r="I8" s="242">
        <v>11</v>
      </c>
      <c r="J8" s="242">
        <v>10</v>
      </c>
      <c r="K8" s="242">
        <v>1</v>
      </c>
      <c r="L8" s="242">
        <v>0</v>
      </c>
    </row>
    <row r="9" spans="1:18" s="3" customFormat="1" ht="16.5" customHeight="1">
      <c r="A9" s="158"/>
      <c r="B9" s="170">
        <v>100</v>
      </c>
      <c r="C9" s="334">
        <v>9.5238095238095237</v>
      </c>
      <c r="D9" s="339">
        <v>33.333333333333329</v>
      </c>
      <c r="E9" s="334">
        <v>19.682539682539684</v>
      </c>
      <c r="F9" s="334">
        <v>11.8</v>
      </c>
      <c r="G9" s="334">
        <v>9.8412698412698418</v>
      </c>
      <c r="H9" s="334">
        <v>8.8888888888888893</v>
      </c>
      <c r="I9" s="334">
        <v>3.4920634920634921</v>
      </c>
      <c r="J9" s="334">
        <v>3.1746031746031744</v>
      </c>
      <c r="K9" s="334">
        <v>0.31746031746031744</v>
      </c>
      <c r="L9" s="77" t="s">
        <v>801</v>
      </c>
    </row>
    <row r="10" spans="1:18" s="3" customFormat="1" ht="16.5" customHeight="1">
      <c r="A10" s="158" t="s">
        <v>199</v>
      </c>
      <c r="B10" s="100">
        <v>5316</v>
      </c>
      <c r="C10" s="242">
        <v>9</v>
      </c>
      <c r="D10" s="242">
        <v>348</v>
      </c>
      <c r="E10" s="242">
        <v>924</v>
      </c>
      <c r="F10" s="242">
        <v>1218</v>
      </c>
      <c r="G10" s="242">
        <v>903</v>
      </c>
      <c r="H10" s="242">
        <v>680</v>
      </c>
      <c r="I10" s="242">
        <v>816</v>
      </c>
      <c r="J10" s="242">
        <v>244</v>
      </c>
      <c r="K10" s="242">
        <v>149</v>
      </c>
      <c r="L10" s="242">
        <v>25</v>
      </c>
    </row>
    <row r="11" spans="1:18" s="3" customFormat="1" ht="16.5" customHeight="1">
      <c r="A11" s="160"/>
      <c r="B11" s="186">
        <v>100</v>
      </c>
      <c r="C11" s="45">
        <v>0.16930022573363432</v>
      </c>
      <c r="D11" s="45">
        <v>6.5462753950338595</v>
      </c>
      <c r="E11" s="45">
        <v>17.381489841986454</v>
      </c>
      <c r="F11" s="45">
        <v>22.911963882618512</v>
      </c>
      <c r="G11" s="45">
        <v>16.986455981941308</v>
      </c>
      <c r="H11" s="45">
        <v>12.791572610985705</v>
      </c>
      <c r="I11" s="45">
        <v>15.349887133182843</v>
      </c>
      <c r="J11" s="45">
        <v>4.5899172310007526</v>
      </c>
      <c r="K11" s="45">
        <v>2.802859292701279</v>
      </c>
      <c r="L11" s="45">
        <v>0.47027840481565092</v>
      </c>
      <c r="M11" s="7"/>
      <c r="N11" s="7"/>
      <c r="O11" s="7"/>
      <c r="P11" s="7"/>
      <c r="Q11" s="7"/>
      <c r="R11" s="7"/>
    </row>
    <row r="12" spans="1:18" s="3" customFormat="1" ht="16.5" customHeight="1">
      <c r="A12" s="3" t="s">
        <v>392</v>
      </c>
      <c r="C12" s="10"/>
      <c r="D12" s="10"/>
      <c r="E12" s="10"/>
      <c r="F12" s="10"/>
      <c r="G12" s="10"/>
      <c r="H12" s="10"/>
      <c r="I12" s="10"/>
      <c r="J12" s="10"/>
      <c r="K12" s="10"/>
      <c r="L12" s="10"/>
    </row>
    <row r="13" spans="1:18" s="3" customFormat="1" ht="16.5" customHeight="1">
      <c r="C13" s="298"/>
      <c r="D13" s="298"/>
      <c r="E13" s="298"/>
      <c r="F13" s="298"/>
      <c r="G13" s="298"/>
      <c r="H13" s="298"/>
      <c r="I13" s="298"/>
      <c r="J13" s="298"/>
      <c r="K13" s="298"/>
      <c r="L13" s="298"/>
    </row>
    <row r="14" spans="1:18" s="3" customFormat="1" ht="16.5" customHeight="1">
      <c r="A14" s="82" t="s">
        <v>48</v>
      </c>
    </row>
    <row r="15" spans="1:18" s="3" customFormat="1" ht="25.5" customHeight="1">
      <c r="A15" s="541" t="s">
        <v>800</v>
      </c>
      <c r="B15" s="541"/>
      <c r="C15" s="541"/>
      <c r="D15" s="541"/>
      <c r="E15" s="541"/>
      <c r="F15" s="541"/>
      <c r="G15" s="541"/>
      <c r="H15" s="541"/>
      <c r="I15" s="541"/>
      <c r="J15" s="541"/>
      <c r="K15" s="541"/>
      <c r="L15" s="541"/>
    </row>
    <row r="16" spans="1:18" s="3" customFormat="1" ht="16.5" customHeight="1"/>
    <row r="17" spans="1:14" s="3" customFormat="1" ht="16.5" customHeight="1">
      <c r="A17" s="82" t="s">
        <v>672</v>
      </c>
    </row>
    <row r="18" spans="1:14" s="3" customFormat="1" ht="16.5" customHeight="1">
      <c r="A18" s="206" t="s">
        <v>36</v>
      </c>
      <c r="B18" s="614" t="s">
        <v>200</v>
      </c>
      <c r="C18" s="614" t="s">
        <v>390</v>
      </c>
      <c r="D18" s="614"/>
      <c r="E18" s="614"/>
      <c r="F18" s="614"/>
      <c r="G18" s="614"/>
      <c r="H18" s="614" t="s">
        <v>389</v>
      </c>
      <c r="I18" s="615" t="s">
        <v>49</v>
      </c>
    </row>
    <row r="19" spans="1:14" s="3" customFormat="1" ht="22.5">
      <c r="A19" s="207" t="s">
        <v>38</v>
      </c>
      <c r="B19" s="617"/>
      <c r="C19" s="208" t="s">
        <v>4</v>
      </c>
      <c r="D19" s="232" t="s">
        <v>50</v>
      </c>
      <c r="E19" s="208" t="s">
        <v>107</v>
      </c>
      <c r="F19" s="208" t="s">
        <v>108</v>
      </c>
      <c r="G19" s="208" t="s">
        <v>109</v>
      </c>
      <c r="H19" s="617"/>
      <c r="I19" s="623"/>
      <c r="M19" s="7"/>
      <c r="N19" s="7"/>
    </row>
    <row r="20" spans="1:14" s="3" customFormat="1" ht="16.5" customHeight="1">
      <c r="A20" s="159" t="s">
        <v>200</v>
      </c>
      <c r="B20" s="101">
        <v>161116</v>
      </c>
      <c r="C20" s="91">
        <v>160623</v>
      </c>
      <c r="D20" s="243">
        <v>108286</v>
      </c>
      <c r="E20" s="243">
        <v>31578</v>
      </c>
      <c r="F20" s="243">
        <v>15412</v>
      </c>
      <c r="G20" s="220">
        <v>5347</v>
      </c>
      <c r="H20" s="91">
        <v>6</v>
      </c>
      <c r="I20" s="243">
        <v>487</v>
      </c>
      <c r="J20" s="1"/>
      <c r="K20" s="1"/>
      <c r="L20" s="1"/>
    </row>
    <row r="21" spans="1:14" s="3" customFormat="1" ht="16.5" customHeight="1">
      <c r="A21" s="159"/>
      <c r="B21" s="178">
        <v>100</v>
      </c>
      <c r="C21" s="187">
        <v>99.694009285235481</v>
      </c>
      <c r="D21" s="46">
        <v>67.209960525335788</v>
      </c>
      <c r="E21" s="46">
        <v>19.599543186275728</v>
      </c>
      <c r="F21" s="46">
        <v>9.5657786936120566</v>
      </c>
      <c r="G21" s="46">
        <v>3.318726880011917</v>
      </c>
      <c r="H21" s="187">
        <v>3.7240249261401722E-3</v>
      </c>
      <c r="I21" s="46">
        <v>0.30226668983837729</v>
      </c>
      <c r="J21" s="72"/>
      <c r="K21" s="7"/>
      <c r="L21" s="7"/>
    </row>
    <row r="22" spans="1:14" s="3" customFormat="1" ht="16.5" customHeight="1">
      <c r="A22" s="159"/>
      <c r="B22" s="185"/>
      <c r="C22" s="189"/>
      <c r="D22" s="184"/>
      <c r="E22" s="184"/>
      <c r="F22" s="184"/>
      <c r="G22" s="190"/>
      <c r="H22" s="189"/>
      <c r="I22" s="184"/>
      <c r="K22" s="59"/>
    </row>
    <row r="23" spans="1:14" s="3" customFormat="1" ht="16.5" customHeight="1">
      <c r="A23" s="159" t="s">
        <v>201</v>
      </c>
      <c r="B23" s="101">
        <v>114194</v>
      </c>
      <c r="C23" s="91">
        <v>113701</v>
      </c>
      <c r="D23" s="243">
        <v>81852</v>
      </c>
      <c r="E23" s="243">
        <v>16286</v>
      </c>
      <c r="F23" s="243">
        <v>10782</v>
      </c>
      <c r="G23" s="191">
        <v>4781</v>
      </c>
      <c r="H23" s="91">
        <v>6</v>
      </c>
      <c r="I23" s="243">
        <v>487</v>
      </c>
      <c r="J23" s="1"/>
      <c r="K23" s="1"/>
      <c r="L23" s="1"/>
    </row>
    <row r="24" spans="1:14" s="3" customFormat="1" ht="16.5" customHeight="1">
      <c r="A24" s="158"/>
      <c r="B24" s="178">
        <v>100</v>
      </c>
      <c r="C24" s="187">
        <v>99.568278543531193</v>
      </c>
      <c r="D24" s="46">
        <v>71.678021612343898</v>
      </c>
      <c r="E24" s="46">
        <v>14.261695010245724</v>
      </c>
      <c r="F24" s="46">
        <v>9.4418270662206432</v>
      </c>
      <c r="G24" s="188">
        <v>4.186734854720914</v>
      </c>
      <c r="H24" s="187">
        <v>5.2542165087482709E-3</v>
      </c>
      <c r="I24" s="46">
        <v>0.42646723996006797</v>
      </c>
      <c r="J24" s="7"/>
      <c r="K24" s="7"/>
      <c r="L24" s="7"/>
    </row>
    <row r="25" spans="1:14" s="3" customFormat="1" ht="16.5" customHeight="1">
      <c r="A25" s="158" t="s">
        <v>99</v>
      </c>
      <c r="B25" s="100">
        <v>14136</v>
      </c>
      <c r="C25" s="90">
        <v>13811</v>
      </c>
      <c r="D25" s="242">
        <v>8793</v>
      </c>
      <c r="E25" s="242">
        <v>1922</v>
      </c>
      <c r="F25" s="242">
        <v>1901</v>
      </c>
      <c r="G25" s="176">
        <v>1195</v>
      </c>
      <c r="H25" s="90">
        <v>0</v>
      </c>
      <c r="I25" s="242">
        <v>325</v>
      </c>
      <c r="J25" s="1"/>
      <c r="K25" s="1"/>
      <c r="L25" s="1"/>
    </row>
    <row r="26" spans="1:14" s="3" customFormat="1" ht="16.5" customHeight="1">
      <c r="A26" s="158"/>
      <c r="B26" s="170">
        <v>100</v>
      </c>
      <c r="C26" s="192">
        <v>97.700905489530271</v>
      </c>
      <c r="D26" s="415">
        <v>62.202886247877764</v>
      </c>
      <c r="E26" s="415">
        <v>13.596491228070176</v>
      </c>
      <c r="F26" s="444">
        <v>13.447934352009055</v>
      </c>
      <c r="G26" s="415">
        <v>8.4535936615732883</v>
      </c>
      <c r="H26" s="306" t="s">
        <v>391</v>
      </c>
      <c r="I26" s="415">
        <v>2.2990945104697227</v>
      </c>
      <c r="J26" s="7"/>
      <c r="K26" s="7"/>
      <c r="L26" s="7"/>
    </row>
    <row r="27" spans="1:14" s="3" customFormat="1" ht="16.5" customHeight="1">
      <c r="A27" s="158" t="s">
        <v>100</v>
      </c>
      <c r="B27" s="100">
        <v>100058</v>
      </c>
      <c r="C27" s="90">
        <v>99890</v>
      </c>
      <c r="D27" s="242">
        <v>73059</v>
      </c>
      <c r="E27" s="242">
        <v>14364</v>
      </c>
      <c r="F27" s="242">
        <v>8881</v>
      </c>
      <c r="G27" s="176">
        <v>3586</v>
      </c>
      <c r="H27" s="90">
        <v>6</v>
      </c>
      <c r="I27" s="242">
        <v>162</v>
      </c>
      <c r="J27" s="1"/>
      <c r="K27" s="1"/>
      <c r="L27" s="1"/>
    </row>
    <row r="28" spans="1:14" s="3" customFormat="1" ht="16.5" customHeight="1">
      <c r="A28" s="158"/>
      <c r="B28" s="170">
        <v>100</v>
      </c>
      <c r="C28" s="192">
        <v>99.832097383517564</v>
      </c>
      <c r="D28" s="415">
        <v>73.016650342801171</v>
      </c>
      <c r="E28" s="415">
        <v>14.355673709248636</v>
      </c>
      <c r="F28" s="444">
        <v>8.8000000000000007</v>
      </c>
      <c r="G28" s="415">
        <v>3.5839213256311342</v>
      </c>
      <c r="H28" s="192">
        <v>5.9965220172300071E-3</v>
      </c>
      <c r="I28" s="415">
        <v>0.16190609446521018</v>
      </c>
      <c r="J28" s="317"/>
      <c r="K28" s="7"/>
      <c r="L28" s="7"/>
    </row>
    <row r="29" spans="1:14" s="3" customFormat="1" ht="16.5" customHeight="1">
      <c r="A29" s="159"/>
      <c r="B29" s="185"/>
      <c r="C29" s="189"/>
      <c r="D29" s="184"/>
      <c r="E29" s="184"/>
      <c r="F29" s="184"/>
      <c r="G29" s="190"/>
      <c r="H29" s="189"/>
      <c r="I29" s="184"/>
      <c r="J29" s="66"/>
    </row>
    <row r="30" spans="1:14" s="3" customFormat="1" ht="16.5" customHeight="1">
      <c r="A30" s="159" t="s">
        <v>202</v>
      </c>
      <c r="B30" s="101">
        <v>42944</v>
      </c>
      <c r="C30" s="91">
        <v>42944</v>
      </c>
      <c r="D30" s="243">
        <v>23202</v>
      </c>
      <c r="E30" s="243">
        <v>14952</v>
      </c>
      <c r="F30" s="243">
        <v>4426</v>
      </c>
      <c r="G30" s="191">
        <v>364</v>
      </c>
      <c r="H30" s="91">
        <v>0</v>
      </c>
      <c r="I30" s="243">
        <v>0</v>
      </c>
      <c r="J30" s="17"/>
      <c r="K30" s="1"/>
      <c r="L30" s="1"/>
    </row>
    <row r="31" spans="1:14" s="3" customFormat="1" ht="16.5" customHeight="1">
      <c r="A31" s="159"/>
      <c r="B31" s="178">
        <v>100</v>
      </c>
      <c r="C31" s="187">
        <v>100</v>
      </c>
      <c r="D31" s="46">
        <v>54.028502235469446</v>
      </c>
      <c r="E31" s="46">
        <v>34.817436661698956</v>
      </c>
      <c r="F31" s="46">
        <v>10.4</v>
      </c>
      <c r="G31" s="188">
        <v>0.84761549925484359</v>
      </c>
      <c r="H31" s="307" t="s">
        <v>391</v>
      </c>
      <c r="I31" s="70" t="s">
        <v>391</v>
      </c>
      <c r="J31" s="72"/>
      <c r="K31" s="7"/>
      <c r="L31" s="7"/>
    </row>
    <row r="32" spans="1:14" s="3" customFormat="1" ht="16.5" customHeight="1">
      <c r="A32" s="158" t="s">
        <v>60</v>
      </c>
      <c r="B32" s="100">
        <v>4833</v>
      </c>
      <c r="C32" s="90">
        <v>4833</v>
      </c>
      <c r="D32" s="242">
        <v>3371</v>
      </c>
      <c r="E32" s="242">
        <v>1001</v>
      </c>
      <c r="F32" s="242">
        <v>325</v>
      </c>
      <c r="G32" s="176">
        <v>136</v>
      </c>
      <c r="H32" s="90">
        <v>0</v>
      </c>
      <c r="I32" s="242">
        <v>0</v>
      </c>
      <c r="J32" s="17"/>
      <c r="K32" s="1"/>
      <c r="L32" s="1"/>
    </row>
    <row r="33" spans="1:12" s="3" customFormat="1" ht="16.5" customHeight="1">
      <c r="A33" s="158"/>
      <c r="B33" s="170">
        <v>100</v>
      </c>
      <c r="C33" s="192">
        <v>100</v>
      </c>
      <c r="D33" s="415">
        <v>69.749637906062489</v>
      </c>
      <c r="E33" s="415">
        <v>20.711773225739709</v>
      </c>
      <c r="F33" s="415">
        <v>6.8</v>
      </c>
      <c r="G33" s="444">
        <v>2.813987171529071</v>
      </c>
      <c r="H33" s="306" t="s">
        <v>391</v>
      </c>
      <c r="I33" s="71" t="s">
        <v>391</v>
      </c>
      <c r="J33" s="72"/>
      <c r="K33" s="7"/>
      <c r="L33" s="7"/>
    </row>
    <row r="34" spans="1:12" s="3" customFormat="1" ht="16.5" customHeight="1">
      <c r="A34" s="158" t="s">
        <v>7</v>
      </c>
      <c r="B34" s="100">
        <v>38111</v>
      </c>
      <c r="C34" s="90">
        <v>38111</v>
      </c>
      <c r="D34" s="242">
        <v>19831</v>
      </c>
      <c r="E34" s="242">
        <v>13951</v>
      </c>
      <c r="F34" s="242">
        <v>4101</v>
      </c>
      <c r="G34" s="176">
        <v>228</v>
      </c>
      <c r="H34" s="90">
        <v>0</v>
      </c>
      <c r="I34" s="242">
        <v>0</v>
      </c>
      <c r="J34" s="17"/>
      <c r="K34" s="1"/>
      <c r="L34" s="1"/>
    </row>
    <row r="35" spans="1:12" s="3" customFormat="1" ht="16.5" customHeight="1">
      <c r="A35" s="158"/>
      <c r="B35" s="170">
        <v>100</v>
      </c>
      <c r="C35" s="192">
        <v>100</v>
      </c>
      <c r="D35" s="415">
        <v>52.034845582640187</v>
      </c>
      <c r="E35" s="444">
        <v>36.606229172679804</v>
      </c>
      <c r="F35" s="415">
        <v>10.760672771640733</v>
      </c>
      <c r="G35" s="193">
        <v>0.59825247303928009</v>
      </c>
      <c r="H35" s="306" t="s">
        <v>391</v>
      </c>
      <c r="I35" s="71" t="s">
        <v>391</v>
      </c>
      <c r="J35" s="72"/>
      <c r="K35" s="7"/>
      <c r="L35" s="7"/>
    </row>
    <row r="36" spans="1:12" s="3" customFormat="1" ht="16.5" customHeight="1">
      <c r="A36" s="159"/>
      <c r="B36" s="185"/>
      <c r="C36" s="189"/>
      <c r="D36" s="184"/>
      <c r="E36" s="184"/>
      <c r="F36" s="184"/>
      <c r="G36" s="190"/>
      <c r="H36" s="189"/>
      <c r="I36" s="184"/>
      <c r="J36" s="66"/>
    </row>
    <row r="37" spans="1:12" s="3" customFormat="1" ht="16.5" customHeight="1">
      <c r="A37" s="159" t="s">
        <v>203</v>
      </c>
      <c r="B37" s="101">
        <v>3978</v>
      </c>
      <c r="C37" s="91">
        <v>3978</v>
      </c>
      <c r="D37" s="243">
        <v>3232</v>
      </c>
      <c r="E37" s="243">
        <v>340</v>
      </c>
      <c r="F37" s="243">
        <v>204</v>
      </c>
      <c r="G37" s="243">
        <v>202</v>
      </c>
      <c r="H37" s="91">
        <v>0</v>
      </c>
      <c r="I37" s="243">
        <v>0</v>
      </c>
      <c r="J37" s="17"/>
      <c r="K37" s="1"/>
      <c r="L37" s="1"/>
    </row>
    <row r="38" spans="1:12" s="3" customFormat="1" ht="16.5" customHeight="1">
      <c r="A38" s="159"/>
      <c r="B38" s="178">
        <v>100</v>
      </c>
      <c r="C38" s="187">
        <v>100</v>
      </c>
      <c r="D38" s="46">
        <v>81.246857717445948</v>
      </c>
      <c r="E38" s="46">
        <v>8.6</v>
      </c>
      <c r="F38" s="46">
        <v>5.1282051282051277</v>
      </c>
      <c r="G38" s="188">
        <v>5.0779286073403718</v>
      </c>
      <c r="H38" s="307" t="s">
        <v>391</v>
      </c>
      <c r="I38" s="70" t="s">
        <v>391</v>
      </c>
      <c r="J38" s="72"/>
      <c r="K38" s="7"/>
      <c r="L38" s="7"/>
    </row>
    <row r="39" spans="1:12" s="3" customFormat="1" ht="16.5" customHeight="1">
      <c r="A39" s="158" t="s">
        <v>204</v>
      </c>
      <c r="B39" s="100">
        <v>759</v>
      </c>
      <c r="C39" s="90">
        <v>759</v>
      </c>
      <c r="D39" s="242">
        <v>534</v>
      </c>
      <c r="E39" s="242">
        <v>94</v>
      </c>
      <c r="F39" s="242">
        <v>56</v>
      </c>
      <c r="G39" s="176">
        <v>75</v>
      </c>
      <c r="H39" s="90">
        <v>0</v>
      </c>
      <c r="I39" s="242">
        <v>0</v>
      </c>
      <c r="J39" s="17"/>
      <c r="K39" s="1"/>
      <c r="L39" s="1"/>
    </row>
    <row r="40" spans="1:12" s="3" customFormat="1" ht="16.5" customHeight="1">
      <c r="A40" s="158"/>
      <c r="B40" s="170">
        <v>100</v>
      </c>
      <c r="C40" s="192">
        <v>100</v>
      </c>
      <c r="D40" s="415">
        <v>70.355731225296452</v>
      </c>
      <c r="E40" s="444">
        <v>12.384716732542818</v>
      </c>
      <c r="F40" s="415">
        <v>7.3781291172595518</v>
      </c>
      <c r="G40" s="415">
        <v>9.8000000000000007</v>
      </c>
      <c r="H40" s="306" t="s">
        <v>391</v>
      </c>
      <c r="I40" s="71" t="s">
        <v>391</v>
      </c>
      <c r="J40" s="72"/>
      <c r="K40" s="7"/>
      <c r="L40" s="7"/>
    </row>
    <row r="41" spans="1:12" s="3" customFormat="1" ht="16.5" customHeight="1">
      <c r="A41" s="158" t="s">
        <v>205</v>
      </c>
      <c r="B41" s="100">
        <v>3207</v>
      </c>
      <c r="C41" s="90">
        <v>3207</v>
      </c>
      <c r="D41" s="242">
        <v>2698</v>
      </c>
      <c r="E41" s="242">
        <v>244</v>
      </c>
      <c r="F41" s="242">
        <v>146</v>
      </c>
      <c r="G41" s="176">
        <v>119</v>
      </c>
      <c r="H41" s="90">
        <v>0</v>
      </c>
      <c r="I41" s="242">
        <v>0</v>
      </c>
      <c r="J41" s="17"/>
      <c r="K41" s="1"/>
      <c r="L41" s="1"/>
    </row>
    <row r="42" spans="1:12" s="3" customFormat="1" ht="16.5" customHeight="1">
      <c r="A42" s="158"/>
      <c r="B42" s="170">
        <v>100</v>
      </c>
      <c r="C42" s="192">
        <v>100</v>
      </c>
      <c r="D42" s="415">
        <v>84.128468974119116</v>
      </c>
      <c r="E42" s="415">
        <v>7.6083567196757089</v>
      </c>
      <c r="F42" s="415">
        <v>4.5525413158715313</v>
      </c>
      <c r="G42" s="415">
        <v>3.7106329903336457</v>
      </c>
      <c r="H42" s="306" t="s">
        <v>391</v>
      </c>
      <c r="I42" s="71" t="s">
        <v>391</v>
      </c>
      <c r="J42" s="7"/>
      <c r="K42" s="7"/>
      <c r="L42" s="7"/>
    </row>
    <row r="43" spans="1:12" s="3" customFormat="1" ht="16.5" customHeight="1">
      <c r="A43" s="158" t="s">
        <v>179</v>
      </c>
      <c r="B43" s="100">
        <v>12</v>
      </c>
      <c r="C43" s="90">
        <v>12</v>
      </c>
      <c r="D43" s="242">
        <v>0</v>
      </c>
      <c r="E43" s="242">
        <v>2</v>
      </c>
      <c r="F43" s="242">
        <v>2</v>
      </c>
      <c r="G43" s="176">
        <v>8</v>
      </c>
      <c r="H43" s="90">
        <v>0</v>
      </c>
      <c r="I43" s="242">
        <v>0</v>
      </c>
      <c r="J43" s="1"/>
      <c r="K43" s="1"/>
      <c r="L43" s="1"/>
    </row>
    <row r="44" spans="1:12" s="3" customFormat="1" ht="16.5" customHeight="1">
      <c r="A44" s="179"/>
      <c r="B44" s="186">
        <v>100</v>
      </c>
      <c r="C44" s="194">
        <v>100</v>
      </c>
      <c r="D44" s="258" t="s">
        <v>801</v>
      </c>
      <c r="E44" s="414">
        <v>16.666666666666664</v>
      </c>
      <c r="F44" s="414">
        <v>16.666666666666664</v>
      </c>
      <c r="G44" s="414">
        <v>66.599999999999994</v>
      </c>
      <c r="H44" s="308" t="s">
        <v>391</v>
      </c>
      <c r="I44" s="309" t="s">
        <v>391</v>
      </c>
      <c r="J44" s="7"/>
      <c r="K44" s="7"/>
      <c r="L44" s="7"/>
    </row>
    <row r="45" spans="1:12" s="3" customFormat="1" ht="16.5" customHeight="1">
      <c r="A45" s="3" t="s">
        <v>264</v>
      </c>
      <c r="C45" s="125"/>
      <c r="D45" s="125"/>
      <c r="E45" s="125"/>
      <c r="F45" s="125"/>
      <c r="G45" s="125"/>
    </row>
    <row r="46" spans="1:12" s="3" customFormat="1" ht="16.5" customHeight="1">
      <c r="A46" s="3" t="s">
        <v>609</v>
      </c>
    </row>
    <row r="47" spans="1:12" s="3" customFormat="1" ht="16.5" customHeight="1">
      <c r="A47" s="3" t="s">
        <v>106</v>
      </c>
    </row>
  </sheetData>
  <sheetProtection algorithmName="SHA-512" hashValue="pvcb5LkHesms3JpTSggci71nRTBuWpsGNReci4RwsHmwqYgzXQZJkzKDsrD1a7cSwpBFOdy9+Brwwrv4rsIFuw==" saltValue="ZDYXJJJNrE9TPblDJFikCg==" spinCount="100000" sheet="1" objects="1" scenarios="1"/>
  <mergeCells count="16">
    <mergeCell ref="J4:J5"/>
    <mergeCell ref="K4:K5"/>
    <mergeCell ref="L4:L5"/>
    <mergeCell ref="B18:B19"/>
    <mergeCell ref="C18:G18"/>
    <mergeCell ref="H18:H19"/>
    <mergeCell ref="B4:B5"/>
    <mergeCell ref="C4:C5"/>
    <mergeCell ref="F4:F5"/>
    <mergeCell ref="G4:G5"/>
    <mergeCell ref="I18:I19"/>
    <mergeCell ref="H4:H5"/>
    <mergeCell ref="I4:I5"/>
    <mergeCell ref="D4:D5"/>
    <mergeCell ref="E4:E5"/>
    <mergeCell ref="A15:L15"/>
  </mergeCells>
  <phoneticPr fontId="6" type="noConversion"/>
  <pageMargins left="0.39370078740157483" right="0" top="0.59055118110236227" bottom="0.15748031496062992" header="0.51181102362204722" footer="3.937007874015748E-2"/>
  <pageSetup paperSize="9" scale="44"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J69"/>
  <sheetViews>
    <sheetView showGridLines="0" zoomScaleNormal="100" zoomScaleSheetLayoutView="100" workbookViewId="0"/>
  </sheetViews>
  <sheetFormatPr defaultColWidth="8" defaultRowHeight="16.5" customHeight="1"/>
  <cols>
    <col min="1" max="1" width="14.44140625" style="86" customWidth="1"/>
    <col min="2" max="10" width="8" style="86" customWidth="1"/>
    <col min="11" max="16384" width="8" style="86"/>
  </cols>
  <sheetData>
    <row r="1" spans="1:10" s="3" customFormat="1" ht="16.5" customHeight="1">
      <c r="A1" s="82" t="s">
        <v>669</v>
      </c>
      <c r="B1" s="61"/>
      <c r="C1" s="61"/>
      <c r="D1" s="61"/>
      <c r="E1" s="61"/>
      <c r="F1" s="61"/>
      <c r="G1" s="61"/>
      <c r="H1" s="61"/>
      <c r="I1" s="61"/>
      <c r="J1" s="61"/>
    </row>
    <row r="2" spans="1:10" s="3" customFormat="1" ht="16.5" customHeight="1">
      <c r="A2" s="61"/>
      <c r="B2" s="61"/>
      <c r="C2" s="61"/>
      <c r="D2" s="61"/>
      <c r="E2" s="61"/>
      <c r="F2" s="61"/>
      <c r="G2" s="61"/>
      <c r="H2" s="61"/>
      <c r="I2" s="61"/>
      <c r="J2" s="61"/>
    </row>
    <row r="3" spans="1:10" s="3" customFormat="1" ht="16.5" customHeight="1">
      <c r="A3" s="82" t="s">
        <v>23</v>
      </c>
      <c r="B3" s="61"/>
      <c r="C3" s="61"/>
      <c r="D3" s="61"/>
      <c r="E3" s="61"/>
      <c r="F3" s="61"/>
      <c r="G3" s="61"/>
      <c r="H3" s="61"/>
      <c r="I3" s="61"/>
      <c r="J3" s="61"/>
    </row>
    <row r="4" spans="1:10" s="3" customFormat="1" ht="33" customHeight="1">
      <c r="A4" s="529" t="s">
        <v>826</v>
      </c>
      <c r="B4" s="529"/>
      <c r="C4" s="529"/>
      <c r="D4" s="529"/>
      <c r="E4" s="529"/>
      <c r="F4" s="529"/>
      <c r="G4" s="529"/>
      <c r="H4" s="529"/>
      <c r="I4" s="529"/>
      <c r="J4" s="529"/>
    </row>
    <row r="5" spans="1:10" s="3" customFormat="1" ht="16.5" customHeight="1">
      <c r="A5" s="59"/>
      <c r="B5" s="59"/>
      <c r="C5" s="59"/>
      <c r="D5" s="59"/>
      <c r="E5" s="59"/>
      <c r="F5" s="59"/>
      <c r="G5" s="59"/>
      <c r="I5" s="59"/>
    </row>
    <row r="6" spans="1:10" s="3" customFormat="1" ht="16.5" customHeight="1">
      <c r="A6" s="82" t="s">
        <v>53</v>
      </c>
      <c r="B6" s="59"/>
      <c r="C6" s="59"/>
      <c r="D6" s="59"/>
      <c r="E6" s="59"/>
      <c r="F6" s="59"/>
      <c r="G6" s="59"/>
      <c r="I6" s="59"/>
    </row>
    <row r="7" spans="1:10" s="3" customFormat="1" ht="16.5" customHeight="1">
      <c r="A7" s="59" t="s">
        <v>670</v>
      </c>
      <c r="B7" s="59"/>
      <c r="C7" s="59"/>
      <c r="D7" s="59"/>
      <c r="E7" s="59"/>
      <c r="F7" s="59"/>
      <c r="G7" s="59"/>
      <c r="I7" s="59"/>
    </row>
    <row r="8" spans="1:10" s="3" customFormat="1" ht="16.5" customHeight="1">
      <c r="A8" s="59"/>
      <c r="B8" s="59"/>
      <c r="C8" s="59"/>
      <c r="D8" s="59"/>
      <c r="E8" s="59"/>
      <c r="F8" s="59"/>
      <c r="G8" s="59"/>
      <c r="I8" s="59"/>
    </row>
    <row r="9" spans="1:10" s="3" customFormat="1" ht="16.5" customHeight="1">
      <c r="A9" s="82" t="s">
        <v>671</v>
      </c>
    </row>
    <row r="10" spans="1:10" s="3" customFormat="1" ht="16.5" customHeight="1">
      <c r="J10" s="436" t="s">
        <v>827</v>
      </c>
    </row>
    <row r="11" spans="1:10" s="3" customFormat="1" ht="16.5" customHeight="1">
      <c r="A11" s="433" t="s">
        <v>167</v>
      </c>
      <c r="B11" s="646" t="s">
        <v>726</v>
      </c>
      <c r="C11" s="648" t="s">
        <v>728</v>
      </c>
      <c r="D11" s="649"/>
      <c r="E11" s="649"/>
      <c r="F11" s="649"/>
      <c r="G11" s="649"/>
      <c r="H11" s="649"/>
      <c r="I11" s="650"/>
      <c r="J11" s="646" t="s">
        <v>727</v>
      </c>
    </row>
    <row r="12" spans="1:10" s="3" customFormat="1" ht="16.5" customHeight="1">
      <c r="A12" s="429"/>
      <c r="B12" s="537"/>
      <c r="C12" s="628" t="s">
        <v>722</v>
      </c>
      <c r="D12" s="626"/>
      <c r="E12" s="628" t="s">
        <v>723</v>
      </c>
      <c r="F12" s="626"/>
      <c r="G12" s="628" t="s">
        <v>724</v>
      </c>
      <c r="H12" s="626"/>
      <c r="I12" s="431" t="s">
        <v>725</v>
      </c>
      <c r="J12" s="537"/>
    </row>
    <row r="13" spans="1:10" s="3" customFormat="1" ht="16.5" customHeight="1">
      <c r="A13" s="437" t="s">
        <v>36</v>
      </c>
      <c r="B13" s="647"/>
      <c r="C13" s="438" t="s">
        <v>720</v>
      </c>
      <c r="D13" s="438" t="s">
        <v>721</v>
      </c>
      <c r="E13" s="438" t="s">
        <v>720</v>
      </c>
      <c r="F13" s="438" t="s">
        <v>721</v>
      </c>
      <c r="G13" s="438" t="s">
        <v>720</v>
      </c>
      <c r="H13" s="438" t="s">
        <v>721</v>
      </c>
      <c r="I13" s="438" t="s">
        <v>720</v>
      </c>
      <c r="J13" s="647"/>
    </row>
    <row r="14" spans="1:10" s="3" customFormat="1" ht="16.5" customHeight="1">
      <c r="A14" s="428" t="s">
        <v>729</v>
      </c>
      <c r="B14" s="100">
        <v>233</v>
      </c>
      <c r="C14" s="90">
        <v>64</v>
      </c>
      <c r="D14" s="432">
        <v>0.29799999999999999</v>
      </c>
      <c r="E14" s="242">
        <v>61</v>
      </c>
      <c r="F14" s="432">
        <v>0.28399999999999997</v>
      </c>
      <c r="G14" s="242">
        <v>90</v>
      </c>
      <c r="H14" s="432">
        <v>0.41899999999999998</v>
      </c>
      <c r="I14" s="266">
        <v>215</v>
      </c>
      <c r="J14" s="242">
        <v>18</v>
      </c>
    </row>
    <row r="15" spans="1:10" s="3" customFormat="1" ht="16.5" customHeight="1">
      <c r="A15" s="428" t="s">
        <v>730</v>
      </c>
      <c r="B15" s="100">
        <v>336</v>
      </c>
      <c r="C15" s="90">
        <v>95</v>
      </c>
      <c r="D15" s="432">
        <v>0.308</v>
      </c>
      <c r="E15" s="242">
        <v>75</v>
      </c>
      <c r="F15" s="432">
        <v>0.24399999999999999</v>
      </c>
      <c r="G15" s="242">
        <v>138</v>
      </c>
      <c r="H15" s="432">
        <v>0.44800000000000001</v>
      </c>
      <c r="I15" s="266">
        <v>308</v>
      </c>
      <c r="J15" s="242">
        <v>46</v>
      </c>
    </row>
    <row r="16" spans="1:10" s="3" customFormat="1" ht="16.5" customHeight="1">
      <c r="A16" s="428" t="s">
        <v>731</v>
      </c>
      <c r="B16" s="100">
        <v>438</v>
      </c>
      <c r="C16" s="90">
        <v>162</v>
      </c>
      <c r="D16" s="432">
        <v>0.39100000000000001</v>
      </c>
      <c r="E16" s="242">
        <v>75</v>
      </c>
      <c r="F16" s="432">
        <v>0.18099999999999999</v>
      </c>
      <c r="G16" s="242">
        <v>177</v>
      </c>
      <c r="H16" s="432">
        <v>0.42799999999999999</v>
      </c>
      <c r="I16" s="266">
        <v>414</v>
      </c>
      <c r="J16" s="242">
        <v>70</v>
      </c>
    </row>
    <row r="17" spans="1:10" s="3" customFormat="1" ht="16.5" customHeight="1">
      <c r="A17" s="428" t="s">
        <v>732</v>
      </c>
      <c r="B17" s="100">
        <v>489</v>
      </c>
      <c r="C17" s="90">
        <v>253</v>
      </c>
      <c r="D17" s="432">
        <v>0.51200000000000001</v>
      </c>
      <c r="E17" s="242">
        <v>63</v>
      </c>
      <c r="F17" s="432">
        <v>0.128</v>
      </c>
      <c r="G17" s="242">
        <v>178</v>
      </c>
      <c r="H17" s="432">
        <v>0.36</v>
      </c>
      <c r="I17" s="266">
        <v>494</v>
      </c>
      <c r="J17" s="242">
        <v>65</v>
      </c>
    </row>
    <row r="18" spans="1:10" s="3" customFormat="1" ht="16.5" customHeight="1">
      <c r="A18" s="428" t="s">
        <v>733</v>
      </c>
      <c r="B18" s="100">
        <v>756</v>
      </c>
      <c r="C18" s="90">
        <v>274</v>
      </c>
      <c r="D18" s="432">
        <v>0.40500000000000003</v>
      </c>
      <c r="E18" s="242">
        <v>124</v>
      </c>
      <c r="F18" s="432">
        <v>0.183</v>
      </c>
      <c r="G18" s="242">
        <v>278</v>
      </c>
      <c r="H18" s="432">
        <v>0.41099999999999998</v>
      </c>
      <c r="I18" s="266">
        <v>676</v>
      </c>
      <c r="J18" s="242">
        <v>145</v>
      </c>
    </row>
    <row r="19" spans="1:10" s="3" customFormat="1" ht="16.5" customHeight="1">
      <c r="A19" s="428" t="s">
        <v>734</v>
      </c>
      <c r="B19" s="100">
        <v>764</v>
      </c>
      <c r="C19" s="90">
        <v>345</v>
      </c>
      <c r="D19" s="432">
        <v>0.433</v>
      </c>
      <c r="E19" s="242">
        <v>118</v>
      </c>
      <c r="F19" s="432">
        <v>0.14799999999999999</v>
      </c>
      <c r="G19" s="242">
        <v>334</v>
      </c>
      <c r="H19" s="432">
        <v>0.41899999999999998</v>
      </c>
      <c r="I19" s="266">
        <v>797</v>
      </c>
      <c r="J19" s="242">
        <v>112</v>
      </c>
    </row>
    <row r="20" spans="1:10" s="3" customFormat="1" ht="16.5" customHeight="1">
      <c r="A20" s="428" t="s">
        <v>735</v>
      </c>
      <c r="B20" s="100">
        <v>608</v>
      </c>
      <c r="C20" s="90">
        <v>271</v>
      </c>
      <c r="D20" s="432">
        <v>0.44400000000000001</v>
      </c>
      <c r="E20" s="242">
        <v>107</v>
      </c>
      <c r="F20" s="432">
        <v>0.17499999999999999</v>
      </c>
      <c r="G20" s="242">
        <v>233</v>
      </c>
      <c r="H20" s="432">
        <v>0.38100000000000001</v>
      </c>
      <c r="I20" s="266">
        <v>611</v>
      </c>
      <c r="J20" s="242">
        <v>109</v>
      </c>
    </row>
    <row r="21" spans="1:10" s="3" customFormat="1" ht="16.5" customHeight="1">
      <c r="A21" s="428" t="s">
        <v>736</v>
      </c>
      <c r="B21" s="100">
        <v>505</v>
      </c>
      <c r="C21" s="90">
        <v>203</v>
      </c>
      <c r="D21" s="432">
        <v>0.38600000000000001</v>
      </c>
      <c r="E21" s="242">
        <v>106</v>
      </c>
      <c r="F21" s="432">
        <v>0.20200000000000001</v>
      </c>
      <c r="G21" s="242">
        <v>217</v>
      </c>
      <c r="H21" s="432">
        <v>0.41299999999999998</v>
      </c>
      <c r="I21" s="266">
        <v>526</v>
      </c>
      <c r="J21" s="242">
        <v>88</v>
      </c>
    </row>
    <row r="22" spans="1:10" s="3" customFormat="1" ht="16.5" customHeight="1">
      <c r="A22" s="428" t="s">
        <v>737</v>
      </c>
      <c r="B22" s="100">
        <v>860</v>
      </c>
      <c r="C22" s="90">
        <v>305</v>
      </c>
      <c r="D22" s="432">
        <v>0.38900000000000001</v>
      </c>
      <c r="E22" s="242">
        <v>151</v>
      </c>
      <c r="F22" s="432">
        <v>0.193</v>
      </c>
      <c r="G22" s="242">
        <v>328</v>
      </c>
      <c r="H22" s="432">
        <v>0.41799999999999998</v>
      </c>
      <c r="I22" s="266">
        <v>784</v>
      </c>
      <c r="J22" s="242">
        <v>164</v>
      </c>
    </row>
    <row r="23" spans="1:10" s="3" customFormat="1" ht="16.5" customHeight="1">
      <c r="A23" s="428" t="s">
        <v>738</v>
      </c>
      <c r="B23" s="100">
        <v>712</v>
      </c>
      <c r="C23" s="90">
        <v>295</v>
      </c>
      <c r="D23" s="432">
        <v>0.372</v>
      </c>
      <c r="E23" s="242">
        <v>195</v>
      </c>
      <c r="F23" s="432">
        <v>0.246</v>
      </c>
      <c r="G23" s="242">
        <v>304</v>
      </c>
      <c r="H23" s="432">
        <v>0.38300000000000001</v>
      </c>
      <c r="I23" s="266">
        <v>794</v>
      </c>
      <c r="J23" s="242">
        <v>82</v>
      </c>
    </row>
    <row r="24" spans="1:10" s="3" customFormat="1" ht="16.5" customHeight="1">
      <c r="A24" s="428" t="s">
        <v>739</v>
      </c>
      <c r="B24" s="100">
        <v>665</v>
      </c>
      <c r="C24" s="90">
        <v>180</v>
      </c>
      <c r="D24" s="432">
        <v>0.28799999999999998</v>
      </c>
      <c r="E24" s="242">
        <v>183</v>
      </c>
      <c r="F24" s="432">
        <v>0.29299999999999998</v>
      </c>
      <c r="G24" s="242">
        <v>261</v>
      </c>
      <c r="H24" s="432">
        <v>0.41799999999999998</v>
      </c>
      <c r="I24" s="266">
        <v>624</v>
      </c>
      <c r="J24" s="242">
        <v>123</v>
      </c>
    </row>
    <row r="25" spans="1:10" s="3" customFormat="1" ht="16.5" customHeight="1">
      <c r="A25" s="428" t="s">
        <v>740</v>
      </c>
      <c r="B25" s="100">
        <v>630</v>
      </c>
      <c r="C25" s="90">
        <v>175</v>
      </c>
      <c r="D25" s="432">
        <v>0.28000000000000003</v>
      </c>
      <c r="E25" s="242">
        <v>187</v>
      </c>
      <c r="F25" s="432">
        <v>0.29899999999999999</v>
      </c>
      <c r="G25" s="242">
        <v>263</v>
      </c>
      <c r="H25" s="432">
        <v>0.42099999999999999</v>
      </c>
      <c r="I25" s="266">
        <v>625</v>
      </c>
      <c r="J25" s="242">
        <v>128</v>
      </c>
    </row>
    <row r="26" spans="1:10" s="3" customFormat="1" ht="16.5" customHeight="1">
      <c r="A26" s="428" t="s">
        <v>741</v>
      </c>
      <c r="B26" s="100">
        <v>865</v>
      </c>
      <c r="C26" s="90">
        <v>96</v>
      </c>
      <c r="D26" s="432">
        <v>0.124</v>
      </c>
      <c r="E26" s="242">
        <v>293</v>
      </c>
      <c r="F26" s="432">
        <v>0.378</v>
      </c>
      <c r="G26" s="242">
        <v>387</v>
      </c>
      <c r="H26" s="432">
        <v>0.499</v>
      </c>
      <c r="I26" s="266">
        <v>776</v>
      </c>
      <c r="J26" s="242">
        <v>217</v>
      </c>
    </row>
    <row r="27" spans="1:10" s="3" customFormat="1" ht="16.5" customHeight="1">
      <c r="A27" s="428" t="s">
        <v>742</v>
      </c>
      <c r="B27" s="100">
        <v>767</v>
      </c>
      <c r="C27" s="90">
        <v>84</v>
      </c>
      <c r="D27" s="432">
        <v>0.107</v>
      </c>
      <c r="E27" s="242">
        <v>306</v>
      </c>
      <c r="F27" s="432">
        <v>0.39100000000000001</v>
      </c>
      <c r="G27" s="242">
        <v>393</v>
      </c>
      <c r="H27" s="432">
        <v>0.502</v>
      </c>
      <c r="I27" s="266">
        <v>783</v>
      </c>
      <c r="J27" s="242">
        <v>201</v>
      </c>
    </row>
    <row r="28" spans="1:10" s="3" customFormat="1" ht="16.5" customHeight="1">
      <c r="A28" s="459" t="s">
        <v>828</v>
      </c>
      <c r="B28" s="100">
        <v>811</v>
      </c>
      <c r="C28" s="90">
        <v>92</v>
      </c>
      <c r="D28" s="432">
        <v>0.113</v>
      </c>
      <c r="E28" s="242">
        <v>241</v>
      </c>
      <c r="F28" s="432">
        <v>0.29699999999999999</v>
      </c>
      <c r="G28" s="242">
        <v>480</v>
      </c>
      <c r="H28" s="432">
        <v>0.59</v>
      </c>
      <c r="I28" s="266">
        <v>813</v>
      </c>
      <c r="J28" s="242">
        <v>199</v>
      </c>
    </row>
    <row r="29" spans="1:10" s="3" customFormat="1" ht="16.5" customHeight="1">
      <c r="A29" s="460" t="s">
        <v>89</v>
      </c>
      <c r="B29" s="231">
        <v>9439</v>
      </c>
      <c r="C29" s="303">
        <v>2894</v>
      </c>
      <c r="D29" s="434">
        <v>0.313</v>
      </c>
      <c r="E29" s="50">
        <v>2285</v>
      </c>
      <c r="F29" s="434">
        <v>0.247</v>
      </c>
      <c r="G29" s="50">
        <v>4061</v>
      </c>
      <c r="H29" s="434">
        <v>0.44</v>
      </c>
      <c r="I29" s="177">
        <v>9240</v>
      </c>
      <c r="J29" s="50">
        <v>199</v>
      </c>
    </row>
    <row r="30" spans="1:10" s="3" customFormat="1" ht="16.5" customHeight="1">
      <c r="A30" s="3" t="s">
        <v>743</v>
      </c>
    </row>
    <row r="31" spans="1:10" s="3" customFormat="1" ht="16.5" customHeight="1">
      <c r="A31" s="82"/>
    </row>
    <row r="32" spans="1:10" s="3" customFormat="1" ht="16.5" customHeight="1">
      <c r="A32" s="82" t="s">
        <v>744</v>
      </c>
    </row>
    <row r="33" spans="1:10" s="3" customFormat="1" ht="16.5" customHeight="1">
      <c r="A33" s="82"/>
      <c r="J33" s="436" t="s">
        <v>827</v>
      </c>
    </row>
    <row r="34" spans="1:10" s="3" customFormat="1" ht="16.5" customHeight="1">
      <c r="A34" s="433" t="s">
        <v>167</v>
      </c>
      <c r="B34" s="646" t="s">
        <v>726</v>
      </c>
      <c r="C34" s="648" t="s">
        <v>728</v>
      </c>
      <c r="D34" s="649"/>
      <c r="E34" s="649"/>
      <c r="F34" s="649"/>
      <c r="G34" s="649"/>
      <c r="H34" s="649"/>
      <c r="I34" s="650"/>
      <c r="J34" s="646" t="s">
        <v>727</v>
      </c>
    </row>
    <row r="35" spans="1:10" s="3" customFormat="1" ht="16.5" customHeight="1">
      <c r="A35" s="429"/>
      <c r="B35" s="537"/>
      <c r="C35" s="628" t="s">
        <v>722</v>
      </c>
      <c r="D35" s="626"/>
      <c r="E35" s="628" t="s">
        <v>723</v>
      </c>
      <c r="F35" s="626"/>
      <c r="G35" s="628" t="s">
        <v>724</v>
      </c>
      <c r="H35" s="626"/>
      <c r="I35" s="431" t="s">
        <v>725</v>
      </c>
      <c r="J35" s="537"/>
    </row>
    <row r="36" spans="1:10" s="3" customFormat="1" ht="16.5" customHeight="1">
      <c r="A36" s="437" t="s">
        <v>319</v>
      </c>
      <c r="B36" s="647"/>
      <c r="C36" s="438" t="s">
        <v>720</v>
      </c>
      <c r="D36" s="438" t="s">
        <v>721</v>
      </c>
      <c r="E36" s="438" t="s">
        <v>720</v>
      </c>
      <c r="F36" s="438" t="s">
        <v>721</v>
      </c>
      <c r="G36" s="438" t="s">
        <v>720</v>
      </c>
      <c r="H36" s="438" t="s">
        <v>721</v>
      </c>
      <c r="I36" s="438" t="s">
        <v>720</v>
      </c>
      <c r="J36" s="647"/>
    </row>
    <row r="37" spans="1:10" s="3" customFormat="1" ht="16.5" customHeight="1">
      <c r="A37" s="428" t="s">
        <v>745</v>
      </c>
      <c r="B37" s="100">
        <v>838</v>
      </c>
      <c r="C37" s="90">
        <v>250</v>
      </c>
      <c r="D37" s="432">
        <v>0.30099999999999999</v>
      </c>
      <c r="E37" s="242">
        <v>131</v>
      </c>
      <c r="F37" s="432">
        <v>0.158</v>
      </c>
      <c r="G37" s="242">
        <v>449</v>
      </c>
      <c r="H37" s="432">
        <v>0.54100000000000004</v>
      </c>
      <c r="I37" s="266">
        <v>830</v>
      </c>
      <c r="J37" s="242">
        <v>8</v>
      </c>
    </row>
    <row r="38" spans="1:10" s="3" customFormat="1" ht="16.5" customHeight="1">
      <c r="A38" s="428" t="s">
        <v>746</v>
      </c>
      <c r="B38" s="100">
        <v>381</v>
      </c>
      <c r="C38" s="90">
        <v>186</v>
      </c>
      <c r="D38" s="432">
        <v>0.49299999999999999</v>
      </c>
      <c r="E38" s="242">
        <v>73</v>
      </c>
      <c r="F38" s="432">
        <v>0.19400000000000001</v>
      </c>
      <c r="G38" s="242">
        <v>118</v>
      </c>
      <c r="H38" s="432">
        <v>0.313</v>
      </c>
      <c r="I38" s="266">
        <v>377</v>
      </c>
      <c r="J38" s="242">
        <v>4</v>
      </c>
    </row>
    <row r="39" spans="1:10" s="3" customFormat="1" ht="16.5" customHeight="1">
      <c r="A39" s="428" t="s">
        <v>747</v>
      </c>
      <c r="B39" s="100">
        <v>511</v>
      </c>
      <c r="C39" s="90">
        <v>159</v>
      </c>
      <c r="D39" s="432">
        <v>0.317</v>
      </c>
      <c r="E39" s="242">
        <v>73</v>
      </c>
      <c r="F39" s="432">
        <v>0.14499999999999999</v>
      </c>
      <c r="G39" s="242">
        <v>270</v>
      </c>
      <c r="H39" s="432">
        <v>0.53800000000000003</v>
      </c>
      <c r="I39" s="266">
        <v>502</v>
      </c>
      <c r="J39" s="242">
        <v>9</v>
      </c>
    </row>
    <row r="40" spans="1:10" s="3" customFormat="1" ht="16.5" customHeight="1">
      <c r="A40" s="428" t="s">
        <v>748</v>
      </c>
      <c r="B40" s="100">
        <v>524</v>
      </c>
      <c r="C40" s="90">
        <v>216</v>
      </c>
      <c r="D40" s="432">
        <v>0.41899999999999998</v>
      </c>
      <c r="E40" s="242">
        <v>70</v>
      </c>
      <c r="F40" s="432">
        <v>0.13600000000000001</v>
      </c>
      <c r="G40" s="242">
        <v>229</v>
      </c>
      <c r="H40" s="432">
        <v>0.44500000000000001</v>
      </c>
      <c r="I40" s="266">
        <v>515</v>
      </c>
      <c r="J40" s="242">
        <v>9</v>
      </c>
    </row>
    <row r="41" spans="1:10" s="3" customFormat="1" ht="16.5" customHeight="1">
      <c r="A41" s="428" t="s">
        <v>749</v>
      </c>
      <c r="B41" s="100">
        <v>347</v>
      </c>
      <c r="C41" s="90">
        <v>125</v>
      </c>
      <c r="D41" s="432">
        <v>0.36399999999999999</v>
      </c>
      <c r="E41" s="242">
        <v>54</v>
      </c>
      <c r="F41" s="432">
        <v>0.157</v>
      </c>
      <c r="G41" s="242">
        <v>164</v>
      </c>
      <c r="H41" s="432">
        <v>0.47799999999999998</v>
      </c>
      <c r="I41" s="266">
        <v>343</v>
      </c>
      <c r="J41" s="242">
        <v>4</v>
      </c>
    </row>
    <row r="42" spans="1:10" s="3" customFormat="1" ht="16.5" customHeight="1">
      <c r="A42" s="428" t="s">
        <v>750</v>
      </c>
      <c r="B42" s="100">
        <v>671</v>
      </c>
      <c r="C42" s="90">
        <v>148</v>
      </c>
      <c r="D42" s="432">
        <v>0.22600000000000001</v>
      </c>
      <c r="E42" s="242">
        <v>278</v>
      </c>
      <c r="F42" s="432">
        <v>0.42499999999999999</v>
      </c>
      <c r="G42" s="242">
        <v>228</v>
      </c>
      <c r="H42" s="432">
        <v>0.34899999999999998</v>
      </c>
      <c r="I42" s="266">
        <v>654</v>
      </c>
      <c r="J42" s="242">
        <v>17</v>
      </c>
    </row>
    <row r="43" spans="1:10" s="3" customFormat="1" ht="16.5" customHeight="1">
      <c r="A43" s="428" t="s">
        <v>751</v>
      </c>
      <c r="B43" s="100">
        <v>754</v>
      </c>
      <c r="C43" s="90">
        <v>201</v>
      </c>
      <c r="D43" s="432">
        <v>0.27500000000000002</v>
      </c>
      <c r="E43" s="242">
        <v>152</v>
      </c>
      <c r="F43" s="432">
        <v>0.20799999999999999</v>
      </c>
      <c r="G43" s="242">
        <v>378</v>
      </c>
      <c r="H43" s="432">
        <v>0.51700000000000002</v>
      </c>
      <c r="I43" s="266">
        <v>731</v>
      </c>
      <c r="J43" s="242">
        <v>23</v>
      </c>
    </row>
    <row r="44" spans="1:10" s="3" customFormat="1" ht="16.5" customHeight="1">
      <c r="A44" s="428" t="s">
        <v>752</v>
      </c>
      <c r="B44" s="100">
        <v>1115</v>
      </c>
      <c r="C44" s="90">
        <v>349</v>
      </c>
      <c r="D44" s="432">
        <v>0.32100000000000001</v>
      </c>
      <c r="E44" s="242">
        <v>333</v>
      </c>
      <c r="F44" s="432">
        <v>0.30599999999999999</v>
      </c>
      <c r="G44" s="242">
        <v>405</v>
      </c>
      <c r="H44" s="432">
        <v>0.373</v>
      </c>
      <c r="I44" s="266">
        <v>1087</v>
      </c>
      <c r="J44" s="242">
        <v>28</v>
      </c>
    </row>
    <row r="45" spans="1:10" s="3" customFormat="1" ht="16.5" customHeight="1">
      <c r="A45" s="428" t="s">
        <v>753</v>
      </c>
      <c r="B45" s="100">
        <v>271</v>
      </c>
      <c r="C45" s="90">
        <v>72</v>
      </c>
      <c r="D45" s="432">
        <v>0.26800000000000002</v>
      </c>
      <c r="E45" s="242">
        <v>124</v>
      </c>
      <c r="F45" s="432">
        <v>0.46100000000000002</v>
      </c>
      <c r="G45" s="242">
        <v>73</v>
      </c>
      <c r="H45" s="432">
        <v>0.27100000000000002</v>
      </c>
      <c r="I45" s="266">
        <v>269</v>
      </c>
      <c r="J45" s="242">
        <v>2</v>
      </c>
    </row>
    <row r="46" spans="1:10" s="3" customFormat="1" ht="16.5" customHeight="1">
      <c r="A46" s="428" t="s">
        <v>754</v>
      </c>
      <c r="B46" s="100">
        <v>711</v>
      </c>
      <c r="C46" s="90">
        <v>223</v>
      </c>
      <c r="D46" s="432">
        <v>0.32200000000000001</v>
      </c>
      <c r="E46" s="242">
        <v>185</v>
      </c>
      <c r="F46" s="432">
        <v>0.26700000000000002</v>
      </c>
      <c r="G46" s="242">
        <v>285</v>
      </c>
      <c r="H46" s="432">
        <v>0.41099999999999998</v>
      </c>
      <c r="I46" s="266">
        <v>693</v>
      </c>
      <c r="J46" s="242">
        <v>18</v>
      </c>
    </row>
    <row r="47" spans="1:10" s="3" customFormat="1" ht="16.5" customHeight="1">
      <c r="A47" s="428" t="s">
        <v>755</v>
      </c>
      <c r="B47" s="100">
        <v>281</v>
      </c>
      <c r="C47" s="90">
        <v>113</v>
      </c>
      <c r="D47" s="432">
        <v>0.41399999999999998</v>
      </c>
      <c r="E47" s="242">
        <v>95</v>
      </c>
      <c r="F47" s="432">
        <v>0.34799999999999998</v>
      </c>
      <c r="G47" s="242">
        <v>65</v>
      </c>
      <c r="H47" s="432">
        <v>0.23799999999999999</v>
      </c>
      <c r="I47" s="266">
        <v>273</v>
      </c>
      <c r="J47" s="242">
        <v>8</v>
      </c>
    </row>
    <row r="48" spans="1:10" s="3" customFormat="1" ht="16.5" customHeight="1">
      <c r="A48" s="428" t="s">
        <v>756</v>
      </c>
      <c r="B48" s="100">
        <v>774</v>
      </c>
      <c r="C48" s="90">
        <v>265</v>
      </c>
      <c r="D48" s="432">
        <v>0.35199999999999998</v>
      </c>
      <c r="E48" s="242">
        <v>201</v>
      </c>
      <c r="F48" s="432">
        <v>0.26700000000000002</v>
      </c>
      <c r="G48" s="242">
        <v>287</v>
      </c>
      <c r="H48" s="432">
        <v>0.38100000000000001</v>
      </c>
      <c r="I48" s="266">
        <v>753</v>
      </c>
      <c r="J48" s="242">
        <v>21</v>
      </c>
    </row>
    <row r="49" spans="1:10" s="3" customFormat="1" ht="16.5" customHeight="1">
      <c r="A49" s="428" t="s">
        <v>757</v>
      </c>
      <c r="B49" s="100">
        <v>666</v>
      </c>
      <c r="C49" s="90">
        <v>143</v>
      </c>
      <c r="D49" s="432">
        <v>0.22</v>
      </c>
      <c r="E49" s="242">
        <v>121</v>
      </c>
      <c r="F49" s="432">
        <v>0.186</v>
      </c>
      <c r="G49" s="242">
        <v>387</v>
      </c>
      <c r="H49" s="432">
        <v>0.59399999999999997</v>
      </c>
      <c r="I49" s="266">
        <v>651</v>
      </c>
      <c r="J49" s="242">
        <v>15</v>
      </c>
    </row>
    <row r="50" spans="1:10" s="3" customFormat="1" ht="16.5" customHeight="1">
      <c r="A50" s="428" t="s">
        <v>758</v>
      </c>
      <c r="B50" s="100">
        <v>233</v>
      </c>
      <c r="C50" s="90">
        <v>95</v>
      </c>
      <c r="D50" s="432">
        <v>0.41499999999999998</v>
      </c>
      <c r="E50" s="242">
        <v>22</v>
      </c>
      <c r="F50" s="432">
        <v>9.6000000000000002E-2</v>
      </c>
      <c r="G50" s="242">
        <v>112</v>
      </c>
      <c r="H50" s="432">
        <v>0.48899999999999999</v>
      </c>
      <c r="I50" s="266">
        <v>229</v>
      </c>
      <c r="J50" s="242">
        <v>4</v>
      </c>
    </row>
    <row r="51" spans="1:10" s="3" customFormat="1" ht="16.5" customHeight="1">
      <c r="A51" s="428" t="s">
        <v>759</v>
      </c>
      <c r="B51" s="100">
        <v>432</v>
      </c>
      <c r="C51" s="90">
        <v>129</v>
      </c>
      <c r="D51" s="432">
        <v>0.308</v>
      </c>
      <c r="E51" s="242">
        <v>122</v>
      </c>
      <c r="F51" s="432">
        <v>0.29099999999999998</v>
      </c>
      <c r="G51" s="242">
        <v>168</v>
      </c>
      <c r="H51" s="432">
        <v>0.40100000000000002</v>
      </c>
      <c r="I51" s="266">
        <v>419</v>
      </c>
      <c r="J51" s="242">
        <v>13</v>
      </c>
    </row>
    <row r="52" spans="1:10" s="3" customFormat="1" ht="16.5" customHeight="1">
      <c r="A52" s="428" t="s">
        <v>760</v>
      </c>
      <c r="B52" s="100">
        <v>474</v>
      </c>
      <c r="C52" s="90">
        <v>101</v>
      </c>
      <c r="D52" s="432">
        <v>0.217</v>
      </c>
      <c r="E52" s="242">
        <v>124</v>
      </c>
      <c r="F52" s="432">
        <v>0.26600000000000001</v>
      </c>
      <c r="G52" s="242">
        <v>241</v>
      </c>
      <c r="H52" s="432">
        <v>0.51700000000000002</v>
      </c>
      <c r="I52" s="266">
        <v>466</v>
      </c>
      <c r="J52" s="242">
        <v>8</v>
      </c>
    </row>
    <row r="53" spans="1:10" s="3" customFormat="1" ht="16.5" customHeight="1">
      <c r="A53" s="428" t="s">
        <v>761</v>
      </c>
      <c r="B53" s="100">
        <v>271</v>
      </c>
      <c r="C53" s="90">
        <v>79</v>
      </c>
      <c r="D53" s="432">
        <v>0.29799999999999999</v>
      </c>
      <c r="E53" s="242">
        <v>101</v>
      </c>
      <c r="F53" s="432">
        <v>0.38100000000000001</v>
      </c>
      <c r="G53" s="242">
        <v>85</v>
      </c>
      <c r="H53" s="432">
        <v>0.32100000000000001</v>
      </c>
      <c r="I53" s="266">
        <v>265</v>
      </c>
      <c r="J53" s="242">
        <v>6</v>
      </c>
    </row>
    <row r="54" spans="1:10" s="3" customFormat="1" ht="16.5" customHeight="1">
      <c r="A54" s="428" t="s">
        <v>762</v>
      </c>
      <c r="B54" s="100">
        <v>185</v>
      </c>
      <c r="C54" s="90">
        <v>40</v>
      </c>
      <c r="D54" s="432">
        <v>0.219</v>
      </c>
      <c r="E54" s="242">
        <v>26</v>
      </c>
      <c r="F54" s="432">
        <v>0.14199999999999999</v>
      </c>
      <c r="G54" s="242">
        <v>117</v>
      </c>
      <c r="H54" s="432">
        <v>0.63900000000000001</v>
      </c>
      <c r="I54" s="266">
        <v>183</v>
      </c>
      <c r="J54" s="242">
        <v>2</v>
      </c>
    </row>
    <row r="55" spans="1:10" s="3" customFormat="1" ht="16.5" customHeight="1">
      <c r="A55" s="460" t="s">
        <v>719</v>
      </c>
      <c r="B55" s="231">
        <v>9439</v>
      </c>
      <c r="C55" s="303">
        <v>2894</v>
      </c>
      <c r="D55" s="434">
        <v>0.313</v>
      </c>
      <c r="E55" s="50">
        <v>2285</v>
      </c>
      <c r="F55" s="434">
        <v>0.247</v>
      </c>
      <c r="G55" s="50">
        <v>4061</v>
      </c>
      <c r="H55" s="434">
        <v>0.44</v>
      </c>
      <c r="I55" s="177">
        <v>9240</v>
      </c>
      <c r="J55" s="50">
        <v>199</v>
      </c>
    </row>
    <row r="56" spans="1:10" s="3" customFormat="1" ht="16.5" customHeight="1">
      <c r="A56" s="3" t="s">
        <v>743</v>
      </c>
    </row>
    <row r="57" spans="1:10" s="3" customFormat="1" ht="16.5" customHeight="1"/>
    <row r="58" spans="1:10" s="3" customFormat="1" ht="16.5" customHeight="1">
      <c r="A58" s="82" t="s">
        <v>763</v>
      </c>
    </row>
    <row r="59" spans="1:10" s="3" customFormat="1" ht="16.5" customHeight="1">
      <c r="J59" s="436" t="s">
        <v>827</v>
      </c>
    </row>
    <row r="60" spans="1:10" s="3" customFormat="1" ht="16.5" customHeight="1">
      <c r="A60" s="433" t="s">
        <v>167</v>
      </c>
      <c r="B60" s="646" t="s">
        <v>726</v>
      </c>
      <c r="C60" s="648" t="s">
        <v>728</v>
      </c>
      <c r="D60" s="649"/>
      <c r="E60" s="649"/>
      <c r="F60" s="649"/>
      <c r="G60" s="649"/>
      <c r="H60" s="649"/>
      <c r="I60" s="650"/>
      <c r="J60" s="646" t="s">
        <v>727</v>
      </c>
    </row>
    <row r="61" spans="1:10" s="3" customFormat="1" ht="16.5" customHeight="1">
      <c r="A61" s="429"/>
      <c r="B61" s="537"/>
      <c r="C61" s="628" t="s">
        <v>722</v>
      </c>
      <c r="D61" s="626"/>
      <c r="E61" s="628" t="s">
        <v>723</v>
      </c>
      <c r="F61" s="626"/>
      <c r="G61" s="628" t="s">
        <v>724</v>
      </c>
      <c r="H61" s="626"/>
      <c r="I61" s="431" t="s">
        <v>725</v>
      </c>
      <c r="J61" s="537"/>
    </row>
    <row r="62" spans="1:10" s="3" customFormat="1" ht="16.5" customHeight="1">
      <c r="A62" s="437" t="s">
        <v>768</v>
      </c>
      <c r="B62" s="647"/>
      <c r="C62" s="438" t="s">
        <v>720</v>
      </c>
      <c r="D62" s="438" t="s">
        <v>721</v>
      </c>
      <c r="E62" s="438" t="s">
        <v>720</v>
      </c>
      <c r="F62" s="438" t="s">
        <v>721</v>
      </c>
      <c r="G62" s="438" t="s">
        <v>720</v>
      </c>
      <c r="H62" s="438" t="s">
        <v>721</v>
      </c>
      <c r="I62" s="438" t="s">
        <v>720</v>
      </c>
      <c r="J62" s="647"/>
    </row>
    <row r="63" spans="1:10" s="3" customFormat="1" ht="16.5" customHeight="1">
      <c r="A63" s="428" t="s">
        <v>764</v>
      </c>
      <c r="B63" s="100">
        <v>1072</v>
      </c>
      <c r="C63" s="90">
        <v>547</v>
      </c>
      <c r="D63" s="432">
        <v>0.51500000000000001</v>
      </c>
      <c r="E63" s="242">
        <v>180</v>
      </c>
      <c r="F63" s="432">
        <v>0.17</v>
      </c>
      <c r="G63" s="242">
        <v>335</v>
      </c>
      <c r="H63" s="432">
        <v>0.315</v>
      </c>
      <c r="I63" s="266">
        <v>1062</v>
      </c>
      <c r="J63" s="242">
        <v>10</v>
      </c>
    </row>
    <row r="64" spans="1:10" s="3" customFormat="1" ht="16.5" customHeight="1">
      <c r="A64" s="428" t="s">
        <v>765</v>
      </c>
      <c r="B64" s="100">
        <v>934</v>
      </c>
      <c r="C64" s="90">
        <v>354</v>
      </c>
      <c r="D64" s="432">
        <v>0.38100000000000001</v>
      </c>
      <c r="E64" s="242">
        <v>172</v>
      </c>
      <c r="F64" s="432">
        <v>0.185</v>
      </c>
      <c r="G64" s="242">
        <v>403</v>
      </c>
      <c r="H64" s="432">
        <v>0.434</v>
      </c>
      <c r="I64" s="266">
        <v>929</v>
      </c>
      <c r="J64" s="242">
        <v>5</v>
      </c>
    </row>
    <row r="65" spans="1:10" s="3" customFormat="1" ht="16.5" customHeight="1">
      <c r="A65" s="428" t="s">
        <v>766</v>
      </c>
      <c r="B65" s="100">
        <v>328</v>
      </c>
      <c r="C65" s="90">
        <v>126</v>
      </c>
      <c r="D65" s="432">
        <v>0.39600000000000002</v>
      </c>
      <c r="E65" s="242">
        <v>58</v>
      </c>
      <c r="F65" s="432">
        <v>0.182</v>
      </c>
      <c r="G65" s="242">
        <v>134</v>
      </c>
      <c r="H65" s="432">
        <v>0.42199999999999999</v>
      </c>
      <c r="I65" s="266">
        <v>318</v>
      </c>
      <c r="J65" s="242">
        <v>10</v>
      </c>
    </row>
    <row r="66" spans="1:10" s="3" customFormat="1" ht="16.5" customHeight="1">
      <c r="A66" s="428" t="s">
        <v>767</v>
      </c>
      <c r="B66" s="100">
        <v>2249</v>
      </c>
      <c r="C66" s="90">
        <v>445</v>
      </c>
      <c r="D66" s="432">
        <v>0.20300000000000001</v>
      </c>
      <c r="E66" s="242">
        <v>764</v>
      </c>
      <c r="F66" s="432">
        <v>0.34699999999999998</v>
      </c>
      <c r="G66" s="242">
        <v>990</v>
      </c>
      <c r="H66" s="432">
        <v>0.45</v>
      </c>
      <c r="I66" s="266">
        <v>2199</v>
      </c>
      <c r="J66" s="242">
        <v>50</v>
      </c>
    </row>
    <row r="67" spans="1:10" s="3" customFormat="1" ht="16.5" customHeight="1">
      <c r="A67" s="428" t="s">
        <v>79</v>
      </c>
      <c r="B67" s="100">
        <v>4856</v>
      </c>
      <c r="C67" s="90">
        <v>1422</v>
      </c>
      <c r="D67" s="432">
        <v>0.3</v>
      </c>
      <c r="E67" s="242">
        <v>1111</v>
      </c>
      <c r="F67" s="432">
        <v>0.23499999999999999</v>
      </c>
      <c r="G67" s="242">
        <v>2199</v>
      </c>
      <c r="H67" s="432">
        <v>0.46500000000000002</v>
      </c>
      <c r="I67" s="266">
        <v>4732</v>
      </c>
      <c r="J67" s="242">
        <v>124</v>
      </c>
    </row>
    <row r="68" spans="1:10" s="3" customFormat="1" ht="16.5" customHeight="1">
      <c r="A68" s="460" t="s">
        <v>89</v>
      </c>
      <c r="B68" s="231">
        <v>9439</v>
      </c>
      <c r="C68" s="303">
        <v>2894</v>
      </c>
      <c r="D68" s="434">
        <v>0.313</v>
      </c>
      <c r="E68" s="50">
        <v>2285</v>
      </c>
      <c r="F68" s="434">
        <v>0.247</v>
      </c>
      <c r="G68" s="50">
        <v>4061</v>
      </c>
      <c r="H68" s="434">
        <v>0.44</v>
      </c>
      <c r="I68" s="177">
        <v>9240</v>
      </c>
      <c r="J68" s="50">
        <v>199</v>
      </c>
    </row>
    <row r="69" spans="1:10" s="3" customFormat="1" ht="16.5" customHeight="1">
      <c r="A69" s="3" t="s">
        <v>743</v>
      </c>
    </row>
  </sheetData>
  <sheetProtection algorithmName="SHA-512" hashValue="WY/Z6ax5oZ2KL/blmS7dvSoqHNBPSRm0YQkg6xE3K+WMJgLuEmZ/pJVWUHCfCP6L9/jFj+KR/ZE6/ii6eKwiDQ==" saltValue="DB7a9HwGYIEZeicAAWn31Q==" spinCount="100000" sheet="1" objects="1" scenarios="1"/>
  <mergeCells count="19">
    <mergeCell ref="A4:J4"/>
    <mergeCell ref="B11:B13"/>
    <mergeCell ref="C11:I11"/>
    <mergeCell ref="J11:J13"/>
    <mergeCell ref="C12:D12"/>
    <mergeCell ref="E12:F12"/>
    <mergeCell ref="G12:H12"/>
    <mergeCell ref="B34:B36"/>
    <mergeCell ref="C34:I34"/>
    <mergeCell ref="J34:J36"/>
    <mergeCell ref="C35:D35"/>
    <mergeCell ref="E35:F35"/>
    <mergeCell ref="G35:H35"/>
    <mergeCell ref="B60:B62"/>
    <mergeCell ref="C60:I60"/>
    <mergeCell ref="J60:J62"/>
    <mergeCell ref="C61:D61"/>
    <mergeCell ref="E61:F61"/>
    <mergeCell ref="G61:H61"/>
  </mergeCells>
  <phoneticPr fontId="6" type="noConversion"/>
  <pageMargins left="0.39370078740157483" right="0" top="0.59055118110236227" bottom="0.15748031496062992" header="0.51181102362204722" footer="3.937007874015748E-2"/>
  <pageSetup paperSize="9" scale="67"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AH36"/>
  <sheetViews>
    <sheetView showGridLines="0" zoomScaleNormal="100" zoomScaleSheetLayoutView="100" workbookViewId="0"/>
  </sheetViews>
  <sheetFormatPr defaultColWidth="8" defaultRowHeight="16.5" customHeight="1"/>
  <cols>
    <col min="1" max="1" width="11.109375" style="86" customWidth="1"/>
    <col min="2" max="20" width="7.109375" style="86" customWidth="1"/>
    <col min="21" max="16384" width="8" style="86"/>
  </cols>
  <sheetData>
    <row r="1" spans="1:34" s="3" customFormat="1" ht="16.5" customHeight="1">
      <c r="A1" s="82" t="s">
        <v>664</v>
      </c>
    </row>
    <row r="2" spans="1:34" s="3" customFormat="1" ht="16.5" customHeight="1"/>
    <row r="3" spans="1:34" s="3" customFormat="1" ht="16.5" customHeight="1">
      <c r="A3" s="82" t="s">
        <v>23</v>
      </c>
    </row>
    <row r="4" spans="1:34" s="3" customFormat="1" ht="16.5" customHeight="1">
      <c r="A4" s="66" t="s">
        <v>817</v>
      </c>
      <c r="B4" s="66"/>
      <c r="C4" s="66"/>
      <c r="D4" s="66"/>
      <c r="E4" s="66"/>
      <c r="F4" s="66"/>
      <c r="G4" s="66"/>
      <c r="H4" s="66"/>
      <c r="I4" s="66"/>
      <c r="J4" s="66"/>
      <c r="K4" s="66"/>
      <c r="L4" s="66"/>
      <c r="M4" s="66"/>
      <c r="N4" s="66"/>
      <c r="O4" s="66"/>
      <c r="P4" s="66"/>
      <c r="Q4" s="66"/>
      <c r="R4" s="66"/>
      <c r="S4" s="66"/>
      <c r="T4" s="66"/>
    </row>
    <row r="5" spans="1:34" s="3" customFormat="1" ht="16.5" customHeight="1"/>
    <row r="6" spans="1:34" s="3" customFormat="1" ht="16.5" customHeight="1">
      <c r="A6" s="82" t="s">
        <v>24</v>
      </c>
    </row>
    <row r="7" spans="1:34" s="3" customFormat="1" ht="24" customHeight="1">
      <c r="A7" s="541" t="s">
        <v>793</v>
      </c>
      <c r="B7" s="541"/>
      <c r="C7" s="541"/>
      <c r="D7" s="541"/>
      <c r="E7" s="541"/>
      <c r="F7" s="541"/>
      <c r="G7" s="541"/>
      <c r="H7" s="541"/>
      <c r="I7" s="541"/>
      <c r="J7" s="541"/>
      <c r="K7" s="541"/>
      <c r="L7" s="541"/>
      <c r="M7" s="541"/>
      <c r="N7" s="541"/>
      <c r="O7" s="541"/>
      <c r="P7" s="541"/>
      <c r="Q7" s="541"/>
      <c r="R7" s="541"/>
      <c r="S7" s="541"/>
      <c r="T7" s="541"/>
    </row>
    <row r="8" spans="1:34" s="3" customFormat="1" ht="16.5" customHeight="1"/>
    <row r="9" spans="1:34" s="3" customFormat="1" ht="16.5" customHeight="1">
      <c r="A9" s="105" t="s">
        <v>702</v>
      </c>
    </row>
    <row r="10" spans="1:34" s="3" customFormat="1" ht="16.5" customHeight="1">
      <c r="A10" s="278" t="s">
        <v>168</v>
      </c>
      <c r="B10" s="537" t="s">
        <v>483</v>
      </c>
      <c r="C10" s="629" t="s">
        <v>484</v>
      </c>
      <c r="D10" s="629" t="s">
        <v>485</v>
      </c>
      <c r="E10" s="629" t="s">
        <v>486</v>
      </c>
      <c r="F10" s="629" t="s">
        <v>487</v>
      </c>
      <c r="G10" s="629" t="s">
        <v>488</v>
      </c>
      <c r="H10" s="537" t="s">
        <v>489</v>
      </c>
      <c r="I10" s="537" t="s">
        <v>490</v>
      </c>
      <c r="J10" s="537" t="s">
        <v>491</v>
      </c>
      <c r="K10" s="537" t="s">
        <v>492</v>
      </c>
      <c r="L10" s="537" t="s">
        <v>493</v>
      </c>
      <c r="M10" s="537" t="s">
        <v>494</v>
      </c>
      <c r="N10" s="537" t="s">
        <v>495</v>
      </c>
      <c r="O10" s="537" t="s">
        <v>496</v>
      </c>
      <c r="P10" s="537" t="s">
        <v>497</v>
      </c>
      <c r="Q10" s="537" t="s">
        <v>498</v>
      </c>
      <c r="R10" s="537" t="s">
        <v>499</v>
      </c>
      <c r="S10" s="537" t="s">
        <v>500</v>
      </c>
      <c r="T10" s="539" t="s">
        <v>501</v>
      </c>
    </row>
    <row r="11" spans="1:34" s="3" customFormat="1" ht="16.5" customHeight="1">
      <c r="A11" s="207" t="s">
        <v>502</v>
      </c>
      <c r="B11" s="537"/>
      <c r="C11" s="537"/>
      <c r="D11" s="537"/>
      <c r="E11" s="537"/>
      <c r="F11" s="537"/>
      <c r="G11" s="537"/>
      <c r="H11" s="537"/>
      <c r="I11" s="537"/>
      <c r="J11" s="537"/>
      <c r="K11" s="537"/>
      <c r="L11" s="537"/>
      <c r="M11" s="537"/>
      <c r="N11" s="537"/>
      <c r="O11" s="537"/>
      <c r="P11" s="537"/>
      <c r="Q11" s="537"/>
      <c r="R11" s="537"/>
      <c r="S11" s="537"/>
      <c r="T11" s="539"/>
      <c r="U11" s="7"/>
      <c r="V11" s="7"/>
      <c r="W11" s="7"/>
      <c r="X11" s="7"/>
      <c r="Y11" s="7"/>
      <c r="Z11" s="7"/>
      <c r="AA11" s="7"/>
      <c r="AB11" s="7"/>
      <c r="AC11" s="7"/>
      <c r="AD11" s="7"/>
      <c r="AE11" s="7"/>
      <c r="AF11" s="7"/>
      <c r="AG11" s="7"/>
      <c r="AH11" s="7"/>
    </row>
    <row r="12" spans="1:34" s="3" customFormat="1" ht="16.5" customHeight="1">
      <c r="A12" s="285" t="s">
        <v>503</v>
      </c>
      <c r="B12" s="101">
        <v>148</v>
      </c>
      <c r="C12" s="243">
        <v>9</v>
      </c>
      <c r="D12" s="243">
        <v>2</v>
      </c>
      <c r="E12" s="243">
        <v>5</v>
      </c>
      <c r="F12" s="243">
        <v>4</v>
      </c>
      <c r="G12" s="243">
        <v>0</v>
      </c>
      <c r="H12" s="243">
        <v>5</v>
      </c>
      <c r="I12" s="243">
        <v>8</v>
      </c>
      <c r="J12" s="243">
        <v>16</v>
      </c>
      <c r="K12" s="243">
        <v>4</v>
      </c>
      <c r="L12" s="243">
        <v>20</v>
      </c>
      <c r="M12" s="243">
        <v>3</v>
      </c>
      <c r="N12" s="243">
        <v>29</v>
      </c>
      <c r="O12" s="243">
        <v>5</v>
      </c>
      <c r="P12" s="243">
        <v>1</v>
      </c>
      <c r="Q12" s="243">
        <v>12</v>
      </c>
      <c r="R12" s="243">
        <v>9</v>
      </c>
      <c r="S12" s="243">
        <v>10</v>
      </c>
      <c r="T12" s="243">
        <v>6</v>
      </c>
    </row>
    <row r="13" spans="1:34" s="3" customFormat="1" ht="16.5" customHeight="1">
      <c r="A13" s="241"/>
      <c r="B13" s="178">
        <v>100</v>
      </c>
      <c r="C13" s="46">
        <v>6.0810810810810816</v>
      </c>
      <c r="D13" s="46">
        <v>1.3513513513513513</v>
      </c>
      <c r="E13" s="46">
        <v>3.3783783783783785</v>
      </c>
      <c r="F13" s="46">
        <v>2.7027027027027026</v>
      </c>
      <c r="G13" s="293" t="s">
        <v>70</v>
      </c>
      <c r="H13" s="46">
        <v>3.3783783783783785</v>
      </c>
      <c r="I13" s="46">
        <v>5.4054054054054053</v>
      </c>
      <c r="J13" s="46">
        <v>10.7</v>
      </c>
      <c r="K13" s="46">
        <v>2.7027027027027026</v>
      </c>
      <c r="L13" s="46">
        <v>13.4</v>
      </c>
      <c r="M13" s="46">
        <v>2.0270270270270272</v>
      </c>
      <c r="N13" s="46">
        <v>19.594594594594593</v>
      </c>
      <c r="O13" s="46">
        <v>3.3783783783783785</v>
      </c>
      <c r="P13" s="46">
        <v>0.67567567567567566</v>
      </c>
      <c r="Q13" s="46">
        <v>8.1081081081081088</v>
      </c>
      <c r="R13" s="46">
        <v>6.0810810810810816</v>
      </c>
      <c r="S13" s="46">
        <v>6.756756756756757</v>
      </c>
      <c r="T13" s="46">
        <v>4.0540540540540544</v>
      </c>
    </row>
    <row r="14" spans="1:34" s="3" customFormat="1" ht="16.5" customHeight="1">
      <c r="A14" s="284" t="s">
        <v>393</v>
      </c>
      <c r="B14" s="100">
        <v>9</v>
      </c>
      <c r="C14" s="242">
        <v>0</v>
      </c>
      <c r="D14" s="242">
        <v>0</v>
      </c>
      <c r="E14" s="242">
        <v>1</v>
      </c>
      <c r="F14" s="242">
        <v>0</v>
      </c>
      <c r="G14" s="242">
        <v>0</v>
      </c>
      <c r="H14" s="242">
        <v>0</v>
      </c>
      <c r="I14" s="242">
        <v>0</v>
      </c>
      <c r="J14" s="242">
        <v>0</v>
      </c>
      <c r="K14" s="242">
        <v>0</v>
      </c>
      <c r="L14" s="242">
        <v>0</v>
      </c>
      <c r="M14" s="242">
        <v>0</v>
      </c>
      <c r="N14" s="242">
        <v>3</v>
      </c>
      <c r="O14" s="242">
        <v>0</v>
      </c>
      <c r="P14" s="242">
        <v>0</v>
      </c>
      <c r="Q14" s="242">
        <v>2</v>
      </c>
      <c r="R14" s="242">
        <v>0</v>
      </c>
      <c r="S14" s="242">
        <v>3</v>
      </c>
      <c r="T14" s="242">
        <v>0</v>
      </c>
    </row>
    <row r="15" spans="1:34" s="3" customFormat="1" ht="16.5" customHeight="1">
      <c r="A15" s="284" t="s">
        <v>504</v>
      </c>
      <c r="B15" s="100">
        <v>139</v>
      </c>
      <c r="C15" s="242">
        <v>9</v>
      </c>
      <c r="D15" s="242">
        <v>2</v>
      </c>
      <c r="E15" s="242">
        <v>4</v>
      </c>
      <c r="F15" s="242">
        <v>4</v>
      </c>
      <c r="G15" s="242">
        <v>0</v>
      </c>
      <c r="H15" s="242">
        <v>5</v>
      </c>
      <c r="I15" s="242">
        <v>8</v>
      </c>
      <c r="J15" s="242">
        <v>16</v>
      </c>
      <c r="K15" s="242">
        <v>4</v>
      </c>
      <c r="L15" s="242">
        <v>20</v>
      </c>
      <c r="M15" s="242">
        <v>3</v>
      </c>
      <c r="N15" s="242">
        <v>26</v>
      </c>
      <c r="O15" s="242">
        <v>5</v>
      </c>
      <c r="P15" s="242">
        <v>1</v>
      </c>
      <c r="Q15" s="242">
        <v>10</v>
      </c>
      <c r="R15" s="242">
        <v>9</v>
      </c>
      <c r="S15" s="242">
        <v>7</v>
      </c>
      <c r="T15" s="242">
        <v>6</v>
      </c>
    </row>
    <row r="16" spans="1:34" s="3" customFormat="1" ht="16.5" customHeight="1">
      <c r="A16" s="290" t="s">
        <v>505</v>
      </c>
      <c r="B16" s="291">
        <v>153</v>
      </c>
      <c r="C16" s="263">
        <v>18</v>
      </c>
      <c r="D16" s="263">
        <v>1</v>
      </c>
      <c r="E16" s="263">
        <v>7</v>
      </c>
      <c r="F16" s="263">
        <v>4</v>
      </c>
      <c r="G16" s="263">
        <v>1</v>
      </c>
      <c r="H16" s="263">
        <v>5</v>
      </c>
      <c r="I16" s="263">
        <v>12</v>
      </c>
      <c r="J16" s="263">
        <v>14</v>
      </c>
      <c r="K16" s="263">
        <v>4</v>
      </c>
      <c r="L16" s="263">
        <v>16</v>
      </c>
      <c r="M16" s="263">
        <v>2</v>
      </c>
      <c r="N16" s="263">
        <v>28</v>
      </c>
      <c r="O16" s="263">
        <v>5</v>
      </c>
      <c r="P16" s="263">
        <v>1</v>
      </c>
      <c r="Q16" s="263">
        <v>10</v>
      </c>
      <c r="R16" s="263">
        <v>7</v>
      </c>
      <c r="S16" s="263">
        <v>14</v>
      </c>
      <c r="T16" s="263">
        <v>4</v>
      </c>
    </row>
    <row r="17" spans="1:20" s="3" customFormat="1" ht="16.5" customHeight="1">
      <c r="A17" s="3" t="s">
        <v>584</v>
      </c>
      <c r="B17" s="196"/>
      <c r="C17" s="105"/>
      <c r="D17" s="105"/>
      <c r="E17" s="105"/>
      <c r="F17" s="105"/>
      <c r="G17" s="105"/>
      <c r="H17" s="105"/>
      <c r="I17" s="105"/>
      <c r="J17" s="105"/>
      <c r="K17" s="105"/>
      <c r="L17" s="105"/>
      <c r="M17" s="105"/>
      <c r="N17" s="105"/>
      <c r="O17" s="105"/>
      <c r="P17" s="105"/>
      <c r="Q17" s="105"/>
      <c r="R17" s="105"/>
      <c r="S17" s="105"/>
      <c r="T17" s="105"/>
    </row>
    <row r="18" spans="1:20" s="3" customFormat="1" ht="16.5" customHeight="1"/>
    <row r="19" spans="1:20" s="3" customFormat="1" ht="16.5" customHeight="1">
      <c r="A19" s="82" t="s">
        <v>506</v>
      </c>
      <c r="B19" s="196"/>
      <c r="C19" s="59"/>
      <c r="D19" s="59"/>
      <c r="E19" s="59"/>
      <c r="F19" s="59"/>
      <c r="G19" s="59"/>
      <c r="H19" s="59"/>
      <c r="I19" s="59"/>
      <c r="J19" s="59"/>
      <c r="K19" s="59"/>
      <c r="L19" s="59"/>
      <c r="M19" s="59"/>
      <c r="N19" s="59"/>
      <c r="O19" s="59"/>
      <c r="P19" s="59"/>
      <c r="Q19" s="59"/>
      <c r="R19" s="59"/>
      <c r="S19" s="59"/>
      <c r="T19" s="59"/>
    </row>
    <row r="20" spans="1:20" s="3" customFormat="1" ht="16.5" customHeight="1">
      <c r="B20" s="196"/>
      <c r="C20" s="59"/>
      <c r="D20" s="59"/>
      <c r="E20" s="59"/>
      <c r="F20" s="59"/>
      <c r="G20" s="59"/>
      <c r="H20" s="59"/>
      <c r="I20" s="59"/>
      <c r="J20" s="59"/>
      <c r="K20" s="59"/>
      <c r="L20" s="59"/>
      <c r="M20" s="59"/>
      <c r="N20" s="59"/>
      <c r="O20" s="59"/>
      <c r="P20" s="59"/>
      <c r="Q20" s="59"/>
      <c r="R20" s="59"/>
      <c r="S20" s="59"/>
      <c r="T20" s="59"/>
    </row>
    <row r="21" spans="1:20" s="3" customFormat="1" ht="16.5" customHeight="1">
      <c r="A21" s="82" t="s">
        <v>507</v>
      </c>
      <c r="B21" s="196"/>
      <c r="C21" s="105"/>
      <c r="D21" s="105"/>
      <c r="E21" s="105"/>
      <c r="F21" s="105"/>
      <c r="G21" s="105"/>
      <c r="H21" s="105"/>
      <c r="I21" s="105"/>
      <c r="J21" s="105"/>
      <c r="K21" s="105"/>
      <c r="L21" s="105"/>
      <c r="M21" s="105"/>
      <c r="N21" s="105"/>
      <c r="O21" s="105"/>
      <c r="P21" s="105"/>
      <c r="Q21" s="105"/>
      <c r="R21" s="105"/>
      <c r="S21" s="105"/>
      <c r="T21" s="105"/>
    </row>
    <row r="22" spans="1:20" s="3" customFormat="1" ht="16.5" customHeight="1">
      <c r="A22" s="66" t="s">
        <v>794</v>
      </c>
      <c r="B22" s="43"/>
      <c r="C22" s="43"/>
      <c r="D22" s="43"/>
      <c r="E22" s="43"/>
      <c r="F22" s="43"/>
      <c r="G22" s="43"/>
      <c r="H22" s="43"/>
      <c r="I22" s="43"/>
      <c r="J22" s="43"/>
      <c r="K22" s="43"/>
      <c r="L22" s="43"/>
      <c r="M22" s="43"/>
      <c r="N22" s="43"/>
      <c r="O22" s="43"/>
      <c r="P22" s="43"/>
      <c r="Q22" s="43"/>
      <c r="R22" s="43"/>
      <c r="S22" s="43"/>
      <c r="T22" s="43"/>
    </row>
    <row r="23" spans="1:20" s="3" customFormat="1" ht="16.5" customHeight="1">
      <c r="B23" s="196"/>
      <c r="C23" s="105"/>
      <c r="D23" s="105"/>
      <c r="E23" s="105"/>
      <c r="F23" s="105"/>
      <c r="G23" s="105"/>
      <c r="H23" s="105"/>
      <c r="I23" s="105"/>
      <c r="J23" s="105"/>
      <c r="K23" s="105"/>
      <c r="L23" s="105"/>
      <c r="M23" s="105"/>
      <c r="N23" s="105"/>
      <c r="O23" s="105"/>
      <c r="P23" s="105"/>
      <c r="Q23" s="105"/>
      <c r="R23" s="105"/>
      <c r="S23" s="105"/>
      <c r="T23" s="105"/>
    </row>
    <row r="24" spans="1:20" s="3" customFormat="1" ht="16.5" customHeight="1">
      <c r="A24" s="82" t="s">
        <v>508</v>
      </c>
      <c r="B24" s="196"/>
      <c r="C24" s="105"/>
      <c r="D24" s="105"/>
      <c r="E24" s="105"/>
      <c r="F24" s="105"/>
      <c r="G24" s="105"/>
      <c r="H24" s="105"/>
      <c r="I24" s="105"/>
      <c r="J24" s="105"/>
      <c r="K24" s="105"/>
      <c r="L24" s="105"/>
      <c r="M24" s="105"/>
      <c r="N24" s="105"/>
      <c r="O24" s="105"/>
      <c r="P24" s="105"/>
      <c r="Q24" s="105"/>
      <c r="R24" s="105"/>
      <c r="S24" s="105"/>
      <c r="T24" s="105"/>
    </row>
    <row r="25" spans="1:20" s="3" customFormat="1" ht="16.5" customHeight="1">
      <c r="A25" s="66" t="s">
        <v>802</v>
      </c>
      <c r="B25" s="43"/>
      <c r="C25" s="43"/>
      <c r="D25" s="43"/>
      <c r="E25" s="43"/>
      <c r="F25" s="43"/>
      <c r="G25" s="43"/>
      <c r="H25" s="43"/>
      <c r="I25" s="43"/>
      <c r="J25" s="43"/>
      <c r="K25" s="43"/>
      <c r="L25" s="43"/>
      <c r="M25" s="43"/>
      <c r="N25" s="43"/>
      <c r="O25" s="43"/>
      <c r="P25" s="43"/>
      <c r="Q25" s="43"/>
      <c r="R25" s="43"/>
      <c r="S25" s="43"/>
      <c r="T25" s="43"/>
    </row>
    <row r="26" spans="1:20" s="3" customFormat="1" ht="16.5" customHeight="1">
      <c r="B26" s="196"/>
      <c r="C26" s="105"/>
      <c r="D26" s="105"/>
      <c r="E26" s="105"/>
      <c r="F26" s="105"/>
      <c r="G26" s="105"/>
      <c r="H26" s="105"/>
      <c r="I26" s="105"/>
      <c r="J26" s="105"/>
      <c r="K26" s="105"/>
      <c r="L26" s="105"/>
      <c r="M26" s="105"/>
      <c r="N26" s="105"/>
      <c r="O26" s="105"/>
      <c r="P26" s="105"/>
      <c r="Q26" s="105"/>
      <c r="R26" s="105"/>
      <c r="S26" s="105"/>
      <c r="T26" s="105"/>
    </row>
    <row r="27" spans="1:20" s="3" customFormat="1" ht="16.5" customHeight="1">
      <c r="A27" s="82" t="s">
        <v>703</v>
      </c>
      <c r="I27" s="59"/>
    </row>
    <row r="28" spans="1:20" s="3" customFormat="1" ht="16.5" customHeight="1">
      <c r="A28" s="278" t="s">
        <v>502</v>
      </c>
      <c r="B28" s="539" t="s">
        <v>509</v>
      </c>
      <c r="C28" s="539" t="s">
        <v>505</v>
      </c>
      <c r="D28" s="539" t="s">
        <v>510</v>
      </c>
      <c r="E28" s="539" t="s">
        <v>511</v>
      </c>
      <c r="Q28" s="120"/>
    </row>
    <row r="29" spans="1:20" s="3" customFormat="1" ht="16.5" customHeight="1">
      <c r="A29" s="207" t="s">
        <v>512</v>
      </c>
      <c r="B29" s="539"/>
      <c r="C29" s="539"/>
      <c r="D29" s="539"/>
      <c r="E29" s="539"/>
      <c r="Q29" s="120"/>
    </row>
    <row r="30" spans="1:20" s="3" customFormat="1" ht="16.5" customHeight="1">
      <c r="A30" s="285" t="s">
        <v>89</v>
      </c>
      <c r="B30" s="48">
        <v>248</v>
      </c>
      <c r="C30" s="243">
        <v>250</v>
      </c>
      <c r="D30" s="243">
        <v>84</v>
      </c>
      <c r="E30" s="41">
        <v>100.80645161290323</v>
      </c>
      <c r="Q30" s="120"/>
    </row>
    <row r="31" spans="1:20" s="3" customFormat="1" ht="16.5" customHeight="1">
      <c r="A31" s="285" t="s">
        <v>513</v>
      </c>
      <c r="B31" s="48">
        <v>148</v>
      </c>
      <c r="C31" s="243">
        <v>153</v>
      </c>
      <c r="D31" s="243">
        <v>60</v>
      </c>
      <c r="E31" s="41">
        <v>103.37837837837837</v>
      </c>
      <c r="Q31" s="120"/>
    </row>
    <row r="32" spans="1:20" s="3" customFormat="1" ht="16.5" customHeight="1">
      <c r="A32" s="284" t="s">
        <v>514</v>
      </c>
      <c r="B32" s="244">
        <v>9</v>
      </c>
      <c r="C32" s="242">
        <v>9</v>
      </c>
      <c r="D32" s="242">
        <v>3</v>
      </c>
      <c r="E32" s="29">
        <v>100</v>
      </c>
      <c r="Q32" s="120"/>
    </row>
    <row r="33" spans="1:17" s="3" customFormat="1" ht="16.5" customHeight="1">
      <c r="A33" s="284" t="s">
        <v>504</v>
      </c>
      <c r="B33" s="244">
        <v>139</v>
      </c>
      <c r="C33" s="242">
        <v>144</v>
      </c>
      <c r="D33" s="242">
        <v>57</v>
      </c>
      <c r="E33" s="29">
        <v>103.59712230215827</v>
      </c>
      <c r="Q33" s="120"/>
    </row>
    <row r="34" spans="1:17" s="3" customFormat="1" ht="16.5" customHeight="1">
      <c r="A34" s="285" t="s">
        <v>515</v>
      </c>
      <c r="B34" s="48">
        <v>81</v>
      </c>
      <c r="C34" s="243">
        <v>80</v>
      </c>
      <c r="D34" s="243">
        <v>21</v>
      </c>
      <c r="E34" s="41">
        <v>98.76543209876543</v>
      </c>
      <c r="Q34" s="120"/>
    </row>
    <row r="35" spans="1:17" s="3" customFormat="1" ht="16.5" customHeight="1">
      <c r="A35" s="290" t="s">
        <v>516</v>
      </c>
      <c r="B35" s="262">
        <v>19</v>
      </c>
      <c r="C35" s="263">
        <v>17</v>
      </c>
      <c r="D35" s="263">
        <v>3</v>
      </c>
      <c r="E35" s="292">
        <v>89.473684210526315</v>
      </c>
      <c r="Q35" s="120"/>
    </row>
    <row r="36" spans="1:17" s="3" customFormat="1" ht="16.5" customHeight="1">
      <c r="A36" s="3" t="s">
        <v>580</v>
      </c>
    </row>
  </sheetData>
  <sheetProtection algorithmName="SHA-512" hashValue="Rk7WmBLCBha7bE/8vtfCzo9Mmm6fxu18dCIvbwe4oTSUbt6Lkv2FOmJSLcDlYua7fP21D5IPcGiWGPn17dh1AA==" saltValue="7BSG5aiO0u/TIdi5lgGMcg==" spinCount="100000" sheet="1" objects="1" scenarios="1"/>
  <mergeCells count="24">
    <mergeCell ref="R10:R11"/>
    <mergeCell ref="S10:S11"/>
    <mergeCell ref="T10:T11"/>
    <mergeCell ref="B28:B29"/>
    <mergeCell ref="C28:C29"/>
    <mergeCell ref="D28:D29"/>
    <mergeCell ref="E28:E29"/>
    <mergeCell ref="J10:J11"/>
    <mergeCell ref="A7:T7"/>
    <mergeCell ref="B10:B11"/>
    <mergeCell ref="C10:C11"/>
    <mergeCell ref="D10:D11"/>
    <mergeCell ref="E10:E11"/>
    <mergeCell ref="F10:F11"/>
    <mergeCell ref="G10:G11"/>
    <mergeCell ref="H10:H11"/>
    <mergeCell ref="I10:I11"/>
    <mergeCell ref="K10:K11"/>
    <mergeCell ref="L10:L11"/>
    <mergeCell ref="M10:M11"/>
    <mergeCell ref="N10:N11"/>
    <mergeCell ref="O10:O11"/>
    <mergeCell ref="P10:P11"/>
    <mergeCell ref="Q10:Q11"/>
  </mergeCells>
  <phoneticPr fontId="6" type="noConversion"/>
  <pageMargins left="0.27559055118110237" right="3.937007874015748E-2" top="0.59055118110236227" bottom="3.937007874015748E-2" header="0.51181102362204722" footer="0.51181102362204722"/>
  <pageSetup paperSize="9" scale="28"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H28"/>
  <sheetViews>
    <sheetView showGridLines="0" zoomScaleNormal="100" zoomScaleSheetLayoutView="100" workbookViewId="0"/>
  </sheetViews>
  <sheetFormatPr defaultColWidth="8" defaultRowHeight="16.5" customHeight="1"/>
  <cols>
    <col min="1" max="1" width="14.44140625" style="86" customWidth="1"/>
    <col min="2" max="8" width="9.5546875" style="86" customWidth="1"/>
    <col min="9" max="16384" width="8" style="86"/>
  </cols>
  <sheetData>
    <row r="1" spans="1:8" s="3" customFormat="1" ht="16.5" customHeight="1">
      <c r="A1" s="82" t="s">
        <v>704</v>
      </c>
    </row>
    <row r="2" spans="1:8" s="3" customFormat="1" ht="16.5" customHeight="1">
      <c r="A2" s="82"/>
    </row>
    <row r="3" spans="1:8" s="3" customFormat="1" ht="16.5" customHeight="1">
      <c r="A3" s="82" t="s">
        <v>21</v>
      </c>
    </row>
    <row r="4" spans="1:8" s="3" customFormat="1" ht="16.5" customHeight="1">
      <c r="A4" s="322" t="s">
        <v>585</v>
      </c>
      <c r="B4" s="537" t="s">
        <v>89</v>
      </c>
      <c r="C4" s="537" t="s">
        <v>110</v>
      </c>
      <c r="D4" s="629" t="s">
        <v>410</v>
      </c>
      <c r="E4" s="629" t="s">
        <v>411</v>
      </c>
      <c r="F4" s="629" t="s">
        <v>517</v>
      </c>
      <c r="G4" s="539" t="s">
        <v>35</v>
      </c>
    </row>
    <row r="5" spans="1:8" s="3" customFormat="1" ht="16.5" customHeight="1">
      <c r="A5" s="207" t="s">
        <v>36</v>
      </c>
      <c r="B5" s="537"/>
      <c r="C5" s="537"/>
      <c r="D5" s="537"/>
      <c r="E5" s="537"/>
      <c r="F5" s="537"/>
      <c r="G5" s="539"/>
    </row>
    <row r="6" spans="1:8" s="3" customFormat="1" ht="16.5" customHeight="1">
      <c r="A6" s="280" t="s">
        <v>89</v>
      </c>
      <c r="B6" s="101">
        <v>153</v>
      </c>
      <c r="C6" s="243">
        <v>102</v>
      </c>
      <c r="D6" s="243">
        <v>36</v>
      </c>
      <c r="E6" s="243">
        <v>0</v>
      </c>
      <c r="F6" s="243">
        <v>0</v>
      </c>
      <c r="G6" s="243">
        <v>15</v>
      </c>
    </row>
    <row r="7" spans="1:8" s="3" customFormat="1" ht="16.5" customHeight="1">
      <c r="A7" s="32"/>
      <c r="B7" s="99">
        <v>100</v>
      </c>
      <c r="C7" s="46">
        <v>66.666666666666657</v>
      </c>
      <c r="D7" s="46">
        <v>23.52941176470588</v>
      </c>
      <c r="E7" s="293" t="s">
        <v>70</v>
      </c>
      <c r="F7" s="293" t="s">
        <v>70</v>
      </c>
      <c r="G7" s="46">
        <v>9.8039215686274517</v>
      </c>
      <c r="H7" s="1"/>
    </row>
    <row r="8" spans="1:8" s="3" customFormat="1" ht="16.5" customHeight="1">
      <c r="A8" s="279" t="s">
        <v>393</v>
      </c>
      <c r="B8" s="100">
        <v>9</v>
      </c>
      <c r="C8" s="242">
        <v>0</v>
      </c>
      <c r="D8" s="242">
        <v>0</v>
      </c>
      <c r="E8" s="242">
        <v>0</v>
      </c>
      <c r="F8" s="242">
        <v>0</v>
      </c>
      <c r="G8" s="242">
        <v>9</v>
      </c>
    </row>
    <row r="9" spans="1:8" s="3" customFormat="1" ht="16.5" customHeight="1">
      <c r="A9" s="179" t="s">
        <v>394</v>
      </c>
      <c r="B9" s="231">
        <v>144</v>
      </c>
      <c r="C9" s="174">
        <v>102</v>
      </c>
      <c r="D9" s="174">
        <v>36</v>
      </c>
      <c r="E9" s="174">
        <v>0</v>
      </c>
      <c r="F9" s="174">
        <v>0</v>
      </c>
      <c r="G9" s="174">
        <v>6</v>
      </c>
    </row>
    <row r="10" spans="1:8" s="3" customFormat="1" ht="16.5" customHeight="1">
      <c r="A10" s="59" t="s">
        <v>518</v>
      </c>
      <c r="B10" s="59"/>
      <c r="C10" s="59"/>
      <c r="D10" s="59"/>
      <c r="E10" s="59"/>
      <c r="F10" s="59"/>
      <c r="G10" s="59"/>
      <c r="H10" s="59"/>
    </row>
    <row r="11" spans="1:8" s="3" customFormat="1" ht="16.5" customHeight="1">
      <c r="A11" s="59"/>
      <c r="B11" s="59"/>
      <c r="C11" s="59"/>
      <c r="D11" s="59"/>
      <c r="E11" s="59"/>
      <c r="F11" s="59"/>
      <c r="G11" s="59"/>
      <c r="H11" s="59"/>
    </row>
    <row r="12" spans="1:8" s="3" customFormat="1" ht="16.5" customHeight="1">
      <c r="A12" s="82" t="s">
        <v>519</v>
      </c>
    </row>
    <row r="13" spans="1:8" s="3" customFormat="1" ht="16.5" customHeight="1">
      <c r="A13" s="322" t="s">
        <v>30</v>
      </c>
      <c r="B13" s="614" t="s">
        <v>89</v>
      </c>
      <c r="C13" s="614" t="s">
        <v>111</v>
      </c>
      <c r="D13" s="614"/>
      <c r="E13" s="614"/>
      <c r="F13" s="614"/>
      <c r="G13" s="614" t="s">
        <v>112</v>
      </c>
      <c r="H13" s="615" t="s">
        <v>79</v>
      </c>
    </row>
    <row r="14" spans="1:8" s="3" customFormat="1" ht="16.5" customHeight="1">
      <c r="A14" s="207"/>
      <c r="B14" s="616"/>
      <c r="C14" s="616" t="s">
        <v>520</v>
      </c>
      <c r="D14" s="616" t="s">
        <v>59</v>
      </c>
      <c r="E14" s="616"/>
      <c r="F14" s="616" t="s">
        <v>113</v>
      </c>
      <c r="G14" s="616"/>
      <c r="H14" s="628"/>
    </row>
    <row r="15" spans="1:8" s="3" customFormat="1" ht="16.5" customHeight="1">
      <c r="A15" s="207" t="s">
        <v>512</v>
      </c>
      <c r="B15" s="617"/>
      <c r="C15" s="617"/>
      <c r="D15" s="274" t="s">
        <v>521</v>
      </c>
      <c r="E15" s="273" t="s">
        <v>177</v>
      </c>
      <c r="F15" s="617"/>
      <c r="G15" s="617"/>
      <c r="H15" s="623"/>
    </row>
    <row r="16" spans="1:8" s="3" customFormat="1" ht="16.5" customHeight="1">
      <c r="A16" s="279" t="s">
        <v>515</v>
      </c>
      <c r="B16" s="101">
        <v>80</v>
      </c>
      <c r="C16" s="242">
        <v>72</v>
      </c>
      <c r="D16" s="242">
        <v>22</v>
      </c>
      <c r="E16" s="242">
        <v>0</v>
      </c>
      <c r="F16" s="242">
        <v>50</v>
      </c>
      <c r="G16" s="242">
        <v>5</v>
      </c>
      <c r="H16" s="242">
        <v>3</v>
      </c>
    </row>
    <row r="17" spans="1:8" s="3" customFormat="1" ht="16.5" customHeight="1">
      <c r="A17" s="30"/>
      <c r="B17" s="178">
        <v>100</v>
      </c>
      <c r="C17" s="283">
        <v>90</v>
      </c>
      <c r="D17" s="339">
        <v>27.500000000000004</v>
      </c>
      <c r="E17" s="77" t="s">
        <v>522</v>
      </c>
      <c r="F17" s="446">
        <v>62.5</v>
      </c>
      <c r="G17" s="283">
        <v>6.25</v>
      </c>
      <c r="H17" s="283">
        <v>3.7</v>
      </c>
    </row>
    <row r="18" spans="1:8" s="3" customFormat="1" ht="16.5" customHeight="1">
      <c r="A18" s="279" t="s">
        <v>516</v>
      </c>
      <c r="B18" s="101">
        <v>17</v>
      </c>
      <c r="C18" s="242">
        <v>9</v>
      </c>
      <c r="D18" s="242">
        <v>0</v>
      </c>
      <c r="E18" s="242">
        <v>0</v>
      </c>
      <c r="F18" s="242">
        <v>9</v>
      </c>
      <c r="G18" s="242">
        <v>6</v>
      </c>
      <c r="H18" s="242">
        <v>2</v>
      </c>
    </row>
    <row r="19" spans="1:8" s="3" customFormat="1" ht="16.5" customHeight="1">
      <c r="A19" s="294"/>
      <c r="B19" s="295">
        <v>100</v>
      </c>
      <c r="C19" s="282">
        <v>52.941176470588239</v>
      </c>
      <c r="D19" s="258" t="s">
        <v>70</v>
      </c>
      <c r="E19" s="258" t="s">
        <v>522</v>
      </c>
      <c r="F19" s="282">
        <v>52.941176470588239</v>
      </c>
      <c r="G19" s="282">
        <v>35.294117647058826</v>
      </c>
      <c r="H19" s="443">
        <v>11.76470588235294</v>
      </c>
    </row>
    <row r="20" spans="1:8" s="3" customFormat="1" ht="16.5" customHeight="1">
      <c r="A20" s="59"/>
    </row>
    <row r="21" spans="1:8" s="3" customFormat="1" ht="16.5" customHeight="1">
      <c r="A21" s="105" t="s">
        <v>523</v>
      </c>
      <c r="B21" s="59"/>
      <c r="C21" s="59"/>
      <c r="D21" s="59"/>
      <c r="E21" s="59"/>
      <c r="F21" s="59"/>
      <c r="G21" s="59"/>
      <c r="H21" s="59"/>
    </row>
    <row r="22" spans="1:8" s="3" customFormat="1" ht="16.5" customHeight="1">
      <c r="A22" s="61" t="s">
        <v>795</v>
      </c>
      <c r="B22" s="55"/>
      <c r="C22" s="55"/>
      <c r="D22" s="55"/>
      <c r="E22" s="55"/>
      <c r="F22" s="55"/>
      <c r="G22" s="55"/>
      <c r="H22" s="55"/>
    </row>
    <row r="23" spans="1:8" s="3" customFormat="1" ht="16.5" customHeight="1"/>
    <row r="24" spans="1:8" s="3" customFormat="1" ht="16.5" customHeight="1">
      <c r="A24" s="82" t="s">
        <v>705</v>
      </c>
    </row>
    <row r="25" spans="1:8" s="3" customFormat="1" ht="16.5" customHeight="1">
      <c r="A25" s="277" t="s">
        <v>163</v>
      </c>
      <c r="B25" s="537" t="s">
        <v>596</v>
      </c>
      <c r="C25" s="537" t="s">
        <v>646</v>
      </c>
      <c r="D25" s="539" t="s">
        <v>524</v>
      </c>
    </row>
    <row r="26" spans="1:8" s="3" customFormat="1" ht="16.5" customHeight="1">
      <c r="A26" s="276" t="s">
        <v>512</v>
      </c>
      <c r="B26" s="537"/>
      <c r="C26" s="537"/>
      <c r="D26" s="539"/>
    </row>
    <row r="27" spans="1:8" s="3" customFormat="1" ht="16.5" customHeight="1">
      <c r="A27" s="197" t="s">
        <v>96</v>
      </c>
      <c r="B27" s="242">
        <v>138</v>
      </c>
      <c r="C27" s="281">
        <v>64</v>
      </c>
      <c r="D27" s="29">
        <v>46.376811594202898</v>
      </c>
    </row>
    <row r="28" spans="1:8" s="3" customFormat="1" ht="16.5" customHeight="1">
      <c r="A28" s="198" t="s">
        <v>97</v>
      </c>
      <c r="B28" s="174">
        <v>72</v>
      </c>
      <c r="C28" s="296">
        <v>16</v>
      </c>
      <c r="D28" s="180">
        <v>22.222222222222221</v>
      </c>
    </row>
  </sheetData>
  <sheetProtection algorithmName="SHA-512" hashValue="SuPISZNUOSX+z0nCVLvN9Ps0X55N1njTFi4hkM9HRja8yynsNwrwcfwIqj/OyR4xnx39wYYS8CMOoUbRSSVHLA==" saltValue="JtJJueU1OFLW/xmYj3nxQA==" spinCount="100000" sheet="1" objects="1" scenarios="1"/>
  <mergeCells count="16">
    <mergeCell ref="B25:B26"/>
    <mergeCell ref="C25:C26"/>
    <mergeCell ref="D25:D26"/>
    <mergeCell ref="B13:B15"/>
    <mergeCell ref="C13:F13"/>
    <mergeCell ref="G13:G15"/>
    <mergeCell ref="H13:H15"/>
    <mergeCell ref="C14:C15"/>
    <mergeCell ref="D14:E14"/>
    <mergeCell ref="F14:F15"/>
    <mergeCell ref="G4:G5"/>
    <mergeCell ref="B4:B5"/>
    <mergeCell ref="C4:C5"/>
    <mergeCell ref="D4:D5"/>
    <mergeCell ref="E4:E5"/>
    <mergeCell ref="F4:F5"/>
  </mergeCells>
  <phoneticPr fontId="6" type="noConversion"/>
  <pageMargins left="0.46" right="0.4" top="0.89" bottom="1" header="0.5" footer="0.5"/>
  <pageSetup paperSize="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42"/>
  <sheetViews>
    <sheetView showGridLines="0" zoomScaleNormal="100" zoomScaleSheetLayoutView="100" workbookViewId="0"/>
  </sheetViews>
  <sheetFormatPr defaultColWidth="8" defaultRowHeight="16.5" customHeight="1"/>
  <cols>
    <col min="1" max="1" width="14.44140625" style="86" customWidth="1"/>
    <col min="2" max="11" width="8.88671875" style="86" customWidth="1"/>
    <col min="12" max="12" width="8.88671875" style="121" customWidth="1"/>
    <col min="13" max="16384" width="8" style="86"/>
  </cols>
  <sheetData>
    <row r="1" spans="1:12" s="3" customFormat="1" ht="16.5" customHeight="1">
      <c r="A1" s="105" t="s">
        <v>665</v>
      </c>
      <c r="B1" s="59"/>
      <c r="C1" s="59"/>
      <c r="D1" s="59"/>
      <c r="E1" s="59"/>
      <c r="F1" s="59"/>
      <c r="G1" s="59"/>
    </row>
    <row r="2" spans="1:12" s="3" customFormat="1" ht="16.5" customHeight="1">
      <c r="A2" s="59"/>
      <c r="B2" s="59"/>
      <c r="C2" s="59"/>
      <c r="D2" s="59"/>
      <c r="E2" s="59"/>
    </row>
    <row r="3" spans="1:12" s="3" customFormat="1" ht="16.5" customHeight="1">
      <c r="A3" s="105" t="s">
        <v>23</v>
      </c>
      <c r="B3" s="59"/>
      <c r="C3" s="59"/>
      <c r="D3" s="59"/>
      <c r="E3" s="59"/>
      <c r="F3" s="59"/>
      <c r="G3" s="59"/>
    </row>
    <row r="4" spans="1:12" s="3" customFormat="1" ht="30" customHeight="1">
      <c r="A4" s="613" t="s">
        <v>822</v>
      </c>
      <c r="B4" s="613"/>
      <c r="C4" s="613"/>
      <c r="D4" s="613"/>
      <c r="E4" s="613"/>
      <c r="F4" s="613"/>
      <c r="G4" s="613"/>
      <c r="H4" s="613"/>
      <c r="I4" s="613"/>
      <c r="J4" s="613"/>
      <c r="K4" s="613"/>
      <c r="L4" s="613"/>
    </row>
    <row r="5" spans="1:12" s="3" customFormat="1" ht="16.5" customHeight="1">
      <c r="A5" s="199" t="s">
        <v>53</v>
      </c>
      <c r="B5" s="59"/>
      <c r="C5" s="59"/>
      <c r="D5" s="59"/>
      <c r="E5" s="59"/>
      <c r="F5" s="59"/>
      <c r="G5" s="59"/>
    </row>
    <row r="6" spans="1:12" s="3" customFormat="1" ht="30" customHeight="1">
      <c r="A6" s="613" t="s">
        <v>805</v>
      </c>
      <c r="B6" s="613"/>
      <c r="C6" s="613"/>
      <c r="D6" s="613"/>
      <c r="E6" s="613"/>
      <c r="F6" s="613"/>
      <c r="G6" s="613"/>
      <c r="H6" s="613"/>
      <c r="I6" s="613"/>
      <c r="J6" s="613"/>
      <c r="K6" s="613"/>
      <c r="L6" s="613"/>
    </row>
    <row r="7" spans="1:12" s="3" customFormat="1" ht="16.5" customHeight="1">
      <c r="A7" s="104"/>
      <c r="B7" s="59"/>
      <c r="C7" s="59"/>
      <c r="D7" s="59"/>
      <c r="E7" s="59"/>
      <c r="F7" s="59"/>
      <c r="G7" s="59"/>
      <c r="I7" s="58"/>
      <c r="J7" s="58"/>
      <c r="K7" s="58"/>
    </row>
    <row r="8" spans="1:12" s="3" customFormat="1" ht="16.5" customHeight="1">
      <c r="A8" s="82" t="s">
        <v>706</v>
      </c>
      <c r="I8" s="58"/>
      <c r="J8" s="58"/>
      <c r="K8" s="58"/>
    </row>
    <row r="9" spans="1:12" s="3" customFormat="1" ht="16.5" customHeight="1">
      <c r="A9" s="352" t="s">
        <v>163</v>
      </c>
      <c r="B9" s="537" t="s">
        <v>52</v>
      </c>
      <c r="C9" s="615" t="s">
        <v>26</v>
      </c>
      <c r="D9" s="621"/>
      <c r="E9" s="621"/>
      <c r="F9" s="622"/>
      <c r="G9" s="537" t="s">
        <v>54</v>
      </c>
      <c r="H9" s="539" t="s">
        <v>32</v>
      </c>
      <c r="I9" s="58"/>
      <c r="J9" s="58"/>
      <c r="K9" s="58"/>
    </row>
    <row r="10" spans="1:12" s="3" customFormat="1" ht="16.5" customHeight="1">
      <c r="A10" s="207"/>
      <c r="B10" s="537"/>
      <c r="C10" s="657" t="s">
        <v>89</v>
      </c>
      <c r="D10" s="657" t="s">
        <v>395</v>
      </c>
      <c r="E10" s="658" t="s">
        <v>115</v>
      </c>
      <c r="F10" s="659"/>
      <c r="G10" s="537"/>
      <c r="H10" s="539"/>
      <c r="I10" s="58"/>
      <c r="J10" s="84"/>
      <c r="K10" s="200"/>
    </row>
    <row r="11" spans="1:12" s="3" customFormat="1" ht="16.5" customHeight="1">
      <c r="A11" s="207" t="s">
        <v>169</v>
      </c>
      <c r="B11" s="537"/>
      <c r="C11" s="537"/>
      <c r="D11" s="537"/>
      <c r="E11" s="627"/>
      <c r="F11" s="660"/>
      <c r="G11" s="537"/>
      <c r="H11" s="539"/>
      <c r="I11" s="58"/>
      <c r="J11" s="84"/>
      <c r="K11" s="84" t="s">
        <v>30</v>
      </c>
    </row>
    <row r="12" spans="1:12" s="3" customFormat="1" ht="16.5" customHeight="1">
      <c r="A12" s="351" t="s">
        <v>63</v>
      </c>
      <c r="B12" s="101">
        <v>413353</v>
      </c>
      <c r="C12" s="243">
        <v>404094</v>
      </c>
      <c r="D12" s="242">
        <v>396570</v>
      </c>
      <c r="E12" s="651">
        <v>7524</v>
      </c>
      <c r="F12" s="652"/>
      <c r="G12" s="183">
        <v>33363</v>
      </c>
      <c r="H12" s="169">
        <v>97.76002593424991</v>
      </c>
      <c r="I12" s="58"/>
      <c r="J12" s="84"/>
      <c r="K12" s="84"/>
    </row>
    <row r="13" spans="1:12" s="1" customFormat="1" ht="16.5" customHeight="1">
      <c r="A13" s="33" t="s">
        <v>396</v>
      </c>
      <c r="B13" s="178"/>
      <c r="C13" s="46">
        <v>100</v>
      </c>
      <c r="D13" s="354">
        <v>98.138056986740708</v>
      </c>
      <c r="E13" s="655">
        <v>1.8619430132592911</v>
      </c>
      <c r="F13" s="656"/>
      <c r="G13" s="203"/>
      <c r="H13" s="169"/>
      <c r="I13" s="13"/>
      <c r="J13" s="16"/>
      <c r="K13" s="15"/>
    </row>
    <row r="14" spans="1:12" s="3" customFormat="1" ht="16.5" customHeight="1">
      <c r="A14" s="351" t="s">
        <v>62</v>
      </c>
      <c r="B14" s="101">
        <v>3057</v>
      </c>
      <c r="C14" s="243">
        <v>3025</v>
      </c>
      <c r="D14" s="242">
        <v>2996</v>
      </c>
      <c r="E14" s="651">
        <v>29</v>
      </c>
      <c r="F14" s="652"/>
      <c r="G14" s="183">
        <v>58</v>
      </c>
      <c r="H14" s="169">
        <v>98.953222113182861</v>
      </c>
      <c r="I14" s="58"/>
      <c r="J14" s="84"/>
      <c r="K14" s="84"/>
      <c r="L14" s="120"/>
    </row>
    <row r="15" spans="1:12" s="1" customFormat="1" ht="16.5" customHeight="1">
      <c r="A15" s="201" t="s">
        <v>396</v>
      </c>
      <c r="B15" s="295"/>
      <c r="C15" s="458">
        <v>100</v>
      </c>
      <c r="D15" s="353">
        <v>99.04132231404958</v>
      </c>
      <c r="E15" s="653">
        <v>0.95867768595041325</v>
      </c>
      <c r="F15" s="654"/>
      <c r="G15" s="356"/>
      <c r="H15" s="202"/>
      <c r="I15" s="13"/>
      <c r="J15" s="16"/>
      <c r="K15" s="15"/>
      <c r="L15" s="20"/>
    </row>
    <row r="16" spans="1:12" s="3" customFormat="1" ht="16.5" customHeight="1">
      <c r="A16" s="3" t="s">
        <v>580</v>
      </c>
      <c r="B16" s="59"/>
      <c r="C16" s="59"/>
      <c r="D16" s="59"/>
      <c r="E16" s="59"/>
      <c r="F16" s="59"/>
      <c r="G16" s="59"/>
      <c r="H16" s="104"/>
      <c r="I16" s="85"/>
      <c r="J16" s="85"/>
      <c r="K16" s="58"/>
      <c r="L16" s="120"/>
    </row>
    <row r="17" spans="1:12" s="3" customFormat="1" ht="16.5" customHeight="1">
      <c r="L17" s="120"/>
    </row>
    <row r="18" spans="1:12" s="3" customFormat="1" ht="16.5" customHeight="1">
      <c r="A18" s="82" t="s">
        <v>707</v>
      </c>
      <c r="L18" s="120"/>
    </row>
    <row r="19" spans="1:12" s="3" customFormat="1" ht="16.5" customHeight="1">
      <c r="A19" s="661" t="s">
        <v>170</v>
      </c>
      <c r="B19" s="662"/>
      <c r="C19" s="537" t="s">
        <v>89</v>
      </c>
      <c r="D19" s="629" t="s">
        <v>256</v>
      </c>
      <c r="E19" s="629" t="s">
        <v>257</v>
      </c>
      <c r="F19" s="629" t="s">
        <v>258</v>
      </c>
      <c r="G19" s="629" t="s">
        <v>259</v>
      </c>
      <c r="H19" s="629" t="s">
        <v>260</v>
      </c>
      <c r="I19" s="537" t="s">
        <v>51</v>
      </c>
      <c r="J19" s="537" t="s">
        <v>116</v>
      </c>
      <c r="K19" s="539" t="s">
        <v>117</v>
      </c>
      <c r="L19" s="120"/>
    </row>
    <row r="20" spans="1:12" s="3" customFormat="1" ht="16.5" customHeight="1">
      <c r="A20" s="554" t="s">
        <v>66</v>
      </c>
      <c r="B20" s="555"/>
      <c r="C20" s="537"/>
      <c r="D20" s="629"/>
      <c r="E20" s="629"/>
      <c r="F20" s="629"/>
      <c r="G20" s="629"/>
      <c r="H20" s="629"/>
      <c r="I20" s="537"/>
      <c r="J20" s="537"/>
      <c r="K20" s="539"/>
      <c r="L20" s="120"/>
    </row>
    <row r="21" spans="1:12" s="3" customFormat="1" ht="16.5" customHeight="1">
      <c r="A21" s="663" t="s">
        <v>261</v>
      </c>
      <c r="B21" s="204" t="s">
        <v>52</v>
      </c>
      <c r="C21" s="101">
        <v>413353</v>
      </c>
      <c r="D21" s="242">
        <v>22777</v>
      </c>
      <c r="E21" s="242">
        <v>10827</v>
      </c>
      <c r="F21" s="242">
        <v>13839</v>
      </c>
      <c r="G21" s="242">
        <v>14015</v>
      </c>
      <c r="H21" s="242">
        <v>9118</v>
      </c>
      <c r="I21" s="242">
        <v>26104</v>
      </c>
      <c r="J21" s="242">
        <v>36745</v>
      </c>
      <c r="K21" s="242">
        <v>70805</v>
      </c>
      <c r="L21" s="120"/>
    </row>
    <row r="22" spans="1:12" s="11" customFormat="1" ht="16.5" customHeight="1">
      <c r="A22" s="663"/>
      <c r="B22" s="204"/>
      <c r="C22" s="99">
        <v>100</v>
      </c>
      <c r="D22" s="19">
        <v>5.5103023323890232</v>
      </c>
      <c r="E22" s="19">
        <v>2.6193108553705913</v>
      </c>
      <c r="F22" s="19">
        <v>3.4</v>
      </c>
      <c r="G22" s="19">
        <v>3.3905644812061362</v>
      </c>
      <c r="H22" s="19">
        <v>2.2058627855610098</v>
      </c>
      <c r="I22" s="19">
        <v>6.3151833904677117</v>
      </c>
      <c r="J22" s="19">
        <v>8.8894963868654635</v>
      </c>
      <c r="K22" s="19">
        <v>17.129426906300427</v>
      </c>
      <c r="L22" s="22"/>
    </row>
    <row r="23" spans="1:12" s="3" customFormat="1" ht="16.5" customHeight="1">
      <c r="A23" s="664"/>
      <c r="B23" s="357" t="s">
        <v>26</v>
      </c>
      <c r="C23" s="291">
        <v>404094</v>
      </c>
      <c r="D23" s="174">
        <v>21589</v>
      </c>
      <c r="E23" s="174">
        <v>10558</v>
      </c>
      <c r="F23" s="174">
        <v>13359</v>
      </c>
      <c r="G23" s="174">
        <v>14025</v>
      </c>
      <c r="H23" s="174">
        <v>8091</v>
      </c>
      <c r="I23" s="174">
        <v>22730</v>
      </c>
      <c r="J23" s="174">
        <v>36335</v>
      </c>
      <c r="K23" s="174">
        <v>71183</v>
      </c>
      <c r="L23" s="120"/>
    </row>
    <row r="24" spans="1:12" s="3" customFormat="1" ht="16.5" customHeight="1">
      <c r="A24" s="665" t="s">
        <v>262</v>
      </c>
      <c r="B24" s="204" t="s">
        <v>52</v>
      </c>
      <c r="C24" s="101">
        <v>3057</v>
      </c>
      <c r="D24" s="242">
        <v>60</v>
      </c>
      <c r="E24" s="242">
        <v>0</v>
      </c>
      <c r="F24" s="242">
        <v>41</v>
      </c>
      <c r="G24" s="242">
        <v>34</v>
      </c>
      <c r="H24" s="242">
        <v>0</v>
      </c>
      <c r="I24" s="242">
        <v>805</v>
      </c>
      <c r="J24" s="242">
        <v>638</v>
      </c>
      <c r="K24" s="242">
        <v>379</v>
      </c>
      <c r="L24" s="120"/>
    </row>
    <row r="25" spans="1:12" s="1" customFormat="1" ht="16.5" customHeight="1">
      <c r="A25" s="663"/>
      <c r="B25" s="204"/>
      <c r="C25" s="99">
        <v>100</v>
      </c>
      <c r="D25" s="354">
        <v>1.9627085377821394</v>
      </c>
      <c r="E25" s="455" t="s">
        <v>801</v>
      </c>
      <c r="F25" s="354">
        <v>1.3411841674844618</v>
      </c>
      <c r="G25" s="450">
        <v>1.1122015047432123</v>
      </c>
      <c r="H25" s="455" t="s">
        <v>801</v>
      </c>
      <c r="I25" s="354">
        <v>26.333006215243703</v>
      </c>
      <c r="J25" s="354">
        <v>20.870134118416747</v>
      </c>
      <c r="K25" s="354">
        <v>12.397775596990513</v>
      </c>
      <c r="L25" s="20"/>
    </row>
    <row r="26" spans="1:12" s="3" customFormat="1" ht="16.5" customHeight="1">
      <c r="A26" s="664"/>
      <c r="B26" s="357" t="s">
        <v>26</v>
      </c>
      <c r="C26" s="291">
        <v>3025</v>
      </c>
      <c r="D26" s="174">
        <v>62</v>
      </c>
      <c r="E26" s="174">
        <v>0</v>
      </c>
      <c r="F26" s="174">
        <v>46</v>
      </c>
      <c r="G26" s="174">
        <v>34</v>
      </c>
      <c r="H26" s="174">
        <v>2</v>
      </c>
      <c r="I26" s="174">
        <v>716</v>
      </c>
      <c r="J26" s="174">
        <v>653</v>
      </c>
      <c r="K26" s="174">
        <v>424</v>
      </c>
      <c r="L26" s="120"/>
    </row>
    <row r="27" spans="1:12" s="3" customFormat="1" ht="16.5" customHeight="1">
      <c r="A27" s="3" t="s">
        <v>263</v>
      </c>
      <c r="L27" s="120"/>
    </row>
    <row r="28" spans="1:12" s="3" customFormat="1" ht="16.5" customHeight="1">
      <c r="L28" s="120"/>
    </row>
    <row r="29" spans="1:12" s="3" customFormat="1" ht="16.5" customHeight="1">
      <c r="B29" s="666" t="s">
        <v>118</v>
      </c>
      <c r="C29" s="537" t="s">
        <v>119</v>
      </c>
      <c r="D29" s="537" t="s">
        <v>120</v>
      </c>
      <c r="E29" s="537" t="s">
        <v>121</v>
      </c>
      <c r="F29" s="537" t="s">
        <v>122</v>
      </c>
      <c r="G29" s="537" t="s">
        <v>123</v>
      </c>
      <c r="H29" s="537" t="s">
        <v>124</v>
      </c>
      <c r="I29" s="537" t="s">
        <v>125</v>
      </c>
      <c r="J29" s="537" t="s">
        <v>126</v>
      </c>
      <c r="K29" s="539" t="s">
        <v>127</v>
      </c>
      <c r="L29" s="120"/>
    </row>
    <row r="30" spans="1:12" s="3" customFormat="1" ht="16.5" customHeight="1">
      <c r="B30" s="666"/>
      <c r="C30" s="537"/>
      <c r="D30" s="537"/>
      <c r="E30" s="537"/>
      <c r="F30" s="537"/>
      <c r="G30" s="537"/>
      <c r="H30" s="537"/>
      <c r="I30" s="537"/>
      <c r="J30" s="537"/>
      <c r="K30" s="539"/>
      <c r="L30" s="120"/>
    </row>
    <row r="31" spans="1:12" s="3" customFormat="1" ht="16.5" customHeight="1">
      <c r="B31" s="242">
        <v>12577</v>
      </c>
      <c r="C31" s="242">
        <v>31375</v>
      </c>
      <c r="D31" s="242">
        <v>13306</v>
      </c>
      <c r="E31" s="242">
        <v>39628</v>
      </c>
      <c r="F31" s="242">
        <v>26442</v>
      </c>
      <c r="G31" s="242">
        <v>12808</v>
      </c>
      <c r="H31" s="242">
        <v>21995</v>
      </c>
      <c r="I31" s="242">
        <v>27929</v>
      </c>
      <c r="J31" s="242">
        <v>14654</v>
      </c>
      <c r="K31" s="242">
        <v>8409</v>
      </c>
      <c r="L31" s="120"/>
    </row>
    <row r="32" spans="1:12" s="11" customFormat="1" ht="16.5" customHeight="1">
      <c r="B32" s="19">
        <v>3.0426778080720354</v>
      </c>
      <c r="C32" s="19">
        <v>7.5903646520044612</v>
      </c>
      <c r="D32" s="19">
        <v>3.2190403843688085</v>
      </c>
      <c r="E32" s="19">
        <v>9.5869632009444707</v>
      </c>
      <c r="F32" s="19">
        <v>6.3969536933323328</v>
      </c>
      <c r="G32" s="19">
        <v>3.0985622458286262</v>
      </c>
      <c r="H32" s="19">
        <v>5.3211177855247209</v>
      </c>
      <c r="I32" s="19">
        <v>6.756694641142075</v>
      </c>
      <c r="J32" s="19">
        <v>3.6</v>
      </c>
      <c r="K32" s="19">
        <v>2.0343386887236816</v>
      </c>
      <c r="L32" s="22"/>
    </row>
    <row r="33" spans="1:12" s="3" customFormat="1" ht="16.5" customHeight="1">
      <c r="B33" s="174">
        <v>12042</v>
      </c>
      <c r="C33" s="174">
        <v>29655</v>
      </c>
      <c r="D33" s="174">
        <v>12210</v>
      </c>
      <c r="E33" s="174">
        <v>38980</v>
      </c>
      <c r="F33" s="174">
        <v>29621</v>
      </c>
      <c r="G33" s="174">
        <v>12735</v>
      </c>
      <c r="H33" s="174">
        <v>21195</v>
      </c>
      <c r="I33" s="174">
        <v>27169</v>
      </c>
      <c r="J33" s="174">
        <v>14498</v>
      </c>
      <c r="K33" s="174">
        <v>8119</v>
      </c>
      <c r="L33" s="120"/>
    </row>
    <row r="34" spans="1:12" s="3" customFormat="1" ht="16.5" customHeight="1">
      <c r="B34" s="358">
        <v>5</v>
      </c>
      <c r="C34" s="358">
        <v>3</v>
      </c>
      <c r="D34" s="358">
        <v>0</v>
      </c>
      <c r="E34" s="358">
        <v>206</v>
      </c>
      <c r="F34" s="358">
        <v>51</v>
      </c>
      <c r="G34" s="358">
        <v>23</v>
      </c>
      <c r="H34" s="358">
        <v>190</v>
      </c>
      <c r="I34" s="358">
        <v>597</v>
      </c>
      <c r="J34" s="358">
        <v>25</v>
      </c>
      <c r="K34" s="358">
        <v>0</v>
      </c>
      <c r="L34" s="120"/>
    </row>
    <row r="35" spans="1:12" s="1" customFormat="1" ht="16.5" customHeight="1">
      <c r="B35" s="354">
        <v>0.16355904481517827</v>
      </c>
      <c r="C35" s="354">
        <v>9.8135426889106966E-2</v>
      </c>
      <c r="D35" s="455" t="s">
        <v>801</v>
      </c>
      <c r="E35" s="354">
        <v>6.7386326463853452</v>
      </c>
      <c r="F35" s="354">
        <v>1.6683022571148183</v>
      </c>
      <c r="G35" s="354">
        <v>0.75237160614982013</v>
      </c>
      <c r="H35" s="354">
        <v>6.2152437029767746</v>
      </c>
      <c r="I35" s="354">
        <v>19.528949950932287</v>
      </c>
      <c r="J35" s="354">
        <v>0.81779522407589134</v>
      </c>
      <c r="K35" s="455" t="s">
        <v>801</v>
      </c>
      <c r="L35" s="20"/>
    </row>
    <row r="36" spans="1:12" s="3" customFormat="1" ht="16.5" customHeight="1">
      <c r="B36" s="174">
        <v>6</v>
      </c>
      <c r="C36" s="174">
        <v>3</v>
      </c>
      <c r="D36" s="174">
        <v>0</v>
      </c>
      <c r="E36" s="174">
        <v>198</v>
      </c>
      <c r="F36" s="174">
        <v>53</v>
      </c>
      <c r="G36" s="174">
        <v>27</v>
      </c>
      <c r="H36" s="174">
        <v>193</v>
      </c>
      <c r="I36" s="174">
        <v>581</v>
      </c>
      <c r="J36" s="174">
        <v>27</v>
      </c>
      <c r="K36" s="174">
        <v>0</v>
      </c>
      <c r="L36" s="120"/>
    </row>
    <row r="37" spans="1:12" s="3" customFormat="1" ht="16.5" customHeight="1">
      <c r="A37" s="104"/>
      <c r="B37" s="105"/>
      <c r="C37" s="59"/>
      <c r="D37" s="59"/>
      <c r="E37" s="59"/>
      <c r="F37" s="59"/>
      <c r="G37" s="59"/>
      <c r="H37" s="59"/>
      <c r="I37" s="59"/>
      <c r="J37" s="59"/>
      <c r="K37" s="59"/>
      <c r="L37" s="68"/>
    </row>
    <row r="38" spans="1:12" s="3" customFormat="1" ht="16.5" customHeight="1">
      <c r="A38" s="82" t="s">
        <v>708</v>
      </c>
      <c r="L38" s="120"/>
    </row>
    <row r="39" spans="1:12" s="3" customFormat="1" ht="16.5" customHeight="1">
      <c r="A39" s="352" t="s">
        <v>36</v>
      </c>
      <c r="B39" s="657" t="s">
        <v>52</v>
      </c>
      <c r="C39" s="615" t="s">
        <v>30</v>
      </c>
      <c r="D39" s="621"/>
      <c r="E39" s="621"/>
      <c r="F39" s="621"/>
      <c r="G39" s="621"/>
      <c r="H39" s="621"/>
      <c r="I39" s="621"/>
      <c r="J39" s="621"/>
      <c r="K39" s="621"/>
      <c r="L39" s="621"/>
    </row>
    <row r="40" spans="1:12" s="3" customFormat="1" ht="22.5">
      <c r="A40" s="207" t="s">
        <v>66</v>
      </c>
      <c r="B40" s="537"/>
      <c r="C40" s="355" t="s">
        <v>4</v>
      </c>
      <c r="D40" s="355" t="s">
        <v>55</v>
      </c>
      <c r="E40" s="355" t="s">
        <v>37</v>
      </c>
      <c r="F40" s="355" t="s">
        <v>12</v>
      </c>
      <c r="G40" s="359" t="s">
        <v>156</v>
      </c>
      <c r="H40" s="355" t="s">
        <v>9</v>
      </c>
      <c r="I40" s="355" t="s">
        <v>8</v>
      </c>
      <c r="J40" s="359" t="s">
        <v>173</v>
      </c>
      <c r="K40" s="355" t="s">
        <v>56</v>
      </c>
      <c r="L40" s="360" t="s">
        <v>35</v>
      </c>
    </row>
    <row r="41" spans="1:12" s="3" customFormat="1" ht="16.5" customHeight="1">
      <c r="A41" s="351" t="s">
        <v>114</v>
      </c>
      <c r="B41" s="101">
        <v>34209</v>
      </c>
      <c r="C41" s="101">
        <v>34096</v>
      </c>
      <c r="D41" s="242">
        <v>90</v>
      </c>
      <c r="E41" s="242">
        <v>78</v>
      </c>
      <c r="F41" s="242">
        <v>23571</v>
      </c>
      <c r="G41" s="242">
        <v>1430</v>
      </c>
      <c r="H41" s="242">
        <v>924</v>
      </c>
      <c r="I41" s="242">
        <v>1949</v>
      </c>
      <c r="J41" s="242">
        <v>76</v>
      </c>
      <c r="K41" s="242">
        <v>1093</v>
      </c>
      <c r="L41" s="242">
        <v>4885</v>
      </c>
    </row>
    <row r="42" spans="1:12" s="1" customFormat="1" ht="16.5" customHeight="1">
      <c r="A42" s="205" t="s">
        <v>6</v>
      </c>
      <c r="B42" s="291"/>
      <c r="C42" s="295">
        <v>100</v>
      </c>
      <c r="D42" s="318">
        <v>0.26396058188643828</v>
      </c>
      <c r="E42" s="318">
        <v>0.22876583763491318</v>
      </c>
      <c r="F42" s="318">
        <v>69.2</v>
      </c>
      <c r="G42" s="318">
        <v>4.194040356640075</v>
      </c>
      <c r="H42" s="318">
        <v>2.709995307367433</v>
      </c>
      <c r="I42" s="318">
        <v>5.7162130455185363</v>
      </c>
      <c r="J42" s="318">
        <v>0.22290004692632567</v>
      </c>
      <c r="K42" s="318">
        <v>3.2</v>
      </c>
      <c r="L42" s="318">
        <v>14.327193805725011</v>
      </c>
    </row>
  </sheetData>
  <sheetProtection algorithmName="SHA-512" hashValue="Pei9kOSUDCuW3pY17HzqOx+58Uj9z/zDtBJofuHK4HRFvQERyPhppXhzToKpHqHQwaZ/YjTikttp7d7BrzD9Tg==" saltValue="foJbNkKI9QTDHg+YdleOEA==" spinCount="100000" sheet="1" objects="1" scenarios="1"/>
  <mergeCells count="38">
    <mergeCell ref="A19:B19"/>
    <mergeCell ref="C39:L39"/>
    <mergeCell ref="D19:D20"/>
    <mergeCell ref="D29:D30"/>
    <mergeCell ref="C19:C20"/>
    <mergeCell ref="A21:A23"/>
    <mergeCell ref="A24:A26"/>
    <mergeCell ref="B39:B40"/>
    <mergeCell ref="B29:B30"/>
    <mergeCell ref="C29:C30"/>
    <mergeCell ref="K29:K30"/>
    <mergeCell ref="K19:K20"/>
    <mergeCell ref="F29:F30"/>
    <mergeCell ref="G29:G30"/>
    <mergeCell ref="H29:H30"/>
    <mergeCell ref="J29:J30"/>
    <mergeCell ref="A6:L6"/>
    <mergeCell ref="A4:L4"/>
    <mergeCell ref="E12:F12"/>
    <mergeCell ref="I19:I20"/>
    <mergeCell ref="E14:F14"/>
    <mergeCell ref="J19:J20"/>
    <mergeCell ref="E15:F15"/>
    <mergeCell ref="E13:F13"/>
    <mergeCell ref="B9:B11"/>
    <mergeCell ref="G9:G11"/>
    <mergeCell ref="C10:C11"/>
    <mergeCell ref="D10:D11"/>
    <mergeCell ref="H9:H11"/>
    <mergeCell ref="C9:F9"/>
    <mergeCell ref="E10:F11"/>
    <mergeCell ref="A20:B20"/>
    <mergeCell ref="I29:I30"/>
    <mergeCell ref="G19:G20"/>
    <mergeCell ref="H19:H20"/>
    <mergeCell ref="E19:E20"/>
    <mergeCell ref="E29:E30"/>
    <mergeCell ref="F19:F20"/>
  </mergeCells>
  <phoneticPr fontId="6" type="noConversion"/>
  <pageMargins left="0.24" right="0.05" top="0.57999999999999996" bottom="0.16" header="0.5" footer="0.5"/>
  <pageSetup paperSize="9" scale="77"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9"/>
  <sheetViews>
    <sheetView showGridLines="0" zoomScaleNormal="100" zoomScaleSheetLayoutView="100" workbookViewId="0"/>
  </sheetViews>
  <sheetFormatPr defaultRowHeight="16.5" customHeight="1"/>
  <cols>
    <col min="1" max="1" width="11.109375" style="86" customWidth="1"/>
    <col min="2" max="12" width="8.88671875" style="86" customWidth="1"/>
    <col min="13" max="16384" width="8.88671875" style="86"/>
  </cols>
  <sheetData>
    <row r="1" spans="1:12" s="3" customFormat="1" ht="16.5" customHeight="1">
      <c r="A1" s="199" t="s">
        <v>666</v>
      </c>
      <c r="B1" s="59"/>
      <c r="C1" s="59"/>
      <c r="D1" s="59"/>
      <c r="E1" s="59"/>
      <c r="F1" s="59"/>
      <c r="G1" s="59"/>
      <c r="H1" s="59"/>
      <c r="I1" s="59"/>
      <c r="J1" s="209"/>
      <c r="K1" s="59"/>
    </row>
    <row r="2" spans="1:12" s="3" customFormat="1" ht="16.5" customHeight="1">
      <c r="A2" s="104"/>
      <c r="B2" s="59"/>
      <c r="C2" s="59"/>
      <c r="D2" s="59"/>
      <c r="E2" s="59"/>
      <c r="F2" s="59"/>
      <c r="I2" s="59"/>
      <c r="J2" s="59"/>
      <c r="K2" s="59"/>
    </row>
    <row r="3" spans="1:12" s="3" customFormat="1" ht="16.5" customHeight="1">
      <c r="A3" s="199" t="s">
        <v>23</v>
      </c>
      <c r="B3" s="59"/>
      <c r="C3" s="59"/>
      <c r="D3" s="59"/>
      <c r="E3" s="59"/>
      <c r="F3" s="59"/>
      <c r="G3" s="59"/>
      <c r="H3" s="59"/>
      <c r="I3" s="59"/>
      <c r="J3" s="59"/>
      <c r="K3" s="59"/>
    </row>
    <row r="4" spans="1:12" s="3" customFormat="1" ht="24" customHeight="1">
      <c r="A4" s="667" t="s">
        <v>819</v>
      </c>
      <c r="B4" s="667"/>
      <c r="C4" s="667"/>
      <c r="D4" s="667"/>
      <c r="E4" s="667"/>
      <c r="F4" s="667"/>
      <c r="G4" s="667"/>
      <c r="H4" s="667"/>
      <c r="I4" s="667"/>
      <c r="J4" s="667"/>
      <c r="K4" s="667"/>
      <c r="L4" s="343"/>
    </row>
    <row r="5" spans="1:12" s="3" customFormat="1" ht="16.5" customHeight="1">
      <c r="A5" s="104"/>
      <c r="B5" s="59"/>
      <c r="C5" s="59"/>
      <c r="D5" s="59"/>
      <c r="E5" s="59"/>
      <c r="F5" s="59"/>
      <c r="G5" s="59"/>
      <c r="H5" s="59"/>
      <c r="I5" s="59"/>
      <c r="J5" s="59"/>
      <c r="K5" s="59"/>
    </row>
    <row r="6" spans="1:12" s="3" customFormat="1" ht="16.5" customHeight="1">
      <c r="A6" s="199" t="s">
        <v>53</v>
      </c>
      <c r="B6" s="59"/>
      <c r="C6" s="59"/>
      <c r="D6" s="59"/>
      <c r="E6" s="59"/>
      <c r="F6" s="59"/>
      <c r="G6" s="59"/>
      <c r="H6" s="59"/>
      <c r="I6" s="59"/>
      <c r="J6" s="59"/>
      <c r="K6" s="59"/>
    </row>
    <row r="7" spans="1:12" s="3" customFormat="1" ht="16.5" customHeight="1">
      <c r="A7" s="341" t="s">
        <v>806</v>
      </c>
      <c r="B7" s="59"/>
      <c r="C7" s="59"/>
      <c r="D7" s="59"/>
      <c r="E7" s="59"/>
      <c r="F7" s="59"/>
      <c r="G7" s="59"/>
      <c r="H7" s="59"/>
      <c r="I7" s="59"/>
      <c r="J7" s="59"/>
      <c r="K7" s="59"/>
    </row>
    <row r="8" spans="1:12" s="3" customFormat="1" ht="16.5" customHeight="1">
      <c r="A8" s="104"/>
      <c r="B8" s="59"/>
      <c r="C8" s="59"/>
      <c r="D8" s="59"/>
      <c r="E8" s="59"/>
      <c r="F8" s="59"/>
      <c r="G8" s="59"/>
      <c r="H8" s="59"/>
      <c r="I8" s="59"/>
      <c r="J8" s="59"/>
      <c r="K8" s="59"/>
    </row>
    <row r="9" spans="1:12" s="3" customFormat="1" ht="16.5" customHeight="1">
      <c r="A9" s="210" t="s">
        <v>709</v>
      </c>
    </row>
    <row r="10" spans="1:12" s="3" customFormat="1" ht="16.5" customHeight="1">
      <c r="A10" s="342" t="s">
        <v>319</v>
      </c>
      <c r="B10" s="537" t="s">
        <v>89</v>
      </c>
      <c r="C10" s="629" t="s">
        <v>256</v>
      </c>
      <c r="D10" s="629" t="s">
        <v>257</v>
      </c>
      <c r="E10" s="629" t="s">
        <v>258</v>
      </c>
      <c r="F10" s="629" t="s">
        <v>259</v>
      </c>
      <c r="G10" s="629" t="s">
        <v>260</v>
      </c>
      <c r="H10" s="537" t="s">
        <v>51</v>
      </c>
      <c r="I10" s="537" t="s">
        <v>116</v>
      </c>
      <c r="J10" s="539" t="s">
        <v>117</v>
      </c>
    </row>
    <row r="11" spans="1:12" s="3" customFormat="1" ht="16.5" customHeight="1">
      <c r="A11" s="207" t="s">
        <v>66</v>
      </c>
      <c r="B11" s="537"/>
      <c r="C11" s="537"/>
      <c r="D11" s="537"/>
      <c r="E11" s="537"/>
      <c r="F11" s="537"/>
      <c r="G11" s="537"/>
      <c r="H11" s="537"/>
      <c r="I11" s="537"/>
      <c r="J11" s="539"/>
    </row>
    <row r="12" spans="1:12" s="3" customFormat="1" ht="16.5" customHeight="1">
      <c r="A12" s="348" t="s">
        <v>397</v>
      </c>
      <c r="B12" s="101">
        <v>135327</v>
      </c>
      <c r="C12" s="242">
        <v>5532</v>
      </c>
      <c r="D12" s="242">
        <v>4927</v>
      </c>
      <c r="E12" s="242">
        <v>8193</v>
      </c>
      <c r="F12" s="242">
        <v>10460</v>
      </c>
      <c r="G12" s="242">
        <v>4130</v>
      </c>
      <c r="H12" s="242">
        <v>10981</v>
      </c>
      <c r="I12" s="242">
        <v>18825</v>
      </c>
      <c r="J12" s="242">
        <v>20209</v>
      </c>
    </row>
    <row r="13" spans="1:12" s="3" customFormat="1" ht="16.5" customHeight="1">
      <c r="A13" s="248" t="s">
        <v>396</v>
      </c>
      <c r="B13" s="249">
        <v>100</v>
      </c>
      <c r="C13" s="448">
        <v>4.0878760336074844</v>
      </c>
      <c r="D13" s="448">
        <v>3.7</v>
      </c>
      <c r="E13" s="448">
        <v>6.0542242124631445</v>
      </c>
      <c r="F13" s="448">
        <v>7.7294257613041006</v>
      </c>
      <c r="G13" s="448">
        <v>3.0518669592911984</v>
      </c>
      <c r="H13" s="448">
        <v>8.1144191476941039</v>
      </c>
      <c r="I13" s="448">
        <v>13.910749517834578</v>
      </c>
      <c r="J13" s="448">
        <v>14.93345747707405</v>
      </c>
      <c r="K13" s="11"/>
      <c r="L13" s="11"/>
    </row>
    <row r="14" spans="1:12" s="3" customFormat="1" ht="16.5" customHeight="1"/>
    <row r="15" spans="1:12" s="3" customFormat="1" ht="16.5" customHeight="1">
      <c r="A15" s="666" t="s">
        <v>118</v>
      </c>
      <c r="B15" s="537" t="s">
        <v>119</v>
      </c>
      <c r="C15" s="537" t="s">
        <v>120</v>
      </c>
      <c r="D15" s="537" t="s">
        <v>121</v>
      </c>
      <c r="E15" s="537" t="s">
        <v>122</v>
      </c>
      <c r="F15" s="537" t="s">
        <v>123</v>
      </c>
      <c r="G15" s="537" t="s">
        <v>124</v>
      </c>
      <c r="H15" s="537" t="s">
        <v>125</v>
      </c>
      <c r="I15" s="537" t="s">
        <v>126</v>
      </c>
      <c r="J15" s="539" t="s">
        <v>127</v>
      </c>
    </row>
    <row r="16" spans="1:12" s="3" customFormat="1" ht="16.5" customHeight="1">
      <c r="A16" s="666"/>
      <c r="B16" s="537"/>
      <c r="C16" s="537"/>
      <c r="D16" s="537"/>
      <c r="E16" s="537"/>
      <c r="F16" s="537"/>
      <c r="G16" s="537"/>
      <c r="H16" s="537"/>
      <c r="I16" s="537"/>
      <c r="J16" s="539"/>
    </row>
    <row r="17" spans="1:12" s="3" customFormat="1" ht="16.5" customHeight="1">
      <c r="A17" s="242">
        <v>2041</v>
      </c>
      <c r="B17" s="242">
        <v>8161</v>
      </c>
      <c r="C17" s="242">
        <v>2128</v>
      </c>
      <c r="D17" s="242">
        <v>10853</v>
      </c>
      <c r="E17" s="242">
        <v>9436</v>
      </c>
      <c r="F17" s="242">
        <v>3672</v>
      </c>
      <c r="G17" s="242">
        <v>5040</v>
      </c>
      <c r="H17" s="242">
        <v>5959</v>
      </c>
      <c r="I17" s="242">
        <v>2827</v>
      </c>
      <c r="J17" s="242">
        <v>1953</v>
      </c>
    </row>
    <row r="18" spans="1:12" s="3" customFormat="1" ht="16.5" customHeight="1">
      <c r="A18" s="448">
        <v>1.5081986595431807</v>
      </c>
      <c r="B18" s="448">
        <v>6.0305777856599203</v>
      </c>
      <c r="C18" s="448">
        <v>1.5724873824144481</v>
      </c>
      <c r="D18" s="448">
        <v>8.0198334404812055</v>
      </c>
      <c r="E18" s="448">
        <v>6.9727401036009073</v>
      </c>
      <c r="F18" s="448">
        <v>2.7134274756700436</v>
      </c>
      <c r="G18" s="448">
        <v>3.724312221507903</v>
      </c>
      <c r="H18" s="448">
        <v>4.403408041263015</v>
      </c>
      <c r="I18" s="448">
        <v>2.0890140178973895</v>
      </c>
      <c r="J18" s="448">
        <v>1.4431709858343125</v>
      </c>
      <c r="K18" s="11"/>
      <c r="L18" s="11"/>
    </row>
    <row r="19" spans="1:12" s="3" customFormat="1" ht="16.5" customHeight="1"/>
    <row r="20" spans="1:12" s="3" customFormat="1" ht="16.5" customHeight="1">
      <c r="A20" s="82" t="s">
        <v>710</v>
      </c>
    </row>
    <row r="21" spans="1:12" s="3" customFormat="1" ht="16.5" customHeight="1">
      <c r="A21" s="342" t="s">
        <v>30</v>
      </c>
      <c r="B21" s="614" t="s">
        <v>89</v>
      </c>
      <c r="C21" s="614" t="s">
        <v>128</v>
      </c>
      <c r="D21" s="614"/>
      <c r="E21" s="614"/>
      <c r="F21" s="614"/>
      <c r="G21" s="668" t="s">
        <v>306</v>
      </c>
      <c r="H21" s="668" t="s">
        <v>647</v>
      </c>
      <c r="I21" s="614" t="s">
        <v>8</v>
      </c>
      <c r="J21" s="668" t="s">
        <v>526</v>
      </c>
      <c r="K21" s="614" t="s">
        <v>35</v>
      </c>
      <c r="L21" s="627" t="s">
        <v>527</v>
      </c>
    </row>
    <row r="22" spans="1:12" s="3" customFormat="1" ht="16.5" customHeight="1">
      <c r="A22" s="207" t="s">
        <v>66</v>
      </c>
      <c r="B22" s="657"/>
      <c r="C22" s="345" t="s">
        <v>31</v>
      </c>
      <c r="D22" s="345" t="s">
        <v>528</v>
      </c>
      <c r="E22" s="345" t="s">
        <v>529</v>
      </c>
      <c r="F22" s="345" t="s">
        <v>129</v>
      </c>
      <c r="G22" s="657"/>
      <c r="H22" s="657"/>
      <c r="I22" s="657"/>
      <c r="J22" s="657"/>
      <c r="K22" s="657"/>
      <c r="L22" s="539"/>
    </row>
    <row r="23" spans="1:12" s="3" customFormat="1" ht="16.5" customHeight="1">
      <c r="A23" s="211" t="s">
        <v>642</v>
      </c>
      <c r="B23" s="101">
        <v>135327</v>
      </c>
      <c r="C23" s="242">
        <v>126848</v>
      </c>
      <c r="D23" s="242">
        <v>114287</v>
      </c>
      <c r="E23" s="242">
        <v>46</v>
      </c>
      <c r="F23" s="242">
        <v>12515</v>
      </c>
      <c r="G23" s="242">
        <v>5269</v>
      </c>
      <c r="H23" s="242">
        <v>2059</v>
      </c>
      <c r="I23" s="242">
        <v>465</v>
      </c>
      <c r="J23" s="242">
        <v>172</v>
      </c>
      <c r="K23" s="242">
        <v>514</v>
      </c>
      <c r="L23" s="90">
        <v>199</v>
      </c>
    </row>
    <row r="24" spans="1:12" s="3" customFormat="1" ht="16.5" customHeight="1">
      <c r="A24" s="248" t="s">
        <v>6</v>
      </c>
      <c r="B24" s="249">
        <v>100</v>
      </c>
      <c r="C24" s="346">
        <v>93.734435847983036</v>
      </c>
      <c r="D24" s="448">
        <v>84.452474376879707</v>
      </c>
      <c r="E24" s="448">
        <v>3.3991738529635621E-2</v>
      </c>
      <c r="F24" s="448">
        <v>9.2479697325736918</v>
      </c>
      <c r="G24" s="448">
        <v>3.8935319633184804</v>
      </c>
      <c r="H24" s="448">
        <v>1.5214997746199945</v>
      </c>
      <c r="I24" s="448">
        <v>0.4</v>
      </c>
      <c r="J24" s="448">
        <v>0.1270995440673332</v>
      </c>
      <c r="K24" s="449">
        <v>0.37982073052679804</v>
      </c>
      <c r="L24" s="361"/>
    </row>
    <row r="27" spans="1:12" ht="16.5" customHeight="1">
      <c r="A27" s="3"/>
      <c r="B27" s="3"/>
      <c r="C27" s="3"/>
      <c r="D27" s="3"/>
      <c r="E27" s="3"/>
      <c r="F27" s="3"/>
      <c r="G27" s="3"/>
      <c r="H27" s="3"/>
      <c r="I27" s="3"/>
      <c r="J27" s="3"/>
      <c r="K27" s="3"/>
    </row>
    <row r="28" spans="1:12" ht="16.5" customHeight="1">
      <c r="B28" s="362"/>
      <c r="C28" s="362"/>
      <c r="D28" s="362"/>
      <c r="E28" s="362"/>
      <c r="F28" s="362"/>
      <c r="G28" s="362"/>
      <c r="H28" s="362"/>
      <c r="I28" s="362"/>
      <c r="J28" s="362"/>
    </row>
    <row r="29" spans="1:12" ht="16.5" customHeight="1">
      <c r="C29" s="362"/>
      <c r="D29" s="362"/>
      <c r="E29" s="362"/>
      <c r="F29" s="362"/>
      <c r="G29" s="362"/>
      <c r="H29" s="362"/>
      <c r="I29" s="362"/>
      <c r="J29" s="362"/>
      <c r="K29" s="362"/>
      <c r="L29" s="362"/>
    </row>
  </sheetData>
  <sheetProtection algorithmName="SHA-512" hashValue="HMG4EAClpmquWjVjhp9MAcivBiGySvZmyLqNeEQ8wM9eLCFyjFweQjfvdyL6B0wtb14QhfuAD0mCsp14LCMycw==" saltValue="OUM3pMNFnTfPHPGOuggRlQ==" spinCount="100000" sheet="1" objects="1" scenarios="1"/>
  <mergeCells count="28">
    <mergeCell ref="K21:K22"/>
    <mergeCell ref="L21:L22"/>
    <mergeCell ref="G15:G16"/>
    <mergeCell ref="H15:H16"/>
    <mergeCell ref="I15:I16"/>
    <mergeCell ref="J15:J16"/>
    <mergeCell ref="J21:J22"/>
    <mergeCell ref="B21:B22"/>
    <mergeCell ref="C21:F21"/>
    <mergeCell ref="G21:G22"/>
    <mergeCell ref="H21:H22"/>
    <mergeCell ref="I21:I22"/>
    <mergeCell ref="F15:F16"/>
    <mergeCell ref="A4:K4"/>
    <mergeCell ref="B10:B11"/>
    <mergeCell ref="C10:C11"/>
    <mergeCell ref="D10:D11"/>
    <mergeCell ref="E10:E11"/>
    <mergeCell ref="F10:F11"/>
    <mergeCell ref="G10:G11"/>
    <mergeCell ref="H10:H11"/>
    <mergeCell ref="I10:I11"/>
    <mergeCell ref="J10:J11"/>
    <mergeCell ref="A15:A16"/>
    <mergeCell ref="B15:B16"/>
    <mergeCell ref="C15:C16"/>
    <mergeCell ref="D15:D16"/>
    <mergeCell ref="E15:E16"/>
  </mergeCells>
  <phoneticPr fontId="6" type="noConversion"/>
  <pageMargins left="0.34" right="0.08" top="1" bottom="1" header="0.5" footer="0.5"/>
  <pageSetup paperSize="9" scale="78"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F41"/>
  <sheetViews>
    <sheetView showGridLines="0" zoomScaleNormal="100" zoomScaleSheetLayoutView="100" workbookViewId="0"/>
  </sheetViews>
  <sheetFormatPr defaultRowHeight="16.5" customHeight="1"/>
  <cols>
    <col min="1" max="1" width="16.6640625" style="86" customWidth="1"/>
    <col min="2" max="6" width="11.109375" style="86" customWidth="1"/>
    <col min="7" max="16384" width="8.88671875" style="86"/>
  </cols>
  <sheetData>
    <row r="1" spans="1:6" ht="16.5" customHeight="1">
      <c r="A1" s="199" t="s">
        <v>667</v>
      </c>
      <c r="B1" s="105"/>
      <c r="C1" s="59"/>
      <c r="D1" s="59"/>
      <c r="E1" s="59"/>
      <c r="F1" s="59"/>
    </row>
    <row r="2" spans="1:6" ht="36" customHeight="1">
      <c r="A2" s="613" t="s">
        <v>820</v>
      </c>
      <c r="B2" s="613"/>
      <c r="C2" s="613"/>
      <c r="D2" s="613"/>
      <c r="E2" s="613"/>
      <c r="F2" s="613"/>
    </row>
    <row r="4" spans="1:6" s="3" customFormat="1" ht="16.5" customHeight="1">
      <c r="A4" s="82" t="s">
        <v>711</v>
      </c>
      <c r="F4" s="58"/>
    </row>
    <row r="5" spans="1:6" s="3" customFormat="1" ht="16.5" customHeight="1">
      <c r="A5" s="342" t="s">
        <v>36</v>
      </c>
      <c r="B5" s="537" t="s">
        <v>147</v>
      </c>
      <c r="C5" s="537" t="s">
        <v>442</v>
      </c>
      <c r="D5" s="537" t="s">
        <v>61</v>
      </c>
      <c r="E5" s="537" t="s">
        <v>530</v>
      </c>
      <c r="F5" s="539" t="s">
        <v>531</v>
      </c>
    </row>
    <row r="6" spans="1:6" s="3" customFormat="1" ht="16.5" customHeight="1">
      <c r="A6" s="207" t="s">
        <v>532</v>
      </c>
      <c r="B6" s="537"/>
      <c r="C6" s="537"/>
      <c r="D6" s="537"/>
      <c r="E6" s="537"/>
      <c r="F6" s="539"/>
    </row>
    <row r="7" spans="1:6" s="3" customFormat="1" ht="16.5" customHeight="1">
      <c r="A7" s="349" t="s">
        <v>89</v>
      </c>
      <c r="B7" s="243">
        <v>498472</v>
      </c>
      <c r="C7" s="243">
        <v>455485</v>
      </c>
      <c r="D7" s="243">
        <v>42985</v>
      </c>
      <c r="E7" s="41">
        <v>91.376245807186763</v>
      </c>
      <c r="F7" s="48">
        <v>28284</v>
      </c>
    </row>
    <row r="8" spans="1:6" s="3" customFormat="1" ht="16.5" customHeight="1">
      <c r="A8" s="348" t="s">
        <v>130</v>
      </c>
      <c r="B8" s="242">
        <v>22590</v>
      </c>
      <c r="C8" s="242">
        <v>18384</v>
      </c>
      <c r="D8" s="242">
        <v>4204</v>
      </c>
      <c r="E8" s="29">
        <v>81.381142098273571</v>
      </c>
      <c r="F8" s="244">
        <v>28284</v>
      </c>
    </row>
    <row r="9" spans="1:6" s="3" customFormat="1" ht="16.5" customHeight="1">
      <c r="A9" s="348" t="s">
        <v>131</v>
      </c>
      <c r="B9" s="242">
        <v>27414</v>
      </c>
      <c r="C9" s="242">
        <v>26892</v>
      </c>
      <c r="D9" s="242">
        <v>522</v>
      </c>
      <c r="E9" s="29">
        <v>98.095863427445835</v>
      </c>
      <c r="F9" s="244">
        <v>0</v>
      </c>
    </row>
    <row r="10" spans="1:6" s="3" customFormat="1" ht="16.5" customHeight="1">
      <c r="A10" s="348" t="s">
        <v>132</v>
      </c>
      <c r="B10" s="242">
        <v>11</v>
      </c>
      <c r="C10" s="242">
        <v>11</v>
      </c>
      <c r="D10" s="242">
        <v>0</v>
      </c>
      <c r="E10" s="29">
        <v>100</v>
      </c>
      <c r="F10" s="244">
        <v>0</v>
      </c>
    </row>
    <row r="11" spans="1:6" s="3" customFormat="1" ht="16.5" customHeight="1">
      <c r="A11" s="348" t="s">
        <v>534</v>
      </c>
      <c r="B11" s="242">
        <v>396832</v>
      </c>
      <c r="C11" s="242">
        <v>361630</v>
      </c>
      <c r="D11" s="242">
        <v>35202</v>
      </c>
      <c r="E11" s="29">
        <v>91.129243609386336</v>
      </c>
      <c r="F11" s="244">
        <v>0</v>
      </c>
    </row>
    <row r="12" spans="1:6" s="3" customFormat="1" ht="16.5" customHeight="1">
      <c r="A12" s="348" t="s">
        <v>133</v>
      </c>
      <c r="B12" s="242">
        <v>229</v>
      </c>
      <c r="C12" s="242">
        <v>229</v>
      </c>
      <c r="D12" s="242">
        <v>0</v>
      </c>
      <c r="E12" s="29">
        <v>100</v>
      </c>
      <c r="F12" s="244">
        <v>0</v>
      </c>
    </row>
    <row r="13" spans="1:6" s="3" customFormat="1" ht="16.5" customHeight="1">
      <c r="A13" s="348" t="s">
        <v>535</v>
      </c>
      <c r="B13" s="242">
        <v>8</v>
      </c>
      <c r="C13" s="242">
        <v>7</v>
      </c>
      <c r="D13" s="242">
        <v>1</v>
      </c>
      <c r="E13" s="29">
        <v>87.5</v>
      </c>
      <c r="F13" s="244">
        <v>0</v>
      </c>
    </row>
    <row r="14" spans="1:6" s="3" customFormat="1" ht="16.5" customHeight="1">
      <c r="A14" s="348" t="s">
        <v>536</v>
      </c>
      <c r="B14" s="242">
        <v>49378</v>
      </c>
      <c r="C14" s="242">
        <v>46346</v>
      </c>
      <c r="D14" s="242">
        <v>3032</v>
      </c>
      <c r="E14" s="29">
        <v>93.859613593098146</v>
      </c>
      <c r="F14" s="244">
        <v>0</v>
      </c>
    </row>
    <row r="15" spans="1:6" s="3" customFormat="1" ht="16.5" customHeight="1">
      <c r="A15" s="348" t="s">
        <v>537</v>
      </c>
      <c r="B15" s="242">
        <v>43</v>
      </c>
      <c r="C15" s="242">
        <v>35</v>
      </c>
      <c r="D15" s="242">
        <v>8</v>
      </c>
      <c r="E15" s="29">
        <v>81.395348837209298</v>
      </c>
      <c r="F15" s="244">
        <v>0</v>
      </c>
    </row>
    <row r="16" spans="1:6" s="3" customFormat="1" ht="16.5" customHeight="1">
      <c r="A16" s="348" t="s">
        <v>538</v>
      </c>
      <c r="B16" s="242">
        <v>1289</v>
      </c>
      <c r="C16" s="242">
        <v>1280</v>
      </c>
      <c r="D16" s="242">
        <v>9</v>
      </c>
      <c r="E16" s="29">
        <v>99.30178432893716</v>
      </c>
      <c r="F16" s="244">
        <v>0</v>
      </c>
    </row>
    <row r="17" spans="1:6" s="3" customFormat="1" ht="16.5" customHeight="1">
      <c r="A17" s="198" t="s">
        <v>539</v>
      </c>
      <c r="B17" s="303">
        <v>678</v>
      </c>
      <c r="C17" s="174">
        <v>671</v>
      </c>
      <c r="D17" s="174">
        <v>7</v>
      </c>
      <c r="E17" s="175">
        <v>98.967551622418881</v>
      </c>
      <c r="F17" s="174">
        <v>0</v>
      </c>
    </row>
    <row r="18" spans="1:6" s="3" customFormat="1" ht="16.5" customHeight="1">
      <c r="A18" s="3" t="s">
        <v>540</v>
      </c>
    </row>
    <row r="19" spans="1:6" s="3" customFormat="1" ht="24" customHeight="1">
      <c r="A19" s="541" t="s">
        <v>809</v>
      </c>
      <c r="B19" s="669"/>
      <c r="C19" s="669"/>
      <c r="D19" s="669"/>
      <c r="E19" s="669"/>
      <c r="F19" s="669"/>
    </row>
    <row r="20" spans="1:6" s="3" customFormat="1" ht="16.5" customHeight="1">
      <c r="A20" s="340" t="s">
        <v>541</v>
      </c>
    </row>
    <row r="21" spans="1:6" s="3" customFormat="1" ht="16.5" customHeight="1">
      <c r="A21" s="340"/>
    </row>
    <row r="22" spans="1:6" s="3" customFormat="1" ht="24" customHeight="1">
      <c r="A22" s="613" t="s">
        <v>807</v>
      </c>
      <c r="B22" s="613"/>
      <c r="C22" s="613"/>
      <c r="D22" s="613"/>
      <c r="E22" s="613"/>
      <c r="F22" s="613"/>
    </row>
    <row r="23" spans="1:6" s="3" customFormat="1" ht="16.5" customHeight="1">
      <c r="A23" s="344"/>
      <c r="B23" s="344"/>
      <c r="C23" s="344"/>
      <c r="D23" s="344"/>
      <c r="E23" s="344"/>
      <c r="F23" s="58"/>
    </row>
    <row r="24" spans="1:6" s="122" customFormat="1" ht="16.5" customHeight="1">
      <c r="A24" s="213" t="s">
        <v>658</v>
      </c>
    </row>
    <row r="25" spans="1:6" s="122" customFormat="1" ht="16.5" customHeight="1">
      <c r="B25" s="214"/>
    </row>
    <row r="26" spans="1:6" s="122" customFormat="1" ht="16.5" customHeight="1">
      <c r="A26" s="3"/>
    </row>
    <row r="27" spans="1:6" s="122" customFormat="1" ht="16.5" customHeight="1">
      <c r="A27" s="3"/>
      <c r="C27" s="121"/>
      <c r="D27" s="238" t="s">
        <v>543</v>
      </c>
      <c r="F27" s="150"/>
    </row>
    <row r="28" spans="1:6" s="122" customFormat="1" ht="16.5" customHeight="1">
      <c r="A28" s="3"/>
      <c r="C28" s="216" t="s">
        <v>190</v>
      </c>
      <c r="D28" s="67">
        <v>79.099999999999994</v>
      </c>
      <c r="F28" s="150"/>
    </row>
    <row r="29" spans="1:6" s="122" customFormat="1" ht="16.5" customHeight="1">
      <c r="A29" s="3"/>
      <c r="C29" s="216" t="s">
        <v>191</v>
      </c>
      <c r="D29" s="67">
        <v>81.8</v>
      </c>
      <c r="F29" s="150"/>
    </row>
    <row r="30" spans="1:6" s="122" customFormat="1" ht="16.5" customHeight="1">
      <c r="A30" s="3"/>
      <c r="C30" s="216" t="s">
        <v>192</v>
      </c>
      <c r="D30" s="67">
        <v>79.5</v>
      </c>
      <c r="F30" s="150"/>
    </row>
    <row r="31" spans="1:6" s="122" customFormat="1" ht="16.5" customHeight="1">
      <c r="A31" s="215"/>
      <c r="C31" s="216" t="s">
        <v>193</v>
      </c>
      <c r="D31" s="67">
        <v>81.900000000000006</v>
      </c>
      <c r="F31" s="150"/>
    </row>
    <row r="32" spans="1:6" s="122" customFormat="1" ht="16.5" customHeight="1">
      <c r="C32" s="216" t="s">
        <v>194</v>
      </c>
      <c r="D32" s="67">
        <v>81.8</v>
      </c>
      <c r="F32" s="150"/>
    </row>
    <row r="33" spans="3:6" s="122" customFormat="1" ht="16.5" customHeight="1">
      <c r="C33" s="216" t="s">
        <v>195</v>
      </c>
      <c r="D33" s="67">
        <v>80.900000000000006</v>
      </c>
      <c r="F33" s="150"/>
    </row>
    <row r="34" spans="3:6" s="122" customFormat="1" ht="16.5" customHeight="1">
      <c r="C34" s="216" t="s">
        <v>196</v>
      </c>
      <c r="D34" s="67">
        <v>81.3</v>
      </c>
      <c r="F34" s="150"/>
    </row>
    <row r="35" spans="3:6" s="122" customFormat="1" ht="16.5" customHeight="1">
      <c r="C35" s="216" t="s">
        <v>443</v>
      </c>
      <c r="D35" s="67">
        <v>81.099999999999994</v>
      </c>
      <c r="F35" s="150"/>
    </row>
    <row r="36" spans="3:6" s="122" customFormat="1" ht="16.5" customHeight="1">
      <c r="C36" s="216" t="s">
        <v>600</v>
      </c>
      <c r="D36" s="67">
        <v>82.014974589750551</v>
      </c>
      <c r="F36" s="150"/>
    </row>
    <row r="37" spans="3:6" s="122" customFormat="1" ht="16.5" customHeight="1">
      <c r="C37" s="216" t="s">
        <v>796</v>
      </c>
      <c r="D37" s="335">
        <v>82.017464071311636</v>
      </c>
      <c r="F37" s="150"/>
    </row>
    <row r="38" spans="3:6" s="122" customFormat="1" ht="16.5" customHeight="1">
      <c r="C38" s="216" t="s">
        <v>782</v>
      </c>
      <c r="D38" s="335">
        <v>81.381142098273571</v>
      </c>
      <c r="F38" s="150"/>
    </row>
    <row r="39" spans="3:6" s="122" customFormat="1" ht="16.5" customHeight="1">
      <c r="F39" s="150"/>
    </row>
    <row r="40" spans="3:6" s="122" customFormat="1" ht="16.5" customHeight="1">
      <c r="F40" s="150"/>
    </row>
    <row r="41" spans="3:6" s="122" customFormat="1" ht="16.5" customHeight="1">
      <c r="F41" s="150"/>
    </row>
  </sheetData>
  <sheetProtection algorithmName="SHA-512" hashValue="o0LFYlRD41zcC8sukOwRvd9ekHjiblNaBaVHFiN7ej9lnBIiLT7hSsyo2ig2zIon8bHRpcbLrz/3xkWUlhcNJg==" saltValue="DcqMvLWfn+bK/oagz4s6HQ==" spinCount="100000" sheet="1" objects="1" scenarios="1"/>
  <mergeCells count="8">
    <mergeCell ref="A19:F19"/>
    <mergeCell ref="A22:F22"/>
    <mergeCell ref="A2:F2"/>
    <mergeCell ref="B5:B6"/>
    <mergeCell ref="C5:C6"/>
    <mergeCell ref="D5:D6"/>
    <mergeCell ref="E5:E6"/>
    <mergeCell ref="F5:F6"/>
  </mergeCells>
  <phoneticPr fontId="6" type="noConversion"/>
  <pageMargins left="0.44" right="0.37" top="0.65" bottom="0.17" header="0.5" footer="0.5"/>
  <pageSetup paperSize="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K46"/>
  <sheetViews>
    <sheetView showGridLines="0" zoomScaleNormal="100" zoomScaleSheetLayoutView="100" workbookViewId="0"/>
  </sheetViews>
  <sheetFormatPr defaultRowHeight="16.5" customHeight="1"/>
  <cols>
    <col min="1" max="1" width="14.44140625" style="86" customWidth="1"/>
    <col min="2" max="2" width="9.5546875" style="86" customWidth="1"/>
    <col min="3" max="3" width="9.5546875" style="2" customWidth="1"/>
    <col min="4" max="5" width="9.5546875" style="86" customWidth="1"/>
    <col min="6" max="6" width="9.5546875" style="2" customWidth="1"/>
    <col min="7" max="8" width="9.5546875" style="86" customWidth="1"/>
    <col min="9" max="9" width="9.5546875" style="2" customWidth="1"/>
    <col min="10" max="10" width="9.5546875" style="86" customWidth="1"/>
    <col min="11" max="11" width="8.88671875" style="250"/>
    <col min="12" max="16384" width="8.88671875" style="251"/>
  </cols>
  <sheetData>
    <row r="1" spans="1:11" ht="16.5" customHeight="1">
      <c r="A1" s="82" t="s">
        <v>668</v>
      </c>
    </row>
    <row r="3" spans="1:11" ht="16.5" customHeight="1">
      <c r="A3" s="82" t="s">
        <v>57</v>
      </c>
      <c r="B3" s="3"/>
      <c r="C3" s="1"/>
      <c r="D3" s="3"/>
      <c r="E3" s="3"/>
      <c r="F3" s="1"/>
    </row>
    <row r="4" spans="1:11" ht="24" customHeight="1">
      <c r="A4" s="529" t="s">
        <v>821</v>
      </c>
      <c r="B4" s="529"/>
      <c r="C4" s="529"/>
      <c r="D4" s="529"/>
      <c r="E4" s="529"/>
      <c r="F4" s="529"/>
      <c r="G4" s="529"/>
      <c r="H4" s="529"/>
      <c r="I4" s="529"/>
      <c r="J4" s="529"/>
    </row>
    <row r="6" spans="1:11" s="131" customFormat="1" ht="16.5" customHeight="1">
      <c r="A6" s="213" t="s">
        <v>659</v>
      </c>
      <c r="B6" s="122"/>
      <c r="C6" s="6"/>
      <c r="D6" s="122"/>
      <c r="E6" s="122"/>
      <c r="F6" s="6"/>
      <c r="G6" s="122"/>
      <c r="H6" s="122"/>
      <c r="I6" s="6"/>
      <c r="J6" s="122"/>
      <c r="K6" s="250"/>
    </row>
    <row r="7" spans="1:11" s="131" customFormat="1" ht="16.5" customHeight="1">
      <c r="A7" s="122"/>
      <c r="B7" s="122"/>
      <c r="C7" s="6"/>
      <c r="D7" s="122"/>
      <c r="E7" s="122"/>
      <c r="F7" s="6"/>
      <c r="G7" s="122"/>
      <c r="H7" s="122"/>
      <c r="I7" s="6"/>
      <c r="J7" s="122"/>
      <c r="K7" s="250"/>
    </row>
    <row r="8" spans="1:11" s="131" customFormat="1" ht="16.5" customHeight="1">
      <c r="A8" s="122"/>
      <c r="B8" s="122"/>
      <c r="C8" s="6"/>
      <c r="D8" s="122"/>
      <c r="E8" s="122"/>
      <c r="F8" s="6"/>
      <c r="G8" s="122"/>
      <c r="H8" s="122"/>
      <c r="I8" s="6"/>
      <c r="J8" s="122"/>
      <c r="K8" s="250"/>
    </row>
    <row r="9" spans="1:11" s="131" customFormat="1" ht="16.5" customHeight="1">
      <c r="A9" s="152"/>
      <c r="B9" s="153"/>
      <c r="C9" s="26"/>
      <c r="D9" s="150"/>
      <c r="E9" s="150"/>
      <c r="F9" s="26"/>
      <c r="G9" s="122"/>
      <c r="H9" s="122"/>
      <c r="I9" s="6"/>
      <c r="J9" s="122"/>
      <c r="K9" s="250"/>
    </row>
    <row r="10" spans="1:11" s="131" customFormat="1" ht="16.5" customHeight="1">
      <c r="A10" s="217"/>
      <c r="B10" s="218"/>
      <c r="C10" s="26"/>
      <c r="D10" s="150"/>
      <c r="E10" s="219" t="s">
        <v>544</v>
      </c>
      <c r="F10" s="113">
        <v>93441</v>
      </c>
      <c r="G10" s="122"/>
      <c r="H10" s="122"/>
      <c r="I10" s="6"/>
      <c r="J10" s="122"/>
      <c r="K10" s="250"/>
    </row>
    <row r="11" spans="1:11" s="131" customFormat="1" ht="16.5" customHeight="1">
      <c r="A11" s="122"/>
      <c r="B11" s="122"/>
      <c r="C11" s="26"/>
      <c r="D11" s="150"/>
      <c r="E11" s="219" t="s">
        <v>545</v>
      </c>
      <c r="F11" s="113">
        <v>79822</v>
      </c>
      <c r="G11" s="122"/>
      <c r="H11" s="122"/>
      <c r="I11" s="6"/>
      <c r="J11" s="122"/>
      <c r="K11" s="250"/>
    </row>
    <row r="12" spans="1:11" s="131" customFormat="1" ht="16.5" customHeight="1">
      <c r="A12" s="122"/>
      <c r="B12" s="122"/>
      <c r="C12" s="26"/>
      <c r="D12" s="150"/>
      <c r="E12" s="219" t="s">
        <v>546</v>
      </c>
      <c r="F12" s="113">
        <v>73743</v>
      </c>
      <c r="G12" s="122"/>
      <c r="H12" s="122"/>
      <c r="I12" s="6"/>
      <c r="J12" s="122"/>
      <c r="K12" s="250"/>
    </row>
    <row r="13" spans="1:11" s="131" customFormat="1" ht="16.5" customHeight="1">
      <c r="A13" s="122"/>
      <c r="B13" s="122"/>
      <c r="C13" s="26"/>
      <c r="D13" s="150"/>
      <c r="E13" s="219" t="s">
        <v>547</v>
      </c>
      <c r="F13" s="113">
        <v>71293</v>
      </c>
      <c r="G13" s="122"/>
      <c r="H13" s="122"/>
      <c r="I13" s="6"/>
      <c r="J13" s="122"/>
      <c r="K13" s="250"/>
    </row>
    <row r="14" spans="1:11" s="131" customFormat="1" ht="16.5" customHeight="1">
      <c r="A14" s="122"/>
      <c r="B14" s="122"/>
      <c r="C14" s="26"/>
      <c r="D14" s="150"/>
      <c r="E14" s="219" t="s">
        <v>548</v>
      </c>
      <c r="F14" s="113">
        <v>64886</v>
      </c>
      <c r="G14" s="122"/>
      <c r="H14" s="122"/>
      <c r="I14" s="6"/>
      <c r="J14" s="122"/>
      <c r="K14" s="250"/>
    </row>
    <row r="15" spans="1:11" s="131" customFormat="1" ht="16.5" customHeight="1">
      <c r="A15" s="122"/>
      <c r="B15" s="122"/>
      <c r="C15" s="26"/>
      <c r="D15" s="150"/>
      <c r="E15" s="219" t="s">
        <v>549</v>
      </c>
      <c r="F15" s="113">
        <v>59197</v>
      </c>
      <c r="G15" s="122"/>
      <c r="H15" s="122"/>
      <c r="I15" s="6"/>
      <c r="J15" s="122"/>
      <c r="K15" s="250"/>
    </row>
    <row r="16" spans="1:11" s="131" customFormat="1" ht="16.5" customHeight="1">
      <c r="A16" s="122"/>
      <c r="B16" s="122"/>
      <c r="C16" s="26"/>
      <c r="D16" s="150"/>
      <c r="E16" s="219" t="s">
        <v>550</v>
      </c>
      <c r="F16" s="113">
        <v>62362</v>
      </c>
      <c r="G16" s="122"/>
      <c r="H16" s="122"/>
      <c r="I16" s="6"/>
      <c r="J16" s="122"/>
      <c r="K16" s="250"/>
    </row>
    <row r="17" spans="1:11" s="131" customFormat="1" ht="16.5" customHeight="1">
      <c r="A17" s="122"/>
      <c r="B17" s="122"/>
      <c r="C17" s="26"/>
      <c r="D17" s="150"/>
      <c r="E17" s="219" t="s">
        <v>600</v>
      </c>
      <c r="F17" s="113">
        <v>73012</v>
      </c>
      <c r="G17" s="122"/>
      <c r="H17" s="122"/>
      <c r="I17" s="6"/>
      <c r="J17" s="122"/>
      <c r="K17" s="250"/>
    </row>
    <row r="18" spans="1:11" s="131" customFormat="1" ht="16.5" customHeight="1">
      <c r="A18" s="122"/>
      <c r="B18" s="122"/>
      <c r="C18" s="26"/>
      <c r="D18" s="150"/>
      <c r="E18" s="219" t="s">
        <v>613</v>
      </c>
      <c r="F18" s="113">
        <v>86252</v>
      </c>
      <c r="G18" s="122"/>
      <c r="H18" s="122"/>
      <c r="I18" s="6"/>
      <c r="J18" s="122"/>
      <c r="K18" s="250"/>
    </row>
    <row r="19" spans="1:11" s="131" customFormat="1" ht="16.5" customHeight="1">
      <c r="A19" s="122"/>
      <c r="B19" s="122"/>
      <c r="C19" s="26"/>
      <c r="D19" s="150"/>
      <c r="E19" s="219" t="s">
        <v>782</v>
      </c>
      <c r="F19" s="451">
        <v>100856</v>
      </c>
      <c r="G19" s="122"/>
      <c r="H19" s="122"/>
      <c r="I19" s="6"/>
      <c r="J19" s="122"/>
      <c r="K19" s="250"/>
    </row>
    <row r="20" spans="1:11" s="131" customFormat="1" ht="16.5" customHeight="1">
      <c r="A20" s="122"/>
      <c r="B20" s="122"/>
      <c r="C20" s="26"/>
      <c r="D20" s="150"/>
      <c r="E20" s="150"/>
      <c r="F20" s="26"/>
      <c r="G20" s="122"/>
      <c r="H20" s="122"/>
      <c r="I20" s="6"/>
      <c r="J20" s="122"/>
      <c r="K20" s="250"/>
    </row>
    <row r="21" spans="1:11" s="131" customFormat="1" ht="16.5" customHeight="1">
      <c r="A21" s="122"/>
      <c r="B21" s="122"/>
      <c r="C21" s="26"/>
      <c r="D21" s="150"/>
      <c r="E21" s="150"/>
      <c r="F21" s="26"/>
      <c r="G21" s="122"/>
      <c r="H21" s="122"/>
      <c r="I21" s="6"/>
      <c r="J21" s="122"/>
      <c r="K21" s="250"/>
    </row>
    <row r="22" spans="1:11" s="131" customFormat="1" ht="16.5" customHeight="1">
      <c r="A22" s="122"/>
      <c r="B22" s="122"/>
      <c r="C22" s="26"/>
      <c r="D22" s="150"/>
      <c r="E22" s="150"/>
      <c r="F22" s="26"/>
      <c r="G22" s="122"/>
      <c r="H22" s="122"/>
      <c r="I22" s="6"/>
      <c r="J22" s="122"/>
      <c r="K22" s="250"/>
    </row>
    <row r="23" spans="1:11" s="131" customFormat="1" ht="16.5" customHeight="1">
      <c r="A23" s="150"/>
      <c r="B23" s="150"/>
      <c r="C23" s="26"/>
      <c r="D23" s="150"/>
      <c r="E23" s="150"/>
      <c r="F23" s="26"/>
      <c r="G23" s="122"/>
      <c r="H23" s="122"/>
      <c r="I23" s="6"/>
      <c r="J23" s="122"/>
      <c r="K23" s="250"/>
    </row>
    <row r="24" spans="1:11" s="131" customFormat="1" ht="16.5" customHeight="1">
      <c r="A24" s="150"/>
      <c r="B24" s="150"/>
      <c r="C24" s="26"/>
      <c r="D24" s="150"/>
      <c r="E24" s="150"/>
      <c r="F24" s="26"/>
      <c r="G24" s="122"/>
      <c r="H24" s="122"/>
      <c r="I24" s="6"/>
      <c r="J24" s="122"/>
      <c r="K24" s="250"/>
    </row>
    <row r="25" spans="1:11" s="253" customFormat="1" ht="16.5" customHeight="1">
      <c r="A25" s="82" t="s">
        <v>551</v>
      </c>
      <c r="B25" s="3"/>
      <c r="C25" s="1"/>
      <c r="D25" s="3"/>
      <c r="E25" s="3"/>
      <c r="F25" s="1"/>
      <c r="G25" s="3"/>
      <c r="H25" s="3"/>
      <c r="I25" s="1"/>
      <c r="J25" s="3"/>
      <c r="K25" s="252"/>
    </row>
    <row r="26" spans="1:11" s="253" customFormat="1" ht="24" customHeight="1">
      <c r="A26" s="541" t="s">
        <v>808</v>
      </c>
      <c r="B26" s="541"/>
      <c r="C26" s="541"/>
      <c r="D26" s="541"/>
      <c r="E26" s="541"/>
      <c r="F26" s="541"/>
      <c r="G26" s="541"/>
      <c r="H26" s="541"/>
      <c r="I26" s="541"/>
      <c r="J26" s="541"/>
      <c r="K26" s="254"/>
    </row>
    <row r="27" spans="1:11" s="253" customFormat="1" ht="16.5" customHeight="1">
      <c r="A27" s="3"/>
      <c r="B27" s="59"/>
      <c r="C27" s="4"/>
      <c r="D27" s="59"/>
      <c r="E27" s="59"/>
      <c r="F27" s="4"/>
      <c r="G27" s="59"/>
      <c r="H27" s="59"/>
      <c r="I27" s="4"/>
      <c r="J27" s="59"/>
      <c r="K27" s="255"/>
    </row>
    <row r="28" spans="1:11" s="253" customFormat="1" ht="16.5" customHeight="1">
      <c r="A28" s="82" t="s">
        <v>712</v>
      </c>
      <c r="B28" s="3"/>
      <c r="C28" s="1"/>
      <c r="D28" s="3"/>
      <c r="E28" s="3"/>
      <c r="F28" s="1"/>
      <c r="G28" s="3"/>
      <c r="H28" s="3"/>
      <c r="I28" s="1"/>
      <c r="J28" s="3"/>
      <c r="K28" s="252"/>
    </row>
    <row r="29" spans="1:11" s="253" customFormat="1" ht="16.5" customHeight="1">
      <c r="A29" s="342" t="s">
        <v>168</v>
      </c>
      <c r="B29" s="614" t="s">
        <v>3</v>
      </c>
      <c r="C29" s="614"/>
      <c r="D29" s="615"/>
      <c r="E29" s="614" t="s">
        <v>2</v>
      </c>
      <c r="F29" s="614"/>
      <c r="G29" s="615"/>
      <c r="H29" s="614" t="s">
        <v>465</v>
      </c>
      <c r="I29" s="614"/>
      <c r="J29" s="615"/>
      <c r="K29" s="255"/>
    </row>
    <row r="30" spans="1:11" s="253" customFormat="1" ht="16.5" customHeight="1">
      <c r="A30" s="207" t="s">
        <v>400</v>
      </c>
      <c r="B30" s="345" t="s">
        <v>52</v>
      </c>
      <c r="C30" s="345" t="s">
        <v>6</v>
      </c>
      <c r="D30" s="345" t="s">
        <v>30</v>
      </c>
      <c r="E30" s="345" t="s">
        <v>52</v>
      </c>
      <c r="F30" s="345" t="s">
        <v>6</v>
      </c>
      <c r="G30" s="345" t="s">
        <v>30</v>
      </c>
      <c r="H30" s="345" t="s">
        <v>52</v>
      </c>
      <c r="I30" s="345" t="s">
        <v>6</v>
      </c>
      <c r="J30" s="345" t="s">
        <v>30</v>
      </c>
      <c r="K30" s="256"/>
    </row>
    <row r="31" spans="1:11" s="253" customFormat="1" ht="16.5" customHeight="1">
      <c r="A31" s="349" t="s">
        <v>89</v>
      </c>
      <c r="B31" s="48">
        <v>100856</v>
      </c>
      <c r="C31" s="46">
        <v>100</v>
      </c>
      <c r="D31" s="220">
        <v>94293</v>
      </c>
      <c r="E31" s="48">
        <v>16056</v>
      </c>
      <c r="F31" s="46">
        <v>100</v>
      </c>
      <c r="G31" s="220">
        <v>14068</v>
      </c>
      <c r="H31" s="243">
        <v>1021</v>
      </c>
      <c r="I31" s="46">
        <v>100</v>
      </c>
      <c r="J31" s="243">
        <v>1059</v>
      </c>
      <c r="K31" s="452"/>
    </row>
    <row r="32" spans="1:11" s="253" customFormat="1" ht="16.5" customHeight="1">
      <c r="A32" s="348" t="s">
        <v>134</v>
      </c>
      <c r="B32" s="244">
        <v>2058</v>
      </c>
      <c r="C32" s="347">
        <v>2.0405330372015547</v>
      </c>
      <c r="D32" s="257">
        <v>2061</v>
      </c>
      <c r="E32" s="244">
        <v>0</v>
      </c>
      <c r="F32" s="49">
        <v>0</v>
      </c>
      <c r="G32" s="257">
        <v>0</v>
      </c>
      <c r="H32" s="242">
        <v>0</v>
      </c>
      <c r="I32" s="49">
        <v>0</v>
      </c>
      <c r="J32" s="242">
        <v>0</v>
      </c>
      <c r="K32" s="452"/>
    </row>
    <row r="33" spans="1:11" s="253" customFormat="1" ht="16.5" customHeight="1">
      <c r="A33" s="348" t="s">
        <v>135</v>
      </c>
      <c r="B33" s="244">
        <v>21</v>
      </c>
      <c r="C33" s="347">
        <v>2.0821765685730149E-2</v>
      </c>
      <c r="D33" s="257">
        <v>21</v>
      </c>
      <c r="E33" s="244">
        <v>0</v>
      </c>
      <c r="F33" s="49">
        <v>0</v>
      </c>
      <c r="G33" s="257">
        <v>0</v>
      </c>
      <c r="H33" s="242">
        <v>0</v>
      </c>
      <c r="I33" s="49">
        <v>0</v>
      </c>
      <c r="J33" s="242">
        <v>0</v>
      </c>
      <c r="K33" s="452"/>
    </row>
    <row r="34" spans="1:11" s="253" customFormat="1" ht="16.5" customHeight="1">
      <c r="A34" s="348" t="s">
        <v>136</v>
      </c>
      <c r="B34" s="244">
        <v>5330</v>
      </c>
      <c r="C34" s="347">
        <v>5.2847624335686527</v>
      </c>
      <c r="D34" s="257">
        <v>5367</v>
      </c>
      <c r="E34" s="244">
        <v>419</v>
      </c>
      <c r="F34" s="347">
        <v>2.6096163428001993</v>
      </c>
      <c r="G34" s="257">
        <v>426</v>
      </c>
      <c r="H34" s="242">
        <v>97</v>
      </c>
      <c r="I34" s="347">
        <v>9.5004897159647417</v>
      </c>
      <c r="J34" s="242">
        <v>104</v>
      </c>
      <c r="K34" s="452"/>
    </row>
    <row r="35" spans="1:11" s="253" customFormat="1" ht="16.5" customHeight="1">
      <c r="A35" s="348" t="s">
        <v>137</v>
      </c>
      <c r="B35" s="244">
        <v>785</v>
      </c>
      <c r="C35" s="347">
        <v>0.77833743158562696</v>
      </c>
      <c r="D35" s="257">
        <v>778</v>
      </c>
      <c r="E35" s="244">
        <v>0</v>
      </c>
      <c r="F35" s="49">
        <v>0</v>
      </c>
      <c r="G35" s="257">
        <v>0</v>
      </c>
      <c r="H35" s="242">
        <v>0</v>
      </c>
      <c r="I35" s="49">
        <v>0</v>
      </c>
      <c r="J35" s="242">
        <v>0</v>
      </c>
      <c r="K35" s="452"/>
    </row>
    <row r="36" spans="1:11" s="253" customFormat="1" ht="16.5" customHeight="1">
      <c r="A36" s="348" t="s">
        <v>138</v>
      </c>
      <c r="B36" s="244">
        <v>297</v>
      </c>
      <c r="C36" s="347">
        <v>0.29447925755532645</v>
      </c>
      <c r="D36" s="257">
        <v>289</v>
      </c>
      <c r="E36" s="244">
        <v>1</v>
      </c>
      <c r="F36" s="347">
        <v>6.2282012954658688E-3</v>
      </c>
      <c r="G36" s="257">
        <v>1</v>
      </c>
      <c r="H36" s="242">
        <v>0</v>
      </c>
      <c r="I36" s="49">
        <v>0</v>
      </c>
      <c r="J36" s="242">
        <v>1</v>
      </c>
      <c r="K36" s="452"/>
    </row>
    <row r="37" spans="1:11" s="253" customFormat="1" ht="16.5" customHeight="1">
      <c r="A37" s="348" t="s">
        <v>552</v>
      </c>
      <c r="B37" s="244">
        <v>282</v>
      </c>
      <c r="C37" s="347">
        <v>0.27960656777980486</v>
      </c>
      <c r="D37" s="257">
        <v>272</v>
      </c>
      <c r="E37" s="244">
        <v>24</v>
      </c>
      <c r="F37" s="347">
        <v>0.14947683109118087</v>
      </c>
      <c r="G37" s="257">
        <v>25</v>
      </c>
      <c r="H37" s="242">
        <v>53</v>
      </c>
      <c r="I37" s="347">
        <v>5.1909892262487762</v>
      </c>
      <c r="J37" s="242">
        <v>56</v>
      </c>
      <c r="K37" s="452"/>
    </row>
    <row r="38" spans="1:11" s="253" customFormat="1" ht="16.5" customHeight="1">
      <c r="A38" s="348" t="s">
        <v>553</v>
      </c>
      <c r="B38" s="244">
        <v>422</v>
      </c>
      <c r="C38" s="347">
        <v>0.41841833901800585</v>
      </c>
      <c r="D38" s="257">
        <v>444</v>
      </c>
      <c r="E38" s="244">
        <v>42</v>
      </c>
      <c r="F38" s="347">
        <v>0.26158445440956651</v>
      </c>
      <c r="G38" s="257">
        <v>42</v>
      </c>
      <c r="H38" s="242">
        <v>22</v>
      </c>
      <c r="I38" s="347">
        <v>2.1547502448579823</v>
      </c>
      <c r="J38" s="242">
        <v>21</v>
      </c>
      <c r="K38" s="452"/>
    </row>
    <row r="39" spans="1:11" s="253" customFormat="1" ht="16.5" customHeight="1">
      <c r="A39" s="348" t="s">
        <v>139</v>
      </c>
      <c r="B39" s="244">
        <v>3540</v>
      </c>
      <c r="C39" s="347">
        <v>3.5099547870230827</v>
      </c>
      <c r="D39" s="257">
        <v>3560</v>
      </c>
      <c r="E39" s="244">
        <v>46</v>
      </c>
      <c r="F39" s="347">
        <v>0.28649725959143002</v>
      </c>
      <c r="G39" s="257">
        <v>46</v>
      </c>
      <c r="H39" s="242">
        <v>2</v>
      </c>
      <c r="I39" s="450">
        <v>0.19588638589618021</v>
      </c>
      <c r="J39" s="242">
        <v>2</v>
      </c>
      <c r="K39" s="452"/>
    </row>
    <row r="40" spans="1:11" s="253" customFormat="1" ht="16.5" customHeight="1">
      <c r="A40" s="348" t="s">
        <v>554</v>
      </c>
      <c r="B40" s="244">
        <v>8776</v>
      </c>
      <c r="C40" s="347">
        <v>8.7015150313317999</v>
      </c>
      <c r="D40" s="257">
        <v>8587</v>
      </c>
      <c r="E40" s="244">
        <v>0</v>
      </c>
      <c r="F40" s="49">
        <v>0</v>
      </c>
      <c r="G40" s="257">
        <v>0</v>
      </c>
      <c r="H40" s="242">
        <v>0</v>
      </c>
      <c r="I40" s="49">
        <v>0</v>
      </c>
      <c r="J40" s="242">
        <v>0</v>
      </c>
      <c r="K40" s="452"/>
    </row>
    <row r="41" spans="1:11" s="253" customFormat="1" ht="16.5" customHeight="1">
      <c r="A41" s="348" t="s">
        <v>140</v>
      </c>
      <c r="B41" s="244">
        <v>2981</v>
      </c>
      <c r="C41" s="347">
        <v>2.9556992147219798</v>
      </c>
      <c r="D41" s="257">
        <v>2381</v>
      </c>
      <c r="E41" s="244">
        <v>142</v>
      </c>
      <c r="F41" s="347">
        <v>0.88440458395615351</v>
      </c>
      <c r="G41" s="257">
        <v>103</v>
      </c>
      <c r="H41" s="242">
        <v>0</v>
      </c>
      <c r="I41" s="49">
        <v>0</v>
      </c>
      <c r="J41" s="242">
        <v>0</v>
      </c>
      <c r="K41" s="452"/>
    </row>
    <row r="42" spans="1:11" s="253" customFormat="1" ht="16.5" customHeight="1">
      <c r="A42" s="348" t="s">
        <v>141</v>
      </c>
      <c r="B42" s="244">
        <v>49963</v>
      </c>
      <c r="C42" s="347">
        <v>49.538946616958832</v>
      </c>
      <c r="D42" s="257">
        <v>44170</v>
      </c>
      <c r="E42" s="244">
        <v>308</v>
      </c>
      <c r="F42" s="347">
        <v>1.9182859990034877</v>
      </c>
      <c r="G42" s="257">
        <v>196</v>
      </c>
      <c r="H42" s="242">
        <v>1</v>
      </c>
      <c r="I42" s="450">
        <v>9.7943192948090105E-2</v>
      </c>
      <c r="J42" s="242">
        <v>1</v>
      </c>
      <c r="K42" s="452"/>
    </row>
    <row r="43" spans="1:11" s="253" customFormat="1" ht="16.5" customHeight="1">
      <c r="A43" s="348" t="s">
        <v>555</v>
      </c>
      <c r="B43" s="244">
        <v>5809</v>
      </c>
      <c r="C43" s="347">
        <v>5.7596969937336402</v>
      </c>
      <c r="D43" s="257">
        <v>5856</v>
      </c>
      <c r="E43" s="244">
        <v>0</v>
      </c>
      <c r="F43" s="49">
        <v>0</v>
      </c>
      <c r="G43" s="257">
        <v>0</v>
      </c>
      <c r="H43" s="242">
        <v>0</v>
      </c>
      <c r="I43" s="49">
        <v>0</v>
      </c>
      <c r="J43" s="242">
        <v>0</v>
      </c>
      <c r="K43" s="452"/>
    </row>
    <row r="44" spans="1:11" s="253" customFormat="1" ht="16.5" customHeight="1">
      <c r="A44" s="198" t="s">
        <v>79</v>
      </c>
      <c r="B44" s="303">
        <v>20592</v>
      </c>
      <c r="C44" s="363">
        <v>20.417228523835966</v>
      </c>
      <c r="D44" s="177">
        <v>20507</v>
      </c>
      <c r="E44" s="303">
        <v>15074</v>
      </c>
      <c r="F44" s="363">
        <v>93.883906327852515</v>
      </c>
      <c r="G44" s="177">
        <v>13229</v>
      </c>
      <c r="H44" s="303">
        <v>846</v>
      </c>
      <c r="I44" s="363">
        <v>82.8</v>
      </c>
      <c r="J44" s="50">
        <v>874</v>
      </c>
      <c r="K44" s="452"/>
    </row>
    <row r="45" spans="1:11" s="253" customFormat="1" ht="16.5" customHeight="1">
      <c r="A45" s="3" t="s">
        <v>602</v>
      </c>
      <c r="B45" s="3"/>
      <c r="C45" s="1"/>
      <c r="D45" s="3"/>
      <c r="E45" s="3"/>
      <c r="F45" s="21"/>
      <c r="G45" s="3"/>
      <c r="H45" s="3"/>
      <c r="I45" s="10"/>
      <c r="J45" s="3"/>
      <c r="K45" s="252"/>
    </row>
    <row r="46" spans="1:11" s="253" customFormat="1" ht="16.5" customHeight="1">
      <c r="A46" s="3" t="s">
        <v>556</v>
      </c>
      <c r="B46" s="3"/>
      <c r="C46" s="1"/>
      <c r="D46" s="3"/>
      <c r="E46" s="3"/>
      <c r="F46" s="1"/>
      <c r="G46" s="3"/>
      <c r="H46" s="3"/>
      <c r="I46" s="1"/>
      <c r="J46" s="3"/>
      <c r="K46" s="252"/>
    </row>
  </sheetData>
  <sheetProtection algorithmName="SHA-512" hashValue="hdXCDsgQHjA9czqBdBJvg3PgTAa/nzz+NTUIPMvMLO/ybjnQc+ObsYL7WAFXMV95AWVIdx7uK8zMwosyUmdWLw==" saltValue="yAyQnIS0ZhffCeYijWQHZQ==" spinCount="100000" sheet="1" objects="1" scenarios="1"/>
  <mergeCells count="5">
    <mergeCell ref="A4:J4"/>
    <mergeCell ref="A26:J26"/>
    <mergeCell ref="B29:D29"/>
    <mergeCell ref="E29:G29"/>
    <mergeCell ref="H29:J29"/>
  </mergeCells>
  <phoneticPr fontId="6" type="noConversion"/>
  <pageMargins left="0.35433070866141736" right="0.11811023622047245" top="0.78740157480314965" bottom="0.98425196850393704" header="0.51181102362204722" footer="0.51181102362204722"/>
  <pageSetup paperSize="9" scale="45"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O58"/>
  <sheetViews>
    <sheetView showGridLines="0" zoomScaleNormal="100" zoomScaleSheetLayoutView="100" workbookViewId="0"/>
  </sheetViews>
  <sheetFormatPr defaultColWidth="8" defaultRowHeight="16.5" customHeight="1"/>
  <cols>
    <col min="1" max="10" width="8.88671875" style="86" customWidth="1"/>
    <col min="11" max="16384" width="8" style="86"/>
  </cols>
  <sheetData>
    <row r="1" spans="1:15" s="3" customFormat="1" ht="16.5" customHeight="1">
      <c r="A1" s="105" t="s">
        <v>713</v>
      </c>
      <c r="B1" s="59"/>
      <c r="C1" s="59"/>
      <c r="D1" s="59"/>
      <c r="J1" s="184"/>
    </row>
    <row r="2" spans="1:15" s="3" customFormat="1" ht="16.5" customHeight="1">
      <c r="A2" s="105"/>
      <c r="B2" s="59"/>
      <c r="C2" s="59"/>
      <c r="D2" s="59"/>
      <c r="J2" s="184"/>
    </row>
    <row r="3" spans="1:15" s="3" customFormat="1" ht="16.5" customHeight="1">
      <c r="A3" s="105" t="s">
        <v>449</v>
      </c>
      <c r="B3" s="59"/>
      <c r="C3" s="59"/>
      <c r="D3" s="59"/>
      <c r="J3" s="184"/>
    </row>
    <row r="4" spans="1:15" s="3" customFormat="1" ht="16.5" customHeight="1">
      <c r="A4" s="227"/>
      <c r="B4" s="277" t="s">
        <v>58</v>
      </c>
      <c r="C4" s="539" t="s">
        <v>302</v>
      </c>
      <c r="D4" s="539" t="s">
        <v>557</v>
      </c>
      <c r="E4" s="539" t="s">
        <v>255</v>
      </c>
    </row>
    <row r="5" spans="1:15" s="3" customFormat="1" ht="16.5" customHeight="1">
      <c r="A5" s="228" t="s">
        <v>36</v>
      </c>
      <c r="B5" s="227"/>
      <c r="C5" s="539"/>
      <c r="D5" s="539"/>
      <c r="E5" s="539"/>
      <c r="F5" s="58"/>
      <c r="G5" s="58"/>
    </row>
    <row r="6" spans="1:15" s="3" customFormat="1" ht="16.5" customHeight="1">
      <c r="A6" s="551" t="s">
        <v>52</v>
      </c>
      <c r="B6" s="593"/>
      <c r="C6" s="365">
        <v>2079</v>
      </c>
      <c r="D6" s="117">
        <v>787</v>
      </c>
      <c r="E6" s="117">
        <v>1292</v>
      </c>
      <c r="F6" s="58"/>
      <c r="G6" s="58"/>
    </row>
    <row r="7" spans="1:15" s="3" customFormat="1" ht="16.5" customHeight="1">
      <c r="A7" s="551" t="s">
        <v>401</v>
      </c>
      <c r="B7" s="593"/>
      <c r="C7" s="365">
        <v>2082</v>
      </c>
      <c r="D7" s="117">
        <v>785</v>
      </c>
      <c r="E7" s="117">
        <v>1297</v>
      </c>
      <c r="F7" s="58"/>
      <c r="G7" s="222"/>
    </row>
    <row r="8" spans="1:15" s="1" customFormat="1" ht="16.5" customHeight="1">
      <c r="A8" s="12"/>
      <c r="B8" s="259"/>
      <c r="C8" s="421">
        <v>100</v>
      </c>
      <c r="D8" s="422">
        <v>100</v>
      </c>
      <c r="E8" s="422">
        <v>100</v>
      </c>
      <c r="F8" s="13"/>
      <c r="G8" s="35"/>
    </row>
    <row r="9" spans="1:15" s="3" customFormat="1" ht="16.5" customHeight="1">
      <c r="A9" s="548" t="s">
        <v>402</v>
      </c>
      <c r="B9" s="565"/>
      <c r="C9" s="368">
        <v>136</v>
      </c>
      <c r="D9" s="39">
        <v>97</v>
      </c>
      <c r="E9" s="39">
        <v>39</v>
      </c>
      <c r="F9" s="34"/>
      <c r="G9" s="222"/>
      <c r="M9" s="10"/>
      <c r="N9" s="10"/>
      <c r="O9" s="10"/>
    </row>
    <row r="10" spans="1:15" s="1" customFormat="1" ht="16.5" customHeight="1">
      <c r="A10" s="12"/>
      <c r="B10" s="259"/>
      <c r="C10" s="366">
        <v>6.5321805955811723</v>
      </c>
      <c r="D10" s="367">
        <v>12.356687898089172</v>
      </c>
      <c r="E10" s="367">
        <v>3.0069390902081725</v>
      </c>
      <c r="F10" s="338"/>
      <c r="G10" s="35"/>
      <c r="K10" s="10"/>
      <c r="L10" s="10"/>
      <c r="M10" s="10"/>
      <c r="N10" s="10"/>
      <c r="O10" s="10"/>
    </row>
    <row r="11" spans="1:15" s="3" customFormat="1" ht="16.5" customHeight="1">
      <c r="A11" s="223"/>
      <c r="B11" s="284" t="s">
        <v>403</v>
      </c>
      <c r="C11" s="368">
        <v>78</v>
      </c>
      <c r="D11" s="39">
        <v>50</v>
      </c>
      <c r="E11" s="39">
        <v>28</v>
      </c>
      <c r="F11" s="338"/>
      <c r="G11" s="222"/>
      <c r="K11" s="10"/>
      <c r="L11" s="10"/>
      <c r="M11" s="10"/>
      <c r="N11" s="10"/>
      <c r="O11" s="10"/>
    </row>
    <row r="12" spans="1:15" s="3" customFormat="1" ht="16.5" customHeight="1">
      <c r="A12" s="223"/>
      <c r="B12" s="284" t="s">
        <v>404</v>
      </c>
      <c r="C12" s="368">
        <v>58</v>
      </c>
      <c r="D12" s="39">
        <v>47</v>
      </c>
      <c r="E12" s="39">
        <v>11</v>
      </c>
      <c r="F12" s="338"/>
      <c r="G12" s="222"/>
      <c r="K12" s="10"/>
      <c r="L12" s="10"/>
      <c r="M12" s="10"/>
      <c r="N12" s="10"/>
      <c r="O12" s="10"/>
    </row>
    <row r="13" spans="1:15" s="3" customFormat="1" ht="16.5" customHeight="1">
      <c r="A13" s="548" t="s">
        <v>405</v>
      </c>
      <c r="B13" s="565"/>
      <c r="C13" s="368">
        <v>1885</v>
      </c>
      <c r="D13" s="39">
        <v>661</v>
      </c>
      <c r="E13" s="39">
        <v>1224</v>
      </c>
      <c r="F13" s="338"/>
      <c r="G13" s="222"/>
      <c r="K13" s="10"/>
      <c r="L13" s="10"/>
      <c r="M13" s="10"/>
    </row>
    <row r="14" spans="1:15" s="1" customFormat="1" ht="16.5" customHeight="1">
      <c r="A14" s="12"/>
      <c r="B14" s="259"/>
      <c r="C14" s="366">
        <v>90.6</v>
      </c>
      <c r="D14" s="367">
        <v>84.203821656050962</v>
      </c>
      <c r="E14" s="367">
        <v>94.371626831148802</v>
      </c>
      <c r="F14" s="338"/>
      <c r="G14" s="35"/>
      <c r="K14" s="10"/>
      <c r="L14" s="10"/>
      <c r="M14" s="10"/>
    </row>
    <row r="15" spans="1:15" s="3" customFormat="1" ht="16.5" customHeight="1">
      <c r="A15" s="548" t="s">
        <v>79</v>
      </c>
      <c r="B15" s="565"/>
      <c r="C15" s="368">
        <v>61</v>
      </c>
      <c r="D15" s="39">
        <v>27</v>
      </c>
      <c r="E15" s="39">
        <v>34</v>
      </c>
      <c r="F15" s="338"/>
      <c r="G15" s="222"/>
      <c r="K15" s="10"/>
      <c r="L15" s="10"/>
      <c r="M15" s="10"/>
    </row>
    <row r="16" spans="1:15" s="1" customFormat="1" ht="16.5" customHeight="1">
      <c r="A16" s="260"/>
      <c r="B16" s="261"/>
      <c r="C16" s="369">
        <v>2.9298751200768494</v>
      </c>
      <c r="D16" s="370">
        <v>3.4394904458598727</v>
      </c>
      <c r="E16" s="370">
        <v>2.6214340786430221</v>
      </c>
      <c r="F16" s="338"/>
      <c r="G16" s="35"/>
      <c r="K16" s="10"/>
      <c r="L16" s="10"/>
      <c r="M16" s="10"/>
    </row>
    <row r="17" spans="1:10" s="3" customFormat="1" ht="16.5" customHeight="1">
      <c r="A17" s="3" t="s">
        <v>558</v>
      </c>
    </row>
    <row r="18" spans="1:10" s="3" customFormat="1" ht="16.5" customHeight="1"/>
    <row r="19" spans="1:10" s="3" customFormat="1" ht="16.5" customHeight="1">
      <c r="A19" s="105" t="s">
        <v>559</v>
      </c>
    </row>
    <row r="20" spans="1:10" s="66" customFormat="1" ht="16.5" customHeight="1">
      <c r="A20" s="278" t="s">
        <v>163</v>
      </c>
      <c r="B20" s="615" t="s">
        <v>509</v>
      </c>
      <c r="C20" s="614" t="s">
        <v>26</v>
      </c>
      <c r="D20" s="614"/>
      <c r="E20" s="614"/>
      <c r="F20" s="614"/>
      <c r="G20" s="614"/>
      <c r="H20" s="670" t="s">
        <v>560</v>
      </c>
      <c r="I20" s="615" t="s">
        <v>561</v>
      </c>
      <c r="J20" s="3"/>
    </row>
    <row r="21" spans="1:10" s="66" customFormat="1" ht="16.5" customHeight="1">
      <c r="A21" s="207" t="s">
        <v>525</v>
      </c>
      <c r="B21" s="623"/>
      <c r="C21" s="274" t="s">
        <v>520</v>
      </c>
      <c r="D21" s="274" t="s">
        <v>143</v>
      </c>
      <c r="E21" s="274" t="s">
        <v>144</v>
      </c>
      <c r="F21" s="274" t="s">
        <v>79</v>
      </c>
      <c r="G21" s="274" t="s">
        <v>562</v>
      </c>
      <c r="H21" s="623"/>
      <c r="I21" s="623"/>
      <c r="J21" s="3"/>
    </row>
    <row r="22" spans="1:10" s="66" customFormat="1" ht="16.5" customHeight="1">
      <c r="A22" s="285" t="s">
        <v>89</v>
      </c>
      <c r="B22" s="243">
        <v>5497</v>
      </c>
      <c r="C22" s="48">
        <v>5548</v>
      </c>
      <c r="D22" s="243">
        <v>1488</v>
      </c>
      <c r="E22" s="243">
        <v>3834</v>
      </c>
      <c r="F22" s="243">
        <v>226</v>
      </c>
      <c r="G22" s="225">
        <v>26.820475847152125</v>
      </c>
      <c r="H22" s="41"/>
      <c r="I22" s="243">
        <v>349</v>
      </c>
      <c r="J22" s="3"/>
    </row>
    <row r="23" spans="1:10" s="66" customFormat="1" ht="16.5" customHeight="1">
      <c r="A23" s="284" t="s">
        <v>7</v>
      </c>
      <c r="B23" s="242">
        <v>5008</v>
      </c>
      <c r="C23" s="244">
        <v>5045</v>
      </c>
      <c r="D23" s="242">
        <v>1358</v>
      </c>
      <c r="E23" s="242">
        <v>3476</v>
      </c>
      <c r="F23" s="242">
        <v>211</v>
      </c>
      <c r="G23" s="226">
        <v>26.917740336967295</v>
      </c>
      <c r="H23" s="40">
        <v>21.5</v>
      </c>
      <c r="I23" s="242">
        <v>322</v>
      </c>
      <c r="J23" s="3"/>
    </row>
    <row r="24" spans="1:10" s="66" customFormat="1" ht="16.5" customHeight="1">
      <c r="A24" s="284" t="s">
        <v>60</v>
      </c>
      <c r="B24" s="242">
        <v>395</v>
      </c>
      <c r="C24" s="244">
        <v>402</v>
      </c>
      <c r="D24" s="242">
        <v>127</v>
      </c>
      <c r="E24" s="242">
        <v>265</v>
      </c>
      <c r="F24" s="242">
        <v>10</v>
      </c>
      <c r="G24" s="226">
        <v>31.592039800995025</v>
      </c>
      <c r="H24" s="40">
        <v>32.9</v>
      </c>
      <c r="I24" s="242">
        <v>24</v>
      </c>
      <c r="J24" s="3"/>
    </row>
    <row r="25" spans="1:10" s="66" customFormat="1" ht="16.5" customHeight="1">
      <c r="A25" s="198" t="s">
        <v>406</v>
      </c>
      <c r="B25" s="177">
        <v>94</v>
      </c>
      <c r="C25" s="174">
        <v>101</v>
      </c>
      <c r="D25" s="174">
        <v>3</v>
      </c>
      <c r="E25" s="174">
        <v>93</v>
      </c>
      <c r="F25" s="174">
        <v>5</v>
      </c>
      <c r="G25" s="175">
        <v>2.9702970297029703</v>
      </c>
      <c r="H25" s="371">
        <v>11.7</v>
      </c>
      <c r="I25" s="174">
        <v>3</v>
      </c>
      <c r="J25" s="3"/>
    </row>
    <row r="26" spans="1:10" s="66" customFormat="1" ht="16.5" customHeight="1">
      <c r="A26" s="137" t="s">
        <v>563</v>
      </c>
      <c r="B26" s="137"/>
      <c r="C26" s="137"/>
      <c r="D26" s="137"/>
      <c r="E26" s="137"/>
      <c r="F26" s="137"/>
      <c r="G26" s="137"/>
      <c r="H26" s="137"/>
      <c r="I26" s="3"/>
      <c r="J26" s="3"/>
    </row>
    <row r="27" spans="1:10" s="66" customFormat="1" ht="16.5" customHeight="1">
      <c r="A27" s="3" t="s">
        <v>603</v>
      </c>
      <c r="B27" s="137"/>
      <c r="C27" s="137"/>
      <c r="D27" s="137"/>
      <c r="E27" s="137"/>
      <c r="F27" s="137"/>
      <c r="G27" s="137"/>
      <c r="H27" s="137"/>
      <c r="I27" s="3"/>
      <c r="J27" s="3"/>
    </row>
    <row r="28" spans="1:10" s="3" customFormat="1" ht="16.5" customHeight="1">
      <c r="A28" s="137"/>
      <c r="B28" s="137"/>
      <c r="C28" s="137"/>
      <c r="D28" s="137"/>
      <c r="E28" s="137"/>
      <c r="F28" s="137"/>
      <c r="G28" s="137"/>
      <c r="H28" s="137"/>
      <c r="I28" s="137"/>
      <c r="J28" s="137"/>
    </row>
    <row r="29" spans="1:10" s="3" customFormat="1" ht="16.5" customHeight="1">
      <c r="A29" s="82" t="s">
        <v>714</v>
      </c>
    </row>
    <row r="30" spans="1:10" s="3" customFormat="1" ht="16.5" customHeight="1">
      <c r="A30" s="278" t="s">
        <v>163</v>
      </c>
      <c r="B30" s="614" t="s">
        <v>89</v>
      </c>
      <c r="C30" s="614"/>
      <c r="D30" s="614"/>
      <c r="E30" s="614" t="s">
        <v>145</v>
      </c>
      <c r="F30" s="614"/>
      <c r="G30" s="614"/>
      <c r="H30" s="614" t="s">
        <v>146</v>
      </c>
      <c r="I30" s="614"/>
      <c r="J30" s="615"/>
    </row>
    <row r="31" spans="1:10" s="3" customFormat="1" ht="16.5" customHeight="1">
      <c r="A31" s="207" t="s">
        <v>171</v>
      </c>
      <c r="B31" s="274" t="s">
        <v>147</v>
      </c>
      <c r="C31" s="274" t="s">
        <v>148</v>
      </c>
      <c r="D31" s="274" t="s">
        <v>564</v>
      </c>
      <c r="E31" s="274" t="s">
        <v>147</v>
      </c>
      <c r="F31" s="274" t="s">
        <v>148</v>
      </c>
      <c r="G31" s="274" t="s">
        <v>564</v>
      </c>
      <c r="H31" s="274" t="s">
        <v>147</v>
      </c>
      <c r="I31" s="274" t="s">
        <v>148</v>
      </c>
      <c r="J31" s="275" t="s">
        <v>564</v>
      </c>
    </row>
    <row r="32" spans="1:10" s="3" customFormat="1" ht="16.5" customHeight="1">
      <c r="A32" s="284">
        <v>2018</v>
      </c>
      <c r="B32" s="48">
        <v>2109</v>
      </c>
      <c r="C32" s="243">
        <v>258</v>
      </c>
      <c r="D32" s="225">
        <v>12.233285917496444</v>
      </c>
      <c r="E32" s="244">
        <v>1016</v>
      </c>
      <c r="F32" s="242">
        <v>172</v>
      </c>
      <c r="G32" s="226">
        <v>16.929133858267718</v>
      </c>
      <c r="H32" s="242">
        <v>1093</v>
      </c>
      <c r="I32" s="242">
        <v>86</v>
      </c>
      <c r="J32" s="29">
        <v>7.8682525160109789</v>
      </c>
    </row>
    <row r="33" spans="1:14" s="3" customFormat="1" ht="16.5" customHeight="1">
      <c r="A33" s="284">
        <v>2019</v>
      </c>
      <c r="B33" s="48">
        <v>2038</v>
      </c>
      <c r="C33" s="243">
        <v>206</v>
      </c>
      <c r="D33" s="225">
        <v>10.107948969578018</v>
      </c>
      <c r="E33" s="242">
        <v>946</v>
      </c>
      <c r="F33" s="242">
        <v>147</v>
      </c>
      <c r="G33" s="226">
        <v>15.539112050739959</v>
      </c>
      <c r="H33" s="242">
        <v>1092</v>
      </c>
      <c r="I33" s="242">
        <v>59</v>
      </c>
      <c r="J33" s="29">
        <v>5.4029304029304033</v>
      </c>
    </row>
    <row r="34" spans="1:14" s="3" customFormat="1" ht="16.5" customHeight="1">
      <c r="A34" s="279">
        <v>2020</v>
      </c>
      <c r="B34" s="48">
        <v>1938</v>
      </c>
      <c r="C34" s="243">
        <v>130</v>
      </c>
      <c r="D34" s="225">
        <v>6.707946336429309</v>
      </c>
      <c r="E34" s="244">
        <v>757</v>
      </c>
      <c r="F34" s="242">
        <v>84</v>
      </c>
      <c r="G34" s="226">
        <v>11.096433289299867</v>
      </c>
      <c r="H34" s="242">
        <v>1181</v>
      </c>
      <c r="I34" s="242">
        <v>46</v>
      </c>
      <c r="J34" s="29">
        <v>3.8950042337002539</v>
      </c>
    </row>
    <row r="35" spans="1:14" s="3" customFormat="1" ht="16.5" customHeight="1">
      <c r="A35" s="324">
        <v>2021</v>
      </c>
      <c r="B35" s="48">
        <v>1723</v>
      </c>
      <c r="C35" s="243">
        <v>98</v>
      </c>
      <c r="D35" s="225">
        <v>5.6877539175856064</v>
      </c>
      <c r="E35" s="244">
        <v>704</v>
      </c>
      <c r="F35" s="242">
        <v>65</v>
      </c>
      <c r="G35" s="226">
        <v>9.232954545454545</v>
      </c>
      <c r="H35" s="242">
        <v>1019</v>
      </c>
      <c r="I35" s="242">
        <v>33</v>
      </c>
      <c r="J35" s="29">
        <v>3.2384690873405302</v>
      </c>
    </row>
    <row r="36" spans="1:14" s="3" customFormat="1" ht="16.5" customHeight="1">
      <c r="A36" s="198">
        <v>2022</v>
      </c>
      <c r="B36" s="262">
        <v>2079</v>
      </c>
      <c r="C36" s="263">
        <v>136</v>
      </c>
      <c r="D36" s="264">
        <v>6.5416065416065416</v>
      </c>
      <c r="E36" s="173">
        <v>787</v>
      </c>
      <c r="F36" s="174">
        <v>97</v>
      </c>
      <c r="G36" s="175">
        <v>12.325285895806863</v>
      </c>
      <c r="H36" s="174">
        <v>1292</v>
      </c>
      <c r="I36" s="174">
        <v>39</v>
      </c>
      <c r="J36" s="180">
        <v>3.0185758513931891</v>
      </c>
    </row>
    <row r="37" spans="1:14" s="3" customFormat="1" ht="16.5" customHeight="1">
      <c r="A37" s="3" t="s">
        <v>565</v>
      </c>
    </row>
    <row r="38" spans="1:14" s="3" customFormat="1" ht="16.5" customHeight="1"/>
    <row r="39" spans="1:14" s="122" customFormat="1" ht="16.5" customHeight="1">
      <c r="A39" s="213" t="s">
        <v>660</v>
      </c>
    </row>
    <row r="40" spans="1:14" s="122" customFormat="1" ht="16.5" customHeight="1">
      <c r="E40" s="3"/>
      <c r="F40" s="3"/>
      <c r="G40" s="3"/>
      <c r="H40" s="3"/>
      <c r="I40" s="3"/>
      <c r="J40" s="3"/>
      <c r="N40" s="82"/>
    </row>
    <row r="41" spans="1:14" s="122" customFormat="1" ht="16.5" customHeight="1">
      <c r="E41" s="3"/>
      <c r="F41" s="3"/>
      <c r="G41" s="3"/>
      <c r="H41" s="3"/>
      <c r="I41" s="3"/>
      <c r="J41" s="3"/>
      <c r="N41" s="224"/>
    </row>
    <row r="42" spans="1:14" s="122" customFormat="1" ht="16.5" customHeight="1">
      <c r="E42" s="240" t="s">
        <v>573</v>
      </c>
    </row>
    <row r="43" spans="1:14" s="122" customFormat="1" ht="16.5" customHeight="1">
      <c r="D43" s="88"/>
      <c r="E43" s="69" t="s">
        <v>254</v>
      </c>
      <c r="F43" s="69" t="s">
        <v>566</v>
      </c>
    </row>
    <row r="44" spans="1:14" s="122" customFormat="1" ht="16.5" customHeight="1">
      <c r="D44" s="88" t="s">
        <v>542</v>
      </c>
      <c r="E44" s="69">
        <v>30.780243378668576</v>
      </c>
      <c r="F44" s="69">
        <v>19.061032863849764</v>
      </c>
    </row>
    <row r="45" spans="1:14" s="122" customFormat="1" ht="16.5" customHeight="1">
      <c r="D45" s="88" t="s">
        <v>190</v>
      </c>
      <c r="E45" s="69">
        <v>27.173913043478258</v>
      </c>
      <c r="F45" s="69">
        <v>12.91005291005291</v>
      </c>
    </row>
    <row r="46" spans="1:14" s="122" customFormat="1" ht="16.5" customHeight="1">
      <c r="D46" s="88" t="s">
        <v>191</v>
      </c>
      <c r="E46" s="69">
        <v>21.005025125628141</v>
      </c>
      <c r="F46" s="69">
        <v>13.333333333333334</v>
      </c>
    </row>
    <row r="47" spans="1:14" s="122" customFormat="1" ht="16.5" customHeight="1">
      <c r="D47" s="88" t="s">
        <v>192</v>
      </c>
      <c r="E47" s="69">
        <v>27.5</v>
      </c>
      <c r="F47" s="69">
        <v>13.2</v>
      </c>
    </row>
    <row r="48" spans="1:14" s="122" customFormat="1" ht="16.5" customHeight="1">
      <c r="D48" s="88" t="s">
        <v>193</v>
      </c>
      <c r="E48" s="69">
        <v>23.666978484565014</v>
      </c>
      <c r="F48" s="69">
        <v>9.6660808435852363</v>
      </c>
    </row>
    <row r="49" spans="1:6" s="122" customFormat="1" ht="16.5" customHeight="1">
      <c r="D49" s="88" t="s">
        <v>194</v>
      </c>
      <c r="E49" s="69">
        <v>20.930232558139537</v>
      </c>
      <c r="F49" s="69">
        <v>10.425844346549193</v>
      </c>
    </row>
    <row r="50" spans="1:6" s="122" customFormat="1" ht="16.5" customHeight="1">
      <c r="D50" s="88" t="s">
        <v>195</v>
      </c>
      <c r="E50" s="69">
        <v>19.331742243436754</v>
      </c>
      <c r="F50" s="69">
        <v>8.4269662921348321</v>
      </c>
    </row>
    <row r="51" spans="1:6" s="122" customFormat="1" ht="16.5" customHeight="1">
      <c r="A51" s="150"/>
      <c r="B51" s="150"/>
      <c r="C51" s="150"/>
      <c r="D51" s="88" t="s">
        <v>196</v>
      </c>
      <c r="E51" s="69">
        <v>16.929133858267718</v>
      </c>
      <c r="F51" s="69">
        <v>7.8682525160109789</v>
      </c>
    </row>
    <row r="52" spans="1:6" s="122" customFormat="1" ht="16.5" customHeight="1">
      <c r="D52" s="88" t="s">
        <v>443</v>
      </c>
      <c r="E52" s="69">
        <v>15.539112050739959</v>
      </c>
      <c r="F52" s="69">
        <v>5.4029304029304033</v>
      </c>
    </row>
    <row r="53" spans="1:6" s="122" customFormat="1" ht="16.5" customHeight="1">
      <c r="D53" s="88" t="s">
        <v>600</v>
      </c>
      <c r="E53" s="69">
        <v>11.096433289299867</v>
      </c>
      <c r="F53" s="69">
        <v>3.8950042337002539</v>
      </c>
    </row>
    <row r="54" spans="1:6" s="122" customFormat="1" ht="16.5" customHeight="1">
      <c r="D54" s="88">
        <v>21</v>
      </c>
      <c r="E54" s="69">
        <v>9.1999999999999993</v>
      </c>
      <c r="F54" s="69">
        <v>3.2</v>
      </c>
    </row>
    <row r="55" spans="1:6" s="122" customFormat="1" ht="16.5" customHeight="1">
      <c r="D55" s="88">
        <v>22</v>
      </c>
      <c r="E55" s="335">
        <v>12.325285895806863</v>
      </c>
      <c r="F55" s="335">
        <v>3.0185758513931891</v>
      </c>
    </row>
    <row r="56" spans="1:6" s="122" customFormat="1" ht="16.5" customHeight="1"/>
    <row r="57" spans="1:6" s="122" customFormat="1" ht="16.5" customHeight="1"/>
    <row r="58" spans="1:6" s="122" customFormat="1" ht="16.5" customHeight="1"/>
  </sheetData>
  <sheetProtection algorithmName="SHA-512" hashValue="O8jKL5Ceo+9e3MayRpCJGH1SaTOYO0u1ZyA66dkADTsQ2fbuAYerlwJ0xRx+EQGHTA1cUHGViH+ofOqHYe8nSA==" saltValue="d++1zpwQKBX6F2dbiA1qgw==" spinCount="100000" sheet="1" objects="1" scenarios="1"/>
  <mergeCells count="15">
    <mergeCell ref="B30:D30"/>
    <mergeCell ref="E30:G30"/>
    <mergeCell ref="H30:J30"/>
    <mergeCell ref="A13:B13"/>
    <mergeCell ref="A15:B15"/>
    <mergeCell ref="B20:B21"/>
    <mergeCell ref="C20:G20"/>
    <mergeCell ref="H20:H21"/>
    <mergeCell ref="I20:I21"/>
    <mergeCell ref="A9:B9"/>
    <mergeCell ref="C4:C5"/>
    <mergeCell ref="D4:D5"/>
    <mergeCell ref="E4:E5"/>
    <mergeCell ref="A6:B6"/>
    <mergeCell ref="A7:B7"/>
  </mergeCells>
  <phoneticPr fontId="6" type="noConversion"/>
  <pageMargins left="0.43307086614173229" right="3.937007874015748E-2" top="0.31496062992125984" bottom="0.15748031496062992" header="0.51181102362204722" footer="0.15748031496062992"/>
  <pageSetup paperSize="9" scale="66" orientation="portrait" horizontalDpi="1200" verticalDpi="1200"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FFC000"/>
  </sheetPr>
  <dimension ref="A1:Q45"/>
  <sheetViews>
    <sheetView showGridLines="0" view="pageBreakPreview" zoomScaleNormal="100" zoomScaleSheetLayoutView="100" workbookViewId="0"/>
  </sheetViews>
  <sheetFormatPr defaultColWidth="8" defaultRowHeight="16.5" customHeight="1"/>
  <cols>
    <col min="1" max="8" width="12.21875" style="96" customWidth="1"/>
    <col min="9" max="10" width="8" style="212"/>
    <col min="11" max="11" width="8.88671875" style="96" bestFit="1" customWidth="1"/>
    <col min="12" max="12" width="8.21875" style="96" bestFit="1" customWidth="1"/>
    <col min="13" max="16" width="8.109375" style="96" bestFit="1" customWidth="1"/>
    <col min="17" max="17" width="13.44140625" style="96" bestFit="1" customWidth="1"/>
    <col min="18" max="16384" width="8" style="96"/>
  </cols>
  <sheetData>
    <row r="1" spans="1:17" s="3" customFormat="1" ht="16.5" customHeight="1">
      <c r="A1" s="3" t="s">
        <v>567</v>
      </c>
      <c r="I1" s="58"/>
      <c r="J1" s="58"/>
    </row>
    <row r="2" spans="1:17" s="3" customFormat="1" ht="16.5" customHeight="1">
      <c r="I2" s="58"/>
      <c r="J2" s="58"/>
    </row>
    <row r="3" spans="1:17" s="3" customFormat="1" ht="16.5" customHeight="1">
      <c r="A3" s="82" t="s">
        <v>251</v>
      </c>
      <c r="I3" s="58"/>
      <c r="J3" s="58"/>
    </row>
    <row r="4" spans="1:17" s="3" customFormat="1" ht="16.5" customHeight="1">
      <c r="A4" s="278" t="s">
        <v>36</v>
      </c>
      <c r="B4" s="614" t="s">
        <v>147</v>
      </c>
      <c r="C4" s="614"/>
      <c r="D4" s="614"/>
      <c r="E4" s="614"/>
      <c r="F4" s="614"/>
      <c r="G4" s="614"/>
      <c r="H4" s="615" t="s">
        <v>450</v>
      </c>
      <c r="I4" s="58"/>
      <c r="J4" s="58"/>
    </row>
    <row r="5" spans="1:17" s="3" customFormat="1" ht="16.5" customHeight="1">
      <c r="A5" s="207" t="s">
        <v>348</v>
      </c>
      <c r="B5" s="617"/>
      <c r="C5" s="274" t="s">
        <v>31</v>
      </c>
      <c r="D5" s="274" t="s">
        <v>407</v>
      </c>
      <c r="E5" s="274" t="s">
        <v>61</v>
      </c>
      <c r="F5" s="274" t="s">
        <v>178</v>
      </c>
      <c r="G5" s="274" t="s">
        <v>252</v>
      </c>
      <c r="H5" s="623"/>
      <c r="I5" s="58"/>
      <c r="J5" s="58"/>
    </row>
    <row r="6" spans="1:17" s="3" customFormat="1" ht="16.5" customHeight="1">
      <c r="A6" s="286">
        <v>2017</v>
      </c>
      <c r="B6" s="230">
        <v>8571</v>
      </c>
      <c r="C6" s="242">
        <f>SUM(D6:F6)</f>
        <v>8567</v>
      </c>
      <c r="D6" s="242">
        <v>2771</v>
      </c>
      <c r="E6" s="242">
        <v>5391</v>
      </c>
      <c r="F6" s="242">
        <v>405</v>
      </c>
      <c r="G6" s="226">
        <v>25.604456824512532</v>
      </c>
      <c r="H6" s="242">
        <v>60800267440</v>
      </c>
      <c r="I6" s="58"/>
      <c r="J6" s="325"/>
      <c r="K6" s="325" t="s">
        <v>568</v>
      </c>
      <c r="L6" s="325" t="s">
        <v>569</v>
      </c>
      <c r="M6" s="325" t="s">
        <v>570</v>
      </c>
      <c r="N6" s="325" t="s">
        <v>69</v>
      </c>
      <c r="O6" s="325" t="s">
        <v>35</v>
      </c>
      <c r="P6" s="325" t="s">
        <v>178</v>
      </c>
      <c r="Q6" s="325" t="s">
        <v>450</v>
      </c>
    </row>
    <row r="7" spans="1:17" s="3" customFormat="1" ht="16.5" customHeight="1">
      <c r="A7" s="323">
        <v>2018</v>
      </c>
      <c r="B7" s="230">
        <v>10046</v>
      </c>
      <c r="C7" s="242">
        <f>SUM(D7:F7)</f>
        <v>9189</v>
      </c>
      <c r="D7" s="242">
        <v>3775</v>
      </c>
      <c r="E7" s="242">
        <v>5009</v>
      </c>
      <c r="F7" s="242">
        <v>405</v>
      </c>
      <c r="G7" s="226">
        <v>32.345044939885611</v>
      </c>
      <c r="H7" s="242">
        <v>66968408975</v>
      </c>
      <c r="I7" s="58"/>
      <c r="J7" s="325" t="s">
        <v>571</v>
      </c>
      <c r="K7" s="325">
        <v>43437</v>
      </c>
      <c r="L7" s="325">
        <v>36176</v>
      </c>
      <c r="M7" s="325">
        <v>14945</v>
      </c>
      <c r="N7" s="325">
        <v>20124</v>
      </c>
      <c r="O7" s="325">
        <v>245</v>
      </c>
      <c r="P7" s="325">
        <v>862</v>
      </c>
      <c r="Q7" s="325">
        <v>101029159590</v>
      </c>
    </row>
    <row r="8" spans="1:17" s="3" customFormat="1" ht="16.5" customHeight="1">
      <c r="A8" s="323">
        <v>2019</v>
      </c>
      <c r="B8" s="230">
        <v>15229</v>
      </c>
      <c r="C8" s="242">
        <f>SUM(D8:F8)</f>
        <v>13861</v>
      </c>
      <c r="D8" s="242">
        <v>6274</v>
      </c>
      <c r="E8" s="242">
        <v>7191</v>
      </c>
      <c r="F8" s="242">
        <v>396</v>
      </c>
      <c r="G8" s="226">
        <v>41.081728153226685</v>
      </c>
      <c r="H8" s="242">
        <v>72629881353</v>
      </c>
      <c r="I8" s="58"/>
      <c r="J8" s="325" t="s">
        <v>269</v>
      </c>
      <c r="K8" s="325">
        <v>151</v>
      </c>
      <c r="L8" s="325">
        <v>196</v>
      </c>
      <c r="M8" s="325">
        <v>34</v>
      </c>
      <c r="N8" s="325">
        <v>155</v>
      </c>
      <c r="O8" s="325">
        <v>0</v>
      </c>
      <c r="P8" s="325">
        <v>7</v>
      </c>
      <c r="Q8" s="325">
        <v>7914104474</v>
      </c>
    </row>
    <row r="9" spans="1:17" s="3" customFormat="1" ht="16.5" customHeight="1">
      <c r="A9" s="323">
        <v>2020</v>
      </c>
      <c r="B9" s="230">
        <v>26754</v>
      </c>
      <c r="C9" s="242">
        <f>SUM(D9:F9)</f>
        <v>18478</v>
      </c>
      <c r="D9" s="242">
        <v>9195</v>
      </c>
      <c r="E9" s="242">
        <v>8513</v>
      </c>
      <c r="F9" s="242">
        <v>770</v>
      </c>
      <c r="G9" s="226">
        <v>45.263689488492894</v>
      </c>
      <c r="H9" s="242">
        <v>102120441050</v>
      </c>
      <c r="I9" s="58"/>
      <c r="J9" s="88"/>
      <c r="K9" s="88"/>
      <c r="L9" s="88"/>
      <c r="M9" s="88"/>
      <c r="N9" s="88"/>
      <c r="O9" s="88"/>
      <c r="P9" s="88"/>
      <c r="Q9" s="88"/>
    </row>
    <row r="10" spans="1:17" s="3" customFormat="1" ht="16.5" customHeight="1">
      <c r="A10" s="287">
        <v>2021</v>
      </c>
      <c r="B10" s="231">
        <f>SUM(K7:K8)</f>
        <v>43588</v>
      </c>
      <c r="C10" s="174">
        <f>SUM(D10:F10)</f>
        <v>36372</v>
      </c>
      <c r="D10" s="174">
        <f>SUM(M7:M8)</f>
        <v>14979</v>
      </c>
      <c r="E10" s="174">
        <f>SUM(N7:N8)</f>
        <v>20279</v>
      </c>
      <c r="F10" s="174">
        <f>SUM(O7:P8)</f>
        <v>1114</v>
      </c>
      <c r="G10" s="175">
        <f>D10*100/C10</f>
        <v>41.182777961068957</v>
      </c>
      <c r="H10" s="174">
        <f>SUM(Q7:Q8)</f>
        <v>108943264064</v>
      </c>
      <c r="I10" s="58"/>
      <c r="J10" s="58"/>
    </row>
    <row r="11" spans="1:17" s="3" customFormat="1" ht="16.5" customHeight="1">
      <c r="A11" s="3" t="s">
        <v>606</v>
      </c>
      <c r="I11" s="58"/>
      <c r="J11" s="58"/>
    </row>
    <row r="12" spans="1:17" s="3" customFormat="1" ht="16.5" customHeight="1">
      <c r="I12" s="58"/>
    </row>
    <row r="13" spans="1:17" s="3" customFormat="1" ht="16.5" customHeight="1">
      <c r="A13" s="82" t="s">
        <v>607</v>
      </c>
      <c r="I13" s="58"/>
    </row>
    <row r="14" spans="1:17" s="3" customFormat="1" ht="27" customHeight="1">
      <c r="A14" s="671" t="s">
        <v>616</v>
      </c>
      <c r="B14" s="671"/>
      <c r="C14" s="671"/>
      <c r="D14" s="671"/>
      <c r="E14" s="671"/>
      <c r="F14" s="671"/>
      <c r="G14" s="671"/>
      <c r="H14" s="671"/>
      <c r="I14" s="58"/>
      <c r="J14" s="326" t="s">
        <v>448</v>
      </c>
      <c r="K14" s="327" t="e">
        <f>'1'!#REF!</f>
        <v>#REF!</v>
      </c>
      <c r="L14" s="328" t="e">
        <f>$K$17/K14*100</f>
        <v>#REF!</v>
      </c>
    </row>
    <row r="15" spans="1:17" s="3" customFormat="1" ht="16.5" customHeight="1">
      <c r="I15" s="58"/>
      <c r="J15" s="326" t="s">
        <v>572</v>
      </c>
      <c r="K15" s="327" t="e">
        <f>'1'!#REF!</f>
        <v>#REF!</v>
      </c>
      <c r="L15" s="328" t="e">
        <f>$K$17/K15*100</f>
        <v>#REF!</v>
      </c>
    </row>
    <row r="16" spans="1:17" s="3" customFormat="1" ht="16.5" customHeight="1">
      <c r="A16" s="82" t="s">
        <v>451</v>
      </c>
      <c r="I16" s="58"/>
      <c r="J16" s="326" t="s">
        <v>445</v>
      </c>
      <c r="K16" s="327">
        <f>'1'!$D$21</f>
        <v>1517547</v>
      </c>
      <c r="L16" s="328">
        <f>$K$17/K16*100</f>
        <v>0.62225420365893114</v>
      </c>
    </row>
    <row r="17" spans="9:12" s="3" customFormat="1" ht="16.5" customHeight="1">
      <c r="I17" s="58"/>
      <c r="J17" s="326" t="s">
        <v>452</v>
      </c>
      <c r="K17" s="327">
        <f>SUM(D38,F38)</f>
        <v>9443</v>
      </c>
      <c r="L17" s="328"/>
    </row>
    <row r="18" spans="9:12" s="3" customFormat="1" ht="16.5" customHeight="1">
      <c r="I18" s="58"/>
    </row>
    <row r="19" spans="9:12" s="3" customFormat="1" ht="16.5" customHeight="1">
      <c r="I19" s="58"/>
      <c r="J19" s="152"/>
      <c r="K19" s="239" t="s">
        <v>573</v>
      </c>
    </row>
    <row r="20" spans="9:12" s="3" customFormat="1" ht="16.5" customHeight="1">
      <c r="I20" s="58"/>
      <c r="J20" s="229"/>
      <c r="K20" s="152" t="s">
        <v>574</v>
      </c>
      <c r="L20" s="152" t="s">
        <v>253</v>
      </c>
    </row>
    <row r="21" spans="9:12" s="3" customFormat="1" ht="16.5" customHeight="1">
      <c r="I21" s="58"/>
      <c r="J21" s="229" t="s">
        <v>398</v>
      </c>
      <c r="K21" s="27">
        <v>1232</v>
      </c>
      <c r="L21" s="27">
        <v>1801</v>
      </c>
    </row>
    <row r="22" spans="9:12" s="3" customFormat="1" ht="16.5" customHeight="1">
      <c r="I22" s="58"/>
      <c r="J22" s="229" t="s">
        <v>399</v>
      </c>
      <c r="K22" s="27">
        <v>2702</v>
      </c>
      <c r="L22" s="27">
        <v>1971</v>
      </c>
    </row>
    <row r="23" spans="9:12" s="3" customFormat="1" ht="16.5" customHeight="1">
      <c r="I23" s="58"/>
      <c r="J23" s="229" t="s">
        <v>187</v>
      </c>
      <c r="K23" s="27">
        <v>3289</v>
      </c>
      <c r="L23" s="27">
        <v>2387</v>
      </c>
    </row>
    <row r="24" spans="9:12" s="3" customFormat="1" ht="16.5" customHeight="1">
      <c r="I24" s="58"/>
      <c r="J24" s="229" t="s">
        <v>188</v>
      </c>
      <c r="K24" s="27">
        <v>4018</v>
      </c>
      <c r="L24" s="27">
        <v>2370</v>
      </c>
    </row>
    <row r="25" spans="9:12" s="3" customFormat="1" ht="16.5" customHeight="1">
      <c r="I25" s="58"/>
      <c r="J25" s="229" t="s">
        <v>189</v>
      </c>
      <c r="K25" s="27">
        <v>4303</v>
      </c>
      <c r="L25" s="27">
        <v>2539</v>
      </c>
    </row>
    <row r="26" spans="9:12" s="3" customFormat="1" ht="16.5" customHeight="1">
      <c r="I26" s="58"/>
      <c r="J26" s="229" t="s">
        <v>190</v>
      </c>
      <c r="K26" s="27">
        <v>4725</v>
      </c>
      <c r="L26" s="27">
        <v>2641</v>
      </c>
    </row>
    <row r="27" spans="9:12" s="3" customFormat="1" ht="16.5" customHeight="1">
      <c r="I27" s="58"/>
      <c r="J27" s="229" t="s">
        <v>191</v>
      </c>
      <c r="K27" s="27">
        <v>5479</v>
      </c>
      <c r="L27" s="27">
        <v>3794</v>
      </c>
    </row>
    <row r="28" spans="9:12" s="3" customFormat="1" ht="16.5" customHeight="1">
      <c r="I28" s="58"/>
      <c r="J28" s="229" t="s">
        <v>192</v>
      </c>
      <c r="K28" s="27">
        <v>7291</v>
      </c>
      <c r="L28" s="27">
        <v>4676</v>
      </c>
    </row>
    <row r="29" spans="9:12" s="3" customFormat="1" ht="16.5" customHeight="1">
      <c r="I29" s="58"/>
      <c r="J29" s="229" t="s">
        <v>193</v>
      </c>
      <c r="K29" s="27">
        <v>8283</v>
      </c>
      <c r="L29" s="27">
        <v>3967</v>
      </c>
    </row>
    <row r="30" spans="9:12" s="3" customFormat="1" ht="16.5" customHeight="1">
      <c r="I30" s="58"/>
      <c r="J30" s="229" t="s">
        <v>194</v>
      </c>
      <c r="K30" s="27">
        <v>7118</v>
      </c>
      <c r="L30" s="27">
        <v>3414</v>
      </c>
    </row>
    <row r="31" spans="9:12" s="3" customFormat="1" ht="16.5" customHeight="1">
      <c r="I31" s="58"/>
      <c r="J31" s="229" t="s">
        <v>195</v>
      </c>
      <c r="K31" s="27">
        <v>7555</v>
      </c>
      <c r="L31" s="27">
        <v>3105</v>
      </c>
    </row>
    <row r="32" spans="9:12" s="3" customFormat="1" ht="16.5" customHeight="1">
      <c r="I32" s="58"/>
      <c r="J32" s="229" t="s">
        <v>196</v>
      </c>
      <c r="K32" s="27">
        <v>8111</v>
      </c>
      <c r="L32" s="27">
        <v>2796</v>
      </c>
    </row>
    <row r="33" spans="1:12" s="3" customFormat="1" ht="16.5" customHeight="1">
      <c r="I33" s="58"/>
      <c r="J33" s="229" t="s">
        <v>443</v>
      </c>
      <c r="K33" s="27">
        <v>8995</v>
      </c>
      <c r="L33" s="27">
        <v>2648</v>
      </c>
    </row>
    <row r="34" spans="1:12" s="3" customFormat="1" ht="16.5" customHeight="1">
      <c r="I34" s="58"/>
      <c r="J34" s="229" t="s">
        <v>600</v>
      </c>
      <c r="K34" s="27">
        <v>9891</v>
      </c>
      <c r="L34" s="27">
        <v>2403</v>
      </c>
    </row>
    <row r="35" spans="1:12" s="3" customFormat="1" ht="16.5" customHeight="1">
      <c r="A35" s="82" t="s">
        <v>453</v>
      </c>
      <c r="I35" s="58"/>
      <c r="J35" s="229" t="s">
        <v>615</v>
      </c>
      <c r="K35" s="27">
        <v>7233</v>
      </c>
      <c r="L35" s="27">
        <v>2210</v>
      </c>
    </row>
    <row r="36" spans="1:12" s="3" customFormat="1" ht="16.5" customHeight="1">
      <c r="A36" s="661" t="s">
        <v>163</v>
      </c>
      <c r="B36" s="661"/>
      <c r="C36" s="662"/>
      <c r="D36" s="614" t="s">
        <v>408</v>
      </c>
      <c r="E36" s="614"/>
      <c r="F36" s="614" t="s">
        <v>409</v>
      </c>
      <c r="G36" s="615"/>
      <c r="I36" s="58"/>
    </row>
    <row r="37" spans="1:12" s="3" customFormat="1" ht="16.5" customHeight="1">
      <c r="A37" s="554" t="s">
        <v>446</v>
      </c>
      <c r="B37" s="554"/>
      <c r="C37" s="555"/>
      <c r="D37" s="275" t="s">
        <v>52</v>
      </c>
      <c r="E37" s="275" t="s">
        <v>26</v>
      </c>
      <c r="F37" s="275" t="s">
        <v>52</v>
      </c>
      <c r="G37" s="275" t="s">
        <v>26</v>
      </c>
      <c r="I37" s="58"/>
    </row>
    <row r="38" spans="1:12" s="3" customFormat="1" ht="16.5" customHeight="1">
      <c r="A38" s="676" t="s">
        <v>89</v>
      </c>
      <c r="B38" s="578"/>
      <c r="C38" s="578"/>
      <c r="D38" s="48">
        <f>SUM(D39:D44)</f>
        <v>2210</v>
      </c>
      <c r="E38" s="265">
        <f>SUM(E39:E44)</f>
        <v>2260</v>
      </c>
      <c r="F38" s="243">
        <f>SUM(F39:F44)</f>
        <v>7233</v>
      </c>
      <c r="G38" s="243">
        <f>SUM(G39:G44)</f>
        <v>5376</v>
      </c>
      <c r="I38" s="58"/>
    </row>
    <row r="39" spans="1:12" s="3" customFormat="1" ht="16.5" customHeight="1">
      <c r="A39" s="672" t="s">
        <v>149</v>
      </c>
      <c r="B39" s="673"/>
      <c r="C39" s="578"/>
      <c r="D39" s="244">
        <v>74</v>
      </c>
      <c r="E39" s="266">
        <v>76</v>
      </c>
      <c r="F39" s="242">
        <v>29</v>
      </c>
      <c r="G39" s="242">
        <v>34</v>
      </c>
      <c r="I39" s="58"/>
    </row>
    <row r="40" spans="1:12" s="3" customFormat="1" ht="16.5" customHeight="1">
      <c r="A40" s="672" t="s">
        <v>150</v>
      </c>
      <c r="B40" s="673"/>
      <c r="C40" s="578"/>
      <c r="D40" s="244">
        <v>20</v>
      </c>
      <c r="E40" s="266">
        <v>25</v>
      </c>
      <c r="F40" s="242">
        <v>25</v>
      </c>
      <c r="G40" s="242">
        <v>32</v>
      </c>
      <c r="I40" s="58"/>
    </row>
    <row r="41" spans="1:12" s="3" customFormat="1" ht="16.5" customHeight="1">
      <c r="A41" s="672" t="s">
        <v>151</v>
      </c>
      <c r="B41" s="673"/>
      <c r="C41" s="578"/>
      <c r="D41" s="244">
        <v>2</v>
      </c>
      <c r="E41" s="266">
        <v>2</v>
      </c>
      <c r="F41" s="242">
        <v>1</v>
      </c>
      <c r="G41" s="242">
        <v>2</v>
      </c>
      <c r="I41" s="58"/>
    </row>
    <row r="42" spans="1:12" s="3" customFormat="1" ht="16.5" customHeight="1">
      <c r="A42" s="672" t="s">
        <v>152</v>
      </c>
      <c r="B42" s="673"/>
      <c r="C42" s="578"/>
      <c r="D42" s="244">
        <v>207</v>
      </c>
      <c r="E42" s="266">
        <v>216</v>
      </c>
      <c r="F42" s="242">
        <v>373</v>
      </c>
      <c r="G42" s="242">
        <v>383</v>
      </c>
      <c r="I42" s="58"/>
    </row>
    <row r="43" spans="1:12" s="3" customFormat="1" ht="16.5" customHeight="1">
      <c r="A43" s="672" t="s">
        <v>153</v>
      </c>
      <c r="B43" s="673"/>
      <c r="C43" s="578"/>
      <c r="D43" s="244">
        <v>220</v>
      </c>
      <c r="E43" s="266">
        <v>210</v>
      </c>
      <c r="F43" s="242">
        <v>82</v>
      </c>
      <c r="G43" s="242">
        <v>90</v>
      </c>
      <c r="I43" s="58"/>
    </row>
    <row r="44" spans="1:12" s="3" customFormat="1" ht="16.5" customHeight="1">
      <c r="A44" s="674" t="s">
        <v>154</v>
      </c>
      <c r="B44" s="675"/>
      <c r="C44" s="675"/>
      <c r="D44" s="173">
        <v>1687</v>
      </c>
      <c r="E44" s="177">
        <v>1731</v>
      </c>
      <c r="F44" s="174">
        <v>6723</v>
      </c>
      <c r="G44" s="174">
        <v>4835</v>
      </c>
      <c r="I44" s="58"/>
    </row>
    <row r="45" spans="1:12" s="3" customFormat="1" ht="16.5" customHeight="1">
      <c r="A45" s="3" t="s">
        <v>610</v>
      </c>
      <c r="I45" s="58"/>
      <c r="J45" s="58"/>
    </row>
  </sheetData>
  <sheetProtection algorithmName="SHA-512" hashValue="3zTC4eJ69bcXXg2WeFltAOH0vpw7IZw7PBKmfinZuDUSQkbxro5Fr/OI1jKh89vLFIbRWEQJ2v5vW7P+pNX+/g==" saltValue="3hAkAc+i56rUNRtlhcBDOg==" spinCount="100000" sheet="1" objects="1" scenarios="1"/>
  <mergeCells count="15">
    <mergeCell ref="A43:C43"/>
    <mergeCell ref="A44:C44"/>
    <mergeCell ref="A37:C37"/>
    <mergeCell ref="A38:C38"/>
    <mergeCell ref="A39:C39"/>
    <mergeCell ref="A40:C40"/>
    <mergeCell ref="A41:C41"/>
    <mergeCell ref="A42:C42"/>
    <mergeCell ref="B4:B5"/>
    <mergeCell ref="C4:G4"/>
    <mergeCell ref="H4:H5"/>
    <mergeCell ref="A14:H14"/>
    <mergeCell ref="A36:C36"/>
    <mergeCell ref="D36:E36"/>
    <mergeCell ref="F36:G36"/>
  </mergeCells>
  <phoneticPr fontId="6" type="noConversion"/>
  <pageMargins left="0.4" right="0.14000000000000001" top="0.44" bottom="0.3" header="0.5" footer="0.5"/>
  <pageSetup paperSize="9" scale="87" orientation="portrait" horizontalDpi="1200" verticalDpi="1200"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I54"/>
  <sheetViews>
    <sheetView showGridLines="0" zoomScaleNormal="100" zoomScaleSheetLayoutView="100" workbookViewId="0"/>
  </sheetViews>
  <sheetFormatPr defaultColWidth="8" defaultRowHeight="16.5" customHeight="1"/>
  <cols>
    <col min="1" max="7" width="12.21875" style="96" customWidth="1"/>
    <col min="8" max="8" width="14.77734375" style="96" customWidth="1"/>
    <col min="9" max="9" width="8" style="212"/>
    <col min="10" max="16384" width="8" style="96"/>
  </cols>
  <sheetData>
    <row r="1" spans="1:9" s="3" customFormat="1" ht="16.5" customHeight="1">
      <c r="A1" s="3" t="s">
        <v>715</v>
      </c>
      <c r="I1" s="58"/>
    </row>
    <row r="2" spans="1:9" s="3" customFormat="1" ht="16.5" customHeight="1">
      <c r="I2" s="58"/>
    </row>
    <row r="3" spans="1:9" s="3" customFormat="1" ht="16.5" customHeight="1">
      <c r="A3" s="82" t="s">
        <v>716</v>
      </c>
      <c r="I3" s="58"/>
    </row>
    <row r="4" spans="1:9" s="3" customFormat="1" ht="16.5" customHeight="1">
      <c r="A4" s="402" t="s">
        <v>36</v>
      </c>
      <c r="B4" s="614" t="s">
        <v>147</v>
      </c>
      <c r="C4" s="614"/>
      <c r="D4" s="614"/>
      <c r="E4" s="614"/>
      <c r="F4" s="614"/>
      <c r="G4" s="614"/>
      <c r="H4" s="615" t="s">
        <v>633</v>
      </c>
      <c r="I4" s="58"/>
    </row>
    <row r="5" spans="1:9" s="3" customFormat="1" ht="16.5" customHeight="1">
      <c r="A5" s="207" t="s">
        <v>348</v>
      </c>
      <c r="B5" s="657"/>
      <c r="C5" s="403" t="s">
        <v>31</v>
      </c>
      <c r="D5" s="403" t="s">
        <v>407</v>
      </c>
      <c r="E5" s="403" t="s">
        <v>61</v>
      </c>
      <c r="F5" s="403" t="s">
        <v>178</v>
      </c>
      <c r="G5" s="403" t="s">
        <v>252</v>
      </c>
      <c r="H5" s="689"/>
      <c r="I5" s="58"/>
    </row>
    <row r="6" spans="1:9" s="3" customFormat="1" ht="16.5" customHeight="1">
      <c r="A6" s="404">
        <v>2018</v>
      </c>
      <c r="B6" s="230">
        <v>10046</v>
      </c>
      <c r="C6" s="242">
        <v>9189</v>
      </c>
      <c r="D6" s="242">
        <v>3775</v>
      </c>
      <c r="E6" s="242">
        <v>5009</v>
      </c>
      <c r="F6" s="242">
        <v>405</v>
      </c>
      <c r="G6" s="226">
        <v>41.081728153226685</v>
      </c>
      <c r="H6" s="242">
        <v>66968408975</v>
      </c>
      <c r="I6" s="58"/>
    </row>
    <row r="7" spans="1:9" s="3" customFormat="1" ht="16.5" customHeight="1">
      <c r="A7" s="404">
        <v>2019</v>
      </c>
      <c r="B7" s="230">
        <v>15229</v>
      </c>
      <c r="C7" s="242">
        <v>13861</v>
      </c>
      <c r="D7" s="242">
        <v>6274</v>
      </c>
      <c r="E7" s="242">
        <v>7191</v>
      </c>
      <c r="F7" s="242">
        <v>396</v>
      </c>
      <c r="G7" s="226">
        <v>45.263689488492894</v>
      </c>
      <c r="H7" s="242">
        <v>72629881353</v>
      </c>
      <c r="I7" s="58"/>
    </row>
    <row r="8" spans="1:9" s="3" customFormat="1" ht="16.5" customHeight="1">
      <c r="A8" s="404">
        <v>2020</v>
      </c>
      <c r="B8" s="230">
        <v>26754</v>
      </c>
      <c r="C8" s="242">
        <v>18478</v>
      </c>
      <c r="D8" s="242">
        <v>9195</v>
      </c>
      <c r="E8" s="242">
        <v>8513</v>
      </c>
      <c r="F8" s="242">
        <v>770</v>
      </c>
      <c r="G8" s="226">
        <v>49.76187899123282</v>
      </c>
      <c r="H8" s="242">
        <v>102120441050</v>
      </c>
      <c r="I8" s="58"/>
    </row>
    <row r="9" spans="1:9" s="3" customFormat="1" ht="16.5" customHeight="1">
      <c r="A9" s="404">
        <v>2021</v>
      </c>
      <c r="B9" s="230">
        <v>43588</v>
      </c>
      <c r="C9" s="242">
        <v>36372</v>
      </c>
      <c r="D9" s="242">
        <v>14979</v>
      </c>
      <c r="E9" s="242">
        <v>20279</v>
      </c>
      <c r="F9" s="242">
        <v>1114</v>
      </c>
      <c r="G9" s="226">
        <v>41.182777961068957</v>
      </c>
      <c r="H9" s="242">
        <v>108943264064</v>
      </c>
      <c r="I9" s="58"/>
    </row>
    <row r="10" spans="1:9" s="3" customFormat="1" ht="16.5" customHeight="1">
      <c r="A10" s="405">
        <v>2022</v>
      </c>
      <c r="B10" s="231">
        <v>50272</v>
      </c>
      <c r="C10" s="174">
        <v>44367</v>
      </c>
      <c r="D10" s="174">
        <v>15929</v>
      </c>
      <c r="E10" s="174">
        <v>27149</v>
      </c>
      <c r="F10" s="174">
        <v>1289</v>
      </c>
      <c r="G10" s="304">
        <v>35.902810647553366</v>
      </c>
      <c r="H10" s="174">
        <v>140169759797</v>
      </c>
      <c r="I10" s="58"/>
    </row>
    <row r="11" spans="1:9" s="3" customFormat="1" ht="16.5" customHeight="1">
      <c r="A11" s="3" t="s">
        <v>606</v>
      </c>
      <c r="I11" s="58"/>
    </row>
    <row r="12" spans="1:9" s="3" customFormat="1" ht="16.5" customHeight="1">
      <c r="I12" s="58"/>
    </row>
    <row r="13" spans="1:9" s="3" customFormat="1" ht="16.5" customHeight="1">
      <c r="A13" s="82" t="s">
        <v>634</v>
      </c>
      <c r="I13" s="58"/>
    </row>
    <row r="14" spans="1:9" s="3" customFormat="1" ht="27" customHeight="1">
      <c r="A14" s="541" t="s">
        <v>823</v>
      </c>
      <c r="B14" s="541"/>
      <c r="C14" s="541"/>
      <c r="D14" s="541"/>
      <c r="E14" s="541"/>
      <c r="F14" s="541"/>
      <c r="G14" s="541"/>
      <c r="H14" s="541"/>
      <c r="I14" s="58"/>
    </row>
    <row r="15" spans="1:9" s="3" customFormat="1" ht="16.5" customHeight="1">
      <c r="I15" s="58"/>
    </row>
    <row r="16" spans="1:9" s="3" customFormat="1" ht="16.5" customHeight="1">
      <c r="A16" s="82" t="s">
        <v>661</v>
      </c>
      <c r="I16" s="58"/>
    </row>
    <row r="17" spans="3:9" s="3" customFormat="1" ht="16.5" customHeight="1">
      <c r="I17" s="58"/>
    </row>
    <row r="18" spans="3:9" s="3" customFormat="1" ht="16.5" customHeight="1">
      <c r="I18" s="58"/>
    </row>
    <row r="19" spans="3:9" s="3" customFormat="1" ht="16.5" customHeight="1">
      <c r="I19" s="58"/>
    </row>
    <row r="20" spans="3:9" s="3" customFormat="1" ht="16.5" customHeight="1">
      <c r="I20" s="58"/>
    </row>
    <row r="21" spans="3:9" s="3" customFormat="1" ht="16.5" customHeight="1">
      <c r="C21" s="229" t="s">
        <v>191</v>
      </c>
      <c r="D21" s="27">
        <v>5479</v>
      </c>
      <c r="E21" s="27">
        <v>3794</v>
      </c>
      <c r="I21" s="58"/>
    </row>
    <row r="22" spans="3:9" s="3" customFormat="1" ht="16.5" customHeight="1">
      <c r="C22" s="229" t="s">
        <v>192</v>
      </c>
      <c r="D22" s="27">
        <v>7291</v>
      </c>
      <c r="E22" s="27">
        <v>4676</v>
      </c>
      <c r="I22" s="58"/>
    </row>
    <row r="23" spans="3:9" s="3" customFormat="1" ht="16.5" customHeight="1">
      <c r="C23" s="229" t="s">
        <v>193</v>
      </c>
      <c r="D23" s="27">
        <v>8283</v>
      </c>
      <c r="E23" s="27">
        <v>3967</v>
      </c>
      <c r="I23" s="58"/>
    </row>
    <row r="24" spans="3:9" s="3" customFormat="1" ht="16.5" customHeight="1">
      <c r="C24" s="229" t="s">
        <v>194</v>
      </c>
      <c r="D24" s="27">
        <v>7118</v>
      </c>
      <c r="E24" s="27">
        <v>3414</v>
      </c>
      <c r="I24" s="58"/>
    </row>
    <row r="25" spans="3:9" s="3" customFormat="1" ht="16.5" customHeight="1">
      <c r="C25" s="229" t="s">
        <v>195</v>
      </c>
      <c r="D25" s="27">
        <v>7555</v>
      </c>
      <c r="E25" s="27">
        <v>3105</v>
      </c>
      <c r="I25" s="58"/>
    </row>
    <row r="26" spans="3:9" s="3" customFormat="1" ht="16.5" customHeight="1">
      <c r="C26" s="229" t="s">
        <v>196</v>
      </c>
      <c r="D26" s="27">
        <v>8111</v>
      </c>
      <c r="E26" s="27">
        <v>2796</v>
      </c>
      <c r="I26" s="58"/>
    </row>
    <row r="27" spans="3:9" s="3" customFormat="1" ht="16.5" customHeight="1">
      <c r="C27" s="229" t="s">
        <v>443</v>
      </c>
      <c r="D27" s="27">
        <v>8995</v>
      </c>
      <c r="E27" s="27">
        <v>2648</v>
      </c>
      <c r="I27" s="58"/>
    </row>
    <row r="28" spans="3:9" s="3" customFormat="1" ht="16.5" customHeight="1">
      <c r="C28" s="229" t="s">
        <v>600</v>
      </c>
      <c r="D28" s="27">
        <v>9891</v>
      </c>
      <c r="E28" s="27">
        <v>2403</v>
      </c>
      <c r="I28" s="58"/>
    </row>
    <row r="29" spans="3:9" s="3" customFormat="1" ht="16.5" customHeight="1">
      <c r="C29" s="229" t="s">
        <v>613</v>
      </c>
      <c r="D29" s="27">
        <v>7233</v>
      </c>
      <c r="E29" s="27">
        <v>2210</v>
      </c>
      <c r="I29" s="58"/>
    </row>
    <row r="30" spans="3:9" s="3" customFormat="1" ht="16.5" customHeight="1">
      <c r="C30" s="229" t="s">
        <v>782</v>
      </c>
      <c r="D30" s="27">
        <v>5137</v>
      </c>
      <c r="E30" s="27">
        <v>2772</v>
      </c>
      <c r="I30" s="58"/>
    </row>
    <row r="31" spans="3:9" s="3" customFormat="1" ht="16.5" customHeight="1">
      <c r="I31" s="58"/>
    </row>
    <row r="32" spans="3:9" s="3" customFormat="1" ht="16.5" customHeight="1">
      <c r="I32" s="58"/>
    </row>
    <row r="33" spans="1:9" s="3" customFormat="1" ht="16.5" customHeight="1">
      <c r="I33" s="58"/>
    </row>
    <row r="34" spans="1:9" s="3" customFormat="1" ht="16.5" customHeight="1">
      <c r="I34" s="58"/>
    </row>
    <row r="35" spans="1:9" s="3" customFormat="1" ht="16.5" customHeight="1">
      <c r="A35" s="82" t="s">
        <v>717</v>
      </c>
      <c r="I35" s="58"/>
    </row>
    <row r="36" spans="1:9" s="3" customFormat="1" ht="16.5" customHeight="1">
      <c r="A36" s="661" t="s">
        <v>163</v>
      </c>
      <c r="B36" s="661"/>
      <c r="C36" s="662"/>
      <c r="D36" s="614" t="s">
        <v>408</v>
      </c>
      <c r="E36" s="614"/>
      <c r="F36" s="614" t="s">
        <v>409</v>
      </c>
      <c r="G36" s="615"/>
      <c r="I36" s="58"/>
    </row>
    <row r="37" spans="1:9" s="3" customFormat="1" ht="16.5" customHeight="1">
      <c r="A37" s="554" t="s">
        <v>66</v>
      </c>
      <c r="B37" s="554"/>
      <c r="C37" s="555"/>
      <c r="D37" s="360" t="s">
        <v>52</v>
      </c>
      <c r="E37" s="360" t="s">
        <v>26</v>
      </c>
      <c r="F37" s="360" t="s">
        <v>52</v>
      </c>
      <c r="G37" s="360" t="s">
        <v>26</v>
      </c>
      <c r="I37" s="58"/>
    </row>
    <row r="38" spans="1:9" s="3" customFormat="1" ht="16.5" customHeight="1">
      <c r="A38" s="676" t="s">
        <v>89</v>
      </c>
      <c r="B38" s="578"/>
      <c r="C38" s="578"/>
      <c r="D38" s="91">
        <v>2772</v>
      </c>
      <c r="E38" s="220">
        <v>2666</v>
      </c>
      <c r="F38" s="243">
        <v>5137</v>
      </c>
      <c r="G38" s="243">
        <v>4946</v>
      </c>
      <c r="I38" s="58"/>
    </row>
    <row r="39" spans="1:9" s="3" customFormat="1" ht="16.5" customHeight="1">
      <c r="A39" s="672" t="s">
        <v>149</v>
      </c>
      <c r="B39" s="673"/>
      <c r="C39" s="578"/>
      <c r="D39" s="90">
        <v>52</v>
      </c>
      <c r="E39" s="257">
        <v>48</v>
      </c>
      <c r="F39" s="242">
        <v>37</v>
      </c>
      <c r="G39" s="242">
        <v>30</v>
      </c>
      <c r="I39" s="58"/>
    </row>
    <row r="40" spans="1:9" s="3" customFormat="1" ht="16.5" customHeight="1">
      <c r="A40" s="672" t="s">
        <v>150</v>
      </c>
      <c r="B40" s="673"/>
      <c r="C40" s="578"/>
      <c r="D40" s="90">
        <v>22</v>
      </c>
      <c r="E40" s="257">
        <v>23</v>
      </c>
      <c r="F40" s="242">
        <v>30</v>
      </c>
      <c r="G40" s="242">
        <v>27</v>
      </c>
      <c r="I40" s="58"/>
    </row>
    <row r="41" spans="1:9" s="3" customFormat="1" ht="16.5" customHeight="1">
      <c r="A41" s="672" t="s">
        <v>151</v>
      </c>
      <c r="B41" s="673"/>
      <c r="C41" s="578"/>
      <c r="D41" s="90">
        <v>4</v>
      </c>
      <c r="E41" s="257">
        <v>4</v>
      </c>
      <c r="F41" s="242">
        <v>1</v>
      </c>
      <c r="G41" s="242">
        <v>1</v>
      </c>
      <c r="I41" s="58"/>
    </row>
    <row r="42" spans="1:9" s="3" customFormat="1" ht="16.5" customHeight="1">
      <c r="A42" s="672" t="s">
        <v>152</v>
      </c>
      <c r="B42" s="673"/>
      <c r="C42" s="578"/>
      <c r="D42" s="90">
        <v>295</v>
      </c>
      <c r="E42" s="257">
        <v>289</v>
      </c>
      <c r="F42" s="242">
        <v>259</v>
      </c>
      <c r="G42" s="242">
        <v>297</v>
      </c>
      <c r="I42" s="58"/>
    </row>
    <row r="43" spans="1:9" s="3" customFormat="1" ht="16.5" customHeight="1">
      <c r="A43" s="672" t="s">
        <v>153</v>
      </c>
      <c r="B43" s="673"/>
      <c r="C43" s="578"/>
      <c r="D43" s="90">
        <v>208</v>
      </c>
      <c r="E43" s="257">
        <v>217</v>
      </c>
      <c r="F43" s="242">
        <v>79</v>
      </c>
      <c r="G43" s="242">
        <v>74</v>
      </c>
      <c r="I43" s="58"/>
    </row>
    <row r="44" spans="1:9" s="3" customFormat="1" ht="16.5" customHeight="1">
      <c r="A44" s="679" t="s">
        <v>154</v>
      </c>
      <c r="B44" s="681"/>
      <c r="C44" s="681"/>
      <c r="D44" s="303">
        <v>2191</v>
      </c>
      <c r="E44" s="406">
        <v>2085</v>
      </c>
      <c r="F44" s="50">
        <v>4731</v>
      </c>
      <c r="G44" s="50">
        <v>4517</v>
      </c>
      <c r="I44" s="58"/>
    </row>
    <row r="45" spans="1:9" s="3" customFormat="1" ht="16.5" customHeight="1">
      <c r="A45" s="3" t="s">
        <v>610</v>
      </c>
      <c r="I45" s="58"/>
    </row>
    <row r="47" spans="1:9" ht="16.5" customHeight="1">
      <c r="A47" s="82" t="s">
        <v>718</v>
      </c>
      <c r="H47" s="426"/>
    </row>
    <row r="48" spans="1:9" ht="16.5" customHeight="1">
      <c r="A48" s="682" t="s">
        <v>163</v>
      </c>
      <c r="B48" s="683"/>
      <c r="C48" s="684" t="s">
        <v>635</v>
      </c>
      <c r="D48" s="684" t="s">
        <v>636</v>
      </c>
      <c r="E48" s="684"/>
      <c r="F48" s="684"/>
      <c r="G48" s="684"/>
      <c r="H48" s="685"/>
    </row>
    <row r="49" spans="1:8" ht="16.5" customHeight="1">
      <c r="A49" s="463"/>
      <c r="B49" s="407"/>
      <c r="C49" s="684"/>
      <c r="D49" s="684" t="s">
        <v>431</v>
      </c>
      <c r="E49" s="684" t="s">
        <v>637</v>
      </c>
      <c r="F49" s="684"/>
      <c r="G49" s="684"/>
      <c r="H49" s="686" t="s">
        <v>178</v>
      </c>
    </row>
    <row r="50" spans="1:8" ht="16.5" customHeight="1">
      <c r="A50" s="687" t="s">
        <v>66</v>
      </c>
      <c r="B50" s="688"/>
      <c r="C50" s="684"/>
      <c r="D50" s="684"/>
      <c r="E50" s="473" t="s">
        <v>162</v>
      </c>
      <c r="F50" s="473" t="s">
        <v>638</v>
      </c>
      <c r="G50" s="473" t="s">
        <v>533</v>
      </c>
      <c r="H50" s="686"/>
    </row>
    <row r="51" spans="1:8" ht="16.5" customHeight="1">
      <c r="A51" s="676" t="s">
        <v>89</v>
      </c>
      <c r="B51" s="677"/>
      <c r="C51" s="453">
        <v>8097</v>
      </c>
      <c r="D51" s="506">
        <v>7775</v>
      </c>
      <c r="E51" s="454">
        <v>7609</v>
      </c>
      <c r="F51" s="454">
        <v>393</v>
      </c>
      <c r="G51" s="454">
        <v>7216</v>
      </c>
      <c r="H51" s="507">
        <v>166</v>
      </c>
    </row>
    <row r="52" spans="1:8" ht="16.5" customHeight="1">
      <c r="A52" s="672" t="s">
        <v>639</v>
      </c>
      <c r="B52" s="678"/>
      <c r="C52" s="408">
        <v>2772</v>
      </c>
      <c r="D52" s="508">
        <v>2666</v>
      </c>
      <c r="E52" s="409">
        <v>2604</v>
      </c>
      <c r="F52" s="409">
        <v>313</v>
      </c>
      <c r="G52" s="409">
        <v>2291</v>
      </c>
      <c r="H52" s="409">
        <v>62</v>
      </c>
    </row>
    <row r="53" spans="1:8" ht="16.5" customHeight="1">
      <c r="A53" s="672" t="s">
        <v>617</v>
      </c>
      <c r="B53" s="678"/>
      <c r="C53" s="408">
        <v>188</v>
      </c>
      <c r="D53" s="508">
        <v>163</v>
      </c>
      <c r="E53" s="409">
        <v>137</v>
      </c>
      <c r="F53" s="409">
        <v>46</v>
      </c>
      <c r="G53" s="409">
        <v>91</v>
      </c>
      <c r="H53" s="409">
        <v>26</v>
      </c>
    </row>
    <row r="54" spans="1:8" ht="16.5" customHeight="1">
      <c r="A54" s="679" t="s">
        <v>575</v>
      </c>
      <c r="B54" s="680"/>
      <c r="C54" s="410">
        <v>5137</v>
      </c>
      <c r="D54" s="411">
        <v>4946</v>
      </c>
      <c r="E54" s="411">
        <v>4868</v>
      </c>
      <c r="F54" s="411">
        <v>34</v>
      </c>
      <c r="G54" s="411">
        <v>4834</v>
      </c>
      <c r="H54" s="411">
        <v>78</v>
      </c>
    </row>
  </sheetData>
  <sheetProtection algorithmName="SHA-512" hashValue="nLlD6nba5e4Rh6no87t0oLwf6qHefAGvfCH1ZFCrgDYpSyH0gq8WqgZPBjPgQfefw90gieLI5VynmHHRPBOWAw==" saltValue="z2ZssKpQ3ooIRqnEXOlbpg==" spinCount="100000" sheet="1" objects="1" scenarios="1"/>
  <mergeCells count="26">
    <mergeCell ref="A42:C42"/>
    <mergeCell ref="B4:B5"/>
    <mergeCell ref="C4:G4"/>
    <mergeCell ref="H4:H5"/>
    <mergeCell ref="A14:H14"/>
    <mergeCell ref="A36:C36"/>
    <mergeCell ref="D36:E36"/>
    <mergeCell ref="F36:G36"/>
    <mergeCell ref="A37:C37"/>
    <mergeCell ref="A38:C38"/>
    <mergeCell ref="A39:C39"/>
    <mergeCell ref="A40:C40"/>
    <mergeCell ref="A41:C41"/>
    <mergeCell ref="D48:H48"/>
    <mergeCell ref="D49:D50"/>
    <mergeCell ref="E49:G49"/>
    <mergeCell ref="H49:H50"/>
    <mergeCell ref="A50:B50"/>
    <mergeCell ref="A51:B51"/>
    <mergeCell ref="A52:B52"/>
    <mergeCell ref="A53:B53"/>
    <mergeCell ref="A54:B54"/>
    <mergeCell ref="A43:C43"/>
    <mergeCell ref="A44:C44"/>
    <mergeCell ref="A48:B48"/>
    <mergeCell ref="C48:C50"/>
  </mergeCells>
  <phoneticPr fontId="6" type="noConversion"/>
  <pageMargins left="0.70866141732283461" right="0.70866141732283461" top="0.19685039370078741" bottom="0.19685039370078741" header="0.31496062992125984" footer="0.31496062992125984"/>
  <pageSetup paperSize="9" scale="76" orientation="portrait" horizontalDpi="1200" verticalDpi="1200"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J37"/>
  <sheetViews>
    <sheetView showGridLines="0" zoomScaleNormal="100" zoomScaleSheetLayoutView="100" workbookViewId="0"/>
  </sheetViews>
  <sheetFormatPr defaultColWidth="8" defaultRowHeight="16.5" customHeight="1"/>
  <cols>
    <col min="1" max="1" width="14.44140625" style="86" customWidth="1"/>
    <col min="2" max="9" width="8" style="86" customWidth="1"/>
    <col min="10" max="16384" width="8" style="86"/>
  </cols>
  <sheetData>
    <row r="1" spans="1:10" s="3" customFormat="1" ht="16.5" customHeight="1">
      <c r="A1" s="82" t="s">
        <v>769</v>
      </c>
      <c r="B1" s="61"/>
      <c r="C1" s="61"/>
      <c r="D1" s="61"/>
      <c r="E1" s="61"/>
      <c r="F1" s="61"/>
      <c r="G1" s="61"/>
      <c r="H1" s="61"/>
      <c r="I1" s="61"/>
      <c r="J1" s="385"/>
    </row>
    <row r="2" spans="1:10" s="3" customFormat="1" ht="16.5" customHeight="1">
      <c r="A2" s="61"/>
      <c r="B2" s="61"/>
      <c r="C2" s="61"/>
      <c r="D2" s="61"/>
      <c r="E2" s="61"/>
      <c r="F2" s="61"/>
      <c r="G2" s="61"/>
      <c r="H2" s="61"/>
      <c r="I2" s="61"/>
    </row>
    <row r="3" spans="1:10" s="3" customFormat="1" ht="16.5" customHeight="1">
      <c r="A3" s="82" t="s">
        <v>770</v>
      </c>
      <c r="B3" s="61"/>
      <c r="C3" s="61"/>
      <c r="D3" s="61"/>
      <c r="E3" s="61"/>
      <c r="F3" s="61"/>
      <c r="G3" s="61"/>
      <c r="H3" s="61"/>
      <c r="I3" s="61"/>
    </row>
    <row r="4" spans="1:10" s="3" customFormat="1" ht="63" customHeight="1">
      <c r="A4" s="529" t="s">
        <v>829</v>
      </c>
      <c r="B4" s="529"/>
      <c r="C4" s="529"/>
      <c r="D4" s="529"/>
      <c r="E4" s="529"/>
      <c r="F4" s="529"/>
      <c r="G4" s="529"/>
      <c r="H4" s="529"/>
      <c r="I4" s="529"/>
    </row>
    <row r="5" spans="1:10" s="3" customFormat="1" ht="16.5" customHeight="1">
      <c r="A5" s="59"/>
      <c r="B5" s="59"/>
      <c r="C5" s="59"/>
      <c r="D5" s="59"/>
      <c r="E5" s="59"/>
      <c r="F5" s="59"/>
      <c r="G5" s="59"/>
      <c r="I5" s="59"/>
    </row>
    <row r="6" spans="1:10" s="3" customFormat="1" ht="16.5" customHeight="1">
      <c r="A6" s="82" t="s">
        <v>771</v>
      </c>
    </row>
    <row r="7" spans="1:10" s="3" customFormat="1" ht="16.5" customHeight="1">
      <c r="A7" s="429" t="s">
        <v>36</v>
      </c>
      <c r="B7" s="614" t="s">
        <v>89</v>
      </c>
      <c r="C7" s="614" t="s">
        <v>773</v>
      </c>
      <c r="D7" s="614" t="s">
        <v>774</v>
      </c>
    </row>
    <row r="8" spans="1:10" s="3" customFormat="1" ht="16.5" customHeight="1">
      <c r="A8" s="207" t="s">
        <v>348</v>
      </c>
      <c r="B8" s="657"/>
      <c r="C8" s="657"/>
      <c r="D8" s="657"/>
    </row>
    <row r="9" spans="1:10" s="3" customFormat="1" ht="16.5" customHeight="1">
      <c r="A9" s="428">
        <v>2018</v>
      </c>
      <c r="B9" s="100">
        <v>8080</v>
      </c>
      <c r="C9" s="90">
        <v>3070</v>
      </c>
      <c r="D9" s="242">
        <v>5010</v>
      </c>
    </row>
    <row r="10" spans="1:10" s="3" customFormat="1" ht="16.5" customHeight="1">
      <c r="A10" s="428">
        <v>2019</v>
      </c>
      <c r="B10" s="100">
        <v>7549</v>
      </c>
      <c r="C10" s="90">
        <v>3144</v>
      </c>
      <c r="D10" s="242">
        <v>4405</v>
      </c>
    </row>
    <row r="11" spans="1:10" s="3" customFormat="1" ht="16.5" customHeight="1">
      <c r="A11" s="428">
        <v>2020</v>
      </c>
      <c r="B11" s="100">
        <v>7190</v>
      </c>
      <c r="C11" s="90">
        <v>2975</v>
      </c>
      <c r="D11" s="242">
        <v>4215</v>
      </c>
    </row>
    <row r="12" spans="1:10" s="3" customFormat="1" ht="16.5" customHeight="1">
      <c r="A12" s="428">
        <v>2021</v>
      </c>
      <c r="B12" s="100">
        <v>7483</v>
      </c>
      <c r="C12" s="90">
        <v>3040</v>
      </c>
      <c r="D12" s="242">
        <v>4443</v>
      </c>
    </row>
    <row r="13" spans="1:10" s="3" customFormat="1" ht="16.5" customHeight="1">
      <c r="A13" s="430">
        <v>2022</v>
      </c>
      <c r="B13" s="435">
        <v>7530</v>
      </c>
      <c r="C13" s="47">
        <v>3483</v>
      </c>
      <c r="D13" s="50">
        <v>4047</v>
      </c>
    </row>
    <row r="14" spans="1:10" s="3" customFormat="1" ht="16.5" customHeight="1">
      <c r="A14" s="82"/>
    </row>
    <row r="15" spans="1:10" s="3" customFormat="1" ht="16.5" customHeight="1">
      <c r="A15" s="82" t="s">
        <v>772</v>
      </c>
      <c r="B15" s="61"/>
      <c r="C15" s="61"/>
      <c r="D15" s="61"/>
      <c r="E15" s="61"/>
      <c r="F15" s="61"/>
      <c r="G15" s="61"/>
      <c r="H15" s="61"/>
      <c r="I15" s="61"/>
    </row>
    <row r="16" spans="1:10" s="3" customFormat="1" ht="52.5" customHeight="1">
      <c r="A16" s="529" t="s">
        <v>830</v>
      </c>
      <c r="B16" s="529"/>
      <c r="C16" s="529"/>
      <c r="D16" s="529"/>
      <c r="E16" s="529"/>
      <c r="F16" s="529"/>
      <c r="G16" s="529"/>
      <c r="H16" s="529"/>
      <c r="I16" s="529"/>
    </row>
    <row r="17" spans="1:9" s="3" customFormat="1" ht="16.5" customHeight="1">
      <c r="A17" s="82"/>
    </row>
    <row r="18" spans="1:9" s="3" customFormat="1" ht="16.5" customHeight="1">
      <c r="A18" s="82" t="s">
        <v>777</v>
      </c>
    </row>
    <row r="19" spans="1:9" s="3" customFormat="1" ht="16.5" customHeight="1">
      <c r="A19" s="429" t="s">
        <v>36</v>
      </c>
      <c r="B19" s="614" t="s">
        <v>775</v>
      </c>
    </row>
    <row r="20" spans="1:9" s="3" customFormat="1" ht="16.5" customHeight="1">
      <c r="A20" s="207" t="s">
        <v>348</v>
      </c>
      <c r="B20" s="657"/>
    </row>
    <row r="21" spans="1:9" s="3" customFormat="1" ht="16.5" customHeight="1">
      <c r="A21" s="428">
        <v>2018</v>
      </c>
      <c r="B21" s="90">
        <v>13781</v>
      </c>
    </row>
    <row r="22" spans="1:9" s="3" customFormat="1" ht="16.5" customHeight="1">
      <c r="A22" s="428">
        <v>2019</v>
      </c>
      <c r="B22" s="90">
        <v>12755</v>
      </c>
    </row>
    <row r="23" spans="1:9" s="3" customFormat="1" ht="16.5" customHeight="1">
      <c r="A23" s="428">
        <v>2020</v>
      </c>
      <c r="B23" s="90">
        <v>11405</v>
      </c>
    </row>
    <row r="24" spans="1:9" s="3" customFormat="1" ht="16.5" customHeight="1">
      <c r="A24" s="428">
        <v>2021</v>
      </c>
      <c r="B24" s="90">
        <v>10600</v>
      </c>
    </row>
    <row r="25" spans="1:9" s="3" customFormat="1" ht="16.5" customHeight="1">
      <c r="A25" s="430">
        <v>2022</v>
      </c>
      <c r="B25" s="47">
        <v>9497</v>
      </c>
    </row>
    <row r="26" spans="1:9" s="3" customFormat="1" ht="16.5" customHeight="1">
      <c r="A26" s="82"/>
    </row>
    <row r="27" spans="1:9" s="3" customFormat="1" ht="16.5" customHeight="1">
      <c r="A27" s="82" t="s">
        <v>776</v>
      </c>
      <c r="B27" s="61"/>
      <c r="C27" s="61"/>
      <c r="D27" s="61"/>
      <c r="E27" s="61"/>
      <c r="F27" s="61"/>
      <c r="G27" s="61"/>
      <c r="H27" s="61"/>
      <c r="I27" s="61"/>
    </row>
    <row r="28" spans="1:9" s="3" customFormat="1" ht="40.5" customHeight="1">
      <c r="A28" s="529" t="s">
        <v>831</v>
      </c>
      <c r="B28" s="529"/>
      <c r="C28" s="529"/>
      <c r="D28" s="529"/>
      <c r="E28" s="529"/>
      <c r="F28" s="529"/>
      <c r="G28" s="529"/>
      <c r="H28" s="529"/>
      <c r="I28" s="529"/>
    </row>
    <row r="29" spans="1:9" s="3" customFormat="1" ht="16.5" customHeight="1">
      <c r="A29" s="82"/>
    </row>
    <row r="30" spans="1:9" s="3" customFormat="1" ht="16.5" customHeight="1">
      <c r="A30" s="82" t="s">
        <v>779</v>
      </c>
    </row>
    <row r="31" spans="1:9" s="3" customFormat="1" ht="16.5" customHeight="1">
      <c r="A31" s="429" t="s">
        <v>36</v>
      </c>
      <c r="B31" s="614" t="s">
        <v>778</v>
      </c>
    </row>
    <row r="32" spans="1:9" s="3" customFormat="1" ht="16.5" customHeight="1">
      <c r="A32" s="207" t="s">
        <v>348</v>
      </c>
      <c r="B32" s="657"/>
    </row>
    <row r="33" spans="1:2" s="3" customFormat="1" ht="16.5" customHeight="1">
      <c r="A33" s="428">
        <v>2018</v>
      </c>
      <c r="B33" s="90">
        <v>3173</v>
      </c>
    </row>
    <row r="34" spans="1:2" s="3" customFormat="1" ht="16.5" customHeight="1">
      <c r="A34" s="428">
        <v>2019</v>
      </c>
      <c r="B34" s="90">
        <v>3869</v>
      </c>
    </row>
    <row r="35" spans="1:2" s="3" customFormat="1" ht="16.5" customHeight="1">
      <c r="A35" s="428">
        <v>2020</v>
      </c>
      <c r="B35" s="90">
        <v>4409</v>
      </c>
    </row>
    <row r="36" spans="1:2" s="3" customFormat="1" ht="16.5" customHeight="1">
      <c r="A36" s="428">
        <v>2021</v>
      </c>
      <c r="B36" s="90">
        <v>4452</v>
      </c>
    </row>
    <row r="37" spans="1:2" s="3" customFormat="1" ht="16.5" customHeight="1">
      <c r="A37" s="430">
        <v>2022</v>
      </c>
      <c r="B37" s="47">
        <v>4902</v>
      </c>
    </row>
  </sheetData>
  <sheetProtection algorithmName="SHA-512" hashValue="Qy8G2qwoM3OonnKtKvA2zc9PcfItXNKipJ7xnoVl4B0eVsfxNceFlOwy99OwcOIK4gmIxRAP4baRCyij+K1bqw==" saltValue="TFQ3b7n4aVG6CHTy3XFv+A==" spinCount="100000" sheet="1" objects="1" scenarios="1"/>
  <mergeCells count="8">
    <mergeCell ref="A4:I4"/>
    <mergeCell ref="A28:I28"/>
    <mergeCell ref="B31:B32"/>
    <mergeCell ref="A16:I16"/>
    <mergeCell ref="B7:B8"/>
    <mergeCell ref="C7:C8"/>
    <mergeCell ref="D7:D8"/>
    <mergeCell ref="B19:B20"/>
  </mergeCells>
  <phoneticPr fontId="6" type="noConversion"/>
  <pageMargins left="0.39370078740157483" right="0" top="0.59055118110236227" bottom="0.15748031496062992" header="0.51181102362204722" footer="3.937007874015748E-2"/>
  <pageSetup paperSize="9" scale="9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24</vt:i4>
      </vt:variant>
      <vt:variant>
        <vt:lpstr>이름이 지정된 범위</vt:lpstr>
      </vt:variant>
      <vt:variant>
        <vt:i4>1</vt:i4>
      </vt:variant>
    </vt:vector>
  </HeadingPairs>
  <TitlesOfParts>
    <vt:vector size="25" baseType="lpstr">
      <vt:lpstr>양식 변경사항</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20_수정전</vt:lpstr>
      <vt:lpstr>21</vt:lpstr>
      <vt:lpstr>22</vt:lpstr>
      <vt:lpstr>'20_수정전'!Print_Area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Administrator</cp:lastModifiedBy>
  <cp:lastPrinted>2023-05-03T07:56:45Z</cp:lastPrinted>
  <dcterms:created xsi:type="dcterms:W3CDTF">2009-03-26T11:22:50Z</dcterms:created>
  <dcterms:modified xsi:type="dcterms:W3CDTF">2023-09-20T04:28:12Z</dcterms:modified>
</cp:coreProperties>
</file>