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14.xml" ContentType="application/vnd.openxmlformats-officedocument.drawingml.chartshapes+xml"/>
  <Override PartName="/xl/charts/chart14.xml" ContentType="application/vnd.openxmlformats-officedocument.drawingml.chart+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현재_통합_문서" defaultThemeVersion="124226"/>
  <mc:AlternateContent xmlns:mc="http://schemas.openxmlformats.org/markup-compatibility/2006">
    <mc:Choice Requires="x15">
      <x15ac:absPath xmlns:x15ac="http://schemas.microsoft.com/office/spreadsheetml/2010/11/ac" url="G:\SYS2\SHARE\통계@\[통계]\0.사법연감\사법연감게시파일\2022년\완\"/>
    </mc:Choice>
  </mc:AlternateContent>
  <bookViews>
    <workbookView xWindow="585" yWindow="390" windowWidth="24945" windowHeight="12765" tabRatio="657"/>
  </bookViews>
  <sheets>
    <sheet name="1" sheetId="3" r:id="rId1"/>
    <sheet name="2" sheetId="4" r:id="rId2"/>
    <sheet name="3" sheetId="19" r:id="rId3"/>
    <sheet name="4" sheetId="20" r:id="rId4"/>
    <sheet name="5" sheetId="5" r:id="rId5"/>
    <sheet name="6" sheetId="6" r:id="rId6"/>
    <sheet name="7" sheetId="24" r:id="rId7"/>
    <sheet name="8" sheetId="25" r:id="rId8"/>
    <sheet name="9" sheetId="23" r:id="rId9"/>
    <sheet name="항소심 처리" sheetId="22" state="hidden" r:id="rId10"/>
    <sheet name="제1심 처리" sheetId="21" state="hidden" r:id="rId11"/>
  </sheets>
  <definedNames>
    <definedName name="_xlnm._FilterDatabase" localSheetId="3" hidden="1">'4'!$A$6:$AL$89</definedName>
    <definedName name="_xlnm._FilterDatabase" localSheetId="6" hidden="1">'7'!#REF!</definedName>
    <definedName name="_xlnm._FilterDatabase" localSheetId="7" hidden="1">'8'!#REF!</definedName>
    <definedName name="_xlnm._FilterDatabase" localSheetId="10" hidden="1">'제1심 처리'!$A$6:$AL$89</definedName>
    <definedName name="_xlnm.Print_Area" localSheetId="10">'제1심 처리'!$A$1:$AL$89</definedName>
    <definedName name="_xlnm.Print_Area" localSheetId="9">'항소심 처리'!$A$1:$X$53</definedName>
  </definedNames>
  <calcPr calcId="162913"/>
</workbook>
</file>

<file path=xl/calcChain.xml><?xml version="1.0" encoding="utf-8"?>
<calcChain xmlns="http://schemas.openxmlformats.org/spreadsheetml/2006/main">
  <c r="D18" i="21" l="1"/>
  <c r="C18" i="21"/>
  <c r="D9" i="22" l="1"/>
  <c r="D8" i="22"/>
  <c r="AI88" i="21" l="1"/>
  <c r="AI87" i="21"/>
  <c r="AI86" i="21"/>
  <c r="AI85" i="21"/>
  <c r="AI84" i="21"/>
  <c r="AI83" i="21"/>
  <c r="AI82" i="21"/>
  <c r="AI81" i="21"/>
  <c r="AI80" i="21"/>
  <c r="AI79" i="21"/>
  <c r="AI78" i="21"/>
  <c r="AI77" i="21"/>
  <c r="AI76" i="21"/>
  <c r="AI75" i="21"/>
  <c r="AI74" i="21"/>
  <c r="AI73" i="21"/>
  <c r="AI72" i="21"/>
  <c r="AI71" i="21"/>
  <c r="AI70" i="21"/>
  <c r="AI69" i="21"/>
  <c r="AI68" i="21"/>
  <c r="AI67" i="21"/>
  <c r="AI66" i="21"/>
  <c r="AI65" i="21"/>
  <c r="AI64" i="21"/>
  <c r="AI63" i="21"/>
  <c r="AI62" i="21"/>
  <c r="AI61" i="21"/>
  <c r="AI60" i="21"/>
  <c r="AI59" i="21"/>
  <c r="AI58" i="21"/>
  <c r="AI57" i="21"/>
  <c r="AI56" i="21"/>
  <c r="AI55" i="21"/>
  <c r="AI54" i="21"/>
  <c r="AI53" i="21"/>
  <c r="AI52" i="21"/>
  <c r="AI51" i="21"/>
  <c r="AI50" i="21"/>
  <c r="AI49" i="21"/>
  <c r="AI48" i="21"/>
  <c r="AI47" i="21"/>
  <c r="AI46" i="21"/>
  <c r="AI45" i="21"/>
  <c r="AI44" i="21"/>
  <c r="AI43" i="21"/>
  <c r="AI42" i="21"/>
  <c r="AI41" i="21"/>
  <c r="AI40" i="21"/>
  <c r="AI39" i="21"/>
  <c r="AI38" i="21"/>
  <c r="AI37" i="21"/>
  <c r="AI36" i="21"/>
  <c r="AI35" i="21"/>
  <c r="AI34" i="21"/>
  <c r="AI33" i="21"/>
  <c r="AI32" i="21"/>
  <c r="AI31" i="21"/>
  <c r="AI30" i="21"/>
  <c r="AI29" i="21"/>
  <c r="AI28" i="21"/>
  <c r="AI27" i="21"/>
  <c r="AI26" i="21"/>
  <c r="AI25" i="21"/>
  <c r="AI24" i="21"/>
  <c r="AI23" i="21"/>
  <c r="AI22" i="21"/>
  <c r="AI21" i="21"/>
  <c r="AI20" i="21"/>
  <c r="AI19" i="21"/>
  <c r="AI18" i="21"/>
  <c r="AI17" i="21"/>
  <c r="AI16" i="21"/>
  <c r="AI15" i="21"/>
  <c r="AI14" i="21"/>
  <c r="AI13" i="21"/>
  <c r="AI12" i="21"/>
  <c r="AI11" i="21"/>
  <c r="AI10" i="21"/>
  <c r="AI9" i="21"/>
  <c r="AI8" i="21"/>
  <c r="AI7" i="21"/>
  <c r="AL6" i="21"/>
  <c r="AI6" i="21"/>
  <c r="S6" i="21"/>
  <c r="R6" i="21"/>
  <c r="M20" i="22"/>
  <c r="L20" i="22"/>
  <c r="K20" i="22"/>
  <c r="J20" i="22"/>
  <c r="I20" i="22"/>
  <c r="H20" i="22"/>
  <c r="I5" i="22" l="1"/>
  <c r="J5" i="22"/>
  <c r="J9" i="22"/>
  <c r="E9" i="22"/>
  <c r="D5" i="22" l="1"/>
  <c r="G6" i="21"/>
  <c r="F6" i="21"/>
  <c r="E6" i="21"/>
  <c r="D32" i="22"/>
  <c r="D20" i="22"/>
  <c r="AO81" i="21" l="1"/>
  <c r="AO80" i="21"/>
  <c r="AO79" i="21"/>
  <c r="AO78" i="21"/>
  <c r="AO77" i="21"/>
  <c r="AO76" i="21"/>
  <c r="AO75" i="21"/>
  <c r="AO74" i="21"/>
  <c r="AO73" i="21"/>
  <c r="AO72" i="21"/>
  <c r="AO71" i="21"/>
  <c r="AO70" i="21"/>
  <c r="AO69" i="21"/>
  <c r="AO68" i="21"/>
  <c r="AO67" i="21"/>
  <c r="AO66" i="21"/>
  <c r="AO65" i="21"/>
  <c r="AO64" i="21"/>
  <c r="AO63" i="21"/>
  <c r="AO62" i="21"/>
  <c r="AO61" i="21"/>
  <c r="AO60" i="21"/>
  <c r="AO59" i="21"/>
  <c r="AO58" i="21"/>
  <c r="AO57" i="21"/>
  <c r="AO56" i="21"/>
  <c r="AO55" i="21"/>
  <c r="AO54" i="21"/>
  <c r="AO53" i="21"/>
  <c r="AO52" i="21"/>
  <c r="AO51" i="21"/>
  <c r="AO50" i="21"/>
  <c r="AO49" i="21"/>
  <c r="AO48" i="21"/>
  <c r="AO47" i="21"/>
  <c r="AO46" i="21"/>
  <c r="AO45" i="21"/>
  <c r="AO44" i="21"/>
  <c r="AO43" i="21"/>
  <c r="AO42" i="21"/>
  <c r="AO41" i="21"/>
  <c r="AO40" i="21"/>
  <c r="AO39" i="21"/>
  <c r="AO38" i="21"/>
  <c r="AO37" i="21"/>
  <c r="AO36" i="21"/>
  <c r="AO35" i="21"/>
  <c r="AO34" i="21"/>
  <c r="AO33" i="21"/>
  <c r="AO32" i="21"/>
  <c r="AO31" i="21"/>
  <c r="AO30" i="21"/>
  <c r="AO29" i="21"/>
  <c r="AO28" i="21"/>
  <c r="AO27" i="21"/>
  <c r="AO26" i="21"/>
  <c r="AO25" i="21"/>
  <c r="AO24" i="21"/>
  <c r="AO23" i="21"/>
  <c r="AO22" i="21"/>
  <c r="AO21" i="21"/>
  <c r="AO20" i="21"/>
  <c r="AO19" i="21"/>
  <c r="AO18" i="21"/>
  <c r="AO17" i="21"/>
  <c r="AO16" i="21"/>
  <c r="AO15" i="21"/>
  <c r="AO14" i="21"/>
  <c r="AO13" i="21"/>
  <c r="AO12" i="21"/>
  <c r="AO11" i="21"/>
  <c r="AS10" i="21"/>
  <c r="AO10" i="21" s="1"/>
  <c r="AR10" i="21"/>
  <c r="AQ10" i="21"/>
  <c r="AP10" i="21"/>
  <c r="Z6" i="21"/>
  <c r="Y6" i="21"/>
  <c r="X6" i="21"/>
  <c r="W6" i="21"/>
  <c r="AH6" i="21"/>
  <c r="AA51" i="22"/>
  <c r="AA50" i="22"/>
  <c r="AA49" i="22"/>
  <c r="AA48" i="22"/>
  <c r="AA47" i="22"/>
  <c r="AA46" i="22"/>
  <c r="AA45" i="22"/>
  <c r="AA44" i="22"/>
  <c r="AA43" i="22"/>
  <c r="AA42" i="22"/>
  <c r="AA41" i="22"/>
  <c r="AA40" i="22"/>
  <c r="AA39" i="22"/>
  <c r="AA38" i="22"/>
  <c r="AA37" i="22"/>
  <c r="AA36" i="22"/>
  <c r="AA35" i="22"/>
  <c r="AA34" i="22"/>
  <c r="AA33" i="22"/>
  <c r="AA32" i="22"/>
  <c r="AD31" i="22"/>
  <c r="AA31" i="22" s="1"/>
  <c r="AC31" i="22"/>
  <c r="AB31" i="22"/>
  <c r="AA26" i="22"/>
  <c r="AA25" i="22"/>
  <c r="AA24" i="22"/>
  <c r="AA23" i="22"/>
  <c r="AA22" i="22"/>
  <c r="AA21" i="22"/>
  <c r="AI20" i="22"/>
  <c r="AH20" i="22"/>
  <c r="AG20" i="22"/>
  <c r="AF20" i="22"/>
  <c r="AE20" i="22"/>
  <c r="AD20" i="22"/>
  <c r="AC20" i="22"/>
  <c r="AA20" i="22" s="1"/>
  <c r="AB20" i="22"/>
  <c r="AA15" i="22"/>
  <c r="I32" i="22"/>
  <c r="P20" i="22"/>
  <c r="P32" i="22" l="1"/>
  <c r="J32" i="22"/>
  <c r="K32" i="22"/>
  <c r="L32" i="22"/>
  <c r="M32" i="22"/>
  <c r="N32" i="22"/>
  <c r="O32" i="22"/>
  <c r="D16" i="21"/>
  <c r="C16" i="21"/>
  <c r="B16" i="21" l="1"/>
  <c r="F9" i="22" l="1"/>
  <c r="R20" i="22" l="1"/>
  <c r="Q20" i="22"/>
  <c r="C22" i="22"/>
  <c r="C23" i="22"/>
  <c r="C24" i="22"/>
  <c r="C25" i="22"/>
  <c r="C26" i="22"/>
  <c r="C27" i="22"/>
  <c r="C21" i="22"/>
  <c r="J6" i="22" l="1"/>
  <c r="C15" i="22" l="1"/>
  <c r="G20" i="22"/>
  <c r="F20" i="22"/>
  <c r="C34" i="22"/>
  <c r="C35" i="22"/>
  <c r="C36" i="22"/>
  <c r="C37" i="22"/>
  <c r="C38" i="22"/>
  <c r="C39" i="22"/>
  <c r="C40" i="22"/>
  <c r="C41" i="22"/>
  <c r="C42" i="22"/>
  <c r="C43" i="22"/>
  <c r="C44" i="22"/>
  <c r="C45" i="22"/>
  <c r="C46" i="22"/>
  <c r="C47" i="22"/>
  <c r="C48" i="22"/>
  <c r="C49" i="22"/>
  <c r="C50" i="22"/>
  <c r="C51" i="22"/>
  <c r="C52" i="22"/>
  <c r="C33" i="22"/>
  <c r="AD6" i="21" l="1"/>
  <c r="AG6" i="21" l="1"/>
  <c r="AF6" i="21"/>
  <c r="AE6" i="21"/>
  <c r="AC6" i="21"/>
  <c r="AB6" i="21"/>
  <c r="AA6" i="21"/>
  <c r="Q6" i="21"/>
  <c r="P6" i="21"/>
  <c r="O6" i="21"/>
  <c r="N6" i="21"/>
  <c r="E20" i="22" l="1"/>
  <c r="N20" i="22"/>
  <c r="O20" i="22"/>
  <c r="F32" i="22"/>
  <c r="G32" i="22"/>
  <c r="H32" i="22"/>
  <c r="D6" i="22" l="1"/>
  <c r="I6" i="22"/>
  <c r="C24" i="21" l="1"/>
  <c r="D24" i="21"/>
  <c r="B26" i="22"/>
  <c r="B24" i="21" l="1"/>
  <c r="E5" i="22" l="1"/>
  <c r="F5" i="22"/>
  <c r="G5" i="22"/>
  <c r="H5" i="22"/>
  <c r="G7" i="22"/>
  <c r="H7" i="22"/>
  <c r="K8" i="22"/>
  <c r="L9" i="22"/>
  <c r="L7" i="22" s="1"/>
  <c r="L4" i="22" s="1"/>
  <c r="B15" i="22"/>
  <c r="E6" i="22"/>
  <c r="F6" i="22"/>
  <c r="G6" i="22"/>
  <c r="H6" i="22"/>
  <c r="B21" i="22"/>
  <c r="B22" i="22"/>
  <c r="B23" i="22"/>
  <c r="B24" i="22"/>
  <c r="B25" i="22"/>
  <c r="B27" i="22"/>
  <c r="E32" i="22"/>
  <c r="E8" i="22"/>
  <c r="B33" i="22"/>
  <c r="B34" i="22"/>
  <c r="B35" i="22"/>
  <c r="B36" i="22"/>
  <c r="B37" i="22"/>
  <c r="B38" i="22"/>
  <c r="B39" i="22"/>
  <c r="B40" i="22"/>
  <c r="B41" i="22"/>
  <c r="B42" i="22"/>
  <c r="B43" i="22"/>
  <c r="B44" i="22"/>
  <c r="B45" i="22"/>
  <c r="B46" i="22"/>
  <c r="B47" i="22"/>
  <c r="B48" i="22"/>
  <c r="B49" i="22"/>
  <c r="B50" i="22"/>
  <c r="B51" i="22"/>
  <c r="B52" i="22"/>
  <c r="E1" i="21"/>
  <c r="F1" i="21"/>
  <c r="G1" i="21"/>
  <c r="H1" i="21"/>
  <c r="I1" i="21"/>
  <c r="J1" i="21"/>
  <c r="K1" i="21"/>
  <c r="L1" i="21"/>
  <c r="M1" i="21"/>
  <c r="N1" i="21"/>
  <c r="O1" i="21"/>
  <c r="P1" i="21"/>
  <c r="Q1" i="21"/>
  <c r="R1" i="21"/>
  <c r="S1" i="21"/>
  <c r="T1" i="21"/>
  <c r="U1" i="21"/>
  <c r="V1" i="21"/>
  <c r="W1" i="21"/>
  <c r="X1" i="21"/>
  <c r="Y1" i="21"/>
  <c r="Z1" i="21"/>
  <c r="AA1" i="21"/>
  <c r="AB1" i="21"/>
  <c r="AC1" i="21"/>
  <c r="AD1" i="21"/>
  <c r="AE1" i="21"/>
  <c r="AF1" i="21"/>
  <c r="AG1" i="21"/>
  <c r="AH1" i="21"/>
  <c r="AJ1" i="21"/>
  <c r="AK1" i="21"/>
  <c r="M9" i="22" s="1"/>
  <c r="M7" i="22" s="1"/>
  <c r="M4" i="22" s="1"/>
  <c r="AL1" i="21"/>
  <c r="H6" i="21"/>
  <c r="I6" i="21"/>
  <c r="J6" i="21"/>
  <c r="K6" i="21"/>
  <c r="L6" i="21"/>
  <c r="M6" i="21"/>
  <c r="N9" i="22"/>
  <c r="C7" i="21"/>
  <c r="D7" i="21"/>
  <c r="C8" i="21"/>
  <c r="D8" i="21"/>
  <c r="C9" i="21"/>
  <c r="D9" i="21"/>
  <c r="C10" i="21"/>
  <c r="D10" i="21"/>
  <c r="C11" i="21"/>
  <c r="D11" i="21"/>
  <c r="C12" i="21"/>
  <c r="D12" i="21"/>
  <c r="C13" i="21"/>
  <c r="D13" i="21"/>
  <c r="C14" i="21"/>
  <c r="D14" i="21"/>
  <c r="C15" i="21"/>
  <c r="D15" i="21"/>
  <c r="C17" i="21"/>
  <c r="D17" i="21"/>
  <c r="C19" i="21"/>
  <c r="D19" i="21"/>
  <c r="C20" i="21"/>
  <c r="D20" i="21"/>
  <c r="C21" i="21"/>
  <c r="D21" i="21"/>
  <c r="C23" i="21"/>
  <c r="D23" i="21"/>
  <c r="C25" i="21"/>
  <c r="D25" i="21"/>
  <c r="C26" i="21"/>
  <c r="D26" i="21"/>
  <c r="C27" i="21"/>
  <c r="D27" i="21"/>
  <c r="C28" i="21"/>
  <c r="D28" i="21"/>
  <c r="C29" i="21"/>
  <c r="D29" i="21"/>
  <c r="C31" i="21"/>
  <c r="D31" i="21"/>
  <c r="C32" i="21"/>
  <c r="D32" i="21"/>
  <c r="C33" i="21"/>
  <c r="D33" i="21"/>
  <c r="C34" i="21"/>
  <c r="D34" i="21"/>
  <c r="C35" i="21"/>
  <c r="D35" i="21"/>
  <c r="C37" i="21"/>
  <c r="D37" i="21"/>
  <c r="C38" i="21"/>
  <c r="D38" i="21"/>
  <c r="C39" i="21"/>
  <c r="D39" i="21"/>
  <c r="C40" i="21"/>
  <c r="D40" i="21"/>
  <c r="C41" i="21"/>
  <c r="D41" i="21"/>
  <c r="C42" i="21"/>
  <c r="D42" i="21"/>
  <c r="C43" i="21"/>
  <c r="D43" i="21"/>
  <c r="C45" i="21"/>
  <c r="D45" i="21"/>
  <c r="C46" i="21"/>
  <c r="D46" i="21"/>
  <c r="C47" i="21"/>
  <c r="D47" i="21"/>
  <c r="C48" i="21"/>
  <c r="D48" i="21"/>
  <c r="C50" i="21"/>
  <c r="D50" i="21"/>
  <c r="C51" i="21"/>
  <c r="D51" i="21"/>
  <c r="C52" i="21"/>
  <c r="D52" i="21"/>
  <c r="C53" i="21"/>
  <c r="D53" i="21"/>
  <c r="C54" i="21"/>
  <c r="D54" i="21"/>
  <c r="C55" i="21"/>
  <c r="D55" i="21"/>
  <c r="C56" i="21"/>
  <c r="D56" i="21"/>
  <c r="C57" i="21"/>
  <c r="D57" i="21"/>
  <c r="C58" i="21"/>
  <c r="D58" i="21"/>
  <c r="C59" i="21"/>
  <c r="D59" i="21"/>
  <c r="C61" i="21"/>
  <c r="D61" i="21"/>
  <c r="C62" i="21"/>
  <c r="D62" i="21"/>
  <c r="C63" i="21"/>
  <c r="D63" i="21"/>
  <c r="C64" i="21"/>
  <c r="D64" i="21"/>
  <c r="C66" i="21"/>
  <c r="D66" i="21"/>
  <c r="C67" i="21"/>
  <c r="D67" i="21"/>
  <c r="C69" i="21"/>
  <c r="D69" i="21"/>
  <c r="C70" i="21"/>
  <c r="D70" i="21"/>
  <c r="C71" i="21"/>
  <c r="D71" i="21"/>
  <c r="C72" i="21"/>
  <c r="D72" i="21"/>
  <c r="C73" i="21"/>
  <c r="D73" i="21"/>
  <c r="C74" i="21"/>
  <c r="D74" i="21"/>
  <c r="C76" i="21"/>
  <c r="D76" i="21"/>
  <c r="C77" i="21"/>
  <c r="D77" i="21"/>
  <c r="C78" i="21"/>
  <c r="D78" i="21"/>
  <c r="C79" i="21"/>
  <c r="D79" i="21"/>
  <c r="C80" i="21"/>
  <c r="D80" i="21"/>
  <c r="C81" i="21"/>
  <c r="D81" i="21"/>
  <c r="C83" i="21"/>
  <c r="D83" i="21"/>
  <c r="C84" i="21"/>
  <c r="D84" i="21"/>
  <c r="C85" i="21"/>
  <c r="D85" i="21"/>
  <c r="C86" i="21"/>
  <c r="D86" i="21"/>
  <c r="C88" i="21"/>
  <c r="D88" i="21"/>
  <c r="D7" i="22" l="1"/>
  <c r="D4" i="22" s="1"/>
  <c r="K9" i="22"/>
  <c r="B85" i="21"/>
  <c r="B62" i="21"/>
  <c r="B29" i="21"/>
  <c r="B53" i="21"/>
  <c r="C65" i="21"/>
  <c r="B20" i="21"/>
  <c r="B78" i="21"/>
  <c r="B71" i="21"/>
  <c r="B54" i="21"/>
  <c r="B51" i="21"/>
  <c r="B37" i="21"/>
  <c r="B77" i="21"/>
  <c r="B17" i="21"/>
  <c r="B12" i="21"/>
  <c r="B8" i="21"/>
  <c r="B66" i="21"/>
  <c r="B42" i="21"/>
  <c r="B39" i="21"/>
  <c r="D87" i="21"/>
  <c r="B84" i="21"/>
  <c r="B61" i="21"/>
  <c r="B59" i="21"/>
  <c r="C49" i="21"/>
  <c r="B40" i="21"/>
  <c r="B38" i="21"/>
  <c r="B32" i="21"/>
  <c r="B21" i="21"/>
  <c r="B13" i="21"/>
  <c r="B9" i="21"/>
  <c r="B67" i="21"/>
  <c r="B35" i="21"/>
  <c r="B72" i="21"/>
  <c r="B55" i="21"/>
  <c r="B52" i="21"/>
  <c r="B45" i="21"/>
  <c r="B27" i="21"/>
  <c r="F7" i="22"/>
  <c r="F4" i="22" s="1"/>
  <c r="C60" i="21"/>
  <c r="C36" i="21"/>
  <c r="B57" i="21"/>
  <c r="B25" i="21"/>
  <c r="C30" i="21"/>
  <c r="B19" i="21"/>
  <c r="T6" i="21"/>
  <c r="D1" i="21"/>
  <c r="B80" i="21"/>
  <c r="D22" i="21"/>
  <c r="C1" i="21"/>
  <c r="B32" i="22"/>
  <c r="J8" i="22"/>
  <c r="C32" i="22"/>
  <c r="B88" i="21"/>
  <c r="B86" i="21"/>
  <c r="D82" i="21"/>
  <c r="B79" i="21"/>
  <c r="B73" i="21"/>
  <c r="B69" i="21"/>
  <c r="D68" i="21"/>
  <c r="D65" i="21"/>
  <c r="B63" i="21"/>
  <c r="D60" i="21"/>
  <c r="B56" i="21"/>
  <c r="B47" i="21"/>
  <c r="B41" i="21"/>
  <c r="C44" i="21"/>
  <c r="B33" i="21"/>
  <c r="D30" i="21"/>
  <c r="B26" i="21"/>
  <c r="B23" i="21"/>
  <c r="C22" i="21"/>
  <c r="V6" i="21"/>
  <c r="B14" i="21"/>
  <c r="B10" i="21"/>
  <c r="I8" i="22"/>
  <c r="C20" i="22"/>
  <c r="B83" i="21"/>
  <c r="B81" i="21"/>
  <c r="B76" i="21"/>
  <c r="D75" i="21"/>
  <c r="B74" i="21"/>
  <c r="C75" i="21"/>
  <c r="C68" i="21"/>
  <c r="B64" i="21"/>
  <c r="B58" i="21"/>
  <c r="B50" i="21"/>
  <c r="D49" i="21"/>
  <c r="B48" i="21"/>
  <c r="D44" i="21"/>
  <c r="B43" i="21"/>
  <c r="D36" i="21"/>
  <c r="B34" i="21"/>
  <c r="B28" i="21"/>
  <c r="U6" i="21"/>
  <c r="B15" i="21"/>
  <c r="B11" i="21"/>
  <c r="B7" i="21"/>
  <c r="B20" i="22"/>
  <c r="G4" i="22"/>
  <c r="H4" i="22"/>
  <c r="N7" i="22"/>
  <c r="N4" i="22" s="1"/>
  <c r="C5" i="22"/>
  <c r="C87" i="21"/>
  <c r="C82" i="21"/>
  <c r="B46" i="21"/>
  <c r="B31" i="21"/>
  <c r="B70" i="21"/>
  <c r="AI1" i="21"/>
  <c r="C8" i="22" l="1"/>
  <c r="B8" i="22" s="1"/>
  <c r="C6" i="22"/>
  <c r="B6" i="22" s="1"/>
  <c r="B30" i="21"/>
  <c r="B36" i="21"/>
  <c r="B68" i="21"/>
  <c r="B65" i="21"/>
  <c r="B49" i="21"/>
  <c r="B87" i="21"/>
  <c r="B82" i="21"/>
  <c r="B1" i="21"/>
  <c r="B44" i="21"/>
  <c r="C6" i="21"/>
  <c r="B18" i="21"/>
  <c r="B60" i="21"/>
  <c r="D6" i="21"/>
  <c r="B75" i="21"/>
  <c r="I9" i="22"/>
  <c r="I7" i="22" s="1"/>
  <c r="I4" i="22" s="1"/>
  <c r="B22" i="21"/>
  <c r="J7" i="22"/>
  <c r="J4" i="22" s="1"/>
  <c r="E7" i="22"/>
  <c r="E4" i="22" s="1"/>
  <c r="K7" i="22"/>
  <c r="K4" i="22" s="1"/>
  <c r="B5" i="22"/>
  <c r="B6" i="21" l="1"/>
  <c r="C9" i="22"/>
  <c r="B9" i="22" l="1"/>
  <c r="B7" i="22" s="1"/>
  <c r="B4" i="22" s="1"/>
  <c r="C7" i="22"/>
  <c r="C4" i="22" s="1"/>
</calcChain>
</file>

<file path=xl/sharedStrings.xml><?xml version="1.0" encoding="utf-8"?>
<sst xmlns="http://schemas.openxmlformats.org/spreadsheetml/2006/main" count="928" uniqueCount="556">
  <si>
    <t>구분</t>
    <phoneticPr fontId="11" type="noConversion"/>
  </si>
  <si>
    <t>합계</t>
    <phoneticPr fontId="11" type="noConversion"/>
  </si>
  <si>
    <t>형사</t>
    <phoneticPr fontId="11" type="noConversion"/>
  </si>
  <si>
    <t>소년</t>
    <phoneticPr fontId="11" type="noConversion"/>
  </si>
  <si>
    <t>등기</t>
    <phoneticPr fontId="11" type="noConversion"/>
  </si>
  <si>
    <t>가족관계등록비송</t>
    <phoneticPr fontId="11" type="noConversion"/>
  </si>
  <si>
    <t>공탁</t>
    <phoneticPr fontId="11" type="noConversion"/>
  </si>
  <si>
    <t>법원</t>
    <phoneticPr fontId="11" type="noConversion"/>
  </si>
  <si>
    <t>신청</t>
    <phoneticPr fontId="11" type="noConversion"/>
  </si>
  <si>
    <t>대법원</t>
    <phoneticPr fontId="11" type="noConversion"/>
  </si>
  <si>
    <t>총계</t>
    <phoneticPr fontId="11" type="noConversion"/>
  </si>
  <si>
    <t>민사</t>
    <phoneticPr fontId="11" type="noConversion"/>
  </si>
  <si>
    <t>가사</t>
    <phoneticPr fontId="11" type="noConversion"/>
  </si>
  <si>
    <t>행정</t>
    <phoneticPr fontId="11" type="noConversion"/>
  </si>
  <si>
    <t>선거</t>
    <phoneticPr fontId="11" type="noConversion"/>
  </si>
  <si>
    <t>항소심계</t>
    <phoneticPr fontId="11" type="noConversion"/>
  </si>
  <si>
    <t>제1항 총              설</t>
    <phoneticPr fontId="11" type="noConversion"/>
  </si>
  <si>
    <t>1. 서언</t>
    <phoneticPr fontId="11" type="noConversion"/>
  </si>
  <si>
    <t>2. 전체사건의 개황</t>
    <phoneticPr fontId="11" type="noConversion"/>
  </si>
  <si>
    <t>본안사건</t>
    <phoneticPr fontId="11" type="noConversion"/>
  </si>
  <si>
    <t>본안외사건</t>
    <phoneticPr fontId="11" type="noConversion"/>
  </si>
  <si>
    <t>합계</t>
  </si>
  <si>
    <t>비  송  사  건</t>
    <phoneticPr fontId="11" type="noConversion"/>
  </si>
  <si>
    <t>지수</t>
    <phoneticPr fontId="10" type="noConversion"/>
  </si>
  <si>
    <t>인구</t>
    <phoneticPr fontId="10" type="noConversion"/>
  </si>
  <si>
    <t>전체사건</t>
    <phoneticPr fontId="10" type="noConversion"/>
  </si>
  <si>
    <t>본안사건</t>
    <phoneticPr fontId="10" type="noConversion"/>
  </si>
  <si>
    <t>지역별 인구 및 사건수 비교(제1심)-접수(표4)</t>
    <phoneticPr fontId="11" type="noConversion"/>
  </si>
  <si>
    <t>인구</t>
    <phoneticPr fontId="11" type="noConversion"/>
  </si>
  <si>
    <t>전체사건</t>
    <phoneticPr fontId="11" type="noConversion"/>
  </si>
  <si>
    <t>비송사건</t>
    <phoneticPr fontId="11" type="noConversion"/>
  </si>
  <si>
    <t>지역</t>
    <phoneticPr fontId="11" type="noConversion"/>
  </si>
  <si>
    <t>인구수</t>
    <phoneticPr fontId="11" type="noConversion"/>
  </si>
  <si>
    <t>비율</t>
    <phoneticPr fontId="11" type="noConversion"/>
  </si>
  <si>
    <t>건수</t>
    <phoneticPr fontId="11" type="noConversion"/>
  </si>
  <si>
    <t>서울중앙지방법원관내</t>
    <phoneticPr fontId="11" type="noConversion"/>
  </si>
  <si>
    <t>서울동부지방법원관내</t>
    <phoneticPr fontId="11" type="noConversion"/>
  </si>
  <si>
    <t>서울남부지방법원관내</t>
    <phoneticPr fontId="11" type="noConversion"/>
  </si>
  <si>
    <t>서울북부지방법원관내</t>
    <phoneticPr fontId="11" type="noConversion"/>
  </si>
  <si>
    <t>서울서부지방법원관내</t>
    <phoneticPr fontId="11" type="noConversion"/>
  </si>
  <si>
    <t>의정부지방법원관내</t>
    <phoneticPr fontId="11" type="noConversion"/>
  </si>
  <si>
    <t>인천지방법원관내</t>
    <phoneticPr fontId="11" type="noConversion"/>
  </si>
  <si>
    <t>수원지방법원관내</t>
    <phoneticPr fontId="11" type="noConversion"/>
  </si>
  <si>
    <t>춘천지방법원관내</t>
    <phoneticPr fontId="11" type="noConversion"/>
  </si>
  <si>
    <t>대전지방법원관내</t>
    <phoneticPr fontId="11" type="noConversion"/>
  </si>
  <si>
    <t>청주지방법원관내</t>
    <phoneticPr fontId="11" type="noConversion"/>
  </si>
  <si>
    <t>대구지방법원관내</t>
    <phoneticPr fontId="11" type="noConversion"/>
  </si>
  <si>
    <t>부산지방법원관내</t>
    <phoneticPr fontId="11" type="noConversion"/>
  </si>
  <si>
    <t>울산지방법원관내</t>
    <phoneticPr fontId="11" type="noConversion"/>
  </si>
  <si>
    <t>창원지방법원관내</t>
    <phoneticPr fontId="11" type="noConversion"/>
  </si>
  <si>
    <t>광주지방법원관내</t>
    <phoneticPr fontId="11" type="noConversion"/>
  </si>
  <si>
    <t>전주지방법원관내</t>
    <phoneticPr fontId="11" type="noConversion"/>
  </si>
  <si>
    <t>제주지방법원관내</t>
    <phoneticPr fontId="11" type="noConversion"/>
  </si>
  <si>
    <t>합      계</t>
    <phoneticPr fontId="11" type="noConversion"/>
  </si>
  <si>
    <t>3.인구와 사건과의 대비</t>
    <phoneticPr fontId="11" type="noConversion"/>
  </si>
  <si>
    <t>인구 및 전체사건수의 연도별비교-접수(표2)</t>
    <phoneticPr fontId="11" type="noConversion"/>
  </si>
  <si>
    <t>소송사건</t>
    <phoneticPr fontId="11" type="noConversion"/>
  </si>
  <si>
    <t>연도</t>
    <phoneticPr fontId="11" type="noConversion"/>
  </si>
  <si>
    <t>사건수</t>
    <phoneticPr fontId="11" type="noConversion"/>
  </si>
  <si>
    <t>제1심 사건에 대한 인구대비(표3)</t>
    <phoneticPr fontId="11" type="noConversion"/>
  </si>
  <si>
    <t>소    송    사     건</t>
    <phoneticPr fontId="11" type="noConversion"/>
  </si>
  <si>
    <t>총사건</t>
    <phoneticPr fontId="11" type="noConversion"/>
  </si>
  <si>
    <t>총인구</t>
    <phoneticPr fontId="11" type="noConversion"/>
  </si>
  <si>
    <t>본안계</t>
    <phoneticPr fontId="11" type="noConversion"/>
  </si>
  <si>
    <t>소송사건</t>
    <phoneticPr fontId="10" type="noConversion"/>
  </si>
  <si>
    <t>비송사건</t>
    <phoneticPr fontId="10" type="noConversion"/>
  </si>
  <si>
    <t>본안외사건</t>
    <phoneticPr fontId="11" type="noConversion"/>
  </si>
  <si>
    <t>전체사건 대 각 사건별 대비(도표5)</t>
    <phoneticPr fontId="14" type="noConversion"/>
  </si>
  <si>
    <t>전체사건</t>
    <phoneticPr fontId="14" type="noConversion"/>
  </si>
  <si>
    <t>본안사건</t>
    <phoneticPr fontId="14" type="noConversion"/>
  </si>
  <si>
    <t>본안외사건</t>
    <phoneticPr fontId="14" type="noConversion"/>
  </si>
  <si>
    <t>비송사건</t>
    <phoneticPr fontId="14" type="noConversion"/>
  </si>
  <si>
    <t>최근 10년간의 인구변동과 사건추세를 대비하여 보면 표 2와 같고, 그 증감지수는 도표 6과 같다.</t>
    <phoneticPr fontId="11" type="noConversion"/>
  </si>
  <si>
    <t>민사</t>
  </si>
  <si>
    <t>가사</t>
  </si>
  <si>
    <t>형사</t>
  </si>
  <si>
    <t>주 : 가사사건은 각 지방법원에 합산하였음</t>
    <phoneticPr fontId="11" type="noConversion"/>
  </si>
  <si>
    <t>제주지방법원</t>
    <phoneticPr fontId="11" type="noConversion"/>
  </si>
  <si>
    <t>전주지방법원</t>
    <phoneticPr fontId="11" type="noConversion"/>
  </si>
  <si>
    <t>광주지방법원</t>
    <phoneticPr fontId="11" type="noConversion"/>
  </si>
  <si>
    <t>창원지방법원</t>
    <phoneticPr fontId="11" type="noConversion"/>
  </si>
  <si>
    <t>울산지방법원</t>
    <phoneticPr fontId="11" type="noConversion"/>
  </si>
  <si>
    <t>부산지방법원</t>
    <phoneticPr fontId="11" type="noConversion"/>
  </si>
  <si>
    <t>대구지방법원</t>
    <phoneticPr fontId="11" type="noConversion"/>
  </si>
  <si>
    <t>청주지방법원</t>
    <phoneticPr fontId="11" type="noConversion"/>
  </si>
  <si>
    <t>대전지방법원</t>
    <phoneticPr fontId="11" type="noConversion"/>
  </si>
  <si>
    <t>춘천지방법원</t>
    <phoneticPr fontId="11" type="noConversion"/>
  </si>
  <si>
    <t>수원지방법원</t>
    <phoneticPr fontId="11" type="noConversion"/>
  </si>
  <si>
    <t>인천지방법원</t>
    <phoneticPr fontId="11" type="noConversion"/>
  </si>
  <si>
    <t>의정부지방법원</t>
    <phoneticPr fontId="11" type="noConversion"/>
  </si>
  <si>
    <t>서울서부지방법원</t>
    <phoneticPr fontId="11" type="noConversion"/>
  </si>
  <si>
    <t>서울북부지방법원</t>
    <phoneticPr fontId="11" type="noConversion"/>
  </si>
  <si>
    <t>서울남부지방법원</t>
    <phoneticPr fontId="11" type="noConversion"/>
  </si>
  <si>
    <t>서울동부지방법원</t>
    <phoneticPr fontId="11" type="noConversion"/>
  </si>
  <si>
    <t>서울회생법원</t>
    <phoneticPr fontId="10" type="noConversion"/>
  </si>
  <si>
    <t>서울가정법원</t>
    <phoneticPr fontId="11" type="noConversion"/>
  </si>
  <si>
    <t>서울중앙지방법원</t>
    <phoneticPr fontId="11" type="noConversion"/>
  </si>
  <si>
    <t>본안외</t>
    <phoneticPr fontId="11" type="noConversion"/>
  </si>
  <si>
    <t>본안</t>
    <phoneticPr fontId="11" type="noConversion"/>
  </si>
  <si>
    <t>법원</t>
    <phoneticPr fontId="11" type="noConversion"/>
  </si>
  <si>
    <t>성매매
관련
보호</t>
    <phoneticPr fontId="10" type="noConversion"/>
  </si>
  <si>
    <t>인신
보호</t>
    <phoneticPr fontId="10" type="noConversion"/>
  </si>
  <si>
    <t>피해아동
보호명령</t>
    <phoneticPr fontId="10" type="noConversion"/>
  </si>
  <si>
    <t>아동
보호</t>
    <phoneticPr fontId="10" type="noConversion"/>
  </si>
  <si>
    <t>피해자
보호
명령</t>
    <phoneticPr fontId="10" type="noConversion"/>
  </si>
  <si>
    <t>가정
보호</t>
    <phoneticPr fontId="10" type="noConversion"/>
  </si>
  <si>
    <t>소년</t>
    <phoneticPr fontId="11" type="noConversion"/>
  </si>
  <si>
    <t>구분</t>
    <phoneticPr fontId="11" type="noConversion"/>
  </si>
  <si>
    <t>라. 지방법원(항소심)</t>
    <phoneticPr fontId="11" type="noConversion"/>
  </si>
  <si>
    <t>특허법원</t>
    <phoneticPr fontId="11" type="noConversion"/>
  </si>
  <si>
    <t>수원고등법원</t>
    <phoneticPr fontId="10" type="noConversion"/>
  </si>
  <si>
    <t>광주고등법원</t>
    <phoneticPr fontId="11" type="noConversion"/>
  </si>
  <si>
    <t>부산고등법원</t>
    <phoneticPr fontId="11" type="noConversion"/>
  </si>
  <si>
    <t>대구고등법원</t>
    <phoneticPr fontId="11" type="noConversion"/>
  </si>
  <si>
    <t>대전고등법원</t>
    <phoneticPr fontId="11" type="noConversion"/>
  </si>
  <si>
    <t>서울고등법원</t>
    <phoneticPr fontId="11" type="noConversion"/>
  </si>
  <si>
    <t>영장</t>
    <phoneticPr fontId="11" type="noConversion"/>
  </si>
  <si>
    <t>치료감호</t>
    <phoneticPr fontId="11" type="noConversion"/>
  </si>
  <si>
    <t>조정</t>
    <phoneticPr fontId="11" type="noConversion"/>
  </si>
  <si>
    <t>치료감호</t>
    <phoneticPr fontId="11" type="noConversion"/>
  </si>
  <si>
    <t>공판</t>
    <phoneticPr fontId="11" type="noConversion"/>
  </si>
  <si>
    <t>형   사</t>
    <phoneticPr fontId="11" type="noConversion"/>
  </si>
  <si>
    <t>선   거</t>
    <phoneticPr fontId="11" type="noConversion"/>
  </si>
  <si>
    <t>특   허</t>
    <phoneticPr fontId="11" type="noConversion"/>
  </si>
  <si>
    <t>행   정</t>
    <phoneticPr fontId="11" type="noConversion"/>
  </si>
  <si>
    <t>가   사</t>
    <phoneticPr fontId="11" type="noConversion"/>
  </si>
  <si>
    <t>민   사</t>
    <phoneticPr fontId="11" type="noConversion"/>
  </si>
  <si>
    <t>합   계</t>
    <phoneticPr fontId="11" type="noConversion"/>
  </si>
  <si>
    <t>다. 고등법원</t>
    <phoneticPr fontId="11" type="noConversion"/>
  </si>
  <si>
    <t>대법원</t>
    <phoneticPr fontId="11" type="noConversion"/>
  </si>
  <si>
    <t>인신보호</t>
    <phoneticPr fontId="10" type="noConversion"/>
  </si>
  <si>
    <t>아동보호</t>
    <phoneticPr fontId="10" type="noConversion"/>
  </si>
  <si>
    <t>피해자보호명령</t>
    <phoneticPr fontId="10" type="noConversion"/>
  </si>
  <si>
    <t>가정보호</t>
    <phoneticPr fontId="11" type="noConversion"/>
  </si>
  <si>
    <t>나. 대법원</t>
    <phoneticPr fontId="11" type="noConversion"/>
  </si>
  <si>
    <t>제1심계</t>
    <phoneticPr fontId="11" type="noConversion"/>
  </si>
  <si>
    <t>지방법원합계</t>
    <phoneticPr fontId="11" type="noConversion"/>
  </si>
  <si>
    <t>고등법원합계</t>
    <phoneticPr fontId="11" type="noConversion"/>
  </si>
  <si>
    <t>대법원</t>
    <phoneticPr fontId="11" type="noConversion"/>
  </si>
  <si>
    <t>총계</t>
    <phoneticPr fontId="11" type="noConversion"/>
  </si>
  <si>
    <t>공탁</t>
    <phoneticPr fontId="11" type="noConversion"/>
  </si>
  <si>
    <t>가족관계등록비송</t>
    <phoneticPr fontId="11" type="noConversion"/>
  </si>
  <si>
    <t>등기</t>
    <phoneticPr fontId="11" type="noConversion"/>
  </si>
  <si>
    <t>합계</t>
    <phoneticPr fontId="11" type="noConversion"/>
  </si>
  <si>
    <t>소년</t>
    <phoneticPr fontId="11" type="noConversion"/>
  </si>
  <si>
    <t>형사</t>
    <phoneticPr fontId="11" type="noConversion"/>
  </si>
  <si>
    <t>선거</t>
    <phoneticPr fontId="11" type="noConversion"/>
  </si>
  <si>
    <t>행정</t>
    <phoneticPr fontId="11" type="noConversion"/>
  </si>
  <si>
    <t>가사</t>
    <phoneticPr fontId="11" type="noConversion"/>
  </si>
  <si>
    <t>민사</t>
    <phoneticPr fontId="11" type="noConversion"/>
  </si>
  <si>
    <t>법원</t>
    <phoneticPr fontId="11" type="noConversion"/>
  </si>
  <si>
    <t>비  송  사  건</t>
    <phoneticPr fontId="11" type="noConversion"/>
  </si>
  <si>
    <t>소   송   사   건</t>
    <phoneticPr fontId="11" type="noConversion"/>
  </si>
  <si>
    <t>구분</t>
    <phoneticPr fontId="11" type="noConversion"/>
  </si>
  <si>
    <t>가. 총괄</t>
    <phoneticPr fontId="11" type="noConversion"/>
  </si>
  <si>
    <t>제주</t>
    <phoneticPr fontId="11" type="noConversion"/>
  </si>
  <si>
    <t>전주</t>
    <phoneticPr fontId="11" type="noConversion"/>
  </si>
  <si>
    <t>광주</t>
    <phoneticPr fontId="11" type="noConversion"/>
  </si>
  <si>
    <t>창원</t>
    <phoneticPr fontId="11" type="noConversion"/>
  </si>
  <si>
    <t>울산</t>
    <phoneticPr fontId="11" type="noConversion"/>
  </si>
  <si>
    <t>부산</t>
    <phoneticPr fontId="11" type="noConversion"/>
  </si>
  <si>
    <t>대구</t>
    <phoneticPr fontId="11" type="noConversion"/>
  </si>
  <si>
    <t>청주</t>
    <phoneticPr fontId="11" type="noConversion"/>
  </si>
  <si>
    <t>대전</t>
    <phoneticPr fontId="11" type="noConversion"/>
  </si>
  <si>
    <t>춘천</t>
    <phoneticPr fontId="11" type="noConversion"/>
  </si>
  <si>
    <t>수원</t>
    <phoneticPr fontId="11" type="noConversion"/>
  </si>
  <si>
    <t>인천</t>
    <phoneticPr fontId="11" type="noConversion"/>
  </si>
  <si>
    <t>의정부</t>
    <phoneticPr fontId="11" type="noConversion"/>
  </si>
  <si>
    <t>서울서부</t>
    <phoneticPr fontId="11" type="noConversion"/>
  </si>
  <si>
    <t>서울북부</t>
    <phoneticPr fontId="11" type="noConversion"/>
  </si>
  <si>
    <t>서울남부</t>
    <phoneticPr fontId="11" type="noConversion"/>
  </si>
  <si>
    <t>서울동부</t>
    <phoneticPr fontId="11" type="noConversion"/>
  </si>
  <si>
    <t>서울중앙</t>
    <phoneticPr fontId="11" type="noConversion"/>
  </si>
  <si>
    <t>계</t>
    <phoneticPr fontId="11" type="noConversion"/>
  </si>
  <si>
    <t>등기</t>
    <phoneticPr fontId="11" type="noConversion"/>
  </si>
  <si>
    <t>신청</t>
    <phoneticPr fontId="11" type="noConversion"/>
  </si>
  <si>
    <t>영장</t>
    <phoneticPr fontId="11" type="noConversion"/>
  </si>
  <si>
    <t>약식</t>
    <phoneticPr fontId="11" type="noConversion"/>
  </si>
  <si>
    <t>즉결</t>
    <phoneticPr fontId="11" type="noConversion"/>
  </si>
  <si>
    <t>단독</t>
    <phoneticPr fontId="11" type="noConversion"/>
  </si>
  <si>
    <t>합의</t>
    <phoneticPr fontId="11" type="noConversion"/>
  </si>
  <si>
    <t>비송</t>
    <phoneticPr fontId="11" type="noConversion"/>
  </si>
  <si>
    <t>조정</t>
    <phoneticPr fontId="11" type="noConversion"/>
  </si>
  <si>
    <t>도산</t>
    <phoneticPr fontId="11" type="noConversion"/>
  </si>
  <si>
    <t>집행</t>
    <phoneticPr fontId="11" type="noConversion"/>
  </si>
  <si>
    <t>독촉</t>
    <phoneticPr fontId="11" type="noConversion"/>
  </si>
  <si>
    <t>소액</t>
    <phoneticPr fontId="11" type="noConversion"/>
  </si>
  <si>
    <t>기타
(비송제외)</t>
    <phoneticPr fontId="11" type="noConversion"/>
  </si>
  <si>
    <t>공탁</t>
    <phoneticPr fontId="11" type="noConversion"/>
  </si>
  <si>
    <t>가족관계등록비송</t>
    <phoneticPr fontId="11" type="noConversion"/>
  </si>
  <si>
    <t>합계</t>
    <phoneticPr fontId="11" type="noConversion"/>
  </si>
  <si>
    <t>감치
과태료</t>
    <phoneticPr fontId="11" type="noConversion"/>
  </si>
  <si>
    <t>성매매
관련보호</t>
    <phoneticPr fontId="10" type="noConversion"/>
  </si>
  <si>
    <t>피해아동보호명령</t>
    <phoneticPr fontId="10" type="noConversion"/>
  </si>
  <si>
    <t>피해자
보호명령</t>
    <phoneticPr fontId="10" type="noConversion"/>
  </si>
  <si>
    <t>형사</t>
    <phoneticPr fontId="11" type="noConversion"/>
  </si>
  <si>
    <t>행정.선거</t>
    <phoneticPr fontId="11" type="noConversion"/>
  </si>
  <si>
    <t>민     사</t>
    <phoneticPr fontId="11" type="noConversion"/>
  </si>
  <si>
    <t>총계</t>
    <phoneticPr fontId="11" type="noConversion"/>
  </si>
  <si>
    <t>주: 시·군법원 및 등기소의 각 사건은 소속법원(본원 또는 지원)에 합산하였음</t>
    <phoneticPr fontId="11" type="noConversion"/>
  </si>
  <si>
    <t>제주지방법원</t>
    <phoneticPr fontId="11" type="noConversion"/>
  </si>
  <si>
    <t xml:space="preserve">소       계     </t>
    <phoneticPr fontId="11" type="noConversion"/>
  </si>
  <si>
    <t>남원지원</t>
    <phoneticPr fontId="11" type="noConversion"/>
  </si>
  <si>
    <t>정읍지원</t>
    <phoneticPr fontId="11" type="noConversion"/>
  </si>
  <si>
    <t>군산지원</t>
    <phoneticPr fontId="11" type="noConversion"/>
  </si>
  <si>
    <t>전주지방법원</t>
    <phoneticPr fontId="11" type="noConversion"/>
  </si>
  <si>
    <t>해남지원</t>
    <phoneticPr fontId="11" type="noConversion"/>
  </si>
  <si>
    <t>순천지원</t>
    <phoneticPr fontId="11" type="noConversion"/>
  </si>
  <si>
    <t>장흥지원</t>
    <phoneticPr fontId="11" type="noConversion"/>
  </si>
  <si>
    <t>목포지원</t>
    <phoneticPr fontId="11" type="noConversion"/>
  </si>
  <si>
    <t>광주지방법원</t>
    <phoneticPr fontId="11" type="noConversion"/>
  </si>
  <si>
    <t>거창지원</t>
    <phoneticPr fontId="11" type="noConversion"/>
  </si>
  <si>
    <t>밀양지원</t>
    <phoneticPr fontId="11" type="noConversion"/>
  </si>
  <si>
    <t>통영지원</t>
    <phoneticPr fontId="11" type="noConversion"/>
  </si>
  <si>
    <t>진주지원</t>
    <phoneticPr fontId="11" type="noConversion"/>
  </si>
  <si>
    <t>마산지원</t>
    <phoneticPr fontId="10" type="noConversion"/>
  </si>
  <si>
    <t>서부지원</t>
    <phoneticPr fontId="11" type="noConversion"/>
  </si>
  <si>
    <t>동부지원</t>
    <phoneticPr fontId="11" type="noConversion"/>
  </si>
  <si>
    <t>영덕지원</t>
    <phoneticPr fontId="11" type="noConversion"/>
  </si>
  <si>
    <t>의성지원</t>
    <phoneticPr fontId="11" type="noConversion"/>
  </si>
  <si>
    <t>상주지원</t>
    <phoneticPr fontId="11" type="noConversion"/>
  </si>
  <si>
    <t>김천지원</t>
    <phoneticPr fontId="11" type="noConversion"/>
  </si>
  <si>
    <t>포항지원</t>
    <phoneticPr fontId="11" type="noConversion"/>
  </si>
  <si>
    <t>경주지원</t>
    <phoneticPr fontId="11" type="noConversion"/>
  </si>
  <si>
    <t>안동지원</t>
    <phoneticPr fontId="11" type="noConversion"/>
  </si>
  <si>
    <t>영동지원</t>
    <phoneticPr fontId="11" type="noConversion"/>
  </si>
  <si>
    <t>제천지원</t>
    <phoneticPr fontId="11" type="noConversion"/>
  </si>
  <si>
    <t>충주지원</t>
    <phoneticPr fontId="11" type="noConversion"/>
  </si>
  <si>
    <t>천안지원</t>
    <phoneticPr fontId="11" type="noConversion"/>
  </si>
  <si>
    <t>서산지원</t>
    <phoneticPr fontId="11" type="noConversion"/>
  </si>
  <si>
    <t>논산지원</t>
    <phoneticPr fontId="11" type="noConversion"/>
  </si>
  <si>
    <t>공주지원</t>
    <phoneticPr fontId="11" type="noConversion"/>
  </si>
  <si>
    <t>홍성지원</t>
    <phoneticPr fontId="11" type="noConversion"/>
  </si>
  <si>
    <t>영월지원</t>
    <phoneticPr fontId="11" type="noConversion"/>
  </si>
  <si>
    <t>속초지원</t>
    <phoneticPr fontId="11" type="noConversion"/>
  </si>
  <si>
    <t>원주지원</t>
    <phoneticPr fontId="11" type="noConversion"/>
  </si>
  <si>
    <t>강릉지원</t>
    <phoneticPr fontId="11" type="noConversion"/>
  </si>
  <si>
    <t>안양지원</t>
    <phoneticPr fontId="10" type="noConversion"/>
  </si>
  <si>
    <t>안산지원</t>
    <phoneticPr fontId="11" type="noConversion"/>
  </si>
  <si>
    <t>평택지원</t>
    <phoneticPr fontId="11" type="noConversion"/>
  </si>
  <si>
    <t>여주지원</t>
    <phoneticPr fontId="11" type="noConversion"/>
  </si>
  <si>
    <t>성남지원</t>
    <phoneticPr fontId="11" type="noConversion"/>
  </si>
  <si>
    <t>부천지원</t>
    <phoneticPr fontId="11" type="noConversion"/>
  </si>
  <si>
    <t>고양지원</t>
    <phoneticPr fontId="11" type="noConversion"/>
  </si>
  <si>
    <t>서울회생법원</t>
    <phoneticPr fontId="11" type="noConversion"/>
  </si>
  <si>
    <t>서울행정법원</t>
    <phoneticPr fontId="11" type="noConversion"/>
  </si>
  <si>
    <t>합         계</t>
    <phoneticPr fontId="11" type="noConversion"/>
  </si>
  <si>
    <t>약식</t>
    <phoneticPr fontId="11" type="noConversion"/>
  </si>
  <si>
    <t>즉결</t>
    <phoneticPr fontId="11" type="noConversion"/>
  </si>
  <si>
    <t>단독</t>
    <phoneticPr fontId="11" type="noConversion"/>
  </si>
  <si>
    <t>합의</t>
    <phoneticPr fontId="11" type="noConversion"/>
  </si>
  <si>
    <t>본안외</t>
    <phoneticPr fontId="11" type="noConversion"/>
  </si>
  <si>
    <t>본안</t>
    <phoneticPr fontId="11" type="noConversion"/>
  </si>
  <si>
    <t>비송</t>
    <phoneticPr fontId="11" type="noConversion"/>
  </si>
  <si>
    <t>도산</t>
    <phoneticPr fontId="11" type="noConversion"/>
  </si>
  <si>
    <t>집행</t>
    <phoneticPr fontId="11" type="noConversion"/>
  </si>
  <si>
    <t>독촉</t>
    <phoneticPr fontId="11" type="noConversion"/>
  </si>
  <si>
    <t>소액</t>
    <phoneticPr fontId="11" type="noConversion"/>
  </si>
  <si>
    <t>기타
(비송제외)</t>
    <phoneticPr fontId="11" type="noConversion"/>
  </si>
  <si>
    <t>지방법원(제1심)</t>
    <phoneticPr fontId="11" type="noConversion"/>
  </si>
  <si>
    <t>주: 시·군법원 및 등기소의 각 사건은 소속법원(본원 또는 지원)에 합산하였음</t>
    <phoneticPr fontId="11" type="noConversion"/>
  </si>
  <si>
    <t>제주지방법원</t>
    <phoneticPr fontId="11" type="noConversion"/>
  </si>
  <si>
    <t xml:space="preserve">소       계     </t>
    <phoneticPr fontId="11" type="noConversion"/>
  </si>
  <si>
    <t>남원지원</t>
    <phoneticPr fontId="11" type="noConversion"/>
  </si>
  <si>
    <t>정읍지원</t>
    <phoneticPr fontId="11" type="noConversion"/>
  </si>
  <si>
    <t>군산지원</t>
    <phoneticPr fontId="11" type="noConversion"/>
  </si>
  <si>
    <t>전주지방법원</t>
    <phoneticPr fontId="11" type="noConversion"/>
  </si>
  <si>
    <t>해남지원</t>
    <phoneticPr fontId="11" type="noConversion"/>
  </si>
  <si>
    <t>순천지원</t>
    <phoneticPr fontId="11" type="noConversion"/>
  </si>
  <si>
    <t>장흥지원</t>
    <phoneticPr fontId="11" type="noConversion"/>
  </si>
  <si>
    <t>목포지원</t>
    <phoneticPr fontId="11" type="noConversion"/>
  </si>
  <si>
    <t>광주지방법원</t>
    <phoneticPr fontId="11" type="noConversion"/>
  </si>
  <si>
    <t>거창지원</t>
    <phoneticPr fontId="11" type="noConversion"/>
  </si>
  <si>
    <t>밀양지원</t>
    <phoneticPr fontId="11" type="noConversion"/>
  </si>
  <si>
    <t>통영지원</t>
    <phoneticPr fontId="11" type="noConversion"/>
  </si>
  <si>
    <t>진주지원</t>
    <phoneticPr fontId="11" type="noConversion"/>
  </si>
  <si>
    <t>마산지원</t>
    <phoneticPr fontId="10" type="noConversion"/>
  </si>
  <si>
    <t>창원지방법원</t>
    <phoneticPr fontId="11" type="noConversion"/>
  </si>
  <si>
    <t>울산지방법원</t>
    <phoneticPr fontId="11" type="noConversion"/>
  </si>
  <si>
    <t>서부지원</t>
    <phoneticPr fontId="11" type="noConversion"/>
  </si>
  <si>
    <t>동부지원</t>
    <phoneticPr fontId="11" type="noConversion"/>
  </si>
  <si>
    <t>부산지방법원</t>
    <phoneticPr fontId="11" type="noConversion"/>
  </si>
  <si>
    <t>영덕지원</t>
    <phoneticPr fontId="11" type="noConversion"/>
  </si>
  <si>
    <t>의성지원</t>
    <phoneticPr fontId="11" type="noConversion"/>
  </si>
  <si>
    <t>상주지원</t>
    <phoneticPr fontId="11" type="noConversion"/>
  </si>
  <si>
    <t>김천지원</t>
    <phoneticPr fontId="11" type="noConversion"/>
  </si>
  <si>
    <t>포항지원</t>
    <phoneticPr fontId="11" type="noConversion"/>
  </si>
  <si>
    <t>경주지원</t>
    <phoneticPr fontId="11" type="noConversion"/>
  </si>
  <si>
    <t>안동지원</t>
    <phoneticPr fontId="11" type="noConversion"/>
  </si>
  <si>
    <t>대구지방법원</t>
    <phoneticPr fontId="11" type="noConversion"/>
  </si>
  <si>
    <t>영동지원</t>
    <phoneticPr fontId="11" type="noConversion"/>
  </si>
  <si>
    <t>제천지원</t>
    <phoneticPr fontId="11" type="noConversion"/>
  </si>
  <si>
    <t>충주지원</t>
    <phoneticPr fontId="11" type="noConversion"/>
  </si>
  <si>
    <t>청주지방법원</t>
    <phoneticPr fontId="11" type="noConversion"/>
  </si>
  <si>
    <t>천안지원</t>
    <phoneticPr fontId="11" type="noConversion"/>
  </si>
  <si>
    <t>서산지원</t>
    <phoneticPr fontId="11" type="noConversion"/>
  </si>
  <si>
    <t>논산지원</t>
    <phoneticPr fontId="11" type="noConversion"/>
  </si>
  <si>
    <t>공주지원</t>
    <phoneticPr fontId="11" type="noConversion"/>
  </si>
  <si>
    <t>홍성지원</t>
    <phoneticPr fontId="11" type="noConversion"/>
  </si>
  <si>
    <t>대전지방법원</t>
    <phoneticPr fontId="11" type="noConversion"/>
  </si>
  <si>
    <t>영월지원</t>
    <phoneticPr fontId="11" type="noConversion"/>
  </si>
  <si>
    <t>속초지원</t>
    <phoneticPr fontId="11" type="noConversion"/>
  </si>
  <si>
    <t>원주지원</t>
    <phoneticPr fontId="11" type="noConversion"/>
  </si>
  <si>
    <t>강릉지원</t>
    <phoneticPr fontId="11" type="noConversion"/>
  </si>
  <si>
    <t>춘천지방법원</t>
    <phoneticPr fontId="11" type="noConversion"/>
  </si>
  <si>
    <t>안양지원</t>
    <phoneticPr fontId="10" type="noConversion"/>
  </si>
  <si>
    <t>안산지원</t>
    <phoneticPr fontId="11" type="noConversion"/>
  </si>
  <si>
    <t>평택지원</t>
    <phoneticPr fontId="11" type="noConversion"/>
  </si>
  <si>
    <t>여주지원</t>
    <phoneticPr fontId="11" type="noConversion"/>
  </si>
  <si>
    <t>성남지원</t>
    <phoneticPr fontId="11" type="noConversion"/>
  </si>
  <si>
    <t>수원지방법원</t>
    <phoneticPr fontId="11" type="noConversion"/>
  </si>
  <si>
    <t>부천지원</t>
    <phoneticPr fontId="11" type="noConversion"/>
  </si>
  <si>
    <t>인천지방법원</t>
    <phoneticPr fontId="11" type="noConversion"/>
  </si>
  <si>
    <t>의정부지방법원</t>
    <phoneticPr fontId="11" type="noConversion"/>
  </si>
  <si>
    <t>서울서부지방법원</t>
    <phoneticPr fontId="11" type="noConversion"/>
  </si>
  <si>
    <t>서울북부지방법원</t>
    <phoneticPr fontId="11" type="noConversion"/>
  </si>
  <si>
    <t>서울남부지방법원</t>
    <phoneticPr fontId="11" type="noConversion"/>
  </si>
  <si>
    <t>서울동부지방법원</t>
    <phoneticPr fontId="11" type="noConversion"/>
  </si>
  <si>
    <t>서울행정법원</t>
    <phoneticPr fontId="11" type="noConversion"/>
  </si>
  <si>
    <t>서울가정법원</t>
    <phoneticPr fontId="11" type="noConversion"/>
  </si>
  <si>
    <t>서울중앙지방법원</t>
    <phoneticPr fontId="11" type="noConversion"/>
  </si>
  <si>
    <t>합         계</t>
    <phoneticPr fontId="11" type="noConversion"/>
  </si>
  <si>
    <t>주 : 가사사건은 각 지방법원에 합산하였음</t>
    <phoneticPr fontId="11" type="noConversion"/>
  </si>
  <si>
    <t>제주지방법원</t>
    <phoneticPr fontId="11" type="noConversion"/>
  </si>
  <si>
    <t>전주지방법원</t>
    <phoneticPr fontId="11" type="noConversion"/>
  </si>
  <si>
    <t>광주지방법원</t>
    <phoneticPr fontId="11" type="noConversion"/>
  </si>
  <si>
    <t>창원지방법원</t>
    <phoneticPr fontId="11" type="noConversion"/>
  </si>
  <si>
    <t>울산지방법원</t>
    <phoneticPr fontId="11" type="noConversion"/>
  </si>
  <si>
    <t>부산지방법원</t>
    <phoneticPr fontId="11" type="noConversion"/>
  </si>
  <si>
    <t>대구지방법원</t>
    <phoneticPr fontId="11" type="noConversion"/>
  </si>
  <si>
    <t>청주지방법원</t>
    <phoneticPr fontId="11" type="noConversion"/>
  </si>
  <si>
    <t>대전지방법원</t>
    <phoneticPr fontId="11" type="noConversion"/>
  </si>
  <si>
    <t>춘천지방법원</t>
    <phoneticPr fontId="11" type="noConversion"/>
  </si>
  <si>
    <t>수원지방법원</t>
    <phoneticPr fontId="11" type="noConversion"/>
  </si>
  <si>
    <t>인천지방법원</t>
    <phoneticPr fontId="11" type="noConversion"/>
  </si>
  <si>
    <t>의정부지방법원</t>
    <phoneticPr fontId="11" type="noConversion"/>
  </si>
  <si>
    <t>서울서부지방법원</t>
    <phoneticPr fontId="11" type="noConversion"/>
  </si>
  <si>
    <t>서울북부지방법원</t>
    <phoneticPr fontId="11" type="noConversion"/>
  </si>
  <si>
    <t>서울남부지방법원</t>
    <phoneticPr fontId="11" type="noConversion"/>
  </si>
  <si>
    <t>서울동부지방법원</t>
    <phoneticPr fontId="11" type="noConversion"/>
  </si>
  <si>
    <t>서울회생법원</t>
    <phoneticPr fontId="11" type="noConversion"/>
  </si>
  <si>
    <t>서울가정법원</t>
    <phoneticPr fontId="11" type="noConversion"/>
  </si>
  <si>
    <t>서울중앙지방법원</t>
    <phoneticPr fontId="11" type="noConversion"/>
  </si>
  <si>
    <t>본안</t>
    <phoneticPr fontId="11" type="noConversion"/>
  </si>
  <si>
    <t>법원</t>
    <phoneticPr fontId="11" type="noConversion"/>
  </si>
  <si>
    <t>성매매
관련
보호</t>
    <phoneticPr fontId="10" type="noConversion"/>
  </si>
  <si>
    <t>인신
보호</t>
    <phoneticPr fontId="10" type="noConversion"/>
  </si>
  <si>
    <t>피해아동
보호명령</t>
    <phoneticPr fontId="10" type="noConversion"/>
  </si>
  <si>
    <t>아동
보호</t>
    <phoneticPr fontId="10" type="noConversion"/>
  </si>
  <si>
    <t>피해자
보호
명령</t>
    <phoneticPr fontId="10" type="noConversion"/>
  </si>
  <si>
    <t>가정
보호</t>
    <phoneticPr fontId="10" type="noConversion"/>
  </si>
  <si>
    <t>소년</t>
    <phoneticPr fontId="11" type="noConversion"/>
  </si>
  <si>
    <t>구분</t>
    <phoneticPr fontId="11" type="noConversion"/>
  </si>
  <si>
    <t>라.지방법원(항소심)</t>
    <phoneticPr fontId="11" type="noConversion"/>
  </si>
  <si>
    <t>특허법원</t>
    <phoneticPr fontId="11" type="noConversion"/>
  </si>
  <si>
    <t>수원고등법원</t>
    <phoneticPr fontId="11" type="noConversion"/>
  </si>
  <si>
    <t>광주고등법원</t>
    <phoneticPr fontId="11" type="noConversion"/>
  </si>
  <si>
    <t>부산고등법원</t>
    <phoneticPr fontId="11" type="noConversion"/>
  </si>
  <si>
    <t>대구고등법원</t>
    <phoneticPr fontId="11" type="noConversion"/>
  </si>
  <si>
    <t>대전고등법원</t>
    <phoneticPr fontId="11" type="noConversion"/>
  </si>
  <si>
    <t>서울고등법원</t>
    <phoneticPr fontId="11" type="noConversion"/>
  </si>
  <si>
    <t>치료감호</t>
    <phoneticPr fontId="11" type="noConversion"/>
  </si>
  <si>
    <t>공판</t>
    <phoneticPr fontId="11" type="noConversion"/>
  </si>
  <si>
    <t>형   사</t>
    <phoneticPr fontId="11" type="noConversion"/>
  </si>
  <si>
    <t>선   거</t>
    <phoneticPr fontId="11" type="noConversion"/>
  </si>
  <si>
    <t>특   허</t>
    <phoneticPr fontId="11" type="noConversion"/>
  </si>
  <si>
    <t>행   정</t>
    <phoneticPr fontId="11" type="noConversion"/>
  </si>
  <si>
    <t>가   사</t>
    <phoneticPr fontId="11" type="noConversion"/>
  </si>
  <si>
    <t>민   사</t>
    <phoneticPr fontId="11" type="noConversion"/>
  </si>
  <si>
    <t>합   계</t>
    <phoneticPr fontId="11" type="noConversion"/>
  </si>
  <si>
    <t>다.고등법원</t>
    <phoneticPr fontId="11" type="noConversion"/>
  </si>
  <si>
    <t>대법원</t>
    <phoneticPr fontId="11" type="noConversion"/>
  </si>
  <si>
    <t>성매매관련 보호</t>
    <phoneticPr fontId="10" type="noConversion"/>
  </si>
  <si>
    <t>인신보호</t>
    <phoneticPr fontId="10" type="noConversion"/>
  </si>
  <si>
    <t>피해아동보호</t>
    <phoneticPr fontId="10" type="noConversion"/>
  </si>
  <si>
    <t>아동보호</t>
    <phoneticPr fontId="10" type="noConversion"/>
  </si>
  <si>
    <t>피해자보호명령</t>
    <phoneticPr fontId="10" type="noConversion"/>
  </si>
  <si>
    <t>가정보호</t>
    <phoneticPr fontId="11" type="noConversion"/>
  </si>
  <si>
    <t>나.대법원</t>
    <phoneticPr fontId="11" type="noConversion"/>
  </si>
  <si>
    <t>구분</t>
    <phoneticPr fontId="11" type="noConversion"/>
  </si>
  <si>
    <t>총계</t>
    <phoneticPr fontId="11" type="noConversion"/>
  </si>
  <si>
    <t>소   송   사   건</t>
    <phoneticPr fontId="11" type="noConversion"/>
  </si>
  <si>
    <t>비  송  사  건</t>
    <phoneticPr fontId="11" type="noConversion"/>
  </si>
  <si>
    <t>법원</t>
    <phoneticPr fontId="11" type="noConversion"/>
  </si>
  <si>
    <t>합계</t>
    <phoneticPr fontId="11" type="noConversion"/>
  </si>
  <si>
    <t>민사</t>
    <phoneticPr fontId="11" type="noConversion"/>
  </si>
  <si>
    <t>가사</t>
    <phoneticPr fontId="11" type="noConversion"/>
  </si>
  <si>
    <t>행정</t>
    <phoneticPr fontId="11" type="noConversion"/>
  </si>
  <si>
    <t>특허</t>
    <phoneticPr fontId="11" type="noConversion"/>
  </si>
  <si>
    <t>선거</t>
    <phoneticPr fontId="11" type="noConversion"/>
  </si>
  <si>
    <t>형사</t>
    <phoneticPr fontId="11" type="noConversion"/>
  </si>
  <si>
    <t>소년</t>
    <phoneticPr fontId="11" type="noConversion"/>
  </si>
  <si>
    <t>등기</t>
    <phoneticPr fontId="11" type="noConversion"/>
  </si>
  <si>
    <t>가족관계등록비송</t>
    <phoneticPr fontId="11" type="noConversion"/>
  </si>
  <si>
    <t>공탁</t>
    <phoneticPr fontId="11" type="noConversion"/>
  </si>
  <si>
    <t>대법원</t>
    <phoneticPr fontId="11" type="noConversion"/>
  </si>
  <si>
    <t>고등법원합계</t>
    <phoneticPr fontId="11" type="noConversion"/>
  </si>
  <si>
    <t>지방법원합계</t>
    <phoneticPr fontId="11" type="noConversion"/>
  </si>
  <si>
    <t>제1심계</t>
    <phoneticPr fontId="11" type="noConversion"/>
  </si>
  <si>
    <t>연도</t>
    <phoneticPr fontId="11" type="noConversion"/>
  </si>
  <si>
    <t>지수</t>
    <phoneticPr fontId="11" type="noConversion"/>
  </si>
  <si>
    <t>인천가정법원</t>
    <phoneticPr fontId="96" type="noConversion"/>
  </si>
  <si>
    <t>수원가정법원</t>
    <phoneticPr fontId="11" type="noConversion"/>
  </si>
  <si>
    <t>대전가정법원</t>
    <phoneticPr fontId="11" type="noConversion"/>
  </si>
  <si>
    <t>대구가정법원</t>
    <phoneticPr fontId="11" type="noConversion"/>
  </si>
  <si>
    <t>부산가정법원</t>
    <phoneticPr fontId="11" type="noConversion"/>
  </si>
  <si>
    <t>울산가정법원</t>
    <phoneticPr fontId="96" type="noConversion"/>
  </si>
  <si>
    <t>광주가정법원</t>
    <phoneticPr fontId="11" type="noConversion"/>
  </si>
  <si>
    <t>주 : 이 표는 인구수에 대한 접수건수 대비임</t>
    <phoneticPr fontId="11" type="noConversion"/>
  </si>
  <si>
    <t>인천가정법원</t>
    <phoneticPr fontId="96" type="noConversion"/>
  </si>
  <si>
    <t>수원가정법원</t>
    <phoneticPr fontId="96" type="noConversion"/>
  </si>
  <si>
    <t>부산가정법원</t>
    <phoneticPr fontId="11" type="noConversion"/>
  </si>
  <si>
    <t>울산가정법원</t>
    <phoneticPr fontId="96" type="noConversion"/>
  </si>
  <si>
    <t>광주가정법원</t>
    <phoneticPr fontId="11" type="noConversion"/>
  </si>
  <si>
    <r>
      <t xml:space="preserve">      2.비송사건 중 등기사건은 등</t>
    </r>
    <r>
      <rPr>
        <sz val="9"/>
        <color rgb="FFFF0000"/>
        <rFont val="굴림"/>
        <family val="3"/>
        <charset val="129"/>
      </rPr>
      <t>·</t>
    </r>
    <r>
      <rPr>
        <sz val="9"/>
        <rFont val="굴림"/>
        <family val="3"/>
        <charset val="129"/>
      </rPr>
      <t>초본발급건수를 제외한 등기신청사건만을 파악함</t>
    </r>
    <phoneticPr fontId="11" type="noConversion"/>
  </si>
  <si>
    <t>주 : 1. 지역인구수는 각급 법원의 설치와 관할구역에 관한 법률에 의한 관할법원의 관내지역 인구수를 합한 것임</t>
    <phoneticPr fontId="11" type="noConversion"/>
  </si>
  <si>
    <t>행정·선거</t>
    <phoneticPr fontId="11" type="noConversion"/>
  </si>
  <si>
    <t>비송사건 
(등기,가족관계등록,공탁)</t>
    <phoneticPr fontId="11" type="noConversion"/>
  </si>
  <si>
    <t>가정보호</t>
    <phoneticPr fontId="96" type="noConversion"/>
  </si>
  <si>
    <t>아동보호</t>
    <phoneticPr fontId="96" type="noConversion"/>
  </si>
  <si>
    <t>성매매관련보호</t>
    <phoneticPr fontId="10" type="noConversion"/>
  </si>
  <si>
    <t>4. 법관 업무량</t>
    <phoneticPr fontId="96" type="noConversion"/>
  </si>
  <si>
    <t>고등법원</t>
    <phoneticPr fontId="11" type="noConversion"/>
  </si>
  <si>
    <t>지방법원</t>
    <phoneticPr fontId="11" type="noConversion"/>
  </si>
  <si>
    <t>법관 1인당 처리건수 (표 5)</t>
    <phoneticPr fontId="11" type="noConversion"/>
  </si>
  <si>
    <t>법관 1인당
처리건수</t>
    <phoneticPr fontId="11" type="noConversion"/>
  </si>
  <si>
    <t>가동법관 수를 기준한 법관 1인당 처리건수는 표 5와 같다</t>
    <phoneticPr fontId="96" type="noConversion"/>
  </si>
  <si>
    <t xml:space="preserve">     2. 대법원 가동법관 수에는 대법원장, 법원행정처장 제외함</t>
    <phoneticPr fontId="96" type="noConversion"/>
  </si>
  <si>
    <t>가동법관 수</t>
    <phoneticPr fontId="11" type="noConversion"/>
  </si>
  <si>
    <t>소                                            송                                           사                                          건</t>
    <phoneticPr fontId="11" type="noConversion"/>
  </si>
  <si>
    <t>가족
관계
등록</t>
    <phoneticPr fontId="11" type="noConversion"/>
  </si>
  <si>
    <t>합 계</t>
    <phoneticPr fontId="11" type="noConversion"/>
  </si>
  <si>
    <t>등 기</t>
    <phoneticPr fontId="11" type="noConversion"/>
  </si>
  <si>
    <t>공 탁</t>
    <phoneticPr fontId="11" type="noConversion"/>
  </si>
  <si>
    <t>본안외</t>
    <phoneticPr fontId="96" type="noConversion"/>
  </si>
  <si>
    <t>형    사</t>
    <phoneticPr fontId="11" type="noConversion"/>
  </si>
  <si>
    <t>본  안</t>
    <phoneticPr fontId="96" type="noConversion"/>
  </si>
  <si>
    <t>본 안 외</t>
    <phoneticPr fontId="96" type="noConversion"/>
  </si>
  <si>
    <t>ㅁ 수정하면 폰트색 변경 할 것</t>
    <phoneticPr fontId="96" type="noConversion"/>
  </si>
  <si>
    <t>남양주지원</t>
  </si>
  <si>
    <t>남양주지원</t>
    <phoneticPr fontId="96" type="noConversion"/>
  </si>
  <si>
    <t>법원</t>
  </si>
  <si>
    <t>합계</t>
    <phoneticPr fontId="120" type="noConversion"/>
  </si>
  <si>
    <t>형사신청</t>
    <phoneticPr fontId="120" type="noConversion"/>
  </si>
  <si>
    <t>부착명령사건</t>
    <phoneticPr fontId="120" type="noConversion"/>
  </si>
  <si>
    <t>보호관찰명령사건</t>
    <phoneticPr fontId="120" type="noConversion"/>
  </si>
  <si>
    <t>치료명령사건</t>
    <phoneticPr fontId="120" type="noConversion"/>
  </si>
  <si>
    <t>서울중앙지방법원</t>
  </si>
  <si>
    <t>서울동부지방법원</t>
  </si>
  <si>
    <t>서울남부지방법원</t>
  </si>
  <si>
    <t>서울북부지방법원</t>
  </si>
  <si>
    <t>서울서부지방법원</t>
  </si>
  <si>
    <t>의정부지방법원</t>
  </si>
  <si>
    <t>고양지원</t>
  </si>
  <si>
    <t>소계</t>
  </si>
  <si>
    <t>인천지방법원</t>
  </si>
  <si>
    <t>부천지원</t>
  </si>
  <si>
    <t>수원지방법원</t>
  </si>
  <si>
    <t>성남지원</t>
  </si>
  <si>
    <t>여주지원</t>
  </si>
  <si>
    <t>평택지원</t>
  </si>
  <si>
    <t>안산지원</t>
  </si>
  <si>
    <t>안양지원</t>
  </si>
  <si>
    <t>춘천지방법원</t>
  </si>
  <si>
    <t>강릉지원</t>
  </si>
  <si>
    <t>원주지원</t>
  </si>
  <si>
    <t>속초지원</t>
  </si>
  <si>
    <t>영월지원</t>
  </si>
  <si>
    <t>대전지방법원</t>
  </si>
  <si>
    <t>홍성지원</t>
  </si>
  <si>
    <t>공주지원</t>
  </si>
  <si>
    <t>논산지원</t>
  </si>
  <si>
    <t>서산지원</t>
  </si>
  <si>
    <t>천안지원</t>
  </si>
  <si>
    <t>청주지방법원</t>
  </si>
  <si>
    <t>충주지원</t>
  </si>
  <si>
    <t>제천지원</t>
  </si>
  <si>
    <t>영동지원</t>
  </si>
  <si>
    <t>대구지방법원</t>
  </si>
  <si>
    <t>서부지원</t>
  </si>
  <si>
    <t>안동지원</t>
  </si>
  <si>
    <t>경주지원</t>
  </si>
  <si>
    <t>포항지원</t>
  </si>
  <si>
    <t>김천지원</t>
  </si>
  <si>
    <t>상주지원</t>
  </si>
  <si>
    <t>의성지원</t>
  </si>
  <si>
    <t>영덕지원</t>
  </si>
  <si>
    <t>부산지방법원</t>
  </si>
  <si>
    <t>동부지원</t>
  </si>
  <si>
    <t>울산지방법원</t>
  </si>
  <si>
    <t>창원지방법원</t>
  </si>
  <si>
    <t>마산지원</t>
  </si>
  <si>
    <t>진주지원</t>
  </si>
  <si>
    <t>통영지원</t>
  </si>
  <si>
    <t>밀양지원</t>
  </si>
  <si>
    <t>거창지원</t>
  </si>
  <si>
    <t>광주지방법원</t>
  </si>
  <si>
    <t>목포지원</t>
  </si>
  <si>
    <t>장흥지원</t>
  </si>
  <si>
    <t>순천지원</t>
  </si>
  <si>
    <t>해남지원</t>
  </si>
  <si>
    <t>전주지방법원</t>
  </si>
  <si>
    <t>군산지원</t>
  </si>
  <si>
    <t>정읍지원</t>
  </si>
  <si>
    <t>남원지원</t>
  </si>
  <si>
    <t>제주지방법원</t>
  </si>
  <si>
    <t>형사신청</t>
    <phoneticPr fontId="96" type="noConversion"/>
  </si>
  <si>
    <t>형사신청</t>
    <phoneticPr fontId="11" type="noConversion"/>
  </si>
  <si>
    <t>부착명령</t>
    <phoneticPr fontId="11" type="noConversion"/>
  </si>
  <si>
    <t>보호관찰</t>
    <phoneticPr fontId="11" type="noConversion"/>
  </si>
  <si>
    <t>치료명령</t>
    <phoneticPr fontId="11" type="noConversion"/>
  </si>
  <si>
    <t>재항고</t>
    <phoneticPr fontId="96" type="noConversion"/>
  </si>
  <si>
    <t>준항고</t>
    <phoneticPr fontId="96" type="noConversion"/>
  </si>
  <si>
    <t>감치·과태료</t>
    <phoneticPr fontId="96" type="noConversion"/>
  </si>
  <si>
    <t>합계</t>
    <phoneticPr fontId="96" type="noConversion"/>
  </si>
  <si>
    <t>항고</t>
    <phoneticPr fontId="96" type="noConversion"/>
  </si>
  <si>
    <t>영장</t>
    <phoneticPr fontId="96" type="noConversion"/>
  </si>
  <si>
    <t>남양주지원</t>
    <phoneticPr fontId="11" type="noConversion"/>
  </si>
  <si>
    <t>*2022년 업데이트 전</t>
    <phoneticPr fontId="10" type="noConversion"/>
  </si>
  <si>
    <t>주 : 1. 가동법관 수는 2022.12.31. 현재 각급법원에 배치된 법관 수임</t>
    <phoneticPr fontId="96" type="noConversion"/>
  </si>
  <si>
    <t xml:space="preserve">      3. 특허법원사건 872건은 제외함</t>
    <phoneticPr fontId="11" type="noConversion"/>
  </si>
  <si>
    <t>주 : 감치·과태료 59,866건(상고심 8건, 항소심 37건, 제1심 59,821건)과 인신보호 1,158건(상고심 13건, 지법항소심 64건, 제1심 1,081건), 성매매관련 167건(지법항소심 1건, 제1심 166건)은 형사란에, 가정보호 47,622건(상고심 79건, 항소심 1,034건, 제1심 46,509건), 피해자보호명령 3,087건(상고심 19건, 지법항소심 234건, 제1심 2,834건), 아동보호명령 19,945건(상고심 48건, 항소심 558건, 제1심 19,339건), 피해아동보호명령 1,712건(상고심 22건, 지법항소심 130건, 제1심 1,560건)은 소년란에 각각 합산하였음</t>
    <phoneticPr fontId="11" type="noConversion"/>
  </si>
  <si>
    <t>주 : 감치·과태료 60,439건(상고심 8건, 항소심 43건, 제1심 60,388건)과 인신보호 1,165건(상고심 14건, 지법항소심 64건, 제1심 1,087건), 성매매관련 169건(지법항소심 2건, 제1심 167건)은 형사란에, 가정보호 47,101건(상고심 97건, 지법항소심 1,091건, 제1심 45,913건), 피해자보호명령 2,912건(상고심 19건, 지법항소심 233건, 제1심 2,660건), 아동보호명령 20,320건(상고심 59건, 지법항소심 580건, 제1심 19,681건), 피해아동보호명령 1,381건(상고심 24건, 지법항소심 102건, 제1심 1,255건)은 소년란에 각각 합산하였음</t>
    <phoneticPr fontId="11" type="noConversion"/>
  </si>
  <si>
    <t>다음으로 소송사건을 사건별로 살펴보면 도표 3과 같다. 민사사건이 소송사건의 68.6%, 형사사건이 소송사건의  25.6%를 각 차지하고 있다. 전체사건의 61.5%를 차지하고 있는 비송사건의 구성비를 보면 도표 4와 같고, 등기사건이 전체 비송사건의 95.7%를 차지하고 있다. 또한 전체사건, 본안사건, 본안외사건 및 비송사건등에 대한 심급 및 법원별 접수 상황은 표 1과 같고 이들 사건에 대한 2013년 이후에 동향은 표 2와 같다. 이를 기초로 사건의 추이를 보면 도표 5와 같다</t>
    <phoneticPr fontId="11" type="noConversion"/>
  </si>
  <si>
    <r>
      <t>주 : 형사사건에는 감치</t>
    </r>
    <r>
      <rPr>
        <sz val="10"/>
        <rFont val="맑은 고딕"/>
        <family val="3"/>
        <charset val="129"/>
      </rPr>
      <t>·</t>
    </r>
    <r>
      <rPr>
        <sz val="10"/>
        <rFont val="굴림"/>
        <family val="3"/>
        <charset val="129"/>
      </rPr>
      <t>과태료사건(60,439건), 인신보호사건(1,165건), 성매매관련(169건)이 포함됨</t>
    </r>
    <phoneticPr fontId="14" type="noConversion"/>
  </si>
  <si>
    <t>기준년도시작</t>
    <phoneticPr fontId="10" type="noConversion"/>
  </si>
  <si>
    <r>
      <t>2022</t>
    </r>
    <r>
      <rPr>
        <sz val="10"/>
        <rFont val="굴림"/>
        <family val="3"/>
        <charset val="129"/>
      </rPr>
      <t>년도에 전국 법원에 접수된 사건은 총 16,023,852건으로 이를 법원별·심급별·사건별로 정리하면 표 1과 같다. 사건의 종류별 구성을 보면 도표 1과 같이 소송사건은 6,167,312건이고, 비송사건은 9,856,540건으로 그 비율은 38대 62이다. 소송사건을 본안사건(민사·가사·행정·지식재산·선거·형사공판·치료감호사건)과 본안외사건(민사조정·독촉·집행·신청·비송·기타사건, 가사비송·조정·신청·기타사건, 행정신청, 지식재산신청, 기타사건, 형사약식·성매매관련보호·즉결·영장·신청·기타사건, 소년보호·가정보호·인신보호사건, 피해자보호명령, 아동보호명령, 피해아동보호명령, 감치·과태료사건)으로 구분하면 도표 2와 같이 본안사건은 1,221,301건으로 전체 소송사건의 19.8%를, 본안외사건은 4,946,011건으로 전체 소송사건의 80.2%를 각 차지하고 있다.</t>
    </r>
    <phoneticPr fontId="11" type="noConversion"/>
  </si>
  <si>
    <t>지식재산</t>
  </si>
  <si>
    <t>지식재산</t>
    <phoneticPr fontId="11" type="noConversion"/>
  </si>
  <si>
    <r>
      <t>이 절에서는 법원에서 관장하고 있는 사건(법원조직법 제2조)을 통계분석의 편의상 소송사건과 비송사건으로 분류하고, 다시 소송사건은 민사</t>
    </r>
    <r>
      <rPr>
        <sz val="10"/>
        <color indexed="8"/>
        <rFont val="맑은 고딕"/>
        <family val="3"/>
        <charset val="129"/>
      </rPr>
      <t>·</t>
    </r>
    <r>
      <rPr>
        <sz val="10"/>
        <color indexed="8"/>
        <rFont val="굴림"/>
        <family val="3"/>
        <charset val="129"/>
      </rPr>
      <t>가사·행정·지식재산·선거·형사·소년보호·가정보호·인신보호사건 등으로, 비송사건은 등기·가족관계등록·공탁사건으로 분류하여, 전체사건의 동향을 정리·분석한다.
 그리고 사건의 분석방법으로써 제1항에서는 전체사건의 개황, 인구와 사건과의 대비를 살펴보고, 제2항 이하에서는 각종 사건의 중요한 사항을 종류별로 요약·검토하며 다만, 사건의 증감추세는 "제2절 사건의 추이(누년비교)"로, 사건의 구체적 현황은 "제3절 사건의 현황(세별표)"으로 각 별개의 절에서 다룬다</t>
    </r>
    <r>
      <rPr>
        <sz val="10"/>
        <color rgb="FFFF0000"/>
        <rFont val="굴림"/>
        <family val="3"/>
        <charset val="129"/>
      </rPr>
      <t>.</t>
    </r>
    <phoneticPr fontId="11" type="noConversion"/>
  </si>
  <si>
    <t>각종 사건별로 제1심 사건에 대한 인구수를 연도별로 비교하여 보면 표 3과 같다. 2022년도의 경우 전체사건으로 볼 때 인구 100명당 사건 31건의 비율이 되고, 민사본안사건은 인구 1,000명당 사건 15건, 형사공판사건(치료감호사건 포함)은 인구 1,000명당 사건 4건의 비율이 된다. 인구와 사건수를 지역별로 비교하여 보면 표 4와 같다. 끝으로 민사본안사건과 형사공판사건의 주요 유형을 기준으로 법원별 인구수 대비 사건수 비교 내역을 수록하였다.</t>
    <phoneticPr fontId="11" type="noConversion"/>
  </si>
  <si>
    <t xml:space="preserve">      2. 서울중앙지방법원관내 사건수는 서울중앙지방법원과 서울행정법원, 서울가정법원, 서울회생법원의 사건수를 합산 기재함</t>
    <phoneticPr fontId="11" type="noConversion"/>
  </si>
  <si>
    <t>주 : 1.인구수는 통계청 홈페이지(kosis.kr) 주민등록인구에 의한 것임(1,000미만은 버림)</t>
    <phoneticPr fontId="11" type="noConversion"/>
  </si>
  <si>
    <t>서울중앙지방법원관내</t>
  </si>
  <si>
    <t>서울동부지방법원관내</t>
  </si>
  <si>
    <t>서울남부지방법원관내</t>
  </si>
  <si>
    <t>서울서부지방법원관내</t>
  </si>
  <si>
    <t>부산지방법원관내</t>
  </si>
  <si>
    <t>손해배상 접수 사건수</t>
    <phoneticPr fontId="10" type="noConversion"/>
  </si>
  <si>
    <t>광주지방법원관내</t>
  </si>
  <si>
    <t>인천지방법원관내</t>
  </si>
  <si>
    <t>구상금 접수 사건수</t>
    <phoneticPr fontId="10" type="noConversion"/>
  </si>
  <si>
    <t>제주지방법원관내</t>
  </si>
  <si>
    <t>수원지방법원관내</t>
  </si>
  <si>
    <t>대여금 접수 사건수</t>
    <phoneticPr fontId="10" type="noConversion"/>
  </si>
  <si>
    <t>매매대금 접수 사건수</t>
    <phoneticPr fontId="10" type="noConversion"/>
  </si>
  <si>
    <t>[ 제1심 민사본안사건 주요 유형의 법원별 인구수 대비 사건수 비교 ]</t>
    <phoneticPr fontId="10" type="noConversion"/>
  </si>
  <si>
    <r>
      <t>주 : 성범죄는 형법의 강간과 추행의 죄, 특별법의 성매매알선등 행위의 처벌에 관한 법률, 성매매방지 및 피해자보호 등에 관한 법률, 성폭력범죄의 처벌 등에 관한 특례법, 아동</t>
    </r>
    <r>
      <rPr>
        <b/>
        <sz val="10"/>
        <color theme="1"/>
        <rFont val="맑은 고딕"/>
        <family val="3"/>
        <charset val="129"/>
      </rPr>
      <t>·</t>
    </r>
    <r>
      <rPr>
        <sz val="11"/>
        <color theme="1"/>
        <rFont val="맑은 고딕"/>
        <family val="3"/>
        <charset val="129"/>
        <scheme val="minor"/>
      </rPr>
      <t>청소년의 성보호에 관한 법률 위반에 해당되는 죄임</t>
    </r>
    <phoneticPr fontId="10" type="noConversion"/>
  </si>
  <si>
    <t xml:space="preserve">성범죄 </t>
    <phoneticPr fontId="10" type="noConversion"/>
  </si>
  <si>
    <t xml:space="preserve">교통범죄 </t>
    <phoneticPr fontId="10" type="noConversion"/>
  </si>
  <si>
    <t>주 : 경제범죄는 형법의 사기의 죄, 횡령과 배임의 죄, 절도의 죄, 특별법의 독점규제 및 공정거래에 관한 법률, 특정경제범죄가중처벌 등에 관한 법률 위반에 해당되는 죄임</t>
    <phoneticPr fontId="10" type="noConversion"/>
  </si>
  <si>
    <t xml:space="preserve">경제범죄 </t>
    <phoneticPr fontId="10" type="noConversion"/>
  </si>
  <si>
    <t xml:space="preserve">폭행범죄 </t>
    <phoneticPr fontId="10" type="noConversion"/>
  </si>
  <si>
    <t>[ 제1심 형사공판사건 주요 유형의 법원별 인구수 대비 사건수 비교 ]</t>
    <phoneticPr fontId="10" type="noConversion"/>
  </si>
  <si>
    <t xml:space="preserve">주 : 교통범죄는 특별법의 교통사고처리특례법, 도로교통법, 특정범죄가중처벌에 관한 법률(도주차량, 위험운전치사상, 운전자폭행 등)위반에 해당되는 죄임
</t>
    <phoneticPr fontId="10" type="noConversion"/>
  </si>
  <si>
    <t>주 : 폭행범죄는 형법의 상해와 폭행의 죄, 강도의 죄, 특별법의 폭력행위등 
처벌에 관한 법률 위반에 해당되는 죄임</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</si>
</sst>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2" formatCode="_-&quot;₩&quot;* #,##0_-;\-&quot;₩&quot;* #,##0_-;_-&quot;₩&quot;* &quot;-&quot;_-;_-@_-"/>
    <numFmt numFmtId="41" formatCode="_-* #,##0_-;\-* #,##0_-;_-* &quot;-&quot;_-;_-@_-"/>
    <numFmt numFmtId="176" formatCode="_ * #,##0_ ;_ * \-#,##0_ ;_ * &quot;-&quot;_ ;_ @_ "/>
    <numFmt numFmtId="177" formatCode="_ * #,##0.00_ ;_ * \-#,##0.00_ ;_ * &quot;-&quot;??_ ;_ @_ "/>
    <numFmt numFmtId="178" formatCode="#,##0;\(#,##0\)"/>
    <numFmt numFmtId="179" formatCode="0.0_);[Red]\(0.0\)"/>
    <numFmt numFmtId="180" formatCode="_-* #,##0.0000_-;\-* #,##0.0000_-;_-* &quot;-&quot;??_-;_-@_-"/>
    <numFmt numFmtId="181" formatCode="0.0000_ "/>
    <numFmt numFmtId="182" formatCode="0.0_ "/>
    <numFmt numFmtId="183" formatCode="_-* #,##0.0_-;\-* #,##0.0_-;_-* &quot;-&quot;_-;_-@_-"/>
    <numFmt numFmtId="184" formatCode="_-* #,##0.000_-;\-* #,##0.000_-;_-* &quot;-&quot;_-;_-@_-"/>
    <numFmt numFmtId="185" formatCode="_-* #,##0.00_-;\-* #,##0.00_-;_-* &quot;-&quot;_-;_-@_-"/>
    <numFmt numFmtId="186" formatCode="0_ "/>
    <numFmt numFmtId="187" formatCode="#,##0.0_ "/>
    <numFmt numFmtId="188" formatCode="0.00_ "/>
  </numFmts>
  <fonts count="136">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3"/>
      <charset val="129"/>
    </font>
    <font>
      <sz val="8"/>
      <name val="맑은 고딕"/>
      <family val="3"/>
      <charset val="129"/>
    </font>
    <font>
      <sz val="8"/>
      <name val="돋움"/>
      <family val="3"/>
      <charset val="129"/>
    </font>
    <font>
      <sz val="11"/>
      <name val="돋움"/>
      <family val="3"/>
      <charset val="129"/>
    </font>
    <font>
      <sz val="12"/>
      <name val="바탕체"/>
      <family val="1"/>
      <charset val="129"/>
    </font>
    <font>
      <sz val="8"/>
      <name val="맑은 고딕"/>
      <family val="3"/>
      <charset val="129"/>
    </font>
    <font>
      <sz val="10"/>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9"/>
      <color indexed="8"/>
      <name val="굴림체"/>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1"/>
      <color indexed="8"/>
      <name val="맑은 고딕"/>
      <family val="3"/>
      <charset val="129"/>
    </font>
    <font>
      <sz val="10"/>
      <color indexed="8"/>
      <name val="맑은 고딕"/>
      <family val="3"/>
      <charset val="129"/>
    </font>
    <font>
      <sz val="11"/>
      <color indexed="8"/>
      <name val="맑은 고딕"/>
      <family val="3"/>
      <charset val="129"/>
    </font>
    <font>
      <sz val="11"/>
      <color indexed="8"/>
      <name val="맑은 고딕"/>
      <family val="3"/>
      <charset val="129"/>
    </font>
    <font>
      <sz val="11"/>
      <color indexed="8"/>
      <name val="맑은 고딕"/>
      <family val="3"/>
      <charset val="129"/>
    </font>
    <font>
      <sz val="11"/>
      <color indexed="8"/>
      <name val="맑은 고딕"/>
      <family val="3"/>
      <charset val="129"/>
    </font>
    <font>
      <sz val="10"/>
      <color indexed="8"/>
      <name val="맑은 고딕"/>
      <family val="3"/>
      <charset val="129"/>
    </font>
    <font>
      <sz val="10"/>
      <color indexed="8"/>
      <name val="굴림"/>
      <family val="3"/>
      <charset val="129"/>
    </font>
    <font>
      <sz val="11"/>
      <color theme="1"/>
      <name val="맑은 고딕"/>
      <family val="3"/>
      <charset val="129"/>
      <scheme val="minor"/>
    </font>
    <font>
      <sz val="10"/>
      <color theme="1"/>
      <name val="맑은 고딕"/>
      <family val="3"/>
      <charset val="129"/>
    </font>
    <font>
      <sz val="9"/>
      <color indexed="8"/>
      <name val="굴림"/>
      <family val="3"/>
      <charset val="129"/>
    </font>
    <font>
      <b/>
      <sz val="14"/>
      <name val="굴림"/>
      <family val="3"/>
      <charset val="129"/>
    </font>
    <font>
      <b/>
      <sz val="10"/>
      <color indexed="8"/>
      <name val="굴림"/>
      <family val="3"/>
      <charset val="129"/>
    </font>
    <font>
      <b/>
      <sz val="10"/>
      <name val="굴림"/>
      <family val="3"/>
      <charset val="129"/>
    </font>
    <font>
      <sz val="9"/>
      <name val="굴림"/>
      <family val="3"/>
      <charset val="129"/>
    </font>
    <font>
      <sz val="10"/>
      <color indexed="8"/>
      <name val="돋움"/>
      <family val="3"/>
      <charset val="129"/>
    </font>
    <font>
      <sz val="10"/>
      <name val="돋움"/>
      <family val="3"/>
      <charset val="129"/>
    </font>
    <font>
      <b/>
      <sz val="9"/>
      <name val="굴림"/>
      <family val="3"/>
      <charset val="129"/>
    </font>
    <font>
      <b/>
      <sz val="9"/>
      <color indexed="9"/>
      <name val="굴림"/>
      <family val="3"/>
      <charset val="129"/>
    </font>
    <font>
      <sz val="9"/>
      <color indexed="62"/>
      <name val="굴림"/>
      <family val="3"/>
      <charset val="129"/>
    </font>
    <font>
      <b/>
      <sz val="9"/>
      <color indexed="8"/>
      <name val="굴림"/>
      <family val="3"/>
      <charset val="129"/>
    </font>
    <font>
      <sz val="8"/>
      <name val="굴림"/>
      <family val="3"/>
      <charset val="129"/>
    </font>
    <font>
      <sz val="8"/>
      <color indexed="8"/>
      <name val="맑은 고딕"/>
      <family val="3"/>
      <charset val="129"/>
    </font>
    <font>
      <b/>
      <sz val="8"/>
      <name val="맑은 고딕"/>
      <family val="3"/>
      <charset val="129"/>
    </font>
    <font>
      <sz val="9"/>
      <color indexed="22"/>
      <name val="굴림"/>
      <family val="3"/>
      <charset val="129"/>
    </font>
    <font>
      <sz val="9"/>
      <color indexed="12"/>
      <name val="굴림"/>
      <family val="3"/>
      <charset val="129"/>
    </font>
    <font>
      <b/>
      <sz val="9"/>
      <color indexed="12"/>
      <name val="굴림"/>
      <family val="3"/>
      <charset val="129"/>
    </font>
    <font>
      <sz val="10"/>
      <name val="맑은 고딕"/>
      <family val="3"/>
      <charset val="129"/>
    </font>
    <font>
      <b/>
      <sz val="8"/>
      <color indexed="9"/>
      <name val="맑은 고딕"/>
      <family val="3"/>
      <charset val="129"/>
    </font>
    <font>
      <b/>
      <sz val="8"/>
      <color indexed="8"/>
      <name val="맑은 고딕"/>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0"/>
      <color indexed="64"/>
      <name val="Arial"/>
      <family val="2"/>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000000"/>
      <name val="돋움"/>
      <family val="3"/>
      <charset val="129"/>
    </font>
    <font>
      <sz val="11"/>
      <color rgb="FF000000"/>
      <name val="맑은 고딕"/>
      <family val="3"/>
      <charset val="129"/>
    </font>
    <font>
      <sz val="10"/>
      <name val="굴림"/>
      <family val="3"/>
      <charset val="129"/>
    </font>
    <font>
      <sz val="11"/>
      <name val="맑은 고딕"/>
      <family val="3"/>
      <charset val="129"/>
      <scheme val="minor"/>
    </font>
    <font>
      <sz val="8"/>
      <name val="맑은 고딕"/>
      <family val="3"/>
      <charset val="129"/>
      <scheme val="minor"/>
    </font>
    <font>
      <sz val="10"/>
      <color indexed="64"/>
      <name val="Arial"/>
      <family val="2"/>
    </font>
    <font>
      <sz val="9"/>
      <color rgb="FF000000"/>
      <name val="굴림"/>
      <family val="3"/>
      <charset val="129"/>
    </font>
    <font>
      <b/>
      <sz val="9"/>
      <color rgb="FF0000FF"/>
      <name val="굴림"/>
      <family val="3"/>
      <charset val="129"/>
    </font>
    <font>
      <b/>
      <sz val="9"/>
      <color rgb="FF000000"/>
      <name val="굴림"/>
      <family val="3"/>
      <charset val="129"/>
    </font>
    <font>
      <b/>
      <sz val="9"/>
      <color rgb="FFFFFFFF"/>
      <name val="굴림"/>
      <family val="3"/>
      <charset val="129"/>
    </font>
    <font>
      <sz val="9"/>
      <color rgb="FF0000FF"/>
      <name val="굴림"/>
      <family val="3"/>
      <charset val="129"/>
    </font>
    <font>
      <sz val="9"/>
      <color rgb="FFC0C0C0"/>
      <name val="굴림"/>
      <family val="3"/>
      <charset val="129"/>
    </font>
    <font>
      <b/>
      <sz val="8"/>
      <color theme="1"/>
      <name val="맑은 고딕"/>
      <family val="3"/>
      <charset val="129"/>
    </font>
    <font>
      <sz val="10"/>
      <color theme="1"/>
      <name val="맑은 고딕"/>
      <family val="3"/>
      <charset val="129"/>
      <scheme val="minor"/>
    </font>
    <font>
      <sz val="9"/>
      <color rgb="FFFF0000"/>
      <name val="굴림"/>
      <family val="3"/>
      <charset val="129"/>
    </font>
    <font>
      <b/>
      <sz val="11"/>
      <color theme="1"/>
      <name val="맑은 고딕"/>
      <family val="3"/>
      <charset val="129"/>
      <scheme val="minor"/>
    </font>
    <font>
      <sz val="8"/>
      <color theme="1"/>
      <name val="맑은 고딕"/>
      <family val="3"/>
      <charset val="129"/>
      <scheme val="minor"/>
    </font>
    <font>
      <sz val="8"/>
      <color rgb="FFFF0000"/>
      <name val="맑은 고딕"/>
      <family val="3"/>
      <charset val="129"/>
    </font>
    <font>
      <sz val="8"/>
      <color theme="1"/>
      <name val="맑은 고딕"/>
      <family val="3"/>
      <charset val="129"/>
    </font>
    <font>
      <sz val="8"/>
      <color theme="1"/>
      <name val="굴림"/>
      <family val="3"/>
      <charset val="129"/>
    </font>
    <font>
      <sz val="9"/>
      <color theme="1"/>
      <name val="굴림"/>
      <family val="3"/>
      <charset val="129"/>
    </font>
    <font>
      <b/>
      <sz val="9"/>
      <color theme="0"/>
      <name val="굴림"/>
      <family val="3"/>
      <charset val="129"/>
    </font>
    <font>
      <sz val="10"/>
      <color rgb="FFFF0000"/>
      <name val="굴림"/>
      <family val="3"/>
      <charset val="129"/>
    </font>
    <font>
      <b/>
      <sz val="8"/>
      <color theme="0"/>
      <name val="맑은 고딕"/>
      <family val="3"/>
      <charset val="129"/>
    </font>
    <font>
      <b/>
      <sz val="11"/>
      <name val="굴림"/>
      <family val="3"/>
      <charset val="129"/>
    </font>
    <font>
      <b/>
      <sz val="9"/>
      <color rgb="FFFF0000"/>
      <name val="맑은 고딕"/>
      <family val="3"/>
      <charset val="129"/>
      <scheme val="minor"/>
    </font>
    <font>
      <sz val="9"/>
      <color rgb="FFFFFF00"/>
      <name val="맑은 고딕"/>
      <family val="3"/>
      <charset val="129"/>
      <scheme val="minor"/>
    </font>
    <font>
      <b/>
      <sz val="12"/>
      <color rgb="FFFFFF00"/>
      <name val="굴림"/>
      <family val="3"/>
      <charset val="129"/>
    </font>
    <font>
      <sz val="8"/>
      <name val="맑은 고딕"/>
      <family val="2"/>
      <charset val="129"/>
      <scheme val="minor"/>
    </font>
    <font>
      <b/>
      <sz val="9"/>
      <name val="맑은 고딕"/>
      <family val="3"/>
      <charset val="129"/>
      <scheme val="minor"/>
    </font>
    <font>
      <sz val="9"/>
      <name val="맑은 고딕"/>
      <family val="3"/>
      <charset val="129"/>
      <scheme val="minor"/>
    </font>
    <font>
      <b/>
      <sz val="10"/>
      <name val="맑은 고딕"/>
      <family val="3"/>
      <charset val="129"/>
      <scheme val="minor"/>
    </font>
    <font>
      <sz val="9"/>
      <name val="맑은 고딕"/>
      <family val="3"/>
      <charset val="129"/>
    </font>
    <font>
      <sz val="8"/>
      <color theme="3" tint="0.59999389629810485"/>
      <name val="맑은 고딕"/>
      <family val="3"/>
      <charset val="129"/>
    </font>
    <font>
      <b/>
      <sz val="9"/>
      <color theme="1"/>
      <name val="굴림"/>
      <family val="3"/>
      <charset val="129"/>
    </font>
    <font>
      <sz val="10"/>
      <color theme="1"/>
      <name val="돋움"/>
      <family val="3"/>
      <charset val="129"/>
    </font>
    <font>
      <sz val="10"/>
      <color theme="0" tint="-0.34998626667073579"/>
      <name val="맑은 고딕"/>
      <family val="3"/>
      <charset val="129"/>
    </font>
    <font>
      <sz val="9"/>
      <color theme="0" tint="-0.34998626667073579"/>
      <name val="굴림"/>
      <family val="3"/>
      <charset val="129"/>
    </font>
    <font>
      <b/>
      <sz val="10"/>
      <name val="맑은 고딕"/>
      <family val="3"/>
      <charset val="129"/>
    </font>
    <font>
      <sz val="12"/>
      <color rgb="FFFFFF00"/>
      <name val="맑은 고딕"/>
      <family val="3"/>
      <charset val="129"/>
      <scheme val="minor"/>
    </font>
    <font>
      <b/>
      <sz val="11"/>
      <name val="맑은 고딕"/>
      <family val="3"/>
      <charset val="129"/>
    </font>
    <font>
      <sz val="10"/>
      <color theme="0"/>
      <name val="맑은 고딕"/>
      <family val="3"/>
      <charset val="129"/>
    </font>
    <font>
      <b/>
      <sz val="10"/>
      <color theme="1"/>
      <name val="맑은 고딕"/>
      <family val="3"/>
      <charset val="129"/>
    </font>
    <font>
      <b/>
      <sz val="11"/>
      <color theme="1"/>
      <name val="맑은 고딕"/>
      <family val="3"/>
      <charset val="129"/>
    </font>
  </fonts>
  <fills count="8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54"/>
        <bgColor indexed="64"/>
      </patternFill>
    </fill>
    <fill>
      <patternFill patternType="solid">
        <fgColor indexed="26"/>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theme="0"/>
        <bgColor indexed="64"/>
      </patternFill>
    </fill>
    <fill>
      <patternFill patternType="solid">
        <fgColor rgb="FFFFFFFF"/>
        <bgColor rgb="FF000000"/>
      </patternFill>
    </fill>
    <fill>
      <patternFill patternType="solid">
        <fgColor rgb="FFFFFFFF"/>
        <bgColor rgb="FFFFFFFF"/>
      </patternFill>
    </fill>
    <fill>
      <patternFill patternType="solid">
        <fgColor rgb="FF666699"/>
        <bgColor rgb="FFFFFFFF"/>
      </patternFill>
    </fill>
    <fill>
      <patternFill patternType="solid">
        <fgColor rgb="FFFFFF00"/>
        <bgColor indexed="64"/>
      </patternFill>
    </fill>
    <fill>
      <patternFill patternType="solid">
        <fgColor rgb="FFFFFFCC"/>
        <bgColor indexed="64"/>
      </patternFill>
    </fill>
    <fill>
      <patternFill patternType="solid">
        <fgColor rgb="FFFFFFFF"/>
      </patternFill>
    </fill>
    <fill>
      <patternFill patternType="solid">
        <fgColor rgb="FF666699"/>
        <bgColor indexed="64"/>
      </patternFill>
    </fill>
  </fills>
  <borders count="155">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thin">
        <color indexed="9"/>
      </right>
      <top style="thin">
        <color indexed="64"/>
      </top>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right style="thin">
        <color indexed="9"/>
      </right>
      <top/>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right style="thin">
        <color indexed="9"/>
      </right>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9"/>
      </right>
      <top style="thin">
        <color indexed="64"/>
      </top>
      <bottom/>
      <diagonal/>
    </border>
    <border>
      <left style="thin">
        <color indexed="9"/>
      </left>
      <right style="thin">
        <color indexed="9"/>
      </right>
      <top style="thin">
        <color indexed="64"/>
      </top>
      <bottom/>
      <diagonal/>
    </border>
    <border>
      <left style="thin">
        <color indexed="64"/>
      </left>
      <right style="thin">
        <color indexed="9"/>
      </right>
      <top/>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64"/>
      </left>
      <right style="thin">
        <color indexed="9"/>
      </right>
      <top/>
      <bottom style="thin">
        <color indexed="64"/>
      </bottom>
      <diagonal/>
    </border>
    <border>
      <left style="thin">
        <color indexed="9"/>
      </left>
      <right style="thin">
        <color indexed="9"/>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9"/>
      </left>
      <right/>
      <top style="thin">
        <color indexed="64"/>
      </top>
      <bottom style="thin">
        <color indexed="9"/>
      </bottom>
      <diagonal/>
    </border>
    <border>
      <left/>
      <right style="thin">
        <color indexed="64"/>
      </right>
      <top style="thin">
        <color indexed="64"/>
      </top>
      <bottom style="thin">
        <color indexed="9"/>
      </bottom>
      <diagonal/>
    </border>
    <border>
      <left/>
      <right style="thin">
        <color indexed="9"/>
      </right>
      <top style="thin">
        <color indexed="64"/>
      </top>
      <bottom style="thin">
        <color indexed="9"/>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hair">
        <color indexed="64"/>
      </right>
      <top style="thin">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right style="hair">
        <color indexed="64"/>
      </right>
      <top style="thin">
        <color indexed="64"/>
      </top>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22"/>
      </right>
      <top style="thin">
        <color indexed="64"/>
      </top>
      <bottom/>
      <diagonal/>
    </border>
    <border>
      <left style="thin">
        <color indexed="22"/>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style="thin">
        <color indexed="22"/>
      </right>
      <top style="thin">
        <color indexed="64"/>
      </top>
      <bottom style="thin">
        <color indexed="22"/>
      </bottom>
      <diagonal/>
    </border>
    <border>
      <left style="thin">
        <color indexed="22"/>
      </left>
      <right style="thin">
        <color indexed="22"/>
      </right>
      <top style="thin">
        <color indexed="64"/>
      </top>
      <bottom/>
      <diagonal/>
    </border>
    <border>
      <left style="thin">
        <color indexed="22"/>
      </left>
      <right style="thin">
        <color indexed="64"/>
      </right>
      <top style="thin">
        <color indexed="64"/>
      </top>
      <bottom style="thin">
        <color indexed="22"/>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style="double">
        <color indexed="64"/>
      </right>
      <top style="thin">
        <color indexed="22"/>
      </top>
      <bottom style="hair">
        <color indexed="22"/>
      </bottom>
      <diagonal/>
    </border>
    <border>
      <left style="thin">
        <color indexed="64"/>
      </left>
      <right/>
      <top style="thin">
        <color indexed="22"/>
      </top>
      <bottom style="hair">
        <color indexed="22"/>
      </bottom>
      <diagonal/>
    </border>
    <border>
      <left/>
      <right style="thin">
        <color indexed="64"/>
      </right>
      <top style="thin">
        <color indexed="22"/>
      </top>
      <bottom/>
      <diagonal/>
    </border>
    <border>
      <left/>
      <right/>
      <top style="thin">
        <color indexed="22"/>
      </top>
      <bottom style="hair">
        <color indexed="22"/>
      </bottom>
      <diagonal/>
    </border>
    <border>
      <left/>
      <right style="thin">
        <color indexed="64"/>
      </right>
      <top style="thin">
        <color indexed="22"/>
      </top>
      <bottom style="hair">
        <color indexed="22"/>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hair">
        <color indexed="22"/>
      </top>
      <bottom/>
      <diagonal/>
    </border>
    <border>
      <left style="thin">
        <color rgb="FFC0C0C0"/>
      </left>
      <right style="thin">
        <color rgb="FFC0C0C0"/>
      </right>
      <top style="thin">
        <color rgb="FFC0C0C0"/>
      </top>
      <bottom style="thin">
        <color rgb="FFC0C0C0"/>
      </bottom>
      <diagonal/>
    </border>
    <border>
      <left style="thin">
        <color rgb="FFC0C0C0"/>
      </left>
      <right/>
      <top/>
      <bottom style="thin">
        <color rgb="FFC0C0C0"/>
      </bottom>
      <diagonal/>
    </border>
    <border>
      <left style="thin">
        <color rgb="FFC0C0C0"/>
      </left>
      <right/>
      <top/>
      <bottom/>
      <diagonal/>
    </border>
    <border>
      <left/>
      <right style="thin">
        <color theme="1"/>
      </right>
      <top style="thin">
        <color indexed="22"/>
      </top>
      <bottom style="hair">
        <color indexed="22"/>
      </bottom>
      <diagonal/>
    </border>
    <border>
      <left style="thin">
        <color theme="1"/>
      </left>
      <right/>
      <top style="thin">
        <color indexed="22"/>
      </top>
      <bottom style="hair">
        <color indexed="22"/>
      </bottom>
      <diagonal/>
    </border>
    <border>
      <left/>
      <right style="thin">
        <color theme="1"/>
      </right>
      <top/>
      <bottom/>
      <diagonal/>
    </border>
    <border>
      <left style="thin">
        <color theme="1"/>
      </left>
      <right/>
      <top/>
      <bottom/>
      <diagonal/>
    </border>
    <border>
      <left/>
      <right style="thin">
        <color theme="1"/>
      </right>
      <top/>
      <bottom style="thin">
        <color indexed="64"/>
      </bottom>
      <diagonal/>
    </border>
    <border>
      <left style="thin">
        <color theme="1"/>
      </left>
      <right/>
      <top/>
      <bottom style="thin">
        <color indexed="64"/>
      </bottom>
      <diagonal/>
    </border>
    <border>
      <left style="thin">
        <color auto="1"/>
      </left>
      <right/>
      <top/>
      <bottom/>
      <diagonal/>
    </border>
    <border>
      <left style="thin">
        <color auto="1"/>
      </left>
      <right/>
      <top/>
      <bottom style="thin">
        <color indexed="64"/>
      </bottom>
      <diagonal/>
    </border>
    <border>
      <left style="double">
        <color indexed="64"/>
      </left>
      <right style="thin">
        <color auto="1"/>
      </right>
      <top style="thin">
        <color indexed="22"/>
      </top>
      <bottom style="hair">
        <color indexed="22"/>
      </bottom>
      <diagonal/>
    </border>
    <border>
      <left style="double">
        <color indexed="64"/>
      </left>
      <right style="thin">
        <color auto="1"/>
      </right>
      <top/>
      <bottom/>
      <diagonal/>
    </border>
    <border>
      <left style="thin">
        <color indexed="22"/>
      </left>
      <right style="thin">
        <color indexed="22"/>
      </right>
      <top style="thin">
        <color indexed="22"/>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right style="thin">
        <color auto="1"/>
      </right>
      <top/>
      <bottom/>
      <diagonal/>
    </border>
    <border>
      <left style="thin">
        <color auto="1"/>
      </left>
      <right/>
      <top/>
      <bottom style="thin">
        <color indexed="64"/>
      </bottom>
      <diagonal/>
    </border>
    <border>
      <left style="thin">
        <color indexed="22"/>
      </left>
      <right style="thin">
        <color indexed="22"/>
      </right>
      <top/>
      <bottom/>
      <diagonal/>
    </border>
    <border>
      <left style="hair">
        <color indexed="64"/>
      </left>
      <right style="thin">
        <color indexed="64"/>
      </right>
      <top style="thin">
        <color indexed="64"/>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indexed="22"/>
      </left>
      <right/>
      <top style="thin">
        <color indexed="64"/>
      </top>
      <bottom/>
      <diagonal/>
    </border>
    <border>
      <left/>
      <right style="thin">
        <color indexed="22"/>
      </right>
      <top style="thin">
        <color indexed="64"/>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22"/>
      </top>
      <bottom style="thin">
        <color indexed="22"/>
      </bottom>
      <diagonal/>
    </border>
    <border>
      <left style="thin">
        <color indexed="22"/>
      </left>
      <right/>
      <top style="thin">
        <color indexed="22"/>
      </top>
      <bottom/>
      <diagonal/>
    </border>
    <border>
      <left style="thin">
        <color auto="1"/>
      </left>
      <right style="thin">
        <color auto="1"/>
      </right>
      <top style="thin">
        <color theme="0" tint="-0.24994659260841701"/>
      </top>
      <bottom style="thin">
        <color auto="1"/>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0" tint="-0.24994659260841701"/>
      </left>
      <right style="thin">
        <color theme="0" tint="-0.24994659260841701"/>
      </right>
      <top style="thin">
        <color theme="0" tint="-0.24994659260841701"/>
      </top>
      <bottom style="thin">
        <color auto="1"/>
      </bottom>
      <diagonal/>
    </border>
    <border>
      <left/>
      <right/>
      <top/>
      <bottom style="thin">
        <color indexed="64"/>
      </bottom>
      <diagonal/>
    </border>
    <border>
      <left/>
      <right style="thin">
        <color auto="1"/>
      </right>
      <top/>
      <bottom/>
      <diagonal/>
    </border>
    <border>
      <left/>
      <right style="thin">
        <color indexed="64"/>
      </right>
      <top/>
      <bottom style="thin">
        <color indexed="64"/>
      </bottom>
      <diagonal/>
    </border>
    <border>
      <left style="thin">
        <color indexed="22"/>
      </left>
      <right/>
      <top/>
      <bottom style="thin">
        <color indexed="22"/>
      </bottom>
      <diagonal/>
    </border>
    <border>
      <left/>
      <right style="thin">
        <color auto="1"/>
      </right>
      <top/>
      <bottom/>
      <diagonal/>
    </border>
    <border>
      <left style="thin">
        <color auto="1"/>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theme="1"/>
      </right>
      <top/>
      <bottom style="thin">
        <color indexed="64"/>
      </bottom>
      <diagonal/>
    </border>
    <border>
      <left style="thin">
        <color indexed="9"/>
      </left>
      <right style="thin">
        <color indexed="64"/>
      </right>
      <top style="thin">
        <color indexed="64"/>
      </top>
      <bottom/>
      <diagonal/>
    </border>
    <border>
      <left style="thin">
        <color indexed="9"/>
      </left>
      <right style="thin">
        <color indexed="64"/>
      </right>
      <top/>
      <bottom/>
      <diagonal/>
    </border>
    <border>
      <left style="thin">
        <color indexed="9"/>
      </left>
      <right style="thin">
        <color indexed="64"/>
      </right>
      <top/>
      <bottom style="thin">
        <color indexed="64"/>
      </bottom>
      <diagonal/>
    </border>
  </borders>
  <cellStyleXfs count="32387">
    <xf numFmtId="0" fontId="0" fillId="0" borderId="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2"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9" fontId="9" fillId="0" borderId="0" applyFont="0" applyFill="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3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3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44"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6"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0"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9" fillId="0" borderId="0" applyFont="0" applyFill="0" applyBorder="0" applyAlignment="0" applyProtection="0">
      <alignment vertical="center"/>
    </xf>
    <xf numFmtId="41" fontId="43" fillId="0" borderId="0" applyFont="0" applyFill="0" applyBorder="0" applyAlignment="0" applyProtection="0">
      <alignment vertical="center"/>
    </xf>
    <xf numFmtId="41" fontId="44"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38"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4" fillId="0" borderId="0" applyFont="0" applyFill="0" applyBorder="0" applyAlignment="0" applyProtection="0">
      <alignment vertical="center"/>
    </xf>
    <xf numFmtId="41" fontId="15"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43" fillId="0" borderId="0" applyFont="0" applyFill="0" applyBorder="0" applyAlignment="0" applyProtection="0">
      <alignment vertical="center"/>
    </xf>
    <xf numFmtId="41" fontId="15"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2" fillId="0" borderId="0" applyFont="0" applyFill="0" applyBorder="0" applyAlignment="0" applyProtection="0">
      <alignment vertical="center"/>
    </xf>
    <xf numFmtId="41" fontId="9" fillId="0" borderId="0" applyFont="0" applyFill="0" applyBorder="0" applyAlignment="0" applyProtection="0">
      <alignment vertical="center"/>
    </xf>
    <xf numFmtId="41" fontId="33" fillId="0" borderId="0" applyFont="0" applyFill="0" applyBorder="0" applyAlignment="0" applyProtection="0">
      <alignment vertical="center"/>
    </xf>
    <xf numFmtId="41" fontId="9" fillId="0" borderId="0" applyFont="0" applyFill="0" applyBorder="0" applyAlignment="0" applyProtection="0">
      <alignment vertical="center"/>
    </xf>
    <xf numFmtId="41" fontId="37"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35" fillId="0" borderId="0" applyFont="0" applyFill="0" applyBorder="0" applyAlignment="0" applyProtection="0">
      <alignment vertical="center"/>
    </xf>
    <xf numFmtId="41" fontId="9" fillId="0" borderId="0" applyFont="0" applyFill="0" applyBorder="0" applyAlignment="0" applyProtection="0">
      <alignment vertical="center"/>
    </xf>
    <xf numFmtId="41" fontId="41" fillId="0" borderId="0" applyFont="0" applyFill="0" applyBorder="0" applyAlignment="0" applyProtection="0">
      <alignment vertical="center"/>
    </xf>
    <xf numFmtId="41" fontId="9"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176" fontId="13" fillId="0" borderId="0" applyFont="0" applyFill="0" applyBorder="0" applyAlignment="0" applyProtection="0"/>
    <xf numFmtId="177" fontId="13" fillId="0" borderId="0" applyFont="0" applyFill="0" applyBorder="0" applyAlignment="0" applyProtection="0"/>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12" fillId="0" borderId="0">
      <alignment vertical="center"/>
    </xf>
    <xf numFmtId="0" fontId="32" fillId="0" borderId="0">
      <alignment vertical="center"/>
    </xf>
    <xf numFmtId="0" fontId="46" fillId="0" borderId="0">
      <alignment vertical="center"/>
    </xf>
    <xf numFmtId="0" fontId="46" fillId="0" borderId="0">
      <alignment vertical="center"/>
    </xf>
    <xf numFmtId="0" fontId="32" fillId="0" borderId="0">
      <alignment vertical="center"/>
    </xf>
    <xf numFmtId="0" fontId="46" fillId="0" borderId="0">
      <alignment vertical="center"/>
    </xf>
    <xf numFmtId="0" fontId="3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9"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12" fillId="0" borderId="0">
      <alignment vertical="center"/>
    </xf>
    <xf numFmtId="0" fontId="12"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7" fillId="0" borderId="0">
      <alignment vertical="center"/>
    </xf>
    <xf numFmtId="0" fontId="46" fillId="0" borderId="0">
      <alignment vertical="center"/>
    </xf>
    <xf numFmtId="0" fontId="12" fillId="0" borderId="0">
      <alignment vertical="center"/>
    </xf>
    <xf numFmtId="0" fontId="32" fillId="0" borderId="0">
      <alignment vertical="center"/>
    </xf>
    <xf numFmtId="0" fontId="46" fillId="0" borderId="0">
      <alignment vertical="center"/>
    </xf>
    <xf numFmtId="0" fontId="47" fillId="0" borderId="0">
      <alignment vertical="center"/>
    </xf>
    <xf numFmtId="0" fontId="46" fillId="0" borderId="0">
      <alignment vertical="center"/>
    </xf>
    <xf numFmtId="0" fontId="46" fillId="0" borderId="0">
      <alignment vertical="center"/>
    </xf>
    <xf numFmtId="0" fontId="46" fillId="0" borderId="0">
      <alignment vertical="center"/>
    </xf>
    <xf numFmtId="0" fontId="32" fillId="0" borderId="0">
      <alignment vertical="center"/>
    </xf>
    <xf numFmtId="0" fontId="32" fillId="0" borderId="0">
      <alignment vertical="center"/>
    </xf>
    <xf numFmtId="0" fontId="47" fillId="0" borderId="0">
      <alignment vertical="center"/>
    </xf>
    <xf numFmtId="0" fontId="47"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12" fillId="0" borderId="0"/>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 borderId="0" applyNumberFormat="0" applyBorder="0" applyAlignment="0" applyProtection="0">
      <alignment vertical="center"/>
    </xf>
    <xf numFmtId="0" fontId="9" fillId="2" borderId="0" applyNumberFormat="0" applyBorder="0" applyAlignment="0" applyProtection="0">
      <alignment vertical="center"/>
    </xf>
    <xf numFmtId="0" fontId="46" fillId="3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3" borderId="0" applyNumberFormat="0" applyBorder="0" applyAlignment="0" applyProtection="0">
      <alignment vertical="center"/>
    </xf>
    <xf numFmtId="0" fontId="9" fillId="3" borderId="0" applyNumberFormat="0" applyBorder="0" applyAlignment="0" applyProtection="0">
      <alignment vertical="center"/>
    </xf>
    <xf numFmtId="0" fontId="46" fillId="41"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4" borderId="0" applyNumberFormat="0" applyBorder="0" applyAlignment="0" applyProtection="0">
      <alignment vertical="center"/>
    </xf>
    <xf numFmtId="0" fontId="9" fillId="4" borderId="0" applyNumberFormat="0" applyBorder="0" applyAlignment="0" applyProtection="0">
      <alignment vertical="center"/>
    </xf>
    <xf numFmtId="0" fontId="46" fillId="45"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46" fillId="49"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46" fillId="5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63"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46" fillId="57"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46" fillId="3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9" borderId="0" applyNumberFormat="0" applyBorder="0" applyAlignment="0" applyProtection="0">
      <alignment vertical="center"/>
    </xf>
    <xf numFmtId="0" fontId="9" fillId="9" borderId="0" applyNumberFormat="0" applyBorder="0" applyAlignment="0" applyProtection="0">
      <alignment vertical="center"/>
    </xf>
    <xf numFmtId="0" fontId="46" fillId="42"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0" fontId="46" fillId="4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6"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46" fillId="50"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2"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8" borderId="0" applyNumberFormat="0" applyBorder="0" applyAlignment="0" applyProtection="0">
      <alignment vertical="center"/>
    </xf>
    <xf numFmtId="0" fontId="9" fillId="8" borderId="0" applyNumberFormat="0" applyBorder="0" applyAlignment="0" applyProtection="0">
      <alignment vertical="center"/>
    </xf>
    <xf numFmtId="0" fontId="46" fillId="5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11" borderId="0" applyNumberFormat="0" applyBorder="0" applyAlignment="0" applyProtection="0">
      <alignment vertical="center"/>
    </xf>
    <xf numFmtId="0" fontId="9" fillId="11" borderId="0" applyNumberFormat="0" applyBorder="0" applyAlignment="0" applyProtection="0">
      <alignment vertical="center"/>
    </xf>
    <xf numFmtId="0" fontId="46" fillId="58"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9" fillId="67"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85" fillId="39"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8"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85" fillId="43"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5"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85" fillId="47"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6"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85" fillId="51"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85" fillId="55"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15" borderId="0" applyNumberFormat="0" applyBorder="0" applyAlignment="0" applyProtection="0">
      <alignment vertical="center"/>
    </xf>
    <xf numFmtId="0" fontId="16" fillId="15" borderId="0" applyNumberFormat="0" applyBorder="0" applyAlignment="0" applyProtection="0">
      <alignment vertical="center"/>
    </xf>
    <xf numFmtId="0" fontId="85" fillId="59"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1"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85" fillId="36"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2"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17" borderId="0" applyNumberFormat="0" applyBorder="0" applyAlignment="0" applyProtection="0">
      <alignment vertical="center"/>
    </xf>
    <xf numFmtId="0" fontId="16" fillId="17" borderId="0" applyNumberFormat="0" applyBorder="0" applyAlignment="0" applyProtection="0">
      <alignment vertical="center"/>
    </xf>
    <xf numFmtId="0" fontId="85" fillId="40"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3"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18" borderId="0" applyNumberFormat="0" applyBorder="0" applyAlignment="0" applyProtection="0">
      <alignment vertical="center"/>
    </xf>
    <xf numFmtId="0" fontId="16" fillId="18" borderId="0" applyNumberFormat="0" applyBorder="0" applyAlignment="0" applyProtection="0">
      <alignment vertical="center"/>
    </xf>
    <xf numFmtId="0" fontId="85" fillId="4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74"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85" fillId="48"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69"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14" borderId="0" applyNumberFormat="0" applyBorder="0" applyAlignment="0" applyProtection="0">
      <alignment vertical="center"/>
    </xf>
    <xf numFmtId="0" fontId="16" fillId="14" borderId="0" applyNumberFormat="0" applyBorder="0" applyAlignment="0" applyProtection="0">
      <alignment vertical="center"/>
    </xf>
    <xf numFmtId="0" fontId="85" fillId="52"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0"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19" borderId="0" applyNumberFormat="0" applyBorder="0" applyAlignment="0" applyProtection="0">
      <alignment vertical="center"/>
    </xf>
    <xf numFmtId="0" fontId="16" fillId="19" borderId="0" applyNumberFormat="0" applyBorder="0" applyAlignment="0" applyProtection="0">
      <alignment vertical="center"/>
    </xf>
    <xf numFmtId="0" fontId="85" fillId="56"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6" fillId="75" borderId="0" applyNumberFormat="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87" fillId="33" borderId="98"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88" fillId="3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9" fillId="60" borderId="0" applyNumberFormat="0" applyBorder="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1" borderId="2" applyNumberFormat="0" applyFont="0" applyAlignment="0" applyProtection="0">
      <alignment vertical="center"/>
    </xf>
    <xf numFmtId="0" fontId="9" fillId="35" borderId="102" applyNumberFormat="0" applyFont="0" applyAlignment="0" applyProtection="0">
      <alignment vertical="center"/>
    </xf>
    <xf numFmtId="0" fontId="9" fillId="35" borderId="10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9" fontId="12" fillId="0" borderId="0" applyFont="0" applyFill="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0" fontId="89" fillId="31"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0" fillId="77" borderId="0" applyNumberFormat="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23" borderId="3" applyNumberFormat="0" applyAlignment="0" applyProtection="0">
      <alignment vertical="center"/>
    </xf>
    <xf numFmtId="0" fontId="22" fillId="23" borderId="3" applyNumberFormat="0" applyAlignment="0" applyProtection="0">
      <alignment vertical="center"/>
    </xf>
    <xf numFmtId="0" fontId="91" fillId="34" borderId="101"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0" fontId="22" fillId="78" borderId="3" applyNumberFormat="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4"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4"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4"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4"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84" fillId="0" borderId="0" applyFont="0" applyFill="0" applyBorder="0" applyAlignment="0" applyProtection="0"/>
    <xf numFmtId="41" fontId="84"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2" fillId="0" borderId="0">
      <alignment vertical="center"/>
    </xf>
    <xf numFmtId="41" fontId="92"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2" fillId="0" borderId="0">
      <alignment vertical="center"/>
    </xf>
    <xf numFmtId="41" fontId="92" fillId="0" borderId="0">
      <alignment vertical="center"/>
    </xf>
    <xf numFmtId="41" fontId="92" fillId="0" borderId="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2" fillId="0" borderId="0" applyFont="0" applyFill="0" applyBorder="0" applyAlignment="0" applyProtection="0"/>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2" fillId="0" borderId="0" applyFont="0" applyFill="0" applyBorder="0" applyAlignment="0" applyProtection="0"/>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2" fillId="0" borderId="0" applyFont="0" applyFill="0" applyBorder="0" applyAlignment="0" applyProtection="0"/>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2" fillId="0" borderId="0" applyFont="0" applyFill="0" applyBorder="0" applyAlignment="0" applyProtection="0"/>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2" fillId="0" borderId="0" applyFont="0" applyFill="0" applyBorder="0" applyAlignment="0" applyProtection="0"/>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2" fillId="0" borderId="0" applyFont="0" applyFill="0" applyBorder="0" applyAlignment="0" applyProtection="0"/>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5" fillId="0" borderId="0" applyFont="0" applyFill="0" applyBorder="0" applyAlignment="0" applyProtection="0">
      <alignment vertical="center"/>
    </xf>
    <xf numFmtId="41" fontId="92" fillId="0" borderId="0">
      <alignment vertical="center"/>
    </xf>
    <xf numFmtId="41" fontId="92" fillId="0" borderId="0">
      <alignment vertical="center"/>
    </xf>
    <xf numFmtId="41" fontId="92" fillId="0" borderId="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2" fillId="0" borderId="0" applyFont="0" applyFill="0" applyBorder="0" applyAlignment="0" applyProtection="0"/>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2" fillId="0" borderId="0" applyFont="0" applyFill="0" applyBorder="0" applyAlignment="0" applyProtection="0"/>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92" fillId="0" borderId="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84"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84"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84"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12"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0" fontId="4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3"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 fillId="0" borderId="0">
      <alignment vertical="center"/>
    </xf>
    <xf numFmtId="0" fontId="9" fillId="0" borderId="0">
      <alignment vertical="center"/>
    </xf>
    <xf numFmtId="0" fontId="93" fillId="0" borderId="0">
      <alignment vertical="center"/>
    </xf>
    <xf numFmtId="0" fontId="9" fillId="0" borderId="0">
      <alignment vertical="center"/>
    </xf>
    <xf numFmtId="0" fontId="9" fillId="0" borderId="0">
      <alignment vertical="center"/>
    </xf>
    <xf numFmtId="0" fontId="93" fillId="0" borderId="0">
      <alignment vertical="center"/>
    </xf>
    <xf numFmtId="0" fontId="9"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3" fillId="0" borderId="0">
      <alignment vertical="center"/>
    </xf>
    <xf numFmtId="0" fontId="93"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3" fillId="0" borderId="0">
      <alignment vertical="center"/>
    </xf>
    <xf numFmtId="0" fontId="93" fillId="0" borderId="0">
      <alignment vertical="center"/>
    </xf>
    <xf numFmtId="0" fontId="93" fillId="0" borderId="0">
      <alignment vertical="center"/>
    </xf>
    <xf numFmtId="0" fontId="93" fillId="0" borderId="0">
      <alignment vertical="center"/>
    </xf>
    <xf numFmtId="0" fontId="9" fillId="0" borderId="0">
      <alignment vertical="center"/>
    </xf>
    <xf numFmtId="0" fontId="9"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3"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3"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3" fillId="0" borderId="0">
      <alignment vertical="center"/>
    </xf>
    <xf numFmtId="0" fontId="93" fillId="0" borderId="0">
      <alignment vertical="center"/>
    </xf>
    <xf numFmtId="0" fontId="93" fillId="0" borderId="0">
      <alignment vertical="center"/>
    </xf>
    <xf numFmtId="0" fontId="9" fillId="0" borderId="0">
      <alignment vertical="center"/>
    </xf>
    <xf numFmtId="0" fontId="9"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3"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8" fillId="0" borderId="0">
      <alignment vertical="center"/>
    </xf>
    <xf numFmtId="0" fontId="68" fillId="0" borderId="0" applyNumberFormat="0" applyFill="0" applyBorder="0" applyAlignment="0" applyProtection="0">
      <alignment vertical="center"/>
    </xf>
    <xf numFmtId="0" fontId="69" fillId="0" borderId="95" applyNumberFormat="0" applyFill="0" applyAlignment="0" applyProtection="0">
      <alignment vertical="center"/>
    </xf>
    <xf numFmtId="0" fontId="70" fillId="0" borderId="96" applyNumberFormat="0" applyFill="0" applyAlignment="0" applyProtection="0">
      <alignment vertical="center"/>
    </xf>
    <xf numFmtId="0" fontId="71" fillId="0" borderId="97" applyNumberFormat="0" applyFill="0" applyAlignment="0" applyProtection="0">
      <alignment vertical="center"/>
    </xf>
    <xf numFmtId="0" fontId="71" fillId="0" borderId="0" applyNumberFormat="0" applyFill="0" applyBorder="0" applyAlignment="0" applyProtection="0">
      <alignment vertical="center"/>
    </xf>
    <xf numFmtId="0" fontId="72" fillId="29" borderId="0" applyNumberFormat="0" applyBorder="0" applyAlignment="0" applyProtection="0">
      <alignment vertical="center"/>
    </xf>
    <xf numFmtId="0" fontId="73" fillId="30" borderId="0" applyNumberFormat="0" applyBorder="0" applyAlignment="0" applyProtection="0">
      <alignment vertical="center"/>
    </xf>
    <xf numFmtId="0" fontId="74" fillId="31" borderId="0" applyNumberFormat="0" applyBorder="0" applyAlignment="0" applyProtection="0">
      <alignment vertical="center"/>
    </xf>
    <xf numFmtId="0" fontId="75" fillId="32" borderId="98" applyNumberFormat="0" applyAlignment="0" applyProtection="0">
      <alignment vertical="center"/>
    </xf>
    <xf numFmtId="0" fontId="76" fillId="33" borderId="99" applyNumberFormat="0" applyAlignment="0" applyProtection="0">
      <alignment vertical="center"/>
    </xf>
    <xf numFmtId="0" fontId="77" fillId="33" borderId="98" applyNumberFormat="0" applyAlignment="0" applyProtection="0">
      <alignment vertical="center"/>
    </xf>
    <xf numFmtId="0" fontId="78" fillId="0" borderId="100" applyNumberFormat="0" applyFill="0" applyAlignment="0" applyProtection="0">
      <alignment vertical="center"/>
    </xf>
    <xf numFmtId="0" fontId="79" fillId="34" borderId="101" applyNumberFormat="0" applyAlignment="0" applyProtection="0">
      <alignment vertical="center"/>
    </xf>
    <xf numFmtId="0" fontId="80" fillId="0" borderId="0" applyNumberFormat="0" applyFill="0" applyBorder="0" applyAlignment="0" applyProtection="0">
      <alignment vertical="center"/>
    </xf>
    <xf numFmtId="0" fontId="8" fillId="35" borderId="102" applyNumberFormat="0" applyFont="0" applyAlignment="0" applyProtection="0">
      <alignment vertical="center"/>
    </xf>
    <xf numFmtId="0" fontId="81" fillId="0" borderId="0" applyNumberFormat="0" applyFill="0" applyBorder="0" applyAlignment="0" applyProtection="0">
      <alignment vertical="center"/>
    </xf>
    <xf numFmtId="0" fontId="82" fillId="0" borderId="103" applyNumberFormat="0" applyFill="0" applyAlignment="0" applyProtection="0">
      <alignment vertical="center"/>
    </xf>
    <xf numFmtId="0" fontId="83" fillId="36" borderId="0" applyNumberFormat="0" applyBorder="0" applyAlignment="0" applyProtection="0">
      <alignment vertical="center"/>
    </xf>
    <xf numFmtId="0" fontId="8" fillId="37" borderId="0" applyNumberFormat="0" applyBorder="0" applyAlignment="0" applyProtection="0">
      <alignment vertical="center"/>
    </xf>
    <xf numFmtId="0" fontId="8" fillId="38" borderId="0" applyNumberFormat="0" applyBorder="0" applyAlignment="0" applyProtection="0">
      <alignment vertical="center"/>
    </xf>
    <xf numFmtId="0" fontId="83" fillId="39" borderId="0" applyNumberFormat="0" applyBorder="0" applyAlignment="0" applyProtection="0">
      <alignment vertical="center"/>
    </xf>
    <xf numFmtId="0" fontId="83" fillId="40" borderId="0" applyNumberFormat="0" applyBorder="0" applyAlignment="0" applyProtection="0">
      <alignment vertical="center"/>
    </xf>
    <xf numFmtId="0" fontId="8" fillId="41" borderId="0" applyNumberFormat="0" applyBorder="0" applyAlignment="0" applyProtection="0">
      <alignment vertical="center"/>
    </xf>
    <xf numFmtId="0" fontId="8" fillId="42" borderId="0" applyNumberFormat="0" applyBorder="0" applyAlignment="0" applyProtection="0">
      <alignment vertical="center"/>
    </xf>
    <xf numFmtId="0" fontId="83" fillId="43" borderId="0" applyNumberFormat="0" applyBorder="0" applyAlignment="0" applyProtection="0">
      <alignment vertical="center"/>
    </xf>
    <xf numFmtId="0" fontId="83" fillId="44" borderId="0" applyNumberFormat="0" applyBorder="0" applyAlignment="0" applyProtection="0">
      <alignment vertical="center"/>
    </xf>
    <xf numFmtId="0" fontId="8" fillId="45" borderId="0" applyNumberFormat="0" applyBorder="0" applyAlignment="0" applyProtection="0">
      <alignment vertical="center"/>
    </xf>
    <xf numFmtId="0" fontId="8" fillId="46" borderId="0" applyNumberFormat="0" applyBorder="0" applyAlignment="0" applyProtection="0">
      <alignment vertical="center"/>
    </xf>
    <xf numFmtId="0" fontId="83" fillId="47" borderId="0" applyNumberFormat="0" applyBorder="0" applyAlignment="0" applyProtection="0">
      <alignment vertical="center"/>
    </xf>
    <xf numFmtId="0" fontId="83" fillId="48" borderId="0" applyNumberFormat="0" applyBorder="0" applyAlignment="0" applyProtection="0">
      <alignment vertical="center"/>
    </xf>
    <xf numFmtId="0" fontId="8" fillId="49" borderId="0" applyNumberFormat="0" applyBorder="0" applyAlignment="0" applyProtection="0">
      <alignment vertical="center"/>
    </xf>
    <xf numFmtId="0" fontId="8" fillId="50" borderId="0" applyNumberFormat="0" applyBorder="0" applyAlignment="0" applyProtection="0">
      <alignment vertical="center"/>
    </xf>
    <xf numFmtId="0" fontId="83" fillId="51" borderId="0" applyNumberFormat="0" applyBorder="0" applyAlignment="0" applyProtection="0">
      <alignment vertical="center"/>
    </xf>
    <xf numFmtId="0" fontId="83" fillId="52" borderId="0" applyNumberFormat="0" applyBorder="0" applyAlignment="0" applyProtection="0">
      <alignment vertical="center"/>
    </xf>
    <xf numFmtId="0" fontId="8" fillId="53" borderId="0" applyNumberFormat="0" applyBorder="0" applyAlignment="0" applyProtection="0">
      <alignment vertical="center"/>
    </xf>
    <xf numFmtId="0" fontId="8" fillId="54" borderId="0" applyNumberFormat="0" applyBorder="0" applyAlignment="0" applyProtection="0">
      <alignment vertical="center"/>
    </xf>
    <xf numFmtId="0" fontId="83" fillId="55" borderId="0" applyNumberFormat="0" applyBorder="0" applyAlignment="0" applyProtection="0">
      <alignment vertical="center"/>
    </xf>
    <xf numFmtId="0" fontId="83" fillId="56" borderId="0" applyNumberFormat="0" applyBorder="0" applyAlignment="0" applyProtection="0">
      <alignment vertical="center"/>
    </xf>
    <xf numFmtId="0" fontId="8" fillId="57" borderId="0" applyNumberFormat="0" applyBorder="0" applyAlignment="0" applyProtection="0">
      <alignment vertical="center"/>
    </xf>
    <xf numFmtId="0" fontId="8" fillId="58" borderId="0" applyNumberFormat="0" applyBorder="0" applyAlignment="0" applyProtection="0">
      <alignment vertical="center"/>
    </xf>
    <xf numFmtId="0" fontId="83" fillId="59"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alignment vertical="center"/>
    </xf>
    <xf numFmtId="0" fontId="12" fillId="0" borderId="0">
      <alignment vertical="center"/>
    </xf>
    <xf numFmtId="0" fontId="47" fillId="0" borderId="0">
      <alignment vertical="center"/>
    </xf>
    <xf numFmtId="0" fontId="47" fillId="0" borderId="0">
      <alignment vertical="center"/>
    </xf>
    <xf numFmtId="0" fontId="12" fillId="0" borderId="0">
      <alignment vertical="center"/>
    </xf>
    <xf numFmtId="0" fontId="9" fillId="0" borderId="0">
      <alignment vertical="center"/>
    </xf>
    <xf numFmtId="0" fontId="47" fillId="0" borderId="0">
      <alignment vertical="center"/>
    </xf>
    <xf numFmtId="0" fontId="9" fillId="0" borderId="0">
      <alignment vertical="center"/>
    </xf>
    <xf numFmtId="0" fontId="12" fillId="0" borderId="0">
      <alignment vertical="center"/>
    </xf>
    <xf numFmtId="0" fontId="12" fillId="0" borderId="0">
      <alignment vertical="center"/>
    </xf>
    <xf numFmtId="0" fontId="47" fillId="0" borderId="0">
      <alignment vertical="center"/>
    </xf>
    <xf numFmtId="0" fontId="9" fillId="0" borderId="0">
      <alignment vertical="center"/>
    </xf>
    <xf numFmtId="0" fontId="9" fillId="0" borderId="0">
      <alignment vertical="center"/>
    </xf>
    <xf numFmtId="0" fontId="12" fillId="0" borderId="0">
      <alignment vertical="center"/>
    </xf>
    <xf numFmtId="0" fontId="47"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2" fillId="0" borderId="0">
      <alignment vertical="center"/>
    </xf>
    <xf numFmtId="0" fontId="47" fillId="0" borderId="0">
      <alignment vertical="center"/>
    </xf>
    <xf numFmtId="0" fontId="47" fillId="0" borderId="0">
      <alignment vertical="center"/>
    </xf>
    <xf numFmtId="0" fontId="32" fillId="0" borderId="0">
      <alignment vertical="center"/>
    </xf>
    <xf numFmtId="0" fontId="32" fillId="0" borderId="0">
      <alignment vertical="center"/>
    </xf>
    <xf numFmtId="0" fontId="47" fillId="0" borderId="0">
      <alignment vertical="center"/>
    </xf>
    <xf numFmtId="0" fontId="32" fillId="0" borderId="0">
      <alignment vertical="center"/>
    </xf>
    <xf numFmtId="0" fontId="12"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9" fillId="0" borderId="0">
      <alignment vertical="center"/>
    </xf>
    <xf numFmtId="0" fontId="12" fillId="0" borderId="0">
      <alignment vertical="center"/>
    </xf>
    <xf numFmtId="0" fontId="12" fillId="0" borderId="0">
      <alignment vertical="center"/>
    </xf>
    <xf numFmtId="0" fontId="12" fillId="0" borderId="0">
      <alignment vertical="center"/>
    </xf>
    <xf numFmtId="0" fontId="9" fillId="0" borderId="0">
      <alignment vertical="center"/>
    </xf>
    <xf numFmtId="0" fontId="12" fillId="0" borderId="0">
      <alignment vertical="center"/>
    </xf>
    <xf numFmtId="0" fontId="12" fillId="0" borderId="0">
      <alignment vertical="center"/>
    </xf>
    <xf numFmtId="0" fontId="12" fillId="0" borderId="0">
      <alignment vertical="center"/>
    </xf>
    <xf numFmtId="0" fontId="32" fillId="0" borderId="0">
      <alignment vertical="center"/>
    </xf>
    <xf numFmtId="0" fontId="32" fillId="0" borderId="0">
      <alignment vertical="center"/>
    </xf>
    <xf numFmtId="0" fontId="32" fillId="0" borderId="0">
      <alignment vertical="center"/>
    </xf>
    <xf numFmtId="0" fontId="12" fillId="0" borderId="0">
      <alignment vertical="center"/>
    </xf>
    <xf numFmtId="0" fontId="32" fillId="0" borderId="0">
      <alignment vertical="center"/>
    </xf>
    <xf numFmtId="0" fontId="3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47"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41" fontId="15" fillId="0" borderId="0" applyFont="0" applyFill="0" applyBorder="0" applyAlignment="0" applyProtection="0">
      <alignment vertical="center"/>
    </xf>
    <xf numFmtId="0" fontId="15" fillId="0" borderId="0">
      <alignment vertical="center"/>
    </xf>
    <xf numFmtId="41" fontId="46" fillId="0" borderId="0" applyFont="0" applyFill="0" applyBorder="0" applyAlignment="0" applyProtection="0">
      <alignment vertical="center"/>
    </xf>
    <xf numFmtId="0" fontId="7" fillId="0" borderId="0">
      <alignment vertical="center"/>
    </xf>
    <xf numFmtId="0" fontId="47" fillId="0" borderId="0">
      <alignment vertical="center"/>
    </xf>
    <xf numFmtId="41" fontId="46" fillId="0" borderId="0" applyFont="0" applyFill="0" applyBorder="0" applyAlignment="0" applyProtection="0">
      <alignment vertical="center"/>
    </xf>
    <xf numFmtId="0" fontId="9" fillId="0" borderId="0">
      <alignment vertical="center"/>
    </xf>
    <xf numFmtId="41" fontId="46" fillId="0" borderId="0" applyFont="0" applyFill="0" applyBorder="0" applyAlignment="0" applyProtection="0">
      <alignment vertical="center"/>
    </xf>
    <xf numFmtId="0" fontId="12" fillId="0" borderId="0"/>
    <xf numFmtId="41" fontId="12" fillId="0" borderId="0" applyFont="0" applyFill="0" applyBorder="0" applyAlignment="0" applyProtection="0">
      <alignment vertical="center"/>
    </xf>
    <xf numFmtId="0" fontId="46" fillId="0" borderId="0">
      <alignment vertical="center"/>
    </xf>
    <xf numFmtId="0" fontId="9" fillId="5"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46"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21" borderId="2" applyNumberFormat="0" applyFont="0" applyAlignment="0" applyProtection="0">
      <alignment vertical="center"/>
    </xf>
    <xf numFmtId="0" fontId="16" fillId="15" borderId="0" applyNumberFormat="0" applyBorder="0" applyAlignment="0" applyProtection="0">
      <alignment vertical="center"/>
    </xf>
    <xf numFmtId="0" fontId="47" fillId="0" borderId="0">
      <alignment vertical="center"/>
    </xf>
    <xf numFmtId="41" fontId="47" fillId="0" borderId="0" applyFont="0" applyFill="0" applyBorder="0" applyAlignment="0" applyProtection="0">
      <alignment vertical="center"/>
    </xf>
    <xf numFmtId="0" fontId="25" fillId="7" borderId="1" applyNumberFormat="0" applyAlignment="0" applyProtection="0">
      <alignment vertical="center"/>
    </xf>
    <xf numFmtId="0" fontId="12"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0"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11" borderId="0" applyNumberFormat="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0" fontId="19" fillId="3" borderId="0" applyNumberFormat="0" applyBorder="0" applyAlignment="0" applyProtection="0">
      <alignment vertical="center"/>
    </xf>
    <xf numFmtId="0" fontId="16" fillId="19" borderId="0" applyNumberFormat="0" applyBorder="0" applyAlignment="0" applyProtection="0">
      <alignment vertical="center"/>
    </xf>
    <xf numFmtId="0" fontId="16" fillId="16"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0" fontId="9" fillId="7"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9" fillId="0" borderId="0">
      <alignment vertical="center"/>
    </xf>
    <xf numFmtId="0" fontId="46" fillId="0" borderId="0">
      <alignment vertical="center"/>
    </xf>
    <xf numFmtId="0" fontId="30" fillId="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9" borderId="0" applyNumberFormat="0" applyBorder="0" applyAlignment="0" applyProtection="0">
      <alignment vertical="center"/>
    </xf>
    <xf numFmtId="0" fontId="9" fillId="3" borderId="0" applyNumberFormat="0" applyBorder="0" applyAlignment="0" applyProtection="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0" fontId="9" fillId="6" borderId="0" applyNumberFormat="0" applyBorder="0" applyAlignment="0" applyProtection="0">
      <alignment vertical="center"/>
    </xf>
    <xf numFmtId="0" fontId="9" fillId="3" borderId="0" applyNumberFormat="0" applyBorder="0" applyAlignment="0" applyProtection="0">
      <alignment vertical="center"/>
    </xf>
    <xf numFmtId="0" fontId="16" fillId="12"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0" fontId="16" fillId="17"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0" fontId="16" fillId="19" borderId="0" applyNumberFormat="0" applyBorder="0" applyAlignment="0" applyProtection="0">
      <alignment vertical="center"/>
    </xf>
    <xf numFmtId="0" fontId="16" fillId="14" borderId="0" applyNumberFormat="0" applyBorder="0" applyAlignment="0" applyProtection="0">
      <alignment vertical="center"/>
    </xf>
    <xf numFmtId="0" fontId="16" fillId="18" borderId="0" applyNumberFormat="0" applyBorder="0" applyAlignment="0" applyProtection="0">
      <alignment vertical="center"/>
    </xf>
    <xf numFmtId="0" fontId="16" fillId="16" borderId="0" applyNumberFormat="0" applyBorder="0" applyAlignment="0" applyProtection="0">
      <alignment vertical="center"/>
    </xf>
    <xf numFmtId="0" fontId="16" fillId="13" borderId="0" applyNumberFormat="0" applyBorder="0" applyAlignment="0" applyProtection="0">
      <alignment vertical="center"/>
    </xf>
    <xf numFmtId="0" fontId="9" fillId="8" borderId="0" applyNumberFormat="0" applyBorder="0" applyAlignment="0" applyProtection="0">
      <alignment vertical="center"/>
    </xf>
    <xf numFmtId="0" fontId="9" fillId="10" borderId="0" applyNumberFormat="0" applyBorder="0" applyAlignment="0" applyProtection="0">
      <alignment vertical="center"/>
    </xf>
    <xf numFmtId="0" fontId="9" fillId="9"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12" fillId="0" borderId="0">
      <alignment vertical="center"/>
    </xf>
    <xf numFmtId="0" fontId="32" fillId="0" borderId="0">
      <alignment vertical="center"/>
    </xf>
    <xf numFmtId="0" fontId="16" fillId="19" borderId="0" applyNumberFormat="0" applyBorder="0" applyAlignment="0" applyProtection="0">
      <alignment vertical="center"/>
    </xf>
    <xf numFmtId="0" fontId="97"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7" borderId="0" applyNumberFormat="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0" fontId="9" fillId="4" borderId="0" applyNumberFormat="0" applyBorder="0" applyAlignment="0" applyProtection="0">
      <alignment vertical="center"/>
    </xf>
    <xf numFmtId="0" fontId="47" fillId="0" borderId="0">
      <alignment vertical="center"/>
    </xf>
    <xf numFmtId="0" fontId="12"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5" borderId="0" applyNumberFormat="0" applyBorder="0" applyAlignment="0" applyProtection="0">
      <alignment vertical="center"/>
    </xf>
    <xf numFmtId="0" fontId="9" fillId="4" borderId="0" applyNumberFormat="0" applyBorder="0" applyAlignment="0" applyProtection="0">
      <alignment vertical="center"/>
    </xf>
    <xf numFmtId="0" fontId="9" fillId="3" borderId="0" applyNumberFormat="0" applyBorder="0" applyAlignment="0" applyProtection="0">
      <alignment vertical="center"/>
    </xf>
    <xf numFmtId="0" fontId="12" fillId="0" borderId="0">
      <alignment vertical="center"/>
    </xf>
    <xf numFmtId="0" fontId="46" fillId="0" borderId="0">
      <alignment vertical="center"/>
    </xf>
    <xf numFmtId="41" fontId="46" fillId="0" borderId="0" applyFont="0" applyFill="0" applyBorder="0" applyAlignment="0" applyProtection="0">
      <alignment vertical="center"/>
    </xf>
    <xf numFmtId="0" fontId="47" fillId="0" borderId="0">
      <alignment vertical="center"/>
    </xf>
    <xf numFmtId="0" fontId="97" fillId="0" borderId="0"/>
    <xf numFmtId="41" fontId="46" fillId="0" borderId="0" applyFont="0" applyFill="0" applyBorder="0" applyAlignment="0" applyProtection="0">
      <alignment vertical="center"/>
    </xf>
    <xf numFmtId="0" fontId="16" fillId="9" borderId="0" applyNumberFormat="0" applyBorder="0" applyAlignment="0" applyProtection="0">
      <alignment vertical="center"/>
    </xf>
    <xf numFmtId="41" fontId="46" fillId="0" borderId="0" applyFont="0" applyFill="0" applyBorder="0" applyAlignment="0" applyProtection="0">
      <alignment vertical="center"/>
    </xf>
    <xf numFmtId="0" fontId="19" fillId="3" borderId="0" applyNumberFormat="0" applyBorder="0" applyAlignment="0" applyProtection="0">
      <alignment vertical="center"/>
    </xf>
    <xf numFmtId="0" fontId="20" fillId="22" borderId="0" applyNumberFormat="0" applyBorder="0" applyAlignment="0" applyProtection="0">
      <alignment vertical="center"/>
    </xf>
    <xf numFmtId="41" fontId="46" fillId="0" borderId="0" applyFont="0" applyFill="0" applyBorder="0" applyAlignment="0" applyProtection="0">
      <alignment vertical="center"/>
    </xf>
    <xf numFmtId="0" fontId="16" fillId="19" borderId="0" applyNumberFormat="0" applyBorder="0" applyAlignment="0" applyProtection="0">
      <alignment vertical="center"/>
    </xf>
    <xf numFmtId="0" fontId="16" fillId="10" borderId="0" applyNumberFormat="0" applyBorder="0" applyAlignment="0" applyProtection="0">
      <alignment vertical="center"/>
    </xf>
    <xf numFmtId="0" fontId="16" fillId="12" borderId="0" applyNumberFormat="0" applyBorder="0" applyAlignment="0" applyProtection="0">
      <alignment vertical="center"/>
    </xf>
    <xf numFmtId="41" fontId="46" fillId="0" borderId="0" applyFont="0" applyFill="0" applyBorder="0" applyAlignment="0" applyProtection="0">
      <alignment vertical="center"/>
    </xf>
    <xf numFmtId="0" fontId="9" fillId="9" borderId="0" applyNumberFormat="0" applyBorder="0" applyAlignment="0" applyProtection="0">
      <alignment vertical="center"/>
    </xf>
    <xf numFmtId="0" fontId="22" fillId="23" borderId="3" applyNumberFormat="0" applyAlignment="0" applyProtection="0">
      <alignment vertical="center"/>
    </xf>
    <xf numFmtId="0" fontId="9" fillId="5" borderId="0" applyNumberFormat="0" applyBorder="0" applyAlignment="0" applyProtection="0">
      <alignment vertical="center"/>
    </xf>
    <xf numFmtId="0" fontId="9" fillId="4" borderId="0" applyNumberFormat="0" applyBorder="0" applyAlignment="0" applyProtection="0">
      <alignment vertical="center"/>
    </xf>
    <xf numFmtId="0" fontId="12" fillId="0" borderId="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9" fillId="10" borderId="0" applyNumberFormat="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5" borderId="0" applyNumberFormat="0" applyBorder="0" applyAlignment="0" applyProtection="0">
      <alignment vertical="center"/>
    </xf>
    <xf numFmtId="0" fontId="16" fillId="14" borderId="0" applyNumberFormat="0" applyBorder="0" applyAlignment="0" applyProtection="0">
      <alignment vertical="center"/>
    </xf>
    <xf numFmtId="0" fontId="9" fillId="10" borderId="0" applyNumberFormat="0" applyBorder="0" applyAlignment="0" applyProtection="0">
      <alignment vertical="center"/>
    </xf>
    <xf numFmtId="0" fontId="9" fillId="10"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2" borderId="0" applyNumberFormat="0" applyBorder="0" applyAlignment="0" applyProtection="0">
      <alignment vertical="center"/>
    </xf>
    <xf numFmtId="0" fontId="9" fillId="5" borderId="0" applyNumberFormat="0" applyBorder="0" applyAlignment="0" applyProtection="0">
      <alignment vertical="center"/>
    </xf>
    <xf numFmtId="0" fontId="97" fillId="0" borderId="0"/>
    <xf numFmtId="0" fontId="32" fillId="0" borderId="0">
      <alignment vertical="center"/>
    </xf>
    <xf numFmtId="41" fontId="46" fillId="0" borderId="0" applyFont="0" applyFill="0" applyBorder="0" applyAlignment="0" applyProtection="0">
      <alignment vertical="center"/>
    </xf>
    <xf numFmtId="0" fontId="97" fillId="0" borderId="0"/>
    <xf numFmtId="0" fontId="97"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7" fillId="0" borderId="0" applyFont="0" applyFill="0" applyBorder="0" applyAlignment="0" applyProtection="0">
      <alignment vertical="center"/>
    </xf>
    <xf numFmtId="41" fontId="46" fillId="0" borderId="0" applyFont="0" applyFill="0" applyBorder="0" applyAlignment="0" applyProtection="0">
      <alignment vertical="center"/>
    </xf>
    <xf numFmtId="0" fontId="9" fillId="7" borderId="0" applyNumberFormat="0" applyBorder="0" applyAlignment="0" applyProtection="0">
      <alignment vertical="center"/>
    </xf>
    <xf numFmtId="0" fontId="20" fillId="22" borderId="0" applyNumberFormat="0" applyBorder="0" applyAlignment="0" applyProtection="0">
      <alignment vertical="center"/>
    </xf>
    <xf numFmtId="41" fontId="46" fillId="0" borderId="0" applyFont="0" applyFill="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41" fontId="46" fillId="0" borderId="0" applyFont="0" applyFill="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30" fillId="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0" fillId="22" borderId="0" applyNumberFormat="0" applyBorder="0" applyAlignment="0" applyProtection="0">
      <alignment vertical="center"/>
    </xf>
    <xf numFmtId="0" fontId="19" fillId="3" borderId="0" applyNumberFormat="0" applyBorder="0" applyAlignment="0" applyProtection="0">
      <alignment vertical="center"/>
    </xf>
    <xf numFmtId="0" fontId="16" fillId="12" borderId="0" applyNumberFormat="0" applyBorder="0" applyAlignment="0" applyProtection="0">
      <alignment vertical="center"/>
    </xf>
    <xf numFmtId="0" fontId="9" fillId="8" borderId="0" applyNumberFormat="0" applyBorder="0" applyAlignment="0" applyProtection="0">
      <alignment vertical="center"/>
    </xf>
    <xf numFmtId="0" fontId="9" fillId="6" borderId="0" applyNumberFormat="0" applyBorder="0" applyAlignment="0" applyProtection="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2"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46" fillId="0" borderId="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9" fillId="21" borderId="2" applyNumberFormat="0" applyFont="0" applyAlignment="0" applyProtection="0">
      <alignment vertical="center"/>
    </xf>
    <xf numFmtId="0" fontId="16" fillId="18" borderId="0" applyNumberFormat="0" applyBorder="0" applyAlignment="0" applyProtection="0">
      <alignment vertical="center"/>
    </xf>
    <xf numFmtId="0" fontId="16" fillId="16" borderId="0" applyNumberFormat="0" applyBorder="0" applyAlignment="0" applyProtection="0">
      <alignment vertical="center"/>
    </xf>
    <xf numFmtId="0" fontId="7" fillId="0" borderId="0">
      <alignment vertical="center"/>
    </xf>
    <xf numFmtId="0" fontId="46" fillId="0" borderId="0">
      <alignment vertical="center"/>
    </xf>
    <xf numFmtId="0" fontId="46" fillId="0" borderId="0">
      <alignment vertical="center"/>
    </xf>
    <xf numFmtId="0" fontId="47" fillId="0" borderId="0">
      <alignment vertical="center"/>
    </xf>
    <xf numFmtId="0" fontId="16" fillId="18" borderId="0" applyNumberFormat="0" applyBorder="0" applyAlignment="0" applyProtection="0">
      <alignment vertical="center"/>
    </xf>
    <xf numFmtId="0" fontId="16" fillId="15" borderId="0" applyNumberFormat="0" applyBorder="0" applyAlignment="0" applyProtection="0">
      <alignment vertical="center"/>
    </xf>
    <xf numFmtId="0" fontId="47" fillId="0" borderId="0">
      <alignment vertical="center"/>
    </xf>
    <xf numFmtId="0" fontId="12" fillId="0" borderId="0">
      <alignment vertical="center"/>
    </xf>
    <xf numFmtId="0" fontId="16" fillId="17"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0" fontId="9" fillId="3" borderId="0" applyNumberFormat="0" applyBorder="0" applyAlignment="0" applyProtection="0">
      <alignment vertical="center"/>
    </xf>
    <xf numFmtId="0" fontId="16" fillId="9" borderId="0" applyNumberFormat="0" applyBorder="0" applyAlignment="0" applyProtection="0">
      <alignment vertical="center"/>
    </xf>
    <xf numFmtId="0" fontId="9" fillId="11" borderId="0" applyNumberFormat="0" applyBorder="0" applyAlignment="0" applyProtection="0">
      <alignment vertical="center"/>
    </xf>
    <xf numFmtId="41" fontId="46" fillId="0" borderId="0" applyFont="0" applyFill="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46" fillId="0" borderId="0">
      <alignment vertical="center"/>
    </xf>
    <xf numFmtId="0" fontId="97" fillId="0" borderId="0"/>
    <xf numFmtId="0" fontId="16" fillId="10" borderId="0" applyNumberFormat="0" applyBorder="0" applyAlignment="0" applyProtection="0">
      <alignment vertical="center"/>
    </xf>
    <xf numFmtId="0" fontId="46" fillId="0" borderId="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9" fillId="9"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9" fillId="11" borderId="0" applyNumberFormat="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9" fillId="3" borderId="0" applyNumberFormat="0" applyBorder="0" applyAlignment="0" applyProtection="0">
      <alignment vertical="center"/>
    </xf>
    <xf numFmtId="41" fontId="46" fillId="0" borderId="0" applyFont="0" applyFill="0" applyBorder="0" applyAlignment="0" applyProtection="0">
      <alignment vertical="center"/>
    </xf>
    <xf numFmtId="0" fontId="9" fillId="5" borderId="0" applyNumberFormat="0" applyBorder="0" applyAlignment="0" applyProtection="0">
      <alignment vertical="center"/>
    </xf>
    <xf numFmtId="0" fontId="30" fillId="4" borderId="0" applyNumberFormat="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3" borderId="0" applyNumberFormat="0" applyBorder="0" applyAlignment="0" applyProtection="0">
      <alignment vertical="center"/>
    </xf>
    <xf numFmtId="0" fontId="9" fillId="7" borderId="0" applyNumberFormat="0" applyBorder="0" applyAlignment="0" applyProtection="0">
      <alignment vertical="center"/>
    </xf>
    <xf numFmtId="0" fontId="9" fillId="5" borderId="0" applyNumberFormat="0" applyBorder="0" applyAlignment="0" applyProtection="0">
      <alignment vertical="center"/>
    </xf>
    <xf numFmtId="0" fontId="12" fillId="0" borderId="0">
      <alignment vertical="center"/>
    </xf>
    <xf numFmtId="0" fontId="9"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12" fillId="0" borderId="0">
      <alignment vertical="center"/>
    </xf>
    <xf numFmtId="0" fontId="9" fillId="3"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7" fillId="0" borderId="0">
      <alignment vertical="center"/>
    </xf>
    <xf numFmtId="0" fontId="46" fillId="0" borderId="0">
      <alignment vertical="center"/>
    </xf>
    <xf numFmtId="0" fontId="16" fillId="17" borderId="0" applyNumberFormat="0" applyBorder="0" applyAlignment="0" applyProtection="0">
      <alignment vertical="center"/>
    </xf>
    <xf numFmtId="41" fontId="12" fillId="0" borderId="0" applyFont="0" applyFill="0" applyBorder="0" applyAlignment="0" applyProtection="0">
      <alignment vertical="center"/>
    </xf>
    <xf numFmtId="0" fontId="47" fillId="0" borderId="0">
      <alignment vertical="center"/>
    </xf>
    <xf numFmtId="0" fontId="12" fillId="0" borderId="0">
      <alignment vertical="center"/>
    </xf>
    <xf numFmtId="0" fontId="97" fillId="0" borderId="0"/>
    <xf numFmtId="0" fontId="32" fillId="0" borderId="0">
      <alignment vertical="center"/>
    </xf>
    <xf numFmtId="0" fontId="47" fillId="0" borderId="0">
      <alignment vertical="center"/>
    </xf>
    <xf numFmtId="0" fontId="12" fillId="0" borderId="0">
      <alignment vertical="center"/>
    </xf>
    <xf numFmtId="41" fontId="46" fillId="0" borderId="0" applyFont="0" applyFill="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47" fillId="0" borderId="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6" fillId="16" borderId="0" applyNumberFormat="0" applyBorder="0" applyAlignment="0" applyProtection="0">
      <alignment vertical="center"/>
    </xf>
    <xf numFmtId="0" fontId="9" fillId="5" borderId="0" applyNumberFormat="0" applyBorder="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47" fillId="0" borderId="0">
      <alignment vertical="center"/>
    </xf>
    <xf numFmtId="41" fontId="12" fillId="0" borderId="0" applyFont="0" applyFill="0" applyBorder="0" applyAlignment="0" applyProtection="0">
      <alignment vertical="center"/>
    </xf>
    <xf numFmtId="0" fontId="30" fillId="4" borderId="0" applyNumberFormat="0" applyBorder="0" applyAlignment="0" applyProtection="0">
      <alignment vertical="center"/>
    </xf>
    <xf numFmtId="0" fontId="9" fillId="2" borderId="0" applyNumberFormat="0" applyBorder="0" applyAlignment="0" applyProtection="0">
      <alignment vertical="center"/>
    </xf>
    <xf numFmtId="0" fontId="18" fillId="20" borderId="1" applyNumberFormat="0" applyAlignment="0" applyProtection="0">
      <alignment vertical="center"/>
    </xf>
    <xf numFmtId="0" fontId="9" fillId="9" borderId="0" applyNumberFormat="0" applyBorder="0" applyAlignment="0" applyProtection="0">
      <alignment vertical="center"/>
    </xf>
    <xf numFmtId="41" fontId="46" fillId="0" borderId="0" applyFont="0" applyFill="0" applyBorder="0" applyAlignment="0" applyProtection="0">
      <alignment vertical="center"/>
    </xf>
    <xf numFmtId="0" fontId="22" fillId="23" borderId="3" applyNumberFormat="0" applyAlignment="0" applyProtection="0">
      <alignment vertical="center"/>
    </xf>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16" fillId="9" borderId="0" applyNumberFormat="0" applyBorder="0" applyAlignment="0" applyProtection="0">
      <alignment vertical="center"/>
    </xf>
    <xf numFmtId="0" fontId="9" fillId="8" borderId="0" applyNumberFormat="0" applyBorder="0" applyAlignment="0" applyProtection="0">
      <alignment vertical="center"/>
    </xf>
    <xf numFmtId="0" fontId="9" fillId="4" borderId="0" applyNumberFormat="0" applyBorder="0" applyAlignment="0" applyProtection="0">
      <alignment vertical="center"/>
    </xf>
    <xf numFmtId="0" fontId="9" fillId="2" borderId="0" applyNumberFormat="0" applyBorder="0" applyAlignment="0" applyProtection="0">
      <alignment vertical="center"/>
    </xf>
    <xf numFmtId="0" fontId="16" fillId="12" borderId="0" applyNumberFormat="0" applyBorder="0" applyAlignment="0" applyProtection="0">
      <alignment vertical="center"/>
    </xf>
    <xf numFmtId="0" fontId="47" fillId="0" borderId="0">
      <alignment vertical="center"/>
    </xf>
    <xf numFmtId="0" fontId="12" fillId="0" borderId="0">
      <alignment vertical="center"/>
    </xf>
    <xf numFmtId="0" fontId="1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9" borderId="0" applyNumberFormat="0" applyBorder="0" applyAlignment="0" applyProtection="0">
      <alignment vertical="center"/>
    </xf>
    <xf numFmtId="0" fontId="47" fillId="0" borderId="0">
      <alignment vertical="center"/>
    </xf>
    <xf numFmtId="0" fontId="12" fillId="0" borderId="0">
      <alignment vertical="center"/>
    </xf>
    <xf numFmtId="0" fontId="46" fillId="0" borderId="0">
      <alignment vertical="center"/>
    </xf>
    <xf numFmtId="0" fontId="25" fillId="7" borderId="1" applyNumberFormat="0" applyAlignment="0" applyProtection="0">
      <alignment vertical="center"/>
    </xf>
    <xf numFmtId="41" fontId="47" fillId="0" borderId="0" applyFont="0" applyFill="0" applyBorder="0" applyAlignment="0" applyProtection="0">
      <alignment vertical="center"/>
    </xf>
    <xf numFmtId="0" fontId="22" fillId="23" borderId="3" applyNumberFormat="0" applyAlignment="0" applyProtection="0">
      <alignment vertical="center"/>
    </xf>
    <xf numFmtId="0" fontId="16" fillId="18" borderId="0" applyNumberFormat="0" applyBorder="0" applyAlignment="0" applyProtection="0">
      <alignment vertical="center"/>
    </xf>
    <xf numFmtId="0" fontId="9" fillId="7" borderId="0" applyNumberFormat="0" applyBorder="0" applyAlignment="0" applyProtection="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0" fontId="18" fillId="20" borderId="1" applyNumberFormat="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16" fillId="14"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41" fontId="46" fillId="0" borderId="0" applyFont="0" applyFill="0" applyBorder="0" applyAlignment="0" applyProtection="0">
      <alignment vertical="center"/>
    </xf>
    <xf numFmtId="0" fontId="9" fillId="4" borderId="0" applyNumberFormat="0" applyBorder="0" applyAlignment="0" applyProtection="0">
      <alignment vertical="center"/>
    </xf>
    <xf numFmtId="0" fontId="30" fillId="4" borderId="0" applyNumberFormat="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9" fillId="10" borderId="0" applyNumberFormat="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0" fontId="9" fillId="21" borderId="2" applyNumberFormat="0" applyFont="0" applyAlignment="0" applyProtection="0">
      <alignment vertical="center"/>
    </xf>
    <xf numFmtId="0" fontId="12" fillId="0" borderId="0"/>
    <xf numFmtId="0" fontId="47" fillId="0" borderId="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92" fillId="0" borderId="0">
      <alignment vertical="center"/>
    </xf>
    <xf numFmtId="41" fontId="92" fillId="0" borderId="0">
      <alignment vertical="center"/>
    </xf>
    <xf numFmtId="41" fontId="92" fillId="0" borderId="0">
      <alignment vertical="center"/>
    </xf>
    <xf numFmtId="0" fontId="20" fillId="22" borderId="0" applyNumberFormat="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6" fillId="13" borderId="0" applyNumberFormat="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46" fillId="0" borderId="0" applyFont="0" applyFill="0" applyBorder="0" applyAlignment="0" applyProtection="0">
      <alignment vertical="center"/>
    </xf>
    <xf numFmtId="0" fontId="47" fillId="0" borderId="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0" fontId="23" fillId="0" borderId="4" applyNumberFormat="0" applyFill="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41" fontId="46" fillId="0" borderId="0" applyFont="0" applyFill="0" applyBorder="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9" fillId="11" borderId="0" applyNumberFormat="0" applyBorder="0" applyAlignment="0" applyProtection="0">
      <alignment vertical="center"/>
    </xf>
    <xf numFmtId="0" fontId="47" fillId="0" borderId="0">
      <alignment vertical="center"/>
    </xf>
    <xf numFmtId="0" fontId="46" fillId="0" borderId="0">
      <alignment vertical="center"/>
    </xf>
    <xf numFmtId="0" fontId="24" fillId="0" borderId="5" applyNumberFormat="0" applyFill="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32" fillId="0" borderId="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12" fillId="0" borderId="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41" fontId="46" fillId="0" borderId="0" applyFont="0" applyFill="0" applyBorder="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7" fillId="0" borderId="6" applyNumberFormat="0" applyFill="0" applyAlignment="0" applyProtection="0">
      <alignment vertical="center"/>
    </xf>
    <xf numFmtId="0" fontId="20" fillId="22" borderId="0" applyNumberFormat="0" applyBorder="0" applyAlignment="0" applyProtection="0">
      <alignment vertical="center"/>
    </xf>
    <xf numFmtId="0" fontId="32" fillId="0" borderId="0">
      <alignment vertical="center"/>
    </xf>
    <xf numFmtId="0" fontId="27" fillId="0" borderId="6" applyNumberFormat="0" applyFill="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0" fontId="28" fillId="0" borderId="7" applyNumberFormat="0" applyFill="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xf numFmtId="41" fontId="46" fillId="0" borderId="0" applyFont="0" applyFill="0" applyBorder="0" applyAlignment="0" applyProtection="0">
      <alignment vertical="center"/>
    </xf>
    <xf numFmtId="0" fontId="16" fillId="14" borderId="0" applyNumberFormat="0" applyBorder="0" applyAlignment="0" applyProtection="0">
      <alignment vertical="center"/>
    </xf>
    <xf numFmtId="0" fontId="28" fillId="0" borderId="7"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41" fontId="46" fillId="0" borderId="0" applyFont="0" applyFill="0" applyBorder="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9" fillId="0" borderId="8" applyNumberFormat="0" applyFill="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9" fillId="6" borderId="0" applyNumberFormat="0" applyBorder="0" applyAlignment="0" applyProtection="0">
      <alignment vertical="center"/>
    </xf>
    <xf numFmtId="0" fontId="29" fillId="0" borderId="0" applyNumberFormat="0" applyFill="0" applyBorder="0" applyAlignment="0" applyProtection="0">
      <alignment vertical="center"/>
    </xf>
    <xf numFmtId="0" fontId="47" fillId="0" borderId="0">
      <alignment vertical="center"/>
    </xf>
    <xf numFmtId="0" fontId="97" fillId="0" borderId="0"/>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4" borderId="0" applyNumberFormat="0" applyBorder="0" applyAlignment="0" applyProtection="0">
      <alignment vertical="center"/>
    </xf>
    <xf numFmtId="0" fontId="30" fillId="4"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0" fillId="61" borderId="0" applyNumberFormat="0" applyBorder="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9" fillId="2" borderId="0" applyNumberFormat="0" applyBorder="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9" fillId="2" borderId="0" applyNumberFormat="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12" fillId="0" borderId="0"/>
    <xf numFmtId="41" fontId="46" fillId="0" borderId="0" applyFont="0" applyFill="0" applyBorder="0" applyAlignment="0" applyProtection="0">
      <alignment vertical="center"/>
    </xf>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12" fillId="0" borderId="0"/>
    <xf numFmtId="0" fontId="47" fillId="0" borderId="0">
      <alignment vertical="center"/>
    </xf>
    <xf numFmtId="0" fontId="9" fillId="2" borderId="0" applyNumberFormat="0" applyBorder="0" applyAlignment="0" applyProtection="0">
      <alignment vertical="center"/>
    </xf>
    <xf numFmtId="41" fontId="46" fillId="0" borderId="0" applyFont="0" applyFill="0" applyBorder="0" applyAlignment="0" applyProtection="0">
      <alignment vertical="center"/>
    </xf>
    <xf numFmtId="0" fontId="12" fillId="0" borderId="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47" fillId="0" borderId="0">
      <alignment vertical="center"/>
    </xf>
    <xf numFmtId="0" fontId="12" fillId="0" borderId="0">
      <alignment vertical="center"/>
    </xf>
    <xf numFmtId="0" fontId="47" fillId="0" borderId="0">
      <alignment vertical="center"/>
    </xf>
    <xf numFmtId="0" fontId="16" fillId="18" borderId="0" applyNumberFormat="0" applyBorder="0" applyAlignment="0" applyProtection="0">
      <alignment vertical="center"/>
    </xf>
    <xf numFmtId="0" fontId="9" fillId="21" borderId="2" applyNumberFormat="0" applyFont="0" applyAlignment="0" applyProtection="0">
      <alignment vertical="center"/>
    </xf>
    <xf numFmtId="41" fontId="46" fillId="0" borderId="0" applyFont="0" applyFill="0" applyBorder="0" applyAlignment="0" applyProtection="0">
      <alignment vertical="center"/>
    </xf>
    <xf numFmtId="0" fontId="46" fillId="0" borderId="0">
      <alignment vertical="center"/>
    </xf>
    <xf numFmtId="0" fontId="12" fillId="0" borderId="0">
      <alignment vertical="center"/>
    </xf>
    <xf numFmtId="0" fontId="12" fillId="0" borderId="0">
      <alignment vertical="center"/>
    </xf>
    <xf numFmtId="0" fontId="9" fillId="7" borderId="0" applyNumberFormat="0" applyBorder="0" applyAlignment="0" applyProtection="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92" fillId="0" borderId="0">
      <alignment vertical="center"/>
    </xf>
    <xf numFmtId="0" fontId="12" fillId="0" borderId="0">
      <alignment vertical="center"/>
    </xf>
    <xf numFmtId="0" fontId="12" fillId="0" borderId="0">
      <alignment vertical="center"/>
    </xf>
    <xf numFmtId="41" fontId="46" fillId="0" borderId="0" applyFont="0" applyFill="0" applyBorder="0" applyAlignment="0" applyProtection="0">
      <alignment vertical="center"/>
    </xf>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12" fillId="0" borderId="0">
      <alignment vertical="center"/>
    </xf>
    <xf numFmtId="0" fontId="25" fillId="7" borderId="1" applyNumberFormat="0" applyAlignment="0" applyProtection="0">
      <alignment vertical="center"/>
    </xf>
    <xf numFmtId="0" fontId="12" fillId="0" borderId="0"/>
    <xf numFmtId="0" fontId="16" fillId="10" borderId="0" applyNumberFormat="0" applyBorder="0" applyAlignment="0" applyProtection="0">
      <alignment vertical="center"/>
    </xf>
    <xf numFmtId="0" fontId="12" fillId="0" borderId="0"/>
    <xf numFmtId="0" fontId="12" fillId="0" borderId="0"/>
    <xf numFmtId="0" fontId="47" fillId="0" borderId="0">
      <alignment vertical="center"/>
    </xf>
    <xf numFmtId="41" fontId="46" fillId="0" borderId="0" applyFont="0" applyFill="0" applyBorder="0" applyAlignment="0" applyProtection="0">
      <alignment vertical="center"/>
    </xf>
    <xf numFmtId="0" fontId="12" fillId="0" borderId="0">
      <alignment vertical="center"/>
    </xf>
    <xf numFmtId="0" fontId="12" fillId="0" borderId="0"/>
    <xf numFmtId="0" fontId="12" fillId="0" borderId="0"/>
    <xf numFmtId="0" fontId="12" fillId="0" borderId="0">
      <alignment vertical="center"/>
    </xf>
    <xf numFmtId="0" fontId="12" fillId="0" borderId="0"/>
    <xf numFmtId="0" fontId="12" fillId="0" borderId="0"/>
    <xf numFmtId="0" fontId="12" fillId="0" borderId="0"/>
    <xf numFmtId="0" fontId="12" fillId="0" borderId="0">
      <alignment vertical="center"/>
    </xf>
    <xf numFmtId="41" fontId="46" fillId="0" borderId="0" applyFont="0" applyFill="0" applyBorder="0" applyAlignment="0" applyProtection="0">
      <alignment vertical="center"/>
    </xf>
    <xf numFmtId="0" fontId="19" fillId="3" borderId="0" applyNumberFormat="0" applyBorder="0" applyAlignment="0" applyProtection="0">
      <alignment vertical="center"/>
    </xf>
    <xf numFmtId="0" fontId="25" fillId="7" borderId="1" applyNumberFormat="0" applyAlignment="0" applyProtection="0">
      <alignment vertical="center"/>
    </xf>
    <xf numFmtId="0" fontId="16" fillId="13" borderId="0" applyNumberFormat="0" applyBorder="0" applyAlignment="0" applyProtection="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0" fontId="25" fillId="7" borderId="1" applyNumberFormat="0" applyAlignment="0" applyProtection="0">
      <alignment vertical="center"/>
    </xf>
    <xf numFmtId="41" fontId="46" fillId="0" borderId="0" applyFont="0" applyFill="0" applyBorder="0" applyAlignment="0" applyProtection="0">
      <alignment vertical="center"/>
    </xf>
    <xf numFmtId="0" fontId="12" fillId="0" borderId="0">
      <alignment vertical="center"/>
    </xf>
    <xf numFmtId="0" fontId="7" fillId="0" borderId="0">
      <alignment vertical="center"/>
    </xf>
    <xf numFmtId="0" fontId="92" fillId="80" borderId="105"/>
    <xf numFmtId="0" fontId="99" fillId="81" borderId="106">
      <alignment horizontal="left" vertical="center"/>
    </xf>
    <xf numFmtId="0" fontId="103" fillId="82" borderId="107">
      <alignment horizontal="center" vertical="center"/>
    </xf>
    <xf numFmtId="0" fontId="47"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32" fillId="0" borderId="0">
      <alignment vertical="center"/>
    </xf>
    <xf numFmtId="41" fontId="46" fillId="0" borderId="0" applyFont="0" applyFill="0" applyBorder="0" applyAlignment="0" applyProtection="0">
      <alignment vertical="center"/>
    </xf>
    <xf numFmtId="0" fontId="16" fillId="10" borderId="0" applyNumberFormat="0" applyBorder="0" applyAlignment="0" applyProtection="0">
      <alignment vertical="center"/>
    </xf>
    <xf numFmtId="0" fontId="9" fillId="8" borderId="0" applyNumberFormat="0" applyBorder="0" applyAlignment="0" applyProtection="0">
      <alignment vertical="center"/>
    </xf>
    <xf numFmtId="0" fontId="12" fillId="0" borderId="0">
      <alignment vertical="center"/>
    </xf>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6" fillId="13" borderId="0" applyNumberFormat="0" applyBorder="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76" borderId="1" applyNumberFormat="0" applyAlignment="0" applyProtection="0">
      <alignment vertical="center"/>
    </xf>
    <xf numFmtId="0" fontId="18" fillId="20" borderId="1" applyNumberFormat="0" applyAlignment="0" applyProtection="0">
      <alignment vertical="center"/>
    </xf>
    <xf numFmtId="0" fontId="18" fillId="20" borderId="1" applyNumberFormat="0" applyAlignment="0" applyProtection="0">
      <alignment vertical="center"/>
    </xf>
    <xf numFmtId="0" fontId="32"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18" fillId="76" borderId="1" applyNumberForma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32" fillId="0" borderId="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0" fontId="12" fillId="21" borderId="2" applyNumberFormat="0" applyFont="0" applyAlignment="0" applyProtection="0">
      <alignment vertical="center"/>
    </xf>
    <xf numFmtId="0" fontId="12" fillId="21" borderId="2" applyNumberFormat="0" applyFont="0" applyAlignment="0" applyProtection="0">
      <alignment vertical="center"/>
    </xf>
    <xf numFmtId="0" fontId="12" fillId="26" borderId="2" applyNumberFormat="0" applyFont="0" applyAlignment="0" applyProtection="0">
      <alignment vertical="center"/>
    </xf>
    <xf numFmtId="0" fontId="12" fillId="26" borderId="2" applyNumberFormat="0" applyFont="0" applyAlignment="0" applyProtection="0">
      <alignment vertical="center"/>
    </xf>
    <xf numFmtId="9" fontId="12" fillId="0" borderId="0" applyFont="0" applyFill="0" applyBorder="0" applyAlignment="0" applyProtection="0">
      <alignment vertical="center"/>
    </xf>
    <xf numFmtId="41" fontId="7" fillId="0" borderId="0" applyFont="0" applyFill="0" applyBorder="0" applyAlignment="0" applyProtection="0">
      <alignment vertical="center"/>
    </xf>
    <xf numFmtId="41" fontId="12"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84" fillId="0" borderId="0" applyFont="0" applyFill="0" applyBorder="0" applyAlignment="0" applyProtection="0"/>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4" fillId="0" borderId="5" applyNumberFormat="0" applyFill="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7" borderId="1" applyNumberFormat="0" applyAlignment="0" applyProtection="0">
      <alignment vertical="center"/>
    </xf>
    <xf numFmtId="0" fontId="25" fillId="7"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25" fillId="28" borderId="1"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20" borderId="9" applyNumberFormat="0" applyAlignment="0" applyProtection="0">
      <alignment vertical="center"/>
    </xf>
    <xf numFmtId="0" fontId="31" fillId="20"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31" fillId="76" borderId="9" applyNumberFormat="0" applyAlignment="0" applyProtection="0">
      <alignment vertical="center"/>
    </xf>
    <xf numFmtId="0" fontId="12" fillId="0" borderId="0">
      <alignment vertical="center"/>
    </xf>
    <xf numFmtId="0" fontId="7" fillId="0" borderId="0">
      <alignment vertical="center"/>
    </xf>
    <xf numFmtId="0" fontId="7" fillId="0" borderId="0">
      <alignment vertical="center"/>
    </xf>
    <xf numFmtId="0" fontId="7" fillId="0" borderId="0">
      <alignment vertical="center"/>
    </xf>
    <xf numFmtId="0" fontId="12" fillId="0" borderId="0">
      <alignment vertical="center"/>
    </xf>
    <xf numFmtId="0" fontId="12" fillId="0" borderId="0"/>
    <xf numFmtId="0" fontId="12" fillId="0" borderId="0">
      <alignment vertical="center"/>
    </xf>
    <xf numFmtId="0" fontId="12" fillId="0" borderId="0"/>
    <xf numFmtId="0" fontId="12" fillId="0" borderId="0"/>
    <xf numFmtId="0" fontId="18" fillId="20" borderId="1" applyNumberFormat="0" applyAlignment="0" applyProtection="0">
      <alignment vertical="center"/>
    </xf>
    <xf numFmtId="0" fontId="12" fillId="0" borderId="0"/>
    <xf numFmtId="0" fontId="9" fillId="11" borderId="0" applyNumberFormat="0" applyBorder="0" applyAlignment="0" applyProtection="0">
      <alignment vertical="center"/>
    </xf>
    <xf numFmtId="0" fontId="12" fillId="0" borderId="0"/>
    <xf numFmtId="0" fontId="12" fillId="0" borderId="0">
      <alignment vertical="center"/>
    </xf>
    <xf numFmtId="0" fontId="97" fillId="0" borderId="0"/>
    <xf numFmtId="0" fontId="97" fillId="0" borderId="0"/>
    <xf numFmtId="0" fontId="7" fillId="0" borderId="0">
      <alignment vertical="center"/>
    </xf>
    <xf numFmtId="41" fontId="12"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9" fillId="5" borderId="0" applyNumberFormat="0" applyBorder="0" applyAlignment="0" applyProtection="0">
      <alignment vertical="center"/>
    </xf>
    <xf numFmtId="0" fontId="31" fillId="20" borderId="9" applyNumberFormat="0" applyAlignment="0" applyProtection="0">
      <alignment vertical="center"/>
    </xf>
    <xf numFmtId="41" fontId="46" fillId="0" borderId="0" applyFont="0" applyFill="0" applyBorder="0" applyAlignment="0" applyProtection="0">
      <alignment vertical="center"/>
    </xf>
    <xf numFmtId="41" fontId="47"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9" fillId="8" borderId="0" applyNumberFormat="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6" fillId="0" borderId="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0" fontId="47" fillId="0" borderId="0">
      <alignment vertical="center"/>
    </xf>
    <xf numFmtId="0" fontId="46" fillId="0" borderId="0">
      <alignment vertical="center"/>
    </xf>
    <xf numFmtId="0" fontId="12" fillId="0" borderId="0">
      <alignment vertical="center"/>
    </xf>
    <xf numFmtId="0" fontId="31" fillId="20" borderId="9" applyNumberFormat="0" applyAlignment="0" applyProtection="0">
      <alignment vertical="center"/>
    </xf>
    <xf numFmtId="0" fontId="47" fillId="0" borderId="0">
      <alignment vertical="center"/>
    </xf>
    <xf numFmtId="41" fontId="46" fillId="0" borderId="0" applyFont="0" applyFill="0" applyBorder="0" applyAlignment="0" applyProtection="0">
      <alignment vertical="center"/>
    </xf>
    <xf numFmtId="0" fontId="12" fillId="0" borderId="0">
      <alignment vertical="center" wrapText="1"/>
    </xf>
    <xf numFmtId="42" fontId="12" fillId="0" borderId="0" applyFont="0" applyFill="0" applyBorder="0" applyAlignment="0" applyProtection="0">
      <alignment vertical="center"/>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0" fontId="12" fillId="0" borderId="0">
      <alignment vertical="center" wrapText="1"/>
    </xf>
    <xf numFmtId="41" fontId="12" fillId="0" borderId="0" applyFont="0" applyFill="0" applyBorder="0" applyAlignment="0" applyProtection="0">
      <alignment vertical="center"/>
    </xf>
    <xf numFmtId="41" fontId="15" fillId="0" borderId="0" applyFont="0" applyFill="0" applyBorder="0" applyAlignment="0" applyProtection="0">
      <alignment vertical="center"/>
    </xf>
    <xf numFmtId="41" fontId="9" fillId="0" borderId="0" applyFont="0" applyFill="0" applyBorder="0" applyAlignment="0" applyProtection="0">
      <alignment vertical="center"/>
    </xf>
    <xf numFmtId="0" fontId="12"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6" fillId="0" borderId="0">
      <alignment vertical="center"/>
    </xf>
    <xf numFmtId="0" fontId="6" fillId="35" borderId="102" applyNumberFormat="0" applyFont="0" applyAlignment="0" applyProtection="0">
      <alignment vertical="center"/>
    </xf>
    <xf numFmtId="0" fontId="6" fillId="37" borderId="0" applyNumberFormat="0" applyBorder="0" applyAlignment="0" applyProtection="0">
      <alignment vertical="center"/>
    </xf>
    <xf numFmtId="0" fontId="6" fillId="38" borderId="0" applyNumberFormat="0" applyBorder="0" applyAlignment="0" applyProtection="0">
      <alignment vertical="center"/>
    </xf>
    <xf numFmtId="0" fontId="6" fillId="41" borderId="0" applyNumberFormat="0" applyBorder="0" applyAlignment="0" applyProtection="0">
      <alignment vertical="center"/>
    </xf>
    <xf numFmtId="0" fontId="6" fillId="42" borderId="0" applyNumberFormat="0" applyBorder="0" applyAlignment="0" applyProtection="0">
      <alignment vertical="center"/>
    </xf>
    <xf numFmtId="0" fontId="6" fillId="45" borderId="0" applyNumberFormat="0" applyBorder="0" applyAlignment="0" applyProtection="0">
      <alignment vertical="center"/>
    </xf>
    <xf numFmtId="0" fontId="6" fillId="46" borderId="0" applyNumberFormat="0" applyBorder="0" applyAlignment="0" applyProtection="0">
      <alignment vertical="center"/>
    </xf>
    <xf numFmtId="0" fontId="6" fillId="49" borderId="0" applyNumberFormat="0" applyBorder="0" applyAlignment="0" applyProtection="0">
      <alignment vertical="center"/>
    </xf>
    <xf numFmtId="0" fontId="6" fillId="50" borderId="0" applyNumberFormat="0" applyBorder="0" applyAlignment="0" applyProtection="0">
      <alignment vertical="center"/>
    </xf>
    <xf numFmtId="0" fontId="6" fillId="53" borderId="0" applyNumberFormat="0" applyBorder="0" applyAlignment="0" applyProtection="0">
      <alignment vertical="center"/>
    </xf>
    <xf numFmtId="0" fontId="6" fillId="54" borderId="0" applyNumberFormat="0" applyBorder="0" applyAlignment="0" applyProtection="0">
      <alignment vertical="center"/>
    </xf>
    <xf numFmtId="0" fontId="6" fillId="57" borderId="0" applyNumberFormat="0" applyBorder="0" applyAlignment="0" applyProtection="0">
      <alignment vertical="center"/>
    </xf>
    <xf numFmtId="0" fontId="6" fillId="58"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41" fontId="46"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4" fillId="0" borderId="0">
      <alignment vertical="center"/>
    </xf>
    <xf numFmtId="0" fontId="4" fillId="35" borderId="102" applyNumberFormat="0" applyFont="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35" borderId="102" applyNumberFormat="0" applyFont="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46" fillId="0" borderId="0">
      <alignment vertical="center"/>
    </xf>
    <xf numFmtId="0" fontId="3" fillId="0" borderId="0">
      <alignment vertical="center"/>
    </xf>
    <xf numFmtId="0" fontId="3" fillId="35" borderId="102"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41" fontId="46"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2"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2"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35" borderId="102" applyNumberFormat="0" applyFont="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178" fontId="100" fillId="81" borderId="106">
      <alignment horizontal="righ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12"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2" fillId="81" borderId="106">
      <alignment horizontal="left" vertical="center" wrapText="1"/>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12" fillId="0" borderId="0">
      <alignment vertical="center"/>
    </xf>
    <xf numFmtId="0" fontId="3"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101" fillId="82" borderId="107">
      <alignment horizontal="center" wrapText="1"/>
    </xf>
    <xf numFmtId="0" fontId="101" fillId="82" borderId="106">
      <alignment vertical="center" wrapText="1"/>
    </xf>
    <xf numFmtId="0" fontId="99" fillId="81" borderId="106">
      <alignment horizontal="lef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9"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9"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46"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01" fillId="82" borderId="107">
      <alignment horizontal="center"/>
    </xf>
    <xf numFmtId="178" fontId="98" fillId="81" borderId="106">
      <alignment horizontal="righ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0" fontId="12" fillId="0" borderId="0">
      <alignment vertical="center"/>
    </xf>
    <xf numFmtId="0" fontId="46" fillId="0" borderId="0">
      <alignment vertical="center"/>
    </xf>
    <xf numFmtId="41" fontId="12" fillId="0" borderId="0" applyFont="0" applyFill="0" applyBorder="0" applyAlignment="0" applyProtection="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0" fontId="46" fillId="0" borderId="0">
      <alignment vertical="center"/>
    </xf>
    <xf numFmtId="0" fontId="12" fillId="0" borderId="0">
      <alignment vertical="center"/>
    </xf>
    <xf numFmtId="0" fontId="46" fillId="0" borderId="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46" fillId="0" borderId="0">
      <alignment vertical="center"/>
    </xf>
    <xf numFmtId="0" fontId="12" fillId="0" borderId="0">
      <alignment vertical="center"/>
    </xf>
    <xf numFmtId="41" fontId="9"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2" fillId="0" borderId="0">
      <alignment vertical="center"/>
    </xf>
    <xf numFmtId="0" fontId="46" fillId="0" borderId="0">
      <alignment vertical="center"/>
    </xf>
    <xf numFmtId="0" fontId="2" fillId="0" borderId="0">
      <alignment vertical="center"/>
    </xf>
    <xf numFmtId="0" fontId="2" fillId="35" borderId="102"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41" fontId="46"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2"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2"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2"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2"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2"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2"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35" borderId="102" applyNumberFormat="0" applyFont="0" applyAlignment="0" applyProtection="0">
      <alignment vertical="center"/>
    </xf>
    <xf numFmtId="0" fontId="2" fillId="37" borderId="0" applyNumberFormat="0" applyBorder="0" applyAlignment="0" applyProtection="0">
      <alignment vertical="center"/>
    </xf>
    <xf numFmtId="0" fontId="2" fillId="38" borderId="0" applyNumberFormat="0" applyBorder="0" applyAlignment="0" applyProtection="0">
      <alignment vertical="center"/>
    </xf>
    <xf numFmtId="0" fontId="2" fillId="41" borderId="0" applyNumberFormat="0" applyBorder="0" applyAlignment="0" applyProtection="0">
      <alignment vertical="center"/>
    </xf>
    <xf numFmtId="0" fontId="2" fillId="42" borderId="0" applyNumberFormat="0" applyBorder="0" applyAlignment="0" applyProtection="0">
      <alignment vertical="center"/>
    </xf>
    <xf numFmtId="0" fontId="2" fillId="45" borderId="0" applyNumberFormat="0" applyBorder="0" applyAlignment="0" applyProtection="0">
      <alignment vertical="center"/>
    </xf>
    <xf numFmtId="0" fontId="2" fillId="46" borderId="0" applyNumberFormat="0" applyBorder="0" applyAlignment="0" applyProtection="0">
      <alignment vertical="center"/>
    </xf>
    <xf numFmtId="0" fontId="2" fillId="49" borderId="0" applyNumberFormat="0" applyBorder="0" applyAlignment="0" applyProtection="0">
      <alignment vertical="center"/>
    </xf>
    <xf numFmtId="0" fontId="2" fillId="50" borderId="0" applyNumberFormat="0" applyBorder="0" applyAlignment="0" applyProtection="0">
      <alignment vertical="center"/>
    </xf>
    <xf numFmtId="0" fontId="2" fillId="53" borderId="0" applyNumberFormat="0" applyBorder="0" applyAlignment="0" applyProtection="0">
      <alignment vertical="center"/>
    </xf>
    <xf numFmtId="0" fontId="2" fillId="54" borderId="0" applyNumberFormat="0" applyBorder="0" applyAlignment="0" applyProtection="0">
      <alignment vertical="center"/>
    </xf>
    <xf numFmtId="0" fontId="2" fillId="57" borderId="0" applyNumberFormat="0" applyBorder="0" applyAlignment="0" applyProtection="0">
      <alignment vertical="center"/>
    </xf>
    <xf numFmtId="0" fontId="2" fillId="58"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2" fillId="0" borderId="0" applyFont="0" applyFill="0" applyBorder="0" applyAlignment="0" applyProtection="0">
      <alignment vertical="center"/>
    </xf>
  </cellStyleXfs>
  <cellXfs count="648">
    <xf numFmtId="0" fontId="0" fillId="0" borderId="0" xfId="0">
      <alignment vertical="center"/>
    </xf>
    <xf numFmtId="0" fontId="48" fillId="24" borderId="0" xfId="5149" applyFont="1" applyFill="1" applyAlignment="1">
      <alignment horizontal="left" vertical="center" wrapText="1"/>
    </xf>
    <xf numFmtId="0" fontId="49" fillId="24" borderId="0" xfId="5149" applyFont="1" applyFill="1" applyAlignment="1">
      <alignment vertical="center"/>
    </xf>
    <xf numFmtId="0" fontId="52" fillId="24" borderId="0" xfId="5149" applyFont="1" applyFill="1" applyAlignment="1">
      <alignment vertical="center"/>
    </xf>
    <xf numFmtId="0" fontId="53" fillId="24" borderId="0" xfId="5149" applyFont="1" applyFill="1" applyAlignment="1">
      <alignment vertical="center" wrapText="1"/>
    </xf>
    <xf numFmtId="0" fontId="48" fillId="24" borderId="0" xfId="5149" applyFont="1" applyFill="1" applyAlignment="1">
      <alignment vertical="center" wrapText="1"/>
    </xf>
    <xf numFmtId="0" fontId="54" fillId="24" borderId="0" xfId="5149" applyFont="1" applyFill="1" applyAlignment="1">
      <alignment vertical="center" wrapText="1"/>
    </xf>
    <xf numFmtId="0" fontId="52" fillId="24" borderId="0" xfId="5149" applyFont="1" applyFill="1" applyAlignment="1">
      <alignment vertical="center" wrapText="1"/>
    </xf>
    <xf numFmtId="0" fontId="52" fillId="0" borderId="0" xfId="0" applyFont="1" applyAlignment="1">
      <alignment vertical="center"/>
    </xf>
    <xf numFmtId="0" fontId="55" fillId="24" borderId="0" xfId="0" applyFont="1" applyFill="1" applyAlignment="1">
      <alignment horizontal="left" vertical="center"/>
    </xf>
    <xf numFmtId="0" fontId="52" fillId="24" borderId="0" xfId="0" applyFont="1" applyFill="1" applyAlignment="1">
      <alignment horizontal="left" vertical="center"/>
    </xf>
    <xf numFmtId="0" fontId="52" fillId="24" borderId="0" xfId="0" applyFont="1" applyFill="1" applyAlignment="1">
      <alignment horizontal="center" vertical="center"/>
    </xf>
    <xf numFmtId="0" fontId="56" fillId="25" borderId="11" xfId="0" applyFont="1" applyFill="1" applyBorder="1" applyAlignment="1">
      <alignment horizontal="right" vertical="center"/>
    </xf>
    <xf numFmtId="0" fontId="56" fillId="25" borderId="14" xfId="0" applyFont="1" applyFill="1" applyBorder="1" applyAlignment="1">
      <alignment vertical="center"/>
    </xf>
    <xf numFmtId="0" fontId="56" fillId="25" borderId="18" xfId="0" applyFont="1" applyFill="1" applyBorder="1" applyAlignment="1">
      <alignment horizontal="center" vertical="center"/>
    </xf>
    <xf numFmtId="0" fontId="56" fillId="25" borderId="19" xfId="0" applyFont="1" applyFill="1" applyBorder="1" applyAlignment="1">
      <alignment horizontal="center" vertical="center"/>
    </xf>
    <xf numFmtId="0" fontId="52" fillId="0" borderId="0" xfId="0" applyFont="1" applyAlignment="1">
      <alignment horizontal="center" vertical="center"/>
    </xf>
    <xf numFmtId="0" fontId="52" fillId="0" borderId="0" xfId="0" applyFont="1" applyBorder="1" applyAlignment="1">
      <alignment horizontal="center" vertical="center"/>
    </xf>
    <xf numFmtId="3" fontId="55" fillId="24" borderId="0" xfId="0" applyNumberFormat="1" applyFont="1" applyFill="1" applyBorder="1" applyAlignment="1">
      <alignment vertical="center"/>
    </xf>
    <xf numFmtId="0" fontId="48" fillId="24" borderId="0" xfId="0" applyFont="1" applyFill="1" applyAlignment="1">
      <alignment horizontal="center" vertical="center"/>
    </xf>
    <xf numFmtId="0" fontId="56" fillId="25" borderId="24" xfId="0" applyFont="1" applyFill="1" applyBorder="1" applyAlignment="1">
      <alignment horizontal="right" vertical="center"/>
    </xf>
    <xf numFmtId="0" fontId="56" fillId="25" borderId="25" xfId="0" applyFont="1" applyFill="1" applyBorder="1" applyAlignment="1">
      <alignment horizontal="center" vertical="center"/>
    </xf>
    <xf numFmtId="0" fontId="56" fillId="24" borderId="0" xfId="0" applyFont="1" applyFill="1" applyAlignment="1">
      <alignment horizontal="center" vertical="center"/>
    </xf>
    <xf numFmtId="0" fontId="58" fillId="24" borderId="0" xfId="0" applyFont="1" applyFill="1" applyAlignment="1">
      <alignment horizontal="center" vertical="center"/>
    </xf>
    <xf numFmtId="0" fontId="56" fillId="25" borderId="26" xfId="0" applyFont="1" applyFill="1" applyBorder="1" applyAlignment="1">
      <alignment vertical="center"/>
    </xf>
    <xf numFmtId="0" fontId="56" fillId="25" borderId="27" xfId="0" applyFont="1" applyFill="1" applyBorder="1" applyAlignment="1">
      <alignment horizontal="center" vertical="center"/>
    </xf>
    <xf numFmtId="0" fontId="56" fillId="25" borderId="28" xfId="0" applyFont="1" applyFill="1" applyBorder="1" applyAlignment="1">
      <alignment horizontal="center" vertical="center"/>
    </xf>
    <xf numFmtId="180" fontId="58" fillId="24" borderId="0" xfId="0" applyNumberFormat="1" applyFont="1" applyFill="1" applyAlignment="1">
      <alignment horizontal="center" vertical="center"/>
    </xf>
    <xf numFmtId="0" fontId="56" fillId="25" borderId="29" xfId="0" applyFont="1" applyFill="1" applyBorder="1" applyAlignment="1">
      <alignment vertical="center"/>
    </xf>
    <xf numFmtId="0" fontId="56" fillId="25" borderId="30" xfId="0" applyFont="1" applyFill="1" applyBorder="1" applyAlignment="1">
      <alignment horizontal="center" vertical="center"/>
    </xf>
    <xf numFmtId="183" fontId="52" fillId="0" borderId="0" xfId="228" applyNumberFormat="1" applyFont="1" applyAlignment="1">
      <alignment horizontal="center" vertical="center"/>
    </xf>
    <xf numFmtId="0" fontId="56" fillId="25" borderId="29" xfId="0" applyFont="1" applyFill="1" applyBorder="1" applyAlignment="1">
      <alignment horizontal="left" vertical="center"/>
    </xf>
    <xf numFmtId="0" fontId="57" fillId="24" borderId="0" xfId="0" applyFont="1" applyFill="1" applyAlignment="1">
      <alignment horizontal="left" vertical="center"/>
    </xf>
    <xf numFmtId="41" fontId="52" fillId="24" borderId="0" xfId="324" applyFont="1" applyFill="1" applyAlignment="1">
      <alignment horizontal="center" vertical="center"/>
    </xf>
    <xf numFmtId="182" fontId="48" fillId="24" borderId="0" xfId="0" applyNumberFormat="1" applyFont="1" applyFill="1" applyAlignment="1">
      <alignment horizontal="center" vertical="center"/>
    </xf>
    <xf numFmtId="182" fontId="52" fillId="24" borderId="0" xfId="0" applyNumberFormat="1" applyFont="1" applyFill="1" applyBorder="1" applyAlignment="1">
      <alignment horizontal="center" vertical="center"/>
    </xf>
    <xf numFmtId="0" fontId="52" fillId="24" borderId="0" xfId="0" applyFont="1" applyFill="1" applyBorder="1" applyAlignment="1">
      <alignment horizontal="center" vertical="center"/>
    </xf>
    <xf numFmtId="182" fontId="52" fillId="24" borderId="0" xfId="0" applyNumberFormat="1" applyFont="1" applyFill="1" applyAlignment="1">
      <alignment horizontal="center" vertical="center"/>
    </xf>
    <xf numFmtId="0" fontId="52" fillId="24" borderId="0" xfId="324" quotePrefix="1" applyNumberFormat="1" applyFont="1" applyFill="1" applyBorder="1" applyAlignment="1">
      <alignment horizontal="center" vertical="center"/>
    </xf>
    <xf numFmtId="41" fontId="59" fillId="24" borderId="0" xfId="324" applyFont="1" applyFill="1" applyBorder="1" applyAlignment="1">
      <alignment horizontal="center" vertical="center"/>
    </xf>
    <xf numFmtId="179" fontId="59" fillId="24" borderId="0" xfId="324" applyNumberFormat="1" applyFont="1" applyFill="1" applyBorder="1" applyAlignment="1">
      <alignment vertical="center"/>
    </xf>
    <xf numFmtId="0" fontId="52" fillId="24" borderId="0" xfId="0" applyFont="1" applyFill="1" applyBorder="1" applyAlignment="1">
      <alignment vertical="center"/>
    </xf>
    <xf numFmtId="0" fontId="60" fillId="0" borderId="0" xfId="0" applyFont="1" applyFill="1" applyAlignment="1">
      <alignment vertical="center"/>
    </xf>
    <xf numFmtId="41" fontId="10" fillId="0" borderId="33" xfId="1151" applyFont="1" applyFill="1" applyBorder="1" applyAlignment="1">
      <alignment horizontal="right" vertical="center"/>
    </xf>
    <xf numFmtId="41" fontId="10" fillId="0" borderId="0" xfId="1151" applyFont="1" applyFill="1" applyAlignment="1">
      <alignment vertical="center"/>
    </xf>
    <xf numFmtId="41" fontId="10" fillId="0" borderId="32" xfId="1151" applyFont="1" applyFill="1" applyBorder="1" applyAlignment="1">
      <alignment vertical="center"/>
    </xf>
    <xf numFmtId="41" fontId="61" fillId="0" borderId="46" xfId="1151" applyFont="1" applyFill="1" applyBorder="1" applyAlignment="1">
      <alignment horizontal="center" vertical="center"/>
    </xf>
    <xf numFmtId="41" fontId="61" fillId="0" borderId="52" xfId="1151" applyFont="1" applyFill="1" applyBorder="1" applyAlignment="1">
      <alignment horizontal="center" vertical="center"/>
    </xf>
    <xf numFmtId="41" fontId="10" fillId="0" borderId="52" xfId="1151" applyFont="1" applyFill="1" applyBorder="1" applyAlignment="1">
      <alignment horizontal="center" vertical="center"/>
    </xf>
    <xf numFmtId="41" fontId="60" fillId="0" borderId="0" xfId="0" applyNumberFormat="1" applyFont="1" applyFill="1" applyAlignment="1">
      <alignment vertical="center"/>
    </xf>
    <xf numFmtId="182" fontId="60" fillId="0" borderId="0" xfId="0" applyNumberFormat="1" applyFont="1" applyFill="1" applyAlignment="1">
      <alignment vertical="center"/>
    </xf>
    <xf numFmtId="41" fontId="61" fillId="0" borderId="0" xfId="1151" applyFont="1" applyFill="1" applyAlignment="1">
      <alignment vertical="center"/>
    </xf>
    <xf numFmtId="41" fontId="10" fillId="0" borderId="66" xfId="1151" applyFont="1" applyFill="1" applyBorder="1" applyAlignment="1">
      <alignment horizontal="center" vertical="center"/>
    </xf>
    <xf numFmtId="41" fontId="10" fillId="0" borderId="67" xfId="1151" applyFont="1" applyFill="1" applyBorder="1" applyAlignment="1">
      <alignment horizontal="center" vertical="center"/>
    </xf>
    <xf numFmtId="41" fontId="10" fillId="0" borderId="68" xfId="1151" applyFont="1" applyFill="1" applyBorder="1" applyAlignment="1">
      <alignment horizontal="center" vertical="center"/>
    </xf>
    <xf numFmtId="41" fontId="10" fillId="0" borderId="43" xfId="1151" applyFont="1" applyFill="1" applyBorder="1" applyAlignment="1">
      <alignment horizontal="center" vertical="center"/>
    </xf>
    <xf numFmtId="41" fontId="10" fillId="0" borderId="69" xfId="1151" applyFont="1" applyFill="1" applyBorder="1" applyAlignment="1">
      <alignment horizontal="center" vertical="center"/>
    </xf>
    <xf numFmtId="0" fontId="10" fillId="0" borderId="0" xfId="1151" applyNumberFormat="1" applyFont="1" applyFill="1" applyAlignment="1">
      <alignment vertical="center"/>
    </xf>
    <xf numFmtId="41" fontId="10" fillId="0" borderId="42" xfId="1151" applyFont="1" applyFill="1" applyBorder="1" applyAlignment="1">
      <alignment horizontal="center" vertical="center"/>
    </xf>
    <xf numFmtId="41" fontId="10" fillId="0" borderId="44" xfId="1151" applyFont="1" applyFill="1" applyBorder="1" applyAlignment="1">
      <alignment horizontal="center" vertical="center"/>
    </xf>
    <xf numFmtId="41" fontId="10" fillId="0" borderId="45" xfId="1151" applyFont="1" applyFill="1" applyBorder="1" applyAlignment="1">
      <alignment horizontal="center" vertical="center"/>
    </xf>
    <xf numFmtId="41" fontId="10" fillId="0" borderId="34" xfId="1151" applyFont="1" applyFill="1" applyBorder="1" applyAlignment="1">
      <alignment horizontal="left" vertical="center"/>
    </xf>
    <xf numFmtId="41" fontId="10" fillId="0" borderId="34" xfId="1151" applyFont="1" applyFill="1" applyBorder="1" applyAlignment="1">
      <alignment vertical="center"/>
    </xf>
    <xf numFmtId="41" fontId="61" fillId="0" borderId="0" xfId="228" applyFont="1" applyFill="1" applyBorder="1" applyAlignment="1">
      <alignment horizontal="left" vertical="center"/>
    </xf>
    <xf numFmtId="41" fontId="10" fillId="0" borderId="0" xfId="228" applyFont="1" applyFill="1" applyBorder="1" applyAlignment="1">
      <alignment vertical="center"/>
    </xf>
    <xf numFmtId="41" fontId="10" fillId="0" borderId="33" xfId="228" applyFont="1" applyFill="1" applyBorder="1" applyAlignment="1">
      <alignment horizontal="right" vertical="center"/>
    </xf>
    <xf numFmtId="41" fontId="10" fillId="0" borderId="32" xfId="228" applyFont="1" applyFill="1" applyBorder="1" applyAlignment="1">
      <alignment vertical="center"/>
    </xf>
    <xf numFmtId="41" fontId="10" fillId="0" borderId="42" xfId="228" applyFont="1" applyFill="1" applyBorder="1" applyAlignment="1">
      <alignment horizontal="center" vertical="center"/>
    </xf>
    <xf numFmtId="41" fontId="10" fillId="0" borderId="44" xfId="228" applyFont="1" applyFill="1" applyBorder="1" applyAlignment="1">
      <alignment horizontal="center" vertical="center"/>
    </xf>
    <xf numFmtId="41" fontId="10" fillId="0" borderId="45" xfId="228" applyFont="1" applyFill="1" applyBorder="1" applyAlignment="1">
      <alignment horizontal="center" vertical="center"/>
    </xf>
    <xf numFmtId="41" fontId="61" fillId="0" borderId="52" xfId="228" applyFont="1" applyFill="1" applyBorder="1" applyAlignment="1">
      <alignment horizontal="center" vertical="center"/>
    </xf>
    <xf numFmtId="41" fontId="10" fillId="0" borderId="52" xfId="228" applyFont="1" applyFill="1" applyBorder="1" applyAlignment="1">
      <alignment horizontal="center" vertical="center"/>
    </xf>
    <xf numFmtId="0" fontId="60" fillId="0" borderId="0" xfId="0" applyFont="1" applyFill="1" applyBorder="1" applyAlignment="1">
      <alignment vertical="center"/>
    </xf>
    <xf numFmtId="41" fontId="10" fillId="0" borderId="58" xfId="228" applyFont="1" applyFill="1" applyBorder="1" applyAlignment="1">
      <alignment horizontal="center" vertical="center"/>
    </xf>
    <xf numFmtId="41" fontId="10" fillId="0" borderId="0" xfId="1151" applyFont="1" applyFill="1" applyBorder="1" applyAlignment="1">
      <alignment vertical="center"/>
    </xf>
    <xf numFmtId="41" fontId="61" fillId="24" borderId="0" xfId="1151" applyFont="1" applyFill="1" applyAlignment="1">
      <alignment vertical="center"/>
    </xf>
    <xf numFmtId="41" fontId="10" fillId="26" borderId="93" xfId="1151" applyFont="1" applyFill="1" applyBorder="1" applyAlignment="1">
      <alignment horizontal="right" vertical="center"/>
    </xf>
    <xf numFmtId="41" fontId="61" fillId="26" borderId="94" xfId="1151" applyFont="1" applyFill="1" applyBorder="1" applyAlignment="1">
      <alignment horizontal="right" vertical="center"/>
    </xf>
    <xf numFmtId="0" fontId="10" fillId="24" borderId="0" xfId="5150" applyFont="1" applyFill="1" applyAlignment="1">
      <alignment vertical="center"/>
    </xf>
    <xf numFmtId="0" fontId="10" fillId="0" borderId="0" xfId="5150" applyFont="1" applyFill="1" applyAlignment="1">
      <alignment vertical="center"/>
    </xf>
    <xf numFmtId="41" fontId="65" fillId="0" borderId="0" xfId="338" applyFont="1" applyFill="1" applyBorder="1" applyAlignment="1">
      <alignment horizontal="right" vertical="center"/>
    </xf>
    <xf numFmtId="41" fontId="15" fillId="0" borderId="0" xfId="338" applyFont="1" applyFill="1" applyBorder="1" applyAlignment="1">
      <alignment vertical="center"/>
    </xf>
    <xf numFmtId="41" fontId="52" fillId="24" borderId="0" xfId="228" applyFont="1" applyFill="1" applyAlignment="1">
      <alignment vertical="center" wrapText="1"/>
    </xf>
    <xf numFmtId="0" fontId="52" fillId="24" borderId="0" xfId="5149" applyFont="1" applyFill="1" applyAlignment="1">
      <alignment horizontal="left" vertical="center" wrapText="1"/>
    </xf>
    <xf numFmtId="0" fontId="52" fillId="24" borderId="0" xfId="5150" applyFont="1" applyFill="1" applyAlignment="1">
      <alignment vertical="center"/>
    </xf>
    <xf numFmtId="0" fontId="48" fillId="24" borderId="0" xfId="5150" applyFont="1" applyFill="1" applyAlignment="1">
      <alignment vertical="center"/>
    </xf>
    <xf numFmtId="0" fontId="55" fillId="24" borderId="0" xfId="5149" applyFont="1" applyFill="1" applyAlignment="1">
      <alignment vertical="center"/>
    </xf>
    <xf numFmtId="0" fontId="48" fillId="24" borderId="0" xfId="0" applyFont="1" applyFill="1" applyAlignment="1">
      <alignment vertical="center"/>
    </xf>
    <xf numFmtId="0" fontId="67" fillId="0" borderId="0" xfId="0" applyFont="1" applyFill="1" applyAlignment="1">
      <alignment vertical="center"/>
    </xf>
    <xf numFmtId="41" fontId="0" fillId="0" borderId="0" xfId="29437" applyFont="1">
      <alignment vertical="center"/>
    </xf>
    <xf numFmtId="0" fontId="48" fillId="24" borderId="0" xfId="5149" applyFont="1" applyFill="1" applyAlignment="1">
      <alignment horizontal="left" vertical="center" wrapText="1"/>
    </xf>
    <xf numFmtId="41" fontId="10" fillId="0" borderId="71" xfId="228" applyFont="1" applyFill="1" applyBorder="1" applyAlignment="1">
      <alignment vertical="center"/>
    </xf>
    <xf numFmtId="41" fontId="61" fillId="79" borderId="88" xfId="1151" applyFont="1" applyFill="1" applyBorder="1" applyAlignment="1">
      <alignment horizontal="center" vertical="center"/>
    </xf>
    <xf numFmtId="0" fontId="95" fillId="79" borderId="0" xfId="0" applyFont="1" applyFill="1">
      <alignment vertical="center"/>
    </xf>
    <xf numFmtId="41" fontId="61" fillId="24" borderId="0" xfId="29437" applyFont="1" applyFill="1" applyAlignment="1">
      <alignment vertical="center"/>
    </xf>
    <xf numFmtId="41" fontId="66" fillId="25" borderId="79" xfId="29437" applyFont="1" applyFill="1" applyBorder="1" applyAlignment="1">
      <alignment horizontal="right" vertical="center"/>
    </xf>
    <xf numFmtId="41" fontId="66" fillId="25" borderId="85" xfId="29437" applyFont="1" applyFill="1" applyBorder="1" applyAlignment="1">
      <alignment vertical="center"/>
    </xf>
    <xf numFmtId="41" fontId="66" fillId="25" borderId="2" xfId="29437" applyFont="1" applyFill="1" applyBorder="1" applyAlignment="1">
      <alignment horizontal="center" vertical="center" wrapText="1"/>
    </xf>
    <xf numFmtId="41" fontId="95" fillId="79" borderId="0" xfId="29437" applyFont="1" applyFill="1">
      <alignment vertical="center"/>
    </xf>
    <xf numFmtId="41" fontId="10" fillId="24" borderId="0" xfId="29437" applyFont="1" applyFill="1" applyAlignment="1">
      <alignment vertical="center"/>
    </xf>
    <xf numFmtId="41" fontId="10" fillId="0" borderId="0" xfId="29437" applyFont="1" applyFill="1" applyAlignment="1">
      <alignment vertical="center"/>
    </xf>
    <xf numFmtId="0" fontId="105" fillId="0" borderId="0" xfId="0" applyFont="1">
      <alignment vertical="center"/>
    </xf>
    <xf numFmtId="41" fontId="105" fillId="0" borderId="0" xfId="29437" applyFont="1">
      <alignment vertical="center"/>
    </xf>
    <xf numFmtId="0" fontId="107" fillId="0" borderId="0" xfId="0" applyFont="1">
      <alignment vertical="center"/>
    </xf>
    <xf numFmtId="41" fontId="10" fillId="0" borderId="58" xfId="1151" applyFont="1" applyFill="1" applyBorder="1" applyAlignment="1">
      <alignment horizontal="center" vertical="center"/>
    </xf>
    <xf numFmtId="41" fontId="10" fillId="0" borderId="75" xfId="228" applyFont="1" applyFill="1" applyBorder="1" applyAlignment="1">
      <alignment vertical="center"/>
    </xf>
    <xf numFmtId="0" fontId="10" fillId="24" borderId="0" xfId="29437" applyNumberFormat="1" applyFont="1" applyFill="1" applyAlignment="1">
      <alignment vertical="center"/>
    </xf>
    <xf numFmtId="183" fontId="52" fillId="24" borderId="0" xfId="29437" applyNumberFormat="1" applyFont="1" applyFill="1" applyAlignment="1">
      <alignment horizontal="center" vertical="center"/>
    </xf>
    <xf numFmtId="41" fontId="108" fillId="0" borderId="0" xfId="29437" applyFont="1">
      <alignment vertical="center"/>
    </xf>
    <xf numFmtId="41" fontId="106" fillId="24" borderId="0" xfId="228" applyFont="1" applyFill="1" applyAlignment="1">
      <alignment vertical="center" wrapText="1"/>
    </xf>
    <xf numFmtId="41" fontId="106" fillId="24" borderId="0" xfId="5149" applyNumberFormat="1" applyFont="1" applyFill="1" applyAlignment="1">
      <alignment vertical="center" wrapText="1"/>
    </xf>
    <xf numFmtId="41" fontId="106" fillId="24" borderId="0" xfId="324" applyFont="1" applyFill="1" applyAlignment="1">
      <alignment vertical="center" wrapText="1"/>
    </xf>
    <xf numFmtId="183" fontId="52" fillId="24" borderId="0" xfId="29437" applyNumberFormat="1" applyFont="1" applyFill="1" applyBorder="1" applyAlignment="1">
      <alignment horizontal="center" vertical="center"/>
    </xf>
    <xf numFmtId="182" fontId="106" fillId="24" borderId="0" xfId="5149" applyNumberFormat="1" applyFont="1" applyFill="1" applyAlignment="1">
      <alignment vertical="center"/>
    </xf>
    <xf numFmtId="0" fontId="52" fillId="83" borderId="0" xfId="0" applyFont="1" applyFill="1" applyBorder="1" applyAlignment="1">
      <alignment horizontal="center" vertical="center"/>
    </xf>
    <xf numFmtId="0" fontId="0" fillId="0" borderId="0" xfId="0">
      <alignment vertical="center"/>
    </xf>
    <xf numFmtId="41" fontId="104" fillId="0" borderId="56" xfId="1151" applyFont="1" applyFill="1" applyBorder="1" applyAlignment="1">
      <alignment vertical="center"/>
    </xf>
    <xf numFmtId="41" fontId="110" fillId="0" borderId="44" xfId="1151" applyFont="1" applyFill="1" applyBorder="1" applyAlignment="1">
      <alignment vertical="center"/>
    </xf>
    <xf numFmtId="41" fontId="110" fillId="0" borderId="55" xfId="1151" applyFont="1" applyFill="1" applyBorder="1" applyAlignment="1">
      <alignment vertical="center"/>
    </xf>
    <xf numFmtId="41" fontId="110" fillId="0" borderId="43" xfId="1151" applyFont="1" applyFill="1" applyBorder="1" applyAlignment="1">
      <alignment vertical="center"/>
    </xf>
    <xf numFmtId="41" fontId="10" fillId="0" borderId="119" xfId="1151" applyFont="1" applyFill="1" applyBorder="1" applyAlignment="1">
      <alignment horizontal="center" vertical="center"/>
    </xf>
    <xf numFmtId="41" fontId="109" fillId="0" borderId="10" xfId="228" applyFont="1" applyFill="1" applyBorder="1" applyAlignment="1">
      <alignment vertical="center"/>
    </xf>
    <xf numFmtId="41" fontId="104" fillId="0" borderId="47" xfId="1151" applyFont="1" applyFill="1" applyBorder="1" applyAlignment="1">
      <alignment vertical="center"/>
    </xf>
    <xf numFmtId="41" fontId="104" fillId="0" borderId="48" xfId="1151" applyFont="1" applyFill="1" applyBorder="1" applyAlignment="1">
      <alignment vertical="center"/>
    </xf>
    <xf numFmtId="41" fontId="104" fillId="0" borderId="49" xfId="1151" applyFont="1" applyFill="1" applyBorder="1" applyAlignment="1">
      <alignment vertical="center"/>
    </xf>
    <xf numFmtId="41" fontId="104" fillId="0" borderId="50" xfId="1151" applyFont="1" applyFill="1" applyBorder="1" applyAlignment="1">
      <alignment vertical="center"/>
    </xf>
    <xf numFmtId="41" fontId="104" fillId="0" borderId="60" xfId="1151" applyFont="1" applyFill="1" applyBorder="1" applyAlignment="1">
      <alignment vertical="center"/>
    </xf>
    <xf numFmtId="41" fontId="110" fillId="0" borderId="53" xfId="1151" applyFont="1" applyFill="1" applyBorder="1" applyAlignment="1">
      <alignment vertical="center"/>
    </xf>
    <xf numFmtId="41" fontId="110" fillId="0" borderId="54" xfId="1151" applyFont="1" applyFill="1" applyBorder="1" applyAlignment="1">
      <alignment vertical="center"/>
    </xf>
    <xf numFmtId="41" fontId="110" fillId="0" borderId="56" xfId="1151" applyFont="1" applyFill="1" applyBorder="1" applyAlignment="1">
      <alignment vertical="center"/>
    </xf>
    <xf numFmtId="41" fontId="104" fillId="0" borderId="53" xfId="1151" applyFont="1" applyFill="1" applyBorder="1" applyAlignment="1">
      <alignment vertical="center"/>
    </xf>
    <xf numFmtId="41" fontId="104" fillId="0" borderId="54" xfId="1151" applyFont="1" applyFill="1" applyBorder="1" applyAlignment="1">
      <alignment vertical="center"/>
    </xf>
    <xf numFmtId="41" fontId="104" fillId="0" borderId="55" xfId="1151" applyFont="1" applyFill="1" applyBorder="1" applyAlignment="1">
      <alignment vertical="center"/>
    </xf>
    <xf numFmtId="41" fontId="110" fillId="0" borderId="59" xfId="1151" applyFont="1" applyFill="1" applyBorder="1" applyAlignment="1">
      <alignment vertical="center"/>
    </xf>
    <xf numFmtId="41" fontId="110" fillId="0" borderId="42" xfId="1151" applyFont="1" applyFill="1" applyBorder="1" applyAlignment="1">
      <alignment vertical="center"/>
    </xf>
    <xf numFmtId="41" fontId="104" fillId="0" borderId="114" xfId="228" applyFont="1" applyFill="1" applyBorder="1" applyAlignment="1">
      <alignment vertical="center"/>
    </xf>
    <xf numFmtId="41" fontId="10" fillId="0" borderId="114" xfId="228" applyFont="1" applyFill="1" applyBorder="1" applyAlignment="1">
      <alignment vertical="center"/>
    </xf>
    <xf numFmtId="41" fontId="10" fillId="0" borderId="10" xfId="228" applyFont="1" applyFill="1" applyBorder="1" applyAlignment="1">
      <alignment vertical="center"/>
    </xf>
    <xf numFmtId="41" fontId="110" fillId="0" borderId="114" xfId="228" applyFont="1" applyFill="1" applyBorder="1" applyAlignment="1">
      <alignment vertical="center"/>
    </xf>
    <xf numFmtId="41" fontId="111" fillId="24" borderId="0" xfId="324" applyFont="1" applyFill="1" applyBorder="1" applyAlignment="1">
      <alignment horizontal="center" vertical="center"/>
    </xf>
    <xf numFmtId="179" fontId="111" fillId="24" borderId="0" xfId="324" applyNumberFormat="1" applyFont="1" applyFill="1" applyBorder="1" applyAlignment="1">
      <alignment vertical="center"/>
    </xf>
    <xf numFmtId="41" fontId="111" fillId="83" borderId="0" xfId="324" applyFont="1" applyFill="1" applyBorder="1" applyAlignment="1">
      <alignment horizontal="center" vertical="center"/>
    </xf>
    <xf numFmtId="41" fontId="66" fillId="25" borderId="2" xfId="29437" applyFont="1" applyFill="1" applyBorder="1" applyAlignment="1">
      <alignment horizontal="center" vertical="center"/>
    </xf>
    <xf numFmtId="41" fontId="10" fillId="0" borderId="115" xfId="228" applyFont="1" applyFill="1" applyBorder="1" applyAlignment="1">
      <alignment horizontal="center" vertical="center"/>
    </xf>
    <xf numFmtId="41" fontId="10" fillId="0" borderId="115" xfId="1151" applyFont="1" applyFill="1" applyBorder="1" applyAlignment="1">
      <alignment horizontal="center" vertical="center"/>
    </xf>
    <xf numFmtId="41" fontId="10" fillId="0" borderId="43" xfId="228" applyFont="1" applyFill="1" applyBorder="1" applyAlignment="1">
      <alignment horizontal="center" vertical="center"/>
    </xf>
    <xf numFmtId="0" fontId="0" fillId="0" borderId="0" xfId="0" applyFill="1">
      <alignment vertical="center"/>
    </xf>
    <xf numFmtId="0" fontId="56" fillId="0" borderId="0" xfId="0" applyFont="1" applyFill="1" applyBorder="1" applyAlignment="1">
      <alignment vertical="center" wrapText="1"/>
    </xf>
    <xf numFmtId="0" fontId="56" fillId="0" borderId="0" xfId="0" applyFont="1" applyFill="1" applyBorder="1" applyAlignment="1">
      <alignment horizontal="left" vertical="center" wrapText="1"/>
    </xf>
    <xf numFmtId="0" fontId="62" fillId="0" borderId="0" xfId="0" applyFont="1" applyFill="1" applyBorder="1" applyAlignment="1">
      <alignment horizontal="center" vertical="center" wrapText="1"/>
    </xf>
    <xf numFmtId="0" fontId="56" fillId="0" borderId="0" xfId="0" applyFont="1" applyFill="1" applyBorder="1" applyAlignment="1">
      <alignment horizontal="center" wrapText="1"/>
    </xf>
    <xf numFmtId="0" fontId="63" fillId="0" borderId="0" xfId="0" applyFont="1" applyFill="1" applyBorder="1" applyAlignment="1">
      <alignment horizontal="left" vertical="center" wrapText="1"/>
    </xf>
    <xf numFmtId="49" fontId="48" fillId="0" borderId="0" xfId="0" applyNumberFormat="1" applyFont="1" applyFill="1" applyBorder="1" applyAlignment="1">
      <alignment horizontal="right" vertical="center" wrapText="1"/>
    </xf>
    <xf numFmtId="178" fontId="48" fillId="0" borderId="0" xfId="0" applyNumberFormat="1" applyFont="1" applyFill="1" applyBorder="1" applyAlignment="1">
      <alignment horizontal="right" vertical="center" wrapText="1"/>
    </xf>
    <xf numFmtId="0" fontId="64" fillId="0" borderId="0" xfId="0" applyFont="1" applyFill="1" applyBorder="1" applyAlignment="1">
      <alignment horizontal="left" vertical="center" wrapText="1"/>
    </xf>
    <xf numFmtId="0" fontId="10" fillId="0" borderId="0" xfId="29437" applyNumberFormat="1" applyFont="1" applyFill="1" applyAlignment="1">
      <alignment vertical="center"/>
    </xf>
    <xf numFmtId="178" fontId="58" fillId="0" borderId="0" xfId="0" applyNumberFormat="1" applyFont="1" applyFill="1" applyBorder="1" applyAlignment="1">
      <alignment horizontal="right" vertical="center" wrapText="1"/>
    </xf>
    <xf numFmtId="41" fontId="10" fillId="0" borderId="74" xfId="228" applyFont="1" applyFill="1" applyBorder="1" applyAlignment="1">
      <alignment vertical="center"/>
    </xf>
    <xf numFmtId="0" fontId="110" fillId="0" borderId="0" xfId="0" applyFont="1" applyFill="1" applyAlignment="1">
      <alignment vertical="center"/>
    </xf>
    <xf numFmtId="0" fontId="104" fillId="0" borderId="0" xfId="0" applyFont="1" applyFill="1" applyAlignment="1">
      <alignment vertical="center"/>
    </xf>
    <xf numFmtId="41" fontId="110" fillId="0" borderId="33" xfId="1151" applyFont="1" applyFill="1" applyBorder="1" applyAlignment="1">
      <alignment horizontal="right" vertical="center"/>
    </xf>
    <xf numFmtId="41" fontId="110" fillId="0" borderId="0" xfId="1151" applyFont="1" applyFill="1" applyAlignment="1">
      <alignment vertical="center"/>
    </xf>
    <xf numFmtId="41" fontId="110" fillId="0" borderId="32" xfId="1151" applyFont="1" applyFill="1" applyBorder="1" applyAlignment="1">
      <alignment vertical="center"/>
    </xf>
    <xf numFmtId="41" fontId="110" fillId="0" borderId="42" xfId="1151" applyFont="1" applyFill="1" applyBorder="1" applyAlignment="1">
      <alignment horizontal="center" vertical="center"/>
    </xf>
    <xf numFmtId="41" fontId="110" fillId="0" borderId="43" xfId="1151" applyFont="1" applyFill="1" applyBorder="1" applyAlignment="1">
      <alignment horizontal="center" vertical="center"/>
    </xf>
    <xf numFmtId="41" fontId="110" fillId="0" borderId="44" xfId="1151" applyFont="1" applyFill="1" applyBorder="1" applyAlignment="1">
      <alignment horizontal="center" vertical="center"/>
    </xf>
    <xf numFmtId="41" fontId="110" fillId="0" borderId="45" xfId="1151" applyFont="1" applyFill="1" applyBorder="1" applyAlignment="1">
      <alignment horizontal="center" vertical="center"/>
    </xf>
    <xf numFmtId="41" fontId="104" fillId="0" borderId="46" xfId="1151" applyFont="1" applyFill="1" applyBorder="1" applyAlignment="1">
      <alignment horizontal="center" vertical="center"/>
    </xf>
    <xf numFmtId="41" fontId="104" fillId="0" borderId="52" xfId="1151" applyFont="1" applyFill="1" applyBorder="1" applyAlignment="1">
      <alignment horizontal="center" vertical="center"/>
    </xf>
    <xf numFmtId="41" fontId="110" fillId="0" borderId="52" xfId="1151" applyFont="1" applyFill="1" applyBorder="1" applyAlignment="1">
      <alignment horizontal="center" vertical="center"/>
    </xf>
    <xf numFmtId="41" fontId="110" fillId="0" borderId="58" xfId="1151" applyFont="1" applyFill="1" applyBorder="1" applyAlignment="1">
      <alignment horizontal="center" vertical="center"/>
    </xf>
    <xf numFmtId="41" fontId="110" fillId="26" borderId="93" xfId="1151" applyFont="1" applyFill="1" applyBorder="1" applyAlignment="1">
      <alignment horizontal="right" vertical="center"/>
    </xf>
    <xf numFmtId="0" fontId="112" fillId="0" borderId="0" xfId="0" applyFont="1" applyAlignment="1">
      <alignment horizontal="center" vertical="center"/>
    </xf>
    <xf numFmtId="0" fontId="112" fillId="24" borderId="0" xfId="5149" applyFont="1" applyFill="1" applyAlignment="1">
      <alignment horizontal="left" vertical="center" wrapText="1"/>
    </xf>
    <xf numFmtId="0" fontId="113" fillId="25" borderId="17" xfId="0" applyFont="1" applyFill="1" applyBorder="1" applyAlignment="1">
      <alignment vertical="center"/>
    </xf>
    <xf numFmtId="0" fontId="113" fillId="25" borderId="18" xfId="0" applyFont="1" applyFill="1" applyBorder="1" applyAlignment="1">
      <alignment horizontal="center" vertical="center"/>
    </xf>
    <xf numFmtId="0" fontId="113" fillId="25" borderId="19" xfId="0" applyFont="1" applyFill="1" applyBorder="1" applyAlignment="1">
      <alignment horizontal="center" vertical="center"/>
    </xf>
    <xf numFmtId="41" fontId="61" fillId="26" borderId="93" xfId="1151" applyFont="1" applyFill="1" applyBorder="1" applyAlignment="1">
      <alignment horizontal="center" vertical="center"/>
    </xf>
    <xf numFmtId="183" fontId="112" fillId="24" borderId="0" xfId="29437" applyNumberFormat="1" applyFont="1" applyFill="1" applyAlignment="1">
      <alignment horizontal="center" vertical="center"/>
    </xf>
    <xf numFmtId="0" fontId="63" fillId="0" borderId="0" xfId="0" applyFont="1" applyFill="1" applyBorder="1" applyAlignment="1">
      <alignment horizontal="left" vertical="center" wrapText="1"/>
    </xf>
    <xf numFmtId="41" fontId="66" fillId="25" borderId="2" xfId="29437" applyFont="1" applyFill="1" applyBorder="1" applyAlignment="1">
      <alignment horizontal="center" vertical="center"/>
    </xf>
    <xf numFmtId="186" fontId="52" fillId="24" borderId="0" xfId="5149" applyNumberFormat="1" applyFont="1" applyFill="1" applyAlignment="1">
      <alignment vertical="center"/>
    </xf>
    <xf numFmtId="41" fontId="110" fillId="0" borderId="0" xfId="1151" applyFont="1" applyFill="1" applyBorder="1" applyAlignment="1">
      <alignment vertical="center"/>
    </xf>
    <xf numFmtId="183" fontId="112" fillId="24" borderId="0" xfId="29437" applyNumberFormat="1" applyFont="1" applyFill="1" applyBorder="1" applyAlignment="1">
      <alignment horizontal="center" vertical="center"/>
    </xf>
    <xf numFmtId="185" fontId="52" fillId="24" borderId="0" xfId="29437" applyNumberFormat="1" applyFont="1" applyFill="1" applyBorder="1" applyAlignment="1">
      <alignment horizontal="center" vertical="center"/>
    </xf>
    <xf numFmtId="41" fontId="10" fillId="0" borderId="43" xfId="1151" applyFont="1" applyFill="1" applyBorder="1" applyAlignment="1">
      <alignment horizontal="right" vertical="center"/>
    </xf>
    <xf numFmtId="0" fontId="56" fillId="25" borderId="18" xfId="0" applyFont="1" applyFill="1" applyBorder="1" applyAlignment="1">
      <alignment horizontal="center" vertical="center" wrapText="1"/>
    </xf>
    <xf numFmtId="183" fontId="60" fillId="0" borderId="0" xfId="29437" applyNumberFormat="1" applyFont="1" applyFill="1" applyAlignment="1">
      <alignment vertical="center"/>
    </xf>
    <xf numFmtId="0" fontId="117" fillId="0" borderId="0" xfId="0" applyFont="1" applyAlignment="1">
      <alignment vertical="center"/>
    </xf>
    <xf numFmtId="41" fontId="66" fillId="25" borderId="130" xfId="29437" applyFont="1" applyFill="1" applyBorder="1" applyAlignment="1">
      <alignment horizontal="right" vertical="center"/>
    </xf>
    <xf numFmtId="41" fontId="105" fillId="0" borderId="0" xfId="0" applyNumberFormat="1" applyFont="1">
      <alignment vertical="center"/>
    </xf>
    <xf numFmtId="0" fontId="119" fillId="24" borderId="0" xfId="5149" applyFont="1" applyFill="1" applyAlignment="1">
      <alignment vertical="center"/>
    </xf>
    <xf numFmtId="0" fontId="118" fillId="0" borderId="0" xfId="0" applyFont="1" applyFill="1">
      <alignment vertical="center"/>
    </xf>
    <xf numFmtId="41" fontId="61" fillId="25" borderId="2" xfId="29437" applyFont="1" applyFill="1" applyBorder="1" applyAlignment="1">
      <alignment horizontal="center" vertical="center"/>
    </xf>
    <xf numFmtId="41" fontId="61" fillId="84" borderId="91" xfId="1151" applyFont="1" applyFill="1" applyBorder="1" applyAlignment="1">
      <alignment vertical="center"/>
    </xf>
    <xf numFmtId="41" fontId="61" fillId="84" borderId="0" xfId="1151" applyFont="1" applyFill="1" applyBorder="1" applyAlignment="1">
      <alignment horizontal="right" vertical="center"/>
    </xf>
    <xf numFmtId="41" fontId="61" fillId="84" borderId="0" xfId="1151" applyFont="1" applyFill="1" applyBorder="1" applyAlignment="1">
      <alignment vertical="center"/>
    </xf>
    <xf numFmtId="41" fontId="10" fillId="84" borderId="0" xfId="1151" applyFont="1" applyFill="1" applyBorder="1" applyAlignment="1">
      <alignment horizontal="right" vertical="center"/>
    </xf>
    <xf numFmtId="41" fontId="10" fillId="84" borderId="0" xfId="1151" applyFont="1" applyFill="1" applyBorder="1" applyAlignment="1">
      <alignment vertical="center"/>
    </xf>
    <xf numFmtId="41" fontId="61" fillId="84" borderId="10" xfId="1151" applyFont="1" applyFill="1" applyBorder="1" applyAlignment="1">
      <alignment horizontal="right" vertical="center"/>
    </xf>
    <xf numFmtId="41" fontId="95" fillId="0" borderId="0" xfId="29437" applyFont="1">
      <alignment vertical="center"/>
    </xf>
    <xf numFmtId="41" fontId="96" fillId="0" borderId="0" xfId="29437" applyFont="1">
      <alignment vertical="center"/>
    </xf>
    <xf numFmtId="41" fontId="115" fillId="25" borderId="2" xfId="29437" applyFont="1" applyFill="1" applyBorder="1" applyAlignment="1">
      <alignment horizontal="center" vertical="center"/>
    </xf>
    <xf numFmtId="41" fontId="61" fillId="84" borderId="121" xfId="1151" applyFont="1" applyFill="1" applyBorder="1" applyAlignment="1">
      <alignment vertical="center"/>
    </xf>
    <xf numFmtId="41" fontId="61" fillId="84" borderId="110" xfId="1151" applyFont="1" applyFill="1" applyBorder="1" applyAlignment="1">
      <alignment vertical="center"/>
    </xf>
    <xf numFmtId="41" fontId="10" fillId="84" borderId="121" xfId="1151" applyFont="1" applyFill="1" applyBorder="1" applyAlignment="1">
      <alignment vertical="center"/>
    </xf>
    <xf numFmtId="41" fontId="61" fillId="84" borderId="92" xfId="1151" applyFont="1" applyFill="1" applyBorder="1" applyAlignment="1">
      <alignment vertical="center"/>
    </xf>
    <xf numFmtId="41" fontId="121" fillId="25" borderId="141" xfId="29437" applyFont="1" applyFill="1" applyBorder="1" applyAlignment="1">
      <alignment horizontal="center" vertical="center"/>
    </xf>
    <xf numFmtId="41" fontId="121" fillId="86" borderId="141" xfId="29437" applyFont="1" applyFill="1" applyBorder="1" applyAlignment="1">
      <alignment horizontal="center" vertical="center"/>
    </xf>
    <xf numFmtId="41" fontId="121" fillId="0" borderId="141" xfId="29437" applyFont="1" applyFill="1" applyBorder="1" applyAlignment="1">
      <alignment horizontal="center" vertical="center"/>
    </xf>
    <xf numFmtId="41" fontId="122" fillId="0" borderId="141" xfId="0" applyNumberFormat="1" applyFont="1" applyBorder="1" applyAlignment="1">
      <alignment horizontal="center" vertical="center"/>
    </xf>
    <xf numFmtId="41" fontId="122" fillId="0" borderId="141" xfId="29437" applyFont="1" applyFill="1" applyBorder="1" applyAlignment="1">
      <alignment horizontal="center" vertical="center"/>
    </xf>
    <xf numFmtId="41" fontId="123" fillId="79" borderId="0" xfId="29437" applyFont="1" applyFill="1">
      <alignment vertical="center"/>
    </xf>
    <xf numFmtId="41" fontId="61" fillId="26" borderId="0" xfId="1151" applyFont="1" applyFill="1" applyAlignment="1">
      <alignment vertical="center"/>
    </xf>
    <xf numFmtId="41" fontId="61" fillId="26" borderId="0" xfId="1151" applyFont="1" applyFill="1" applyBorder="1" applyAlignment="1">
      <alignment vertical="center"/>
    </xf>
    <xf numFmtId="41" fontId="10" fillId="26" borderId="0" xfId="1151" applyFont="1" applyFill="1" applyBorder="1" applyAlignment="1">
      <alignment vertical="center"/>
    </xf>
    <xf numFmtId="41" fontId="61" fillId="26" borderId="10" xfId="1151" applyFont="1" applyFill="1" applyBorder="1" applyAlignment="1">
      <alignment vertical="center"/>
    </xf>
    <xf numFmtId="41" fontId="10" fillId="0" borderId="140" xfId="1151" applyFont="1" applyFill="1" applyBorder="1" applyAlignment="1">
      <alignment vertical="center"/>
    </xf>
    <xf numFmtId="41" fontId="10" fillId="0" borderId="140" xfId="228" applyFont="1" applyFill="1" applyBorder="1" applyAlignment="1">
      <alignment horizontal="center" vertical="center"/>
    </xf>
    <xf numFmtId="41" fontId="10" fillId="0" borderId="140" xfId="1151" applyFont="1" applyFill="1" applyBorder="1" applyAlignment="1">
      <alignment horizontal="center" vertical="center"/>
    </xf>
    <xf numFmtId="0" fontId="110" fillId="0" borderId="0" xfId="0" applyFont="1" applyFill="1">
      <alignment vertical="center"/>
    </xf>
    <xf numFmtId="41" fontId="61" fillId="0" borderId="140" xfId="1151" applyFont="1" applyFill="1" applyBorder="1" applyAlignment="1">
      <alignment horizontal="center" vertical="center"/>
    </xf>
    <xf numFmtId="41" fontId="10" fillId="0" borderId="140" xfId="228" applyFont="1" applyFill="1" applyBorder="1" applyAlignment="1">
      <alignment vertical="center"/>
    </xf>
    <xf numFmtId="41" fontId="10" fillId="0" borderId="140" xfId="29437" applyFont="1" applyFill="1" applyBorder="1" applyAlignment="1">
      <alignment horizontal="center" vertical="center"/>
    </xf>
    <xf numFmtId="41" fontId="110" fillId="0" borderId="140" xfId="29437" applyFont="1" applyFill="1" applyBorder="1" applyAlignment="1">
      <alignment horizontal="center" vertical="center"/>
    </xf>
    <xf numFmtId="41" fontId="110" fillId="0" borderId="0" xfId="29437" applyFont="1" applyFill="1">
      <alignment vertical="center"/>
    </xf>
    <xf numFmtId="41" fontId="110" fillId="0" borderId="140" xfId="29437" applyFont="1" applyFill="1" applyBorder="1">
      <alignment vertical="center"/>
    </xf>
    <xf numFmtId="41" fontId="52" fillId="0" borderId="140" xfId="29437" applyFont="1" applyFill="1" applyBorder="1" applyAlignment="1">
      <alignment horizontal="right" vertical="center"/>
    </xf>
    <xf numFmtId="41" fontId="124" fillId="0" borderId="140" xfId="29437" applyFont="1" applyFill="1" applyBorder="1" applyAlignment="1">
      <alignment horizontal="center" vertical="center"/>
    </xf>
    <xf numFmtId="41" fontId="10" fillId="0" borderId="139" xfId="29437" applyFont="1" applyFill="1" applyBorder="1" applyAlignment="1">
      <alignment horizontal="right" vertical="center"/>
    </xf>
    <xf numFmtId="41" fontId="10" fillId="0" borderId="142" xfId="29437" applyFont="1" applyFill="1" applyBorder="1" applyAlignment="1">
      <alignment vertical="center"/>
    </xf>
    <xf numFmtId="41" fontId="110" fillId="0" borderId="32" xfId="29437" applyFont="1" applyFill="1" applyBorder="1" applyAlignment="1">
      <alignment horizontal="center" vertical="center"/>
    </xf>
    <xf numFmtId="41" fontId="10" fillId="0" borderId="55" xfId="1151" applyFont="1" applyFill="1" applyBorder="1" applyAlignment="1">
      <alignment vertical="center"/>
    </xf>
    <xf numFmtId="41" fontId="61" fillId="0" borderId="57" xfId="228" applyFont="1" applyFill="1" applyBorder="1" applyAlignment="1">
      <alignment vertical="center"/>
    </xf>
    <xf numFmtId="41" fontId="10" fillId="0" borderId="57" xfId="228" applyFont="1" applyFill="1" applyBorder="1" applyAlignment="1">
      <alignment vertical="center"/>
    </xf>
    <xf numFmtId="41" fontId="10" fillId="0" borderId="45" xfId="228" applyFont="1" applyFill="1" applyBorder="1" applyAlignment="1">
      <alignment vertical="center"/>
    </xf>
    <xf numFmtId="0" fontId="10" fillId="0" borderId="33" xfId="228" applyNumberFormat="1" applyFont="1" applyFill="1" applyBorder="1" applyAlignment="1">
      <alignment horizontal="right" vertical="center"/>
    </xf>
    <xf numFmtId="0" fontId="10" fillId="0" borderId="32" xfId="228" applyNumberFormat="1" applyFont="1" applyFill="1" applyBorder="1" applyAlignment="1">
      <alignment vertical="center"/>
    </xf>
    <xf numFmtId="0" fontId="10" fillId="0" borderId="42" xfId="228" applyNumberFormat="1" applyFont="1" applyFill="1" applyBorder="1" applyAlignment="1">
      <alignment horizontal="center" vertical="center"/>
    </xf>
    <xf numFmtId="0" fontId="10" fillId="0" borderId="44" xfId="228" applyNumberFormat="1" applyFont="1" applyFill="1" applyBorder="1" applyAlignment="1">
      <alignment horizontal="center" vertical="center"/>
    </xf>
    <xf numFmtId="0" fontId="10" fillId="0" borderId="45" xfId="228" applyNumberFormat="1" applyFont="1" applyFill="1" applyBorder="1" applyAlignment="1">
      <alignment horizontal="center" vertical="center"/>
    </xf>
    <xf numFmtId="0" fontId="10" fillId="0" borderId="43" xfId="228" applyNumberFormat="1" applyFont="1" applyFill="1" applyBorder="1" applyAlignment="1">
      <alignment horizontal="center" vertical="center"/>
    </xf>
    <xf numFmtId="0" fontId="10" fillId="0" borderId="33" xfId="1151" applyNumberFormat="1" applyFont="1" applyFill="1" applyBorder="1" applyAlignment="1">
      <alignment horizontal="right" vertical="center"/>
    </xf>
    <xf numFmtId="0" fontId="10" fillId="0" borderId="32" xfId="1151" applyNumberFormat="1" applyFont="1" applyFill="1" applyBorder="1" applyAlignment="1">
      <alignment vertical="center"/>
    </xf>
    <xf numFmtId="0" fontId="10" fillId="0" borderId="42" xfId="1151" applyNumberFormat="1" applyFont="1" applyFill="1" applyBorder="1" applyAlignment="1">
      <alignment horizontal="center" vertical="center"/>
    </xf>
    <xf numFmtId="0" fontId="10" fillId="0" borderId="44" xfId="1151" applyNumberFormat="1" applyFont="1" applyFill="1" applyBorder="1" applyAlignment="1">
      <alignment horizontal="center" vertical="center"/>
    </xf>
    <xf numFmtId="0" fontId="10" fillId="0" borderId="45" xfId="1151" applyNumberFormat="1" applyFont="1" applyFill="1" applyBorder="1" applyAlignment="1">
      <alignment horizontal="center" vertical="center"/>
    </xf>
    <xf numFmtId="0" fontId="10" fillId="0" borderId="43" xfId="1151" applyNumberFormat="1" applyFont="1" applyFill="1" applyBorder="1" applyAlignment="1">
      <alignment horizontal="center" vertical="center"/>
    </xf>
    <xf numFmtId="0" fontId="10" fillId="0" borderId="66" xfId="1151" applyNumberFormat="1" applyFont="1" applyFill="1" applyBorder="1" applyAlignment="1">
      <alignment horizontal="center" vertical="center"/>
    </xf>
    <xf numFmtId="0" fontId="10" fillId="0" borderId="67" xfId="1151" applyNumberFormat="1" applyFont="1" applyFill="1" applyBorder="1" applyAlignment="1">
      <alignment horizontal="center" vertical="center"/>
    </xf>
    <xf numFmtId="0" fontId="10" fillId="0" borderId="68" xfId="1151" applyNumberFormat="1" applyFont="1" applyFill="1" applyBorder="1" applyAlignment="1">
      <alignment horizontal="center" vertical="center"/>
    </xf>
    <xf numFmtId="0" fontId="10" fillId="0" borderId="69" xfId="1151" applyNumberFormat="1" applyFont="1" applyFill="1" applyBorder="1" applyAlignment="1">
      <alignment horizontal="center" vertical="center"/>
    </xf>
    <xf numFmtId="41" fontId="61" fillId="84" borderId="104" xfId="1151" applyFont="1" applyFill="1" applyBorder="1" applyAlignment="1">
      <alignment vertical="center"/>
    </xf>
    <xf numFmtId="41" fontId="61" fillId="84" borderId="23" xfId="1151" applyFont="1" applyFill="1" applyBorder="1" applyAlignment="1">
      <alignment vertical="center"/>
    </xf>
    <xf numFmtId="41" fontId="125" fillId="0" borderId="75" xfId="228" applyFont="1" applyFill="1" applyBorder="1" applyAlignment="1">
      <alignment vertical="center"/>
    </xf>
    <xf numFmtId="41" fontId="61" fillId="26" borderId="21" xfId="1151" applyFont="1" applyFill="1" applyBorder="1" applyAlignment="1">
      <alignment vertical="center"/>
    </xf>
    <xf numFmtId="41" fontId="61" fillId="26" borderId="125" xfId="1151" applyFont="1" applyFill="1" applyBorder="1" applyAlignment="1">
      <alignment vertical="center"/>
    </xf>
    <xf numFmtId="41" fontId="10" fillId="26" borderId="21" xfId="1151" applyFont="1" applyFill="1" applyBorder="1" applyAlignment="1">
      <alignment vertical="center"/>
    </xf>
    <xf numFmtId="41" fontId="10" fillId="26" borderId="125" xfId="1151" applyFont="1" applyFill="1" applyBorder="1" applyAlignment="1">
      <alignment vertical="center"/>
    </xf>
    <xf numFmtId="41" fontId="61" fillId="26" borderId="122" xfId="1151" applyFont="1" applyFill="1" applyBorder="1" applyAlignment="1">
      <alignment vertical="center"/>
    </xf>
    <xf numFmtId="41" fontId="61" fillId="26" borderId="23" xfId="1151" applyFont="1" applyFill="1" applyBorder="1" applyAlignment="1">
      <alignment vertical="center"/>
    </xf>
    <xf numFmtId="41" fontId="61" fillId="26" borderId="114" xfId="1151" applyFont="1" applyFill="1" applyBorder="1" applyAlignment="1">
      <alignment vertical="center"/>
    </xf>
    <xf numFmtId="41" fontId="10" fillId="26" borderId="114" xfId="1151" applyFont="1" applyFill="1" applyBorder="1" applyAlignment="1">
      <alignment vertical="center"/>
    </xf>
    <xf numFmtId="41" fontId="95" fillId="84" borderId="0" xfId="0" applyNumberFormat="1" applyFont="1" applyFill="1">
      <alignment vertical="center"/>
    </xf>
    <xf numFmtId="41" fontId="61" fillId="0" borderId="57" xfId="1151" applyFont="1" applyFill="1" applyBorder="1" applyAlignment="1">
      <alignment vertical="center"/>
    </xf>
    <xf numFmtId="41" fontId="10" fillId="0" borderId="69" xfId="1151" applyFont="1" applyFill="1" applyBorder="1" applyAlignment="1">
      <alignment vertical="center"/>
    </xf>
    <xf numFmtId="41" fontId="10" fillId="0" borderId="43" xfId="1151" applyFont="1" applyFill="1" applyBorder="1" applyAlignment="1">
      <alignment vertical="center"/>
    </xf>
    <xf numFmtId="41" fontId="10" fillId="0" borderId="55" xfId="228" applyFont="1" applyFill="1" applyBorder="1" applyAlignment="1">
      <alignment vertical="center"/>
    </xf>
    <xf numFmtId="41" fontId="10" fillId="0" borderId="43" xfId="228" applyFont="1" applyFill="1" applyBorder="1" applyAlignment="1">
      <alignment vertical="center"/>
    </xf>
    <xf numFmtId="41" fontId="61" fillId="0" borderId="55" xfId="1151" applyFont="1" applyFill="1" applyBorder="1" applyAlignment="1">
      <alignment vertical="center"/>
    </xf>
    <xf numFmtId="41" fontId="61" fillId="0" borderId="54" xfId="228" applyFont="1" applyFill="1" applyBorder="1" applyAlignment="1">
      <alignment vertical="center"/>
    </xf>
    <xf numFmtId="41" fontId="61" fillId="0" borderId="50" xfId="228" applyFont="1" applyFill="1" applyBorder="1" applyAlignment="1">
      <alignment vertical="center"/>
    </xf>
    <xf numFmtId="41" fontId="10" fillId="0" borderId="54" xfId="228" applyFont="1" applyFill="1" applyBorder="1" applyAlignment="1">
      <alignment vertical="center"/>
    </xf>
    <xf numFmtId="41" fontId="10" fillId="0" borderId="56" xfId="228" applyFont="1" applyFill="1" applyBorder="1" applyAlignment="1">
      <alignment vertical="center"/>
    </xf>
    <xf numFmtId="41" fontId="10" fillId="0" borderId="42" xfId="228" applyFont="1" applyFill="1" applyBorder="1" applyAlignment="1">
      <alignment vertical="center"/>
    </xf>
    <xf numFmtId="41" fontId="10" fillId="0" borderId="44" xfId="228" applyFont="1" applyFill="1" applyBorder="1" applyAlignment="1">
      <alignment vertical="center"/>
    </xf>
    <xf numFmtId="41" fontId="61" fillId="0" borderId="61" xfId="1151" applyFont="1" applyFill="1" applyBorder="1" applyAlignment="1">
      <alignment vertical="center"/>
    </xf>
    <xf numFmtId="41" fontId="10" fillId="0" borderId="56" xfId="1151" applyFont="1" applyFill="1" applyBorder="1" applyAlignment="1">
      <alignment vertical="center"/>
    </xf>
    <xf numFmtId="41" fontId="61" fillId="79" borderId="57" xfId="228" applyFont="1" applyFill="1" applyBorder="1" applyAlignment="1">
      <alignment vertical="center"/>
    </xf>
    <xf numFmtId="41" fontId="61" fillId="79" borderId="77" xfId="228" applyFont="1" applyFill="1" applyBorder="1" applyAlignment="1">
      <alignment vertical="center"/>
    </xf>
    <xf numFmtId="41" fontId="61" fillId="79" borderId="49" xfId="228" applyFont="1" applyFill="1" applyBorder="1" applyAlignment="1">
      <alignment vertical="center"/>
    </xf>
    <xf numFmtId="41" fontId="61" fillId="0" borderId="120" xfId="228" applyFont="1" applyFill="1" applyBorder="1" applyAlignment="1">
      <alignment vertical="center"/>
    </xf>
    <xf numFmtId="41" fontId="10" fillId="0" borderId="77" xfId="228" applyFont="1" applyFill="1" applyBorder="1" applyAlignment="1">
      <alignment vertical="center"/>
    </xf>
    <xf numFmtId="41" fontId="59" fillId="85" borderId="123" xfId="29650" applyFont="1" applyFill="1" applyBorder="1" applyAlignment="1">
      <alignment horizontal="right" vertical="center"/>
    </xf>
    <xf numFmtId="41" fontId="59" fillId="0" borderId="123" xfId="29650" applyFont="1" applyFill="1" applyBorder="1" applyAlignment="1">
      <alignment horizontal="right" vertical="center"/>
    </xf>
    <xf numFmtId="41" fontId="10" fillId="0" borderId="78" xfId="228" applyFont="1" applyFill="1" applyBorder="1" applyAlignment="1">
      <alignment vertical="center"/>
    </xf>
    <xf numFmtId="41" fontId="61" fillId="0" borderId="77" xfId="228" applyFont="1" applyFill="1" applyBorder="1" applyAlignment="1">
      <alignment vertical="center"/>
    </xf>
    <xf numFmtId="41" fontId="61" fillId="0" borderId="49" xfId="228" applyFont="1" applyFill="1" applyBorder="1" applyAlignment="1">
      <alignment vertical="center"/>
    </xf>
    <xf numFmtId="41" fontId="10" fillId="0" borderId="0" xfId="228" applyFont="1" applyFill="1" applyAlignment="1">
      <alignment vertical="center"/>
    </xf>
    <xf numFmtId="41" fontId="61" fillId="0" borderId="40" xfId="1151" applyFont="1" applyFill="1" applyBorder="1" applyAlignment="1">
      <alignment vertical="center"/>
    </xf>
    <xf numFmtId="41" fontId="10" fillId="0" borderId="57" xfId="1151" applyFont="1" applyFill="1" applyBorder="1" applyAlignment="1">
      <alignment vertical="center"/>
    </xf>
    <xf numFmtId="41" fontId="10" fillId="0" borderId="45" xfId="1151" applyFont="1" applyFill="1" applyBorder="1" applyAlignment="1">
      <alignment vertical="center"/>
    </xf>
    <xf numFmtId="41" fontId="10" fillId="0" borderId="44" xfId="1151" applyFont="1" applyFill="1" applyBorder="1" applyAlignment="1">
      <alignment vertical="center"/>
    </xf>
    <xf numFmtId="41" fontId="110" fillId="0" borderId="74" xfId="228" applyFont="1" applyFill="1" applyBorder="1" applyAlignment="1">
      <alignment vertical="center"/>
    </xf>
    <xf numFmtId="41" fontId="61" fillId="0" borderId="63" xfId="1151" applyFont="1" applyFill="1" applyBorder="1" applyAlignment="1">
      <alignment vertical="center"/>
    </xf>
    <xf numFmtId="41" fontId="10" fillId="0" borderId="32" xfId="29437" applyFont="1" applyFill="1" applyBorder="1" applyAlignment="1">
      <alignment horizontal="center" vertical="center"/>
    </xf>
    <xf numFmtId="178" fontId="98" fillId="85" borderId="140" xfId="0" applyNumberFormat="1" applyFont="1" applyFill="1" applyBorder="1" applyAlignment="1">
      <alignment horizontal="right" vertical="center"/>
    </xf>
    <xf numFmtId="41" fontId="61" fillId="26" borderId="143" xfId="1151" applyFont="1" applyFill="1" applyBorder="1" applyAlignment="1">
      <alignment vertical="center"/>
    </xf>
    <xf numFmtId="41" fontId="61" fillId="84" borderId="144" xfId="1151" applyFont="1" applyFill="1" applyBorder="1" applyAlignment="1">
      <alignment horizontal="right" vertical="center"/>
    </xf>
    <xf numFmtId="41" fontId="61" fillId="84" borderId="144" xfId="1151" applyFont="1" applyFill="1" applyBorder="1" applyAlignment="1">
      <alignment vertical="center"/>
    </xf>
    <xf numFmtId="41" fontId="10" fillId="84" borderId="144" xfId="1151" applyFont="1" applyFill="1" applyBorder="1" applyAlignment="1">
      <alignment horizontal="right" vertical="center"/>
    </xf>
    <xf numFmtId="41" fontId="10" fillId="84" borderId="144" xfId="1151" applyFont="1" applyFill="1" applyBorder="1" applyAlignment="1">
      <alignment vertical="center"/>
    </xf>
    <xf numFmtId="41" fontId="61" fillId="84" borderId="143" xfId="1151" applyFont="1" applyFill="1" applyBorder="1" applyAlignment="1">
      <alignment horizontal="right" vertical="center"/>
    </xf>
    <xf numFmtId="41" fontId="61" fillId="84" borderId="145" xfId="1151" applyFont="1" applyFill="1" applyBorder="1" applyAlignment="1">
      <alignment horizontal="right" vertical="center"/>
    </xf>
    <xf numFmtId="41" fontId="61" fillId="84" borderId="111" xfId="1151" applyFont="1" applyFill="1" applyBorder="1" applyAlignment="1">
      <alignment horizontal="right" vertical="center"/>
    </xf>
    <xf numFmtId="41" fontId="61" fillId="84" borderId="111" xfId="1151" applyFont="1" applyFill="1" applyBorder="1" applyAlignment="1">
      <alignment vertical="center"/>
    </xf>
    <xf numFmtId="41" fontId="10" fillId="84" borderId="111" xfId="1151" applyFont="1" applyFill="1" applyBorder="1" applyAlignment="1">
      <alignment horizontal="right" vertical="center"/>
    </xf>
    <xf numFmtId="41" fontId="61" fillId="84" borderId="114" xfId="1151" applyFont="1" applyFill="1" applyBorder="1" applyAlignment="1">
      <alignment vertical="center"/>
    </xf>
    <xf numFmtId="41" fontId="10" fillId="84" borderId="111" xfId="1151" applyFont="1" applyFill="1" applyBorder="1" applyAlignment="1">
      <alignment vertical="center"/>
    </xf>
    <xf numFmtId="41" fontId="61" fillId="84" borderId="113" xfId="1151" applyFont="1" applyFill="1" applyBorder="1" applyAlignment="1">
      <alignment horizontal="right" vertical="center"/>
    </xf>
    <xf numFmtId="41" fontId="61" fillId="84" borderId="109" xfId="1151" applyFont="1" applyFill="1" applyBorder="1" applyAlignment="1">
      <alignment vertical="center"/>
    </xf>
    <xf numFmtId="41" fontId="61" fillId="0" borderId="53" xfId="1151" applyFont="1" applyFill="1" applyBorder="1" applyAlignment="1">
      <alignment vertical="center"/>
    </xf>
    <xf numFmtId="41" fontId="61" fillId="0" borderId="64" xfId="1151" applyFont="1" applyFill="1" applyBorder="1" applyAlignment="1">
      <alignment vertical="center"/>
    </xf>
    <xf numFmtId="41" fontId="10" fillId="0" borderId="68" xfId="1151" applyFont="1" applyFill="1" applyBorder="1" applyAlignment="1">
      <alignment vertical="center"/>
    </xf>
    <xf numFmtId="41" fontId="112" fillId="26" borderId="0" xfId="324" applyFont="1" applyFill="1" applyBorder="1" applyAlignment="1">
      <alignment vertical="center" shrinkToFit="1"/>
    </xf>
    <xf numFmtId="41" fontId="104" fillId="0" borderId="57" xfId="228" applyFont="1" applyFill="1" applyBorder="1" applyAlignment="1">
      <alignment vertical="center"/>
    </xf>
    <xf numFmtId="41" fontId="110" fillId="0" borderId="57" xfId="228" applyFont="1" applyFill="1" applyBorder="1" applyAlignment="1">
      <alignment vertical="center"/>
    </xf>
    <xf numFmtId="41" fontId="110" fillId="0" borderId="45" xfId="228" applyFont="1" applyFill="1" applyBorder="1" applyAlignment="1">
      <alignment vertical="center"/>
    </xf>
    <xf numFmtId="41" fontId="104" fillId="0" borderId="54" xfId="228" applyFont="1" applyFill="1" applyBorder="1" applyAlignment="1">
      <alignment vertical="center"/>
    </xf>
    <xf numFmtId="41" fontId="104" fillId="0" borderId="50" xfId="228" applyFont="1" applyFill="1" applyBorder="1" applyAlignment="1">
      <alignment vertical="center"/>
    </xf>
    <xf numFmtId="41" fontId="110" fillId="0" borderId="54" xfId="228" applyFont="1" applyFill="1" applyBorder="1" applyAlignment="1">
      <alignment vertical="center"/>
    </xf>
    <xf numFmtId="41" fontId="110" fillId="0" borderId="56" xfId="228" applyFont="1" applyFill="1" applyBorder="1" applyAlignment="1">
      <alignment vertical="center"/>
    </xf>
    <xf numFmtId="41" fontId="110" fillId="0" borderId="42" xfId="228" applyFont="1" applyFill="1" applyBorder="1" applyAlignment="1">
      <alignment vertical="center"/>
    </xf>
    <xf numFmtId="41" fontId="110" fillId="0" borderId="44" xfId="228" applyFont="1" applyFill="1" applyBorder="1" applyAlignment="1">
      <alignment vertical="center"/>
    </xf>
    <xf numFmtId="41" fontId="104" fillId="0" borderId="57" xfId="1151" applyFont="1" applyFill="1" applyBorder="1" applyAlignment="1">
      <alignment vertical="center"/>
    </xf>
    <xf numFmtId="41" fontId="110" fillId="0" borderId="69" xfId="1151" applyFont="1" applyFill="1" applyBorder="1" applyAlignment="1">
      <alignment vertical="center"/>
    </xf>
    <xf numFmtId="41" fontId="104" fillId="84" borderId="0" xfId="1151" applyFont="1" applyFill="1" applyBorder="1" applyAlignment="1">
      <alignment vertical="center"/>
    </xf>
    <xf numFmtId="41" fontId="104" fillId="84" borderId="0" xfId="1151" applyFont="1" applyFill="1" applyBorder="1" applyAlignment="1">
      <alignment horizontal="center" vertical="center"/>
    </xf>
    <xf numFmtId="41" fontId="110" fillId="84" borderId="0" xfId="1151" applyFont="1" applyFill="1" applyBorder="1" applyAlignment="1">
      <alignment vertical="center"/>
    </xf>
    <xf numFmtId="41" fontId="110" fillId="84" borderId="0" xfId="1151" applyFont="1" applyFill="1" applyBorder="1" applyAlignment="1">
      <alignment horizontal="center" vertical="center"/>
    </xf>
    <xf numFmtId="41" fontId="104" fillId="84" borderId="10" xfId="1151" applyFont="1" applyFill="1" applyBorder="1" applyAlignment="1">
      <alignment vertical="center"/>
    </xf>
    <xf numFmtId="41" fontId="104" fillId="84" borderId="10" xfId="1151" applyFont="1" applyFill="1" applyBorder="1" applyAlignment="1">
      <alignment horizontal="center" vertical="center"/>
    </xf>
    <xf numFmtId="41" fontId="104" fillId="84" borderId="91" xfId="1151" applyFont="1" applyFill="1" applyBorder="1" applyAlignment="1">
      <alignment vertical="center"/>
    </xf>
    <xf numFmtId="41" fontId="110" fillId="0" borderId="74" xfId="1151" applyFont="1" applyFill="1" applyBorder="1" applyAlignment="1">
      <alignment vertical="center"/>
    </xf>
    <xf numFmtId="41" fontId="110" fillId="0" borderId="72" xfId="228" applyFont="1" applyFill="1" applyBorder="1" applyAlignment="1">
      <alignment vertical="center"/>
    </xf>
    <xf numFmtId="41" fontId="110" fillId="0" borderId="73" xfId="228" applyFont="1" applyFill="1" applyBorder="1" applyAlignment="1">
      <alignment vertical="center"/>
    </xf>
    <xf numFmtId="0" fontId="110" fillId="0" borderId="42" xfId="1151" applyNumberFormat="1" applyFont="1" applyFill="1" applyBorder="1" applyAlignment="1">
      <alignment horizontal="center" vertical="center"/>
    </xf>
    <xf numFmtId="0" fontId="110" fillId="0" borderId="44" xfId="1151" applyNumberFormat="1" applyFont="1" applyFill="1" applyBorder="1" applyAlignment="1">
      <alignment horizontal="center" vertical="center"/>
    </xf>
    <xf numFmtId="0" fontId="110" fillId="0" borderId="45" xfId="1151" applyNumberFormat="1" applyFont="1" applyFill="1" applyBorder="1" applyAlignment="1">
      <alignment horizontal="center" vertical="center"/>
    </xf>
    <xf numFmtId="0" fontId="110" fillId="0" borderId="43" xfId="1151" applyNumberFormat="1" applyFont="1" applyFill="1" applyBorder="1" applyAlignment="1">
      <alignment horizontal="center" vertical="center"/>
    </xf>
    <xf numFmtId="41" fontId="104" fillId="84" borderId="89" xfId="1151" applyFont="1" applyFill="1" applyBorder="1" applyAlignment="1">
      <alignment vertical="center"/>
    </xf>
    <xf numFmtId="41" fontId="104" fillId="84" borderId="108" xfId="1151" applyFont="1" applyFill="1" applyBorder="1" applyAlignment="1">
      <alignment vertical="center"/>
    </xf>
    <xf numFmtId="41" fontId="104" fillId="84" borderId="114" xfId="1151" applyFont="1" applyFill="1" applyBorder="1" applyAlignment="1">
      <alignment vertical="center"/>
    </xf>
    <xf numFmtId="41" fontId="104" fillId="84" borderId="110" xfId="1151" applyFont="1" applyFill="1" applyBorder="1" applyAlignment="1">
      <alignment vertical="center"/>
    </xf>
    <xf numFmtId="41" fontId="110" fillId="84" borderId="114" xfId="1151" applyFont="1" applyFill="1" applyBorder="1" applyAlignment="1">
      <alignment vertical="center"/>
    </xf>
    <xf numFmtId="41" fontId="110" fillId="84" borderId="110" xfId="1151" applyFont="1" applyFill="1" applyBorder="1" applyAlignment="1">
      <alignment vertical="center"/>
    </xf>
    <xf numFmtId="41" fontId="104" fillId="84" borderId="126" xfId="1151" applyFont="1" applyFill="1" applyBorder="1" applyAlignment="1">
      <alignment vertical="center"/>
    </xf>
    <xf numFmtId="41" fontId="104" fillId="84" borderId="112" xfId="1151" applyFont="1" applyFill="1" applyBorder="1" applyAlignment="1">
      <alignment vertical="center"/>
    </xf>
    <xf numFmtId="41" fontId="104" fillId="84" borderId="144" xfId="1151" applyFont="1" applyFill="1" applyBorder="1" applyAlignment="1">
      <alignment vertical="center"/>
    </xf>
    <xf numFmtId="41" fontId="110" fillId="84" borderId="144" xfId="1151" applyFont="1" applyFill="1" applyBorder="1" applyAlignment="1">
      <alignment vertical="center"/>
    </xf>
    <xf numFmtId="41" fontId="104" fillId="84" borderId="23" xfId="1151" applyFont="1" applyFill="1" applyBorder="1" applyAlignment="1">
      <alignment vertical="center"/>
    </xf>
    <xf numFmtId="3" fontId="104" fillId="84" borderId="0" xfId="0" applyNumberFormat="1" applyFont="1" applyFill="1" applyBorder="1" applyAlignment="1">
      <alignment vertical="center" wrapText="1"/>
    </xf>
    <xf numFmtId="41" fontId="104" fillId="26" borderId="0" xfId="1151" applyFont="1" applyFill="1" applyAlignment="1">
      <alignment vertical="center"/>
    </xf>
    <xf numFmtId="41" fontId="104" fillId="84" borderId="0" xfId="228" applyFont="1" applyFill="1" applyBorder="1" applyAlignment="1">
      <alignment vertical="center"/>
    </xf>
    <xf numFmtId="41" fontId="104" fillId="84" borderId="0" xfId="228" applyFont="1" applyFill="1" applyBorder="1" applyAlignment="1">
      <alignment vertical="center" wrapText="1"/>
    </xf>
    <xf numFmtId="41" fontId="110" fillId="84" borderId="0" xfId="228" applyFont="1" applyFill="1" applyBorder="1" applyAlignment="1">
      <alignment vertical="center" wrapText="1"/>
    </xf>
    <xf numFmtId="41" fontId="110" fillId="84" borderId="0" xfId="1151" applyFont="1" applyFill="1" applyBorder="1" applyAlignment="1">
      <alignment horizontal="right" vertical="center"/>
    </xf>
    <xf numFmtId="41" fontId="110" fillId="84" borderId="0" xfId="0" applyNumberFormat="1" applyFont="1" applyFill="1" applyAlignment="1">
      <alignment vertical="center"/>
    </xf>
    <xf numFmtId="41" fontId="104" fillId="84" borderId="0" xfId="1151" applyFont="1" applyFill="1" applyBorder="1" applyAlignment="1">
      <alignment horizontal="right" vertical="center"/>
    </xf>
    <xf numFmtId="41" fontId="104" fillId="84" borderId="10" xfId="1151" applyFont="1" applyFill="1" applyBorder="1" applyAlignment="1">
      <alignment horizontal="right" vertical="center"/>
    </xf>
    <xf numFmtId="41" fontId="110" fillId="0" borderId="57" xfId="1151" applyFont="1" applyFill="1" applyBorder="1" applyAlignment="1">
      <alignment vertical="center"/>
    </xf>
    <xf numFmtId="41" fontId="110" fillId="0" borderId="68" xfId="1151" applyFont="1" applyFill="1" applyBorder="1" applyAlignment="1">
      <alignment vertical="center"/>
    </xf>
    <xf numFmtId="41" fontId="110" fillId="0" borderId="45" xfId="1151" applyFont="1" applyFill="1" applyBorder="1" applyAlignment="1">
      <alignment vertical="center"/>
    </xf>
    <xf numFmtId="41" fontId="104" fillId="0" borderId="51" xfId="1151" applyFont="1" applyFill="1" applyBorder="1" applyAlignment="1">
      <alignment vertical="center"/>
    </xf>
    <xf numFmtId="41" fontId="66" fillId="25" borderId="2" xfId="29437" applyFont="1" applyFill="1" applyBorder="1" applyAlignment="1">
      <alignment horizontal="center" vertical="center"/>
    </xf>
    <xf numFmtId="41" fontId="104" fillId="24" borderId="0" xfId="29437" applyFont="1" applyFill="1" applyAlignment="1">
      <alignment vertical="center"/>
    </xf>
    <xf numFmtId="41" fontId="104" fillId="84" borderId="116" xfId="1151" applyFont="1" applyFill="1" applyBorder="1" applyAlignment="1">
      <alignment vertical="center"/>
    </xf>
    <xf numFmtId="41" fontId="104" fillId="84" borderId="90" xfId="1151" applyFont="1" applyFill="1" applyBorder="1" applyAlignment="1">
      <alignment vertical="center"/>
    </xf>
    <xf numFmtId="41" fontId="104" fillId="84" borderId="117" xfId="1151" applyFont="1" applyFill="1" applyBorder="1" applyAlignment="1">
      <alignment vertical="center"/>
    </xf>
    <xf numFmtId="41" fontId="104" fillId="84" borderId="121" xfId="1151" applyFont="1" applyFill="1" applyBorder="1" applyAlignment="1">
      <alignment vertical="center"/>
    </xf>
    <xf numFmtId="41" fontId="104" fillId="26" borderId="0" xfId="1151" applyFont="1" applyFill="1" applyBorder="1" applyAlignment="1">
      <alignment vertical="center"/>
    </xf>
    <xf numFmtId="41" fontId="110" fillId="84" borderId="117" xfId="1151" applyFont="1" applyFill="1" applyBorder="1" applyAlignment="1">
      <alignment vertical="center"/>
    </xf>
    <xf numFmtId="41" fontId="110" fillId="84" borderId="121" xfId="1151" applyFont="1" applyFill="1" applyBorder="1" applyAlignment="1">
      <alignment vertical="center"/>
    </xf>
    <xf numFmtId="41" fontId="110" fillId="26" borderId="0" xfId="1151" applyFont="1" applyFill="1" applyBorder="1" applyAlignment="1">
      <alignment vertical="center"/>
    </xf>
    <xf numFmtId="41" fontId="104" fillId="84" borderId="0" xfId="1151" applyFont="1" applyFill="1" applyAlignment="1">
      <alignment vertical="center"/>
    </xf>
    <xf numFmtId="41" fontId="110" fillId="84" borderId="0" xfId="1151" applyFont="1" applyFill="1" applyAlignment="1">
      <alignment vertical="center"/>
    </xf>
    <xf numFmtId="41" fontId="104" fillId="84" borderId="115" xfId="1151" applyFont="1" applyFill="1" applyBorder="1" applyAlignment="1">
      <alignment vertical="center"/>
    </xf>
    <xf numFmtId="41" fontId="104" fillId="26" borderId="10" xfId="1151" applyFont="1" applyFill="1" applyBorder="1" applyAlignment="1">
      <alignment vertical="center"/>
    </xf>
    <xf numFmtId="0" fontId="110" fillId="24" borderId="0" xfId="5150" applyFont="1" applyFill="1" applyAlignment="1">
      <alignment vertical="center"/>
    </xf>
    <xf numFmtId="0" fontId="46" fillId="0" borderId="0" xfId="0" applyFont="1">
      <alignment vertical="center"/>
    </xf>
    <xf numFmtId="41" fontId="110" fillId="24" borderId="0" xfId="29437" applyFont="1" applyFill="1" applyAlignment="1">
      <alignment vertical="center"/>
    </xf>
    <xf numFmtId="41" fontId="46" fillId="0" borderId="0" xfId="29437" applyFont="1">
      <alignment vertical="center"/>
    </xf>
    <xf numFmtId="0" fontId="0" fillId="0" borderId="0" xfId="0" applyFont="1">
      <alignment vertical="center"/>
    </xf>
    <xf numFmtId="183" fontId="106" fillId="24" borderId="0" xfId="29437" applyNumberFormat="1" applyFont="1" applyFill="1" applyAlignment="1">
      <alignment horizontal="center" vertical="center"/>
    </xf>
    <xf numFmtId="184" fontId="52" fillId="24" borderId="0" xfId="29437" applyNumberFormat="1" applyFont="1" applyFill="1" applyBorder="1" applyAlignment="1">
      <alignment horizontal="center" vertical="center"/>
    </xf>
    <xf numFmtId="183" fontId="52" fillId="24" borderId="0" xfId="29437" applyNumberFormat="1" applyFont="1" applyFill="1" applyAlignment="1">
      <alignment vertical="center"/>
    </xf>
    <xf numFmtId="41" fontId="126" fillId="26" borderId="34" xfId="324" applyFont="1" applyFill="1" applyBorder="1" applyAlignment="1">
      <alignment vertical="center" shrinkToFit="1"/>
    </xf>
    <xf numFmtId="182" fontId="126" fillId="26" borderId="35" xfId="0" applyNumberFormat="1" applyFont="1" applyFill="1" applyBorder="1" applyAlignment="1">
      <alignment vertical="center" shrinkToFit="1"/>
    </xf>
    <xf numFmtId="41" fontId="126" fillId="26" borderId="33" xfId="324" applyFont="1" applyFill="1" applyBorder="1" applyAlignment="1">
      <alignment horizontal="center" vertical="center"/>
    </xf>
    <xf numFmtId="41" fontId="112" fillId="26" borderId="31" xfId="324" applyFont="1" applyFill="1" applyBorder="1" applyAlignment="1">
      <alignment horizontal="center" vertical="center"/>
    </xf>
    <xf numFmtId="41" fontId="112" fillId="26" borderId="32" xfId="324" applyFont="1" applyFill="1" applyBorder="1" applyAlignment="1">
      <alignment horizontal="center" vertical="center"/>
    </xf>
    <xf numFmtId="41" fontId="52" fillId="26" borderId="127" xfId="324" applyFont="1" applyFill="1" applyBorder="1" applyAlignment="1">
      <alignment horizontal="center" vertical="center"/>
    </xf>
    <xf numFmtId="41" fontId="112" fillId="26" borderId="128" xfId="324" applyFont="1" applyFill="1" applyBorder="1" applyAlignment="1">
      <alignment vertical="center" shrinkToFit="1"/>
    </xf>
    <xf numFmtId="187" fontId="112" fillId="26" borderId="129" xfId="0" applyNumberFormat="1" applyFont="1" applyFill="1" applyBorder="1" applyAlignment="1">
      <alignment vertical="center" shrinkToFit="1"/>
    </xf>
    <xf numFmtId="182" fontId="112" fillId="26" borderId="129" xfId="0" applyNumberFormat="1" applyFont="1" applyFill="1" applyBorder="1" applyAlignment="1">
      <alignment vertical="center" shrinkToFit="1"/>
    </xf>
    <xf numFmtId="0" fontId="49" fillId="24" borderId="0" xfId="5149" applyFont="1" applyFill="1" applyBorder="1" applyAlignment="1">
      <alignment vertical="center"/>
    </xf>
    <xf numFmtId="0" fontId="52" fillId="24" borderId="0" xfId="5149" applyFont="1" applyFill="1" applyBorder="1" applyAlignment="1">
      <alignment vertical="center"/>
    </xf>
    <xf numFmtId="0" fontId="50" fillId="24" borderId="0" xfId="5149" applyFont="1" applyFill="1" applyBorder="1" applyAlignment="1">
      <alignment vertical="center"/>
    </xf>
    <xf numFmtId="0" fontId="48" fillId="24" borderId="0" xfId="5149" applyFont="1" applyFill="1" applyBorder="1" applyAlignment="1">
      <alignment vertical="center"/>
    </xf>
    <xf numFmtId="0" fontId="53" fillId="24" borderId="0" xfId="5149" applyFont="1" applyFill="1" applyBorder="1" applyAlignment="1">
      <alignment vertical="center" wrapText="1"/>
    </xf>
    <xf numFmtId="0" fontId="48" fillId="24" borderId="0" xfId="5149" applyFont="1" applyFill="1" applyBorder="1" applyAlignment="1">
      <alignment vertical="center" wrapText="1"/>
    </xf>
    <xf numFmtId="0" fontId="51" fillId="24" borderId="0" xfId="5149" applyFont="1" applyFill="1" applyBorder="1" applyAlignment="1">
      <alignment vertical="center"/>
    </xf>
    <xf numFmtId="0" fontId="54" fillId="24" borderId="0" xfId="5149" applyFont="1" applyFill="1" applyBorder="1" applyAlignment="1">
      <alignment vertical="center" wrapText="1"/>
    </xf>
    <xf numFmtId="0" fontId="52" fillId="24" borderId="0" xfId="5149" applyFont="1" applyFill="1" applyBorder="1" applyAlignment="1">
      <alignment vertical="center" wrapText="1"/>
    </xf>
    <xf numFmtId="0" fontId="52" fillId="0" borderId="0" xfId="0" applyFont="1" applyBorder="1" applyAlignment="1">
      <alignment vertical="center"/>
    </xf>
    <xf numFmtId="41" fontId="61" fillId="84" borderId="88" xfId="1151" applyFont="1" applyFill="1" applyBorder="1" applyAlignment="1">
      <alignment horizontal="center" vertical="center"/>
    </xf>
    <xf numFmtId="0" fontId="52" fillId="26" borderId="20" xfId="324" applyNumberFormat="1" applyFont="1" applyFill="1" applyBorder="1" applyAlignment="1">
      <alignment horizontal="center" vertical="center"/>
    </xf>
    <xf numFmtId="41" fontId="59" fillId="26" borderId="0" xfId="324" applyFont="1" applyFill="1" applyBorder="1" applyAlignment="1">
      <alignment horizontal="center" vertical="center"/>
    </xf>
    <xf numFmtId="179" fontId="59" fillId="26" borderId="20" xfId="324" applyNumberFormat="1" applyFont="1" applyFill="1" applyBorder="1" applyAlignment="1">
      <alignment vertical="center"/>
    </xf>
    <xf numFmtId="41" fontId="59" fillId="26" borderId="21" xfId="324" applyFont="1" applyFill="1" applyBorder="1" applyAlignment="1">
      <alignment horizontal="center" vertical="center"/>
    </xf>
    <xf numFmtId="0" fontId="52" fillId="26" borderId="0" xfId="324" applyNumberFormat="1" applyFont="1" applyFill="1" applyBorder="1" applyAlignment="1">
      <alignment horizontal="center" vertical="center"/>
    </xf>
    <xf numFmtId="0" fontId="52" fillId="26" borderId="10" xfId="324" applyNumberFormat="1" applyFont="1" applyFill="1" applyBorder="1" applyAlignment="1">
      <alignment horizontal="center" vertical="center"/>
    </xf>
    <xf numFmtId="41" fontId="59" fillId="26" borderId="22" xfId="324" applyFont="1" applyFill="1" applyBorder="1" applyAlignment="1">
      <alignment horizontal="center" vertical="center"/>
    </xf>
    <xf numFmtId="179" fontId="59" fillId="26" borderId="23" xfId="324" applyNumberFormat="1" applyFont="1" applyFill="1" applyBorder="1" applyAlignment="1">
      <alignment vertical="center"/>
    </xf>
    <xf numFmtId="41" fontId="59" fillId="26" borderId="115" xfId="324" applyFont="1" applyFill="1" applyBorder="1" applyAlignment="1">
      <alignment horizontal="center" vertical="center"/>
    </xf>
    <xf numFmtId="41" fontId="59" fillId="26" borderId="10" xfId="324" applyFont="1" applyFill="1" applyBorder="1" applyAlignment="1">
      <alignment horizontal="center" vertical="center"/>
    </xf>
    <xf numFmtId="181" fontId="52" fillId="26" borderId="31" xfId="0" applyNumberFormat="1" applyFont="1" applyFill="1" applyBorder="1" applyAlignment="1">
      <alignment horizontal="center" vertical="center"/>
    </xf>
    <xf numFmtId="181" fontId="52" fillId="26" borderId="0" xfId="0" applyNumberFormat="1" applyFont="1" applyFill="1" applyBorder="1" applyAlignment="1">
      <alignment horizontal="center" vertical="center"/>
    </xf>
    <xf numFmtId="181" fontId="52" fillId="26" borderId="21" xfId="0" applyNumberFormat="1" applyFont="1" applyFill="1" applyBorder="1" applyAlignment="1">
      <alignment horizontal="center" vertical="center"/>
    </xf>
    <xf numFmtId="181" fontId="52" fillId="26" borderId="32" xfId="0" applyNumberFormat="1" applyFont="1" applyFill="1" applyBorder="1" applyAlignment="1">
      <alignment horizontal="center" vertical="center"/>
    </xf>
    <xf numFmtId="0" fontId="52" fillId="0" borderId="0" xfId="0" applyFont="1" applyFill="1" applyBorder="1" applyAlignment="1">
      <alignment horizontal="center" vertical="center"/>
    </xf>
    <xf numFmtId="41" fontId="111" fillId="0" borderId="0" xfId="324" applyFont="1" applyFill="1" applyBorder="1" applyAlignment="1">
      <alignment horizontal="center" vertical="center"/>
    </xf>
    <xf numFmtId="0" fontId="47" fillId="0" borderId="0" xfId="30671" applyAlignment="1">
      <alignment vertical="center"/>
    </xf>
    <xf numFmtId="0" fontId="47" fillId="0" borderId="0" xfId="30671" applyAlignment="1">
      <alignment horizontal="right" vertical="center"/>
    </xf>
    <xf numFmtId="0" fontId="47" fillId="0" borderId="0" xfId="30671" applyFill="1" applyAlignment="1">
      <alignment vertical="center"/>
    </xf>
    <xf numFmtId="0" fontId="128" fillId="0" borderId="0" xfId="30671" applyFont="1" applyFill="1" applyAlignment="1">
      <alignment vertical="center"/>
    </xf>
    <xf numFmtId="0" fontId="128" fillId="0" borderId="0" xfId="30671" applyFont="1" applyAlignment="1">
      <alignment vertical="center"/>
    </xf>
    <xf numFmtId="188" fontId="47" fillId="0" borderId="0" xfId="30671" applyNumberFormat="1" applyFont="1" applyBorder="1" applyAlignment="1">
      <alignment vertical="center"/>
    </xf>
    <xf numFmtId="41" fontId="52" fillId="26" borderId="0" xfId="324" applyFont="1" applyFill="1" applyBorder="1" applyAlignment="1">
      <alignment vertical="center"/>
    </xf>
    <xf numFmtId="3" fontId="129" fillId="0" borderId="0" xfId="30671" applyNumberFormat="1" applyFont="1" applyFill="1" applyBorder="1" applyAlignment="1">
      <alignment vertical="center"/>
    </xf>
    <xf numFmtId="41" fontId="129" fillId="0" borderId="0" xfId="324" applyFont="1" applyFill="1" applyBorder="1" applyAlignment="1">
      <alignment horizontal="center" vertical="center"/>
    </xf>
    <xf numFmtId="0" fontId="128" fillId="0" borderId="0" xfId="30671" applyFont="1" applyBorder="1" applyAlignment="1">
      <alignment vertical="center"/>
    </xf>
    <xf numFmtId="0" fontId="65" fillId="0" borderId="0" xfId="30671" applyFont="1" applyFill="1" applyBorder="1" applyAlignment="1">
      <alignment vertical="center"/>
    </xf>
    <xf numFmtId="3" fontId="52" fillId="0" borderId="0" xfId="30671" applyNumberFormat="1" applyFont="1" applyFill="1" applyBorder="1" applyAlignment="1">
      <alignment vertical="center"/>
    </xf>
    <xf numFmtId="41" fontId="52" fillId="0" borderId="0" xfId="324" applyFont="1" applyFill="1" applyBorder="1" applyAlignment="1">
      <alignment horizontal="center" vertical="center"/>
    </xf>
    <xf numFmtId="0" fontId="65" fillId="0" borderId="0" xfId="30671" applyFont="1" applyBorder="1" applyAlignment="1">
      <alignment vertical="center"/>
    </xf>
    <xf numFmtId="188" fontId="47" fillId="0" borderId="144" xfId="30671" applyNumberFormat="1" applyFont="1" applyBorder="1" applyAlignment="1">
      <alignment vertical="center"/>
    </xf>
    <xf numFmtId="41" fontId="65" fillId="0" borderId="0" xfId="30492" applyFont="1" applyBorder="1" applyAlignment="1">
      <alignment vertical="center"/>
    </xf>
    <xf numFmtId="188" fontId="47" fillId="83" borderId="0" xfId="30671" applyNumberFormat="1" applyFont="1" applyFill="1" applyBorder="1" applyAlignment="1">
      <alignment vertical="center"/>
    </xf>
    <xf numFmtId="188" fontId="130" fillId="0" borderId="0" xfId="30671" applyNumberFormat="1" applyFont="1" applyBorder="1" applyAlignment="1">
      <alignment vertical="center"/>
    </xf>
    <xf numFmtId="41" fontId="52" fillId="0" borderId="0" xfId="32386" applyFont="1" applyFill="1" applyBorder="1" applyAlignment="1">
      <alignment horizontal="right" vertical="center"/>
    </xf>
    <xf numFmtId="188" fontId="65" fillId="0" borderId="0" xfId="30492" applyNumberFormat="1" applyFont="1" applyBorder="1" applyAlignment="1">
      <alignment vertical="center"/>
    </xf>
    <xf numFmtId="49" fontId="65" fillId="0" borderId="0" xfId="30492" applyNumberFormat="1" applyFont="1" applyBorder="1" applyAlignment="1">
      <alignment horizontal="right" vertical="center"/>
    </xf>
    <xf numFmtId="41" fontId="65" fillId="0" borderId="0" xfId="30492" applyFont="1" applyBorder="1" applyAlignment="1">
      <alignment horizontal="right" vertical="center"/>
    </xf>
    <xf numFmtId="188" fontId="124" fillId="0" borderId="0" xfId="30492" applyNumberFormat="1" applyFont="1" applyBorder="1" applyAlignment="1">
      <alignment vertical="center"/>
    </xf>
    <xf numFmtId="41" fontId="124" fillId="0" borderId="0" xfId="30492" applyFont="1" applyBorder="1" applyAlignment="1">
      <alignment horizontal="right" vertical="center"/>
    </xf>
    <xf numFmtId="41" fontId="124" fillId="0" borderId="0" xfId="30492" applyFont="1" applyBorder="1" applyAlignment="1">
      <alignment vertical="center"/>
    </xf>
    <xf numFmtId="188" fontId="65" fillId="0" borderId="0" xfId="30671" applyNumberFormat="1" applyFont="1" applyBorder="1" applyAlignment="1">
      <alignment vertical="center"/>
    </xf>
    <xf numFmtId="0" fontId="65" fillId="0" borderId="0" xfId="30671" applyFont="1" applyBorder="1" applyAlignment="1">
      <alignment horizontal="right" vertical="center"/>
    </xf>
    <xf numFmtId="0" fontId="47" fillId="0" borderId="0" xfId="30671" applyBorder="1" applyAlignment="1">
      <alignment vertical="center"/>
    </xf>
    <xf numFmtId="0" fontId="131" fillId="0" borderId="0" xfId="30671" applyFont="1" applyFill="1">
      <alignment vertical="center"/>
    </xf>
    <xf numFmtId="41" fontId="47" fillId="0" borderId="0" xfId="30492" applyFont="1" applyAlignment="1">
      <alignment vertical="center"/>
    </xf>
    <xf numFmtId="41" fontId="47" fillId="0" borderId="0" xfId="30492" applyFont="1" applyAlignment="1">
      <alignment horizontal="right" vertical="center"/>
    </xf>
    <xf numFmtId="41" fontId="65" fillId="0" borderId="0" xfId="30492" applyFont="1" applyFill="1" applyBorder="1" applyAlignment="1">
      <alignment vertical="center"/>
    </xf>
    <xf numFmtId="41" fontId="132" fillId="0" borderId="0" xfId="30492" applyFont="1" applyBorder="1" applyAlignment="1">
      <alignment vertical="center"/>
    </xf>
    <xf numFmtId="41" fontId="128" fillId="0" borderId="0" xfId="30492" applyFont="1" applyAlignment="1">
      <alignment vertical="center"/>
    </xf>
    <xf numFmtId="49" fontId="128" fillId="0" borderId="0" xfId="30492" applyNumberFormat="1" applyFont="1" applyAlignment="1">
      <alignment horizontal="right" vertical="center"/>
    </xf>
    <xf numFmtId="41" fontId="47" fillId="0" borderId="0" xfId="30492" applyFont="1" applyFill="1" applyBorder="1" applyAlignment="1">
      <alignment vertical="center"/>
    </xf>
    <xf numFmtId="41" fontId="133" fillId="0" borderId="0" xfId="30492" applyFont="1" applyFill="1" applyBorder="1" applyAlignment="1">
      <alignment vertical="center"/>
    </xf>
    <xf numFmtId="41" fontId="128" fillId="0" borderId="0" xfId="30492" applyFont="1" applyBorder="1" applyAlignment="1">
      <alignment vertical="center"/>
    </xf>
    <xf numFmtId="185" fontId="0" fillId="0" borderId="0" xfId="30492" applyNumberFormat="1" applyFont="1" applyAlignment="1">
      <alignment vertical="center"/>
    </xf>
    <xf numFmtId="41" fontId="0" fillId="0" borderId="0" xfId="30492" applyFont="1" applyFill="1" applyAlignment="1">
      <alignment vertical="center"/>
    </xf>
    <xf numFmtId="41" fontId="0" fillId="0" borderId="0" xfId="30492" applyFont="1" applyAlignment="1">
      <alignment vertical="center"/>
    </xf>
    <xf numFmtId="41" fontId="128" fillId="0" borderId="0" xfId="30492" applyFont="1" applyFill="1" applyAlignment="1">
      <alignment vertical="center"/>
    </xf>
    <xf numFmtId="41" fontId="47" fillId="0" borderId="0" xfId="30492" applyFont="1" applyAlignment="1">
      <alignment horizontal="left" vertical="center" wrapText="1"/>
    </xf>
    <xf numFmtId="41" fontId="0" fillId="0" borderId="0" xfId="30492" applyFont="1" applyAlignment="1">
      <alignment vertical="center" wrapText="1"/>
    </xf>
    <xf numFmtId="41" fontId="52" fillId="0" borderId="0" xfId="30492" applyFont="1" applyFill="1" applyBorder="1" applyAlignment="1">
      <alignment vertical="center"/>
    </xf>
    <xf numFmtId="41" fontId="52" fillId="0" borderId="0" xfId="30492" applyFont="1" applyFill="1" applyBorder="1" applyAlignment="1">
      <alignment horizontal="center" vertical="center"/>
    </xf>
    <xf numFmtId="185" fontId="130" fillId="0" borderId="0" xfId="30492" applyNumberFormat="1" applyFont="1" applyBorder="1" applyAlignment="1">
      <alignment vertical="center"/>
    </xf>
    <xf numFmtId="185" fontId="65" fillId="0" borderId="0" xfId="30492" applyNumberFormat="1" applyFont="1" applyBorder="1" applyAlignment="1">
      <alignment vertical="center"/>
    </xf>
    <xf numFmtId="49" fontId="65" fillId="0" borderId="0" xfId="30492" applyNumberFormat="1" applyFont="1" applyBorder="1" applyAlignment="1">
      <alignment vertical="center"/>
    </xf>
    <xf numFmtId="185" fontId="124" fillId="0" borderId="0" xfId="30492" applyNumberFormat="1" applyFont="1" applyBorder="1" applyAlignment="1">
      <alignment vertical="center"/>
    </xf>
    <xf numFmtId="185" fontId="0" fillId="0" borderId="0" xfId="30492" applyNumberFormat="1" applyFont="1" applyBorder="1" applyAlignment="1">
      <alignment vertical="center"/>
    </xf>
    <xf numFmtId="185" fontId="47" fillId="0" borderId="0" xfId="30492" applyNumberFormat="1" applyFont="1" applyAlignment="1">
      <alignment vertical="center"/>
    </xf>
    <xf numFmtId="185" fontId="128" fillId="0" borderId="0" xfId="30492" applyNumberFormat="1" applyFont="1" applyAlignment="1">
      <alignment vertical="center"/>
    </xf>
    <xf numFmtId="49" fontId="128" fillId="0" borderId="0" xfId="30492" applyNumberFormat="1" applyFont="1" applyAlignment="1">
      <alignment vertical="center"/>
    </xf>
    <xf numFmtId="41" fontId="135" fillId="0" borderId="0" xfId="30492" applyFont="1">
      <alignment vertical="center"/>
    </xf>
    <xf numFmtId="41" fontId="66" fillId="25" borderId="2" xfId="29437" applyFont="1" applyFill="1" applyBorder="1" applyAlignment="1">
      <alignment horizontal="center" vertical="center"/>
    </xf>
    <xf numFmtId="41" fontId="104" fillId="84" borderId="92" xfId="1151" applyFont="1" applyFill="1" applyBorder="1" applyAlignment="1">
      <alignment vertical="center"/>
    </xf>
    <xf numFmtId="41" fontId="61" fillId="26" borderId="147" xfId="1151" applyFont="1" applyFill="1" applyBorder="1" applyAlignment="1">
      <alignment vertical="center"/>
    </xf>
    <xf numFmtId="41" fontId="61" fillId="84" borderId="147" xfId="1151" applyFont="1" applyFill="1" applyBorder="1" applyAlignment="1">
      <alignment horizontal="right" vertical="center"/>
    </xf>
    <xf numFmtId="41" fontId="104" fillId="84" borderId="147" xfId="1151" applyFont="1" applyFill="1" applyBorder="1" applyAlignment="1">
      <alignment vertical="center"/>
    </xf>
    <xf numFmtId="41" fontId="61" fillId="84" borderId="147" xfId="1151" applyFont="1" applyFill="1" applyBorder="1" applyAlignment="1">
      <alignment vertical="center"/>
    </xf>
    <xf numFmtId="41" fontId="110" fillId="84" borderId="147" xfId="1151" applyFont="1" applyFill="1" applyBorder="1" applyAlignment="1">
      <alignment vertical="center"/>
    </xf>
    <xf numFmtId="41" fontId="10" fillId="26" borderId="147" xfId="1151" applyFont="1" applyFill="1" applyBorder="1" applyAlignment="1">
      <alignment vertical="center"/>
    </xf>
    <xf numFmtId="41" fontId="10" fillId="84" borderId="147" xfId="1151" applyFont="1" applyFill="1" applyBorder="1" applyAlignment="1">
      <alignment vertical="center"/>
    </xf>
    <xf numFmtId="41" fontId="10" fillId="84" borderId="147" xfId="1151" applyFont="1" applyFill="1" applyBorder="1" applyAlignment="1">
      <alignment horizontal="right" vertical="center"/>
    </xf>
    <xf numFmtId="41" fontId="110" fillId="84" borderId="0" xfId="0" applyNumberFormat="1" applyFont="1" applyFill="1" applyBorder="1" applyAlignment="1">
      <alignment vertical="center"/>
    </xf>
    <xf numFmtId="41" fontId="104" fillId="84" borderId="143" xfId="1151" applyFont="1" applyFill="1" applyBorder="1" applyAlignment="1">
      <alignment vertical="center"/>
    </xf>
    <xf numFmtId="41" fontId="104" fillId="84" borderId="148" xfId="1151" applyFont="1" applyFill="1" applyBorder="1" applyAlignment="1">
      <alignment vertical="center"/>
    </xf>
    <xf numFmtId="41" fontId="104" fillId="84" borderId="149" xfId="1151" applyFont="1" applyFill="1" applyBorder="1" applyAlignment="1">
      <alignment vertical="center"/>
    </xf>
    <xf numFmtId="41" fontId="104" fillId="26" borderId="150" xfId="1151" applyFont="1" applyFill="1" applyBorder="1" applyAlignment="1">
      <alignment vertical="center"/>
    </xf>
    <xf numFmtId="41" fontId="61" fillId="26" borderId="149" xfId="1151" applyFont="1" applyFill="1" applyBorder="1" applyAlignment="1">
      <alignment vertical="center"/>
    </xf>
    <xf numFmtId="41" fontId="104" fillId="84" borderId="150" xfId="1151" applyFont="1" applyFill="1" applyBorder="1" applyAlignment="1">
      <alignment vertical="center"/>
    </xf>
    <xf numFmtId="41" fontId="104" fillId="84" borderId="150" xfId="1151" applyFont="1" applyFill="1" applyBorder="1" applyAlignment="1">
      <alignment horizontal="center" vertical="center"/>
    </xf>
    <xf numFmtId="41" fontId="61" fillId="84" borderId="149" xfId="1151" applyFont="1" applyFill="1" applyBorder="1" applyAlignment="1">
      <alignment vertical="center"/>
    </xf>
    <xf numFmtId="41" fontId="61" fillId="26" borderId="148" xfId="1151" applyFont="1" applyFill="1" applyBorder="1" applyAlignment="1">
      <alignment vertical="center"/>
    </xf>
    <xf numFmtId="41" fontId="61" fillId="26" borderId="150" xfId="1151" applyFont="1" applyFill="1" applyBorder="1" applyAlignment="1">
      <alignment vertical="center"/>
    </xf>
    <xf numFmtId="41" fontId="104" fillId="84" borderId="151" xfId="1151" applyFont="1" applyFill="1" applyBorder="1" applyAlignment="1">
      <alignment vertical="center"/>
    </xf>
    <xf numFmtId="41" fontId="61" fillId="84" borderId="150" xfId="1151" applyFont="1" applyFill="1" applyBorder="1" applyAlignment="1">
      <alignment horizontal="right" vertical="center"/>
    </xf>
    <xf numFmtId="41" fontId="61" fillId="84" borderId="149" xfId="1151" applyFont="1" applyFill="1" applyBorder="1" applyAlignment="1">
      <alignment horizontal="right" vertical="center"/>
    </xf>
    <xf numFmtId="41" fontId="61" fillId="84" borderId="150" xfId="1151" applyFont="1" applyFill="1" applyBorder="1" applyAlignment="1">
      <alignment vertical="center"/>
    </xf>
    <xf numFmtId="41" fontId="104" fillId="84" borderId="150" xfId="1151" applyFont="1" applyFill="1" applyBorder="1" applyAlignment="1">
      <alignment horizontal="right" vertical="center"/>
    </xf>
    <xf numFmtId="0" fontId="56" fillId="25" borderId="152" xfId="0" applyFont="1" applyFill="1" applyBorder="1" applyAlignment="1">
      <alignment horizontal="center" vertical="center"/>
    </xf>
    <xf numFmtId="0" fontId="56" fillId="25" borderId="153" xfId="0" applyFont="1" applyFill="1" applyBorder="1" applyAlignment="1">
      <alignment horizontal="center" vertical="center"/>
    </xf>
    <xf numFmtId="0" fontId="56" fillId="25" borderId="154" xfId="0" applyFont="1" applyFill="1" applyBorder="1" applyAlignment="1">
      <alignment horizontal="center" vertical="center"/>
    </xf>
    <xf numFmtId="0" fontId="52" fillId="26" borderId="31" xfId="324" applyNumberFormat="1" applyFont="1" applyFill="1" applyBorder="1" applyAlignment="1">
      <alignment horizontal="center" vertical="center"/>
    </xf>
    <xf numFmtId="181" fontId="52" fillId="26" borderId="147" xfId="0" applyNumberFormat="1" applyFont="1" applyFill="1" applyBorder="1" applyAlignment="1">
      <alignment horizontal="center" vertical="center"/>
    </xf>
    <xf numFmtId="0" fontId="52" fillId="26" borderId="21" xfId="324" applyNumberFormat="1" applyFont="1" applyFill="1" applyBorder="1" applyAlignment="1">
      <alignment horizontal="center" vertical="center"/>
    </xf>
    <xf numFmtId="0" fontId="52" fillId="26" borderId="22" xfId="324" applyNumberFormat="1" applyFont="1" applyFill="1" applyBorder="1" applyAlignment="1">
      <alignment horizontal="center" vertical="center"/>
    </xf>
    <xf numFmtId="181" fontId="52" fillId="26" borderId="150" xfId="0" applyNumberFormat="1" applyFont="1" applyFill="1" applyBorder="1" applyAlignment="1">
      <alignment horizontal="center" vertical="center"/>
    </xf>
    <xf numFmtId="181" fontId="52" fillId="26" borderId="22" xfId="0" applyNumberFormat="1" applyFont="1" applyFill="1" applyBorder="1" applyAlignment="1">
      <alignment horizontal="center" vertical="center"/>
    </xf>
    <xf numFmtId="181" fontId="52" fillId="26" borderId="149" xfId="0" applyNumberFormat="1" applyFont="1" applyFill="1" applyBorder="1" applyAlignment="1">
      <alignment horizontal="center" vertical="center"/>
    </xf>
    <xf numFmtId="182" fontId="112" fillId="26" borderId="147" xfId="0" applyNumberFormat="1" applyFont="1" applyFill="1" applyBorder="1" applyAlignment="1">
      <alignment vertical="center" shrinkToFit="1"/>
    </xf>
    <xf numFmtId="183" fontId="112" fillId="26" borderId="147" xfId="29437" applyNumberFormat="1" applyFont="1" applyFill="1" applyBorder="1" applyAlignment="1">
      <alignment vertical="center" shrinkToFit="1"/>
    </xf>
    <xf numFmtId="179" fontId="112" fillId="26" borderId="147" xfId="324" applyNumberFormat="1" applyFont="1" applyFill="1" applyBorder="1" applyAlignment="1">
      <alignment vertical="center" shrinkToFit="1"/>
    </xf>
    <xf numFmtId="41" fontId="112" fillId="26" borderId="22" xfId="324" applyFont="1" applyFill="1" applyBorder="1" applyAlignment="1">
      <alignment vertical="center" shrinkToFit="1"/>
    </xf>
    <xf numFmtId="182" fontId="112" fillId="26" borderId="149" xfId="0" applyNumberFormat="1" applyFont="1" applyFill="1" applyBorder="1" applyAlignment="1">
      <alignment vertical="center" shrinkToFit="1"/>
    </xf>
    <xf numFmtId="183" fontId="112" fillId="26" borderId="149" xfId="29437" applyNumberFormat="1" applyFont="1" applyFill="1" applyBorder="1" applyAlignment="1">
      <alignment vertical="center" shrinkToFit="1"/>
    </xf>
    <xf numFmtId="41" fontId="112" fillId="26" borderId="150" xfId="324" applyFont="1" applyFill="1" applyBorder="1" applyAlignment="1">
      <alignment vertical="center" shrinkToFit="1"/>
    </xf>
    <xf numFmtId="179" fontId="112" fillId="26" borderId="149" xfId="324" applyNumberFormat="1" applyFont="1" applyFill="1" applyBorder="1" applyAlignment="1">
      <alignment vertical="center" shrinkToFit="1"/>
    </xf>
    <xf numFmtId="0" fontId="49" fillId="24" borderId="0" xfId="5149" applyFont="1" applyFill="1" applyBorder="1" applyAlignment="1">
      <alignment horizontal="center" vertical="center"/>
    </xf>
    <xf numFmtId="0" fontId="45" fillId="24" borderId="0" xfId="5149" applyFont="1" applyFill="1" applyBorder="1" applyAlignment="1">
      <alignment horizontal="left" vertical="center" wrapText="1"/>
    </xf>
    <xf numFmtId="0" fontId="48" fillId="24" borderId="0" xfId="5149" applyFont="1" applyFill="1" applyBorder="1" applyAlignment="1">
      <alignment horizontal="left" vertical="center" wrapText="1"/>
    </xf>
    <xf numFmtId="0" fontId="52" fillId="0" borderId="0" xfId="5149" applyFont="1" applyFill="1" applyBorder="1" applyAlignment="1">
      <alignment horizontal="left" vertical="center" wrapText="1"/>
    </xf>
    <xf numFmtId="0" fontId="52" fillId="24" borderId="0" xfId="5149" applyFont="1" applyFill="1" applyAlignment="1">
      <alignment horizontal="left" vertical="center" wrapText="1"/>
    </xf>
    <xf numFmtId="0" fontId="127" fillId="24" borderId="0" xfId="5149" applyFont="1" applyFill="1" applyAlignment="1">
      <alignment horizontal="left" vertical="center" wrapText="1"/>
    </xf>
    <xf numFmtId="0" fontId="10" fillId="0" borderId="33" xfId="1151" applyNumberFormat="1" applyFont="1" applyFill="1" applyBorder="1" applyAlignment="1">
      <alignment horizontal="center" vertical="center"/>
    </xf>
    <xf numFmtId="0" fontId="10" fillId="0" borderId="32" xfId="1151" applyNumberFormat="1" applyFont="1" applyFill="1" applyBorder="1" applyAlignment="1">
      <alignment horizontal="center" vertical="center"/>
    </xf>
    <xf numFmtId="0" fontId="10" fillId="0" borderId="39" xfId="1151" applyNumberFormat="1" applyFont="1" applyFill="1" applyBorder="1" applyAlignment="1">
      <alignment horizontal="center" vertical="center"/>
    </xf>
    <xf numFmtId="0" fontId="10" fillId="0" borderId="40" xfId="1151" applyNumberFormat="1" applyFont="1" applyFill="1" applyBorder="1" applyAlignment="1">
      <alignment horizontal="center" vertical="center"/>
    </xf>
    <xf numFmtId="0" fontId="10" fillId="0" borderId="41" xfId="1151" applyNumberFormat="1" applyFont="1" applyFill="1" applyBorder="1" applyAlignment="1">
      <alignment horizontal="center" vertical="center"/>
    </xf>
    <xf numFmtId="0" fontId="10" fillId="0" borderId="64" xfId="1151" applyNumberFormat="1" applyFont="1" applyFill="1" applyBorder="1" applyAlignment="1">
      <alignment horizontal="center" vertical="center"/>
    </xf>
    <xf numFmtId="0" fontId="10" fillId="0" borderId="62" xfId="1151" applyNumberFormat="1" applyFont="1" applyFill="1" applyBorder="1" applyAlignment="1">
      <alignment horizontal="center" vertical="center"/>
    </xf>
    <xf numFmtId="0" fontId="110" fillId="0" borderId="34" xfId="1151" applyNumberFormat="1" applyFont="1" applyFill="1" applyBorder="1" applyAlignment="1">
      <alignment horizontal="left" vertical="center" wrapText="1"/>
    </xf>
    <xf numFmtId="0" fontId="110" fillId="0" borderId="39" xfId="1151" applyNumberFormat="1" applyFont="1" applyFill="1" applyBorder="1" applyAlignment="1">
      <alignment horizontal="center" vertical="center"/>
    </xf>
    <xf numFmtId="0" fontId="110" fillId="0" borderId="41" xfId="1151" applyNumberFormat="1" applyFont="1" applyFill="1" applyBorder="1" applyAlignment="1">
      <alignment horizontal="center" vertical="center"/>
    </xf>
    <xf numFmtId="0" fontId="110" fillId="0" borderId="62" xfId="1151" applyNumberFormat="1" applyFont="1" applyFill="1" applyBorder="1" applyAlignment="1">
      <alignment horizontal="center" vertical="center"/>
    </xf>
    <xf numFmtId="0" fontId="10" fillId="0" borderId="65" xfId="1151" applyNumberFormat="1" applyFont="1" applyFill="1" applyBorder="1" applyAlignment="1">
      <alignment horizontal="center" vertical="center" wrapText="1"/>
    </xf>
    <xf numFmtId="0" fontId="10" fillId="0" borderId="71" xfId="1151" applyNumberFormat="1" applyFont="1" applyFill="1" applyBorder="1" applyAlignment="1">
      <alignment horizontal="center" vertical="center" wrapText="1"/>
    </xf>
    <xf numFmtId="0" fontId="10" fillId="0" borderId="124" xfId="1151" applyNumberFormat="1" applyFont="1" applyFill="1" applyBorder="1" applyAlignment="1">
      <alignment horizontal="center" vertical="center" wrapText="1"/>
    </xf>
    <xf numFmtId="0" fontId="10" fillId="0" borderId="75" xfId="1151" applyNumberFormat="1" applyFont="1" applyFill="1" applyBorder="1" applyAlignment="1">
      <alignment horizontal="center" vertical="center" wrapText="1"/>
    </xf>
    <xf numFmtId="41" fontId="10" fillId="0" borderId="114" xfId="1151" applyFont="1" applyFill="1" applyBorder="1" applyAlignment="1">
      <alignment horizontal="center" vertical="center" wrapText="1"/>
    </xf>
    <xf numFmtId="0" fontId="10" fillId="0" borderId="65" xfId="1151" applyNumberFormat="1" applyFont="1" applyFill="1" applyBorder="1" applyAlignment="1">
      <alignment horizontal="center" vertical="center"/>
    </xf>
    <xf numFmtId="0" fontId="10" fillId="0" borderId="71" xfId="1151" applyNumberFormat="1" applyFont="1" applyFill="1" applyBorder="1" applyAlignment="1">
      <alignment horizontal="center" vertical="center"/>
    </xf>
    <xf numFmtId="0" fontId="10" fillId="0" borderId="39" xfId="228" applyNumberFormat="1" applyFont="1" applyFill="1" applyBorder="1" applyAlignment="1">
      <alignment horizontal="center" vertical="center"/>
    </xf>
    <xf numFmtId="0" fontId="10" fillId="0" borderId="41" xfId="228" applyNumberFormat="1" applyFont="1" applyFill="1" applyBorder="1" applyAlignment="1">
      <alignment horizontal="center" vertical="center"/>
    </xf>
    <xf numFmtId="0" fontId="10" fillId="0" borderId="62" xfId="228" applyNumberFormat="1" applyFont="1" applyFill="1" applyBorder="1" applyAlignment="1">
      <alignment horizontal="center" vertical="center"/>
    </xf>
    <xf numFmtId="0" fontId="10" fillId="0" borderId="64" xfId="228" applyNumberFormat="1" applyFont="1" applyFill="1" applyBorder="1" applyAlignment="1">
      <alignment horizontal="center" vertical="center"/>
    </xf>
    <xf numFmtId="0" fontId="10" fillId="0" borderId="65" xfId="228" applyNumberFormat="1" applyFont="1" applyFill="1" applyBorder="1" applyAlignment="1">
      <alignment horizontal="center" vertical="center"/>
    </xf>
    <xf numFmtId="0" fontId="10" fillId="0" borderId="71" xfId="228" applyNumberFormat="1" applyFont="1" applyFill="1" applyBorder="1" applyAlignment="1">
      <alignment horizontal="center" vertical="center"/>
    </xf>
    <xf numFmtId="0" fontId="10" fillId="0" borderId="124" xfId="228" applyNumberFormat="1" applyFont="1" applyFill="1" applyBorder="1" applyAlignment="1">
      <alignment horizontal="center" vertical="center" wrapText="1"/>
    </xf>
    <xf numFmtId="0" fontId="10" fillId="0" borderId="75" xfId="228" applyNumberFormat="1" applyFont="1" applyFill="1" applyBorder="1" applyAlignment="1">
      <alignment horizontal="center" vertical="center" wrapText="1"/>
    </xf>
    <xf numFmtId="0" fontId="63" fillId="0" borderId="0" xfId="0" applyFont="1" applyFill="1" applyBorder="1" applyAlignment="1">
      <alignment horizontal="left" vertical="center" wrapText="1"/>
    </xf>
    <xf numFmtId="0" fontId="10" fillId="0" borderId="65" xfId="228" applyNumberFormat="1" applyFont="1" applyFill="1" applyBorder="1" applyAlignment="1">
      <alignment horizontal="center" vertical="center" wrapText="1"/>
    </xf>
    <xf numFmtId="0" fontId="10" fillId="0" borderId="71" xfId="228" applyNumberFormat="1" applyFont="1" applyFill="1" applyBorder="1" applyAlignment="1">
      <alignment horizontal="center" vertical="center" wrapText="1"/>
    </xf>
    <xf numFmtId="41" fontId="10" fillId="0" borderId="114" xfId="228" applyFont="1" applyFill="1" applyBorder="1" applyAlignment="1">
      <alignment horizontal="center" vertical="center" wrapText="1"/>
    </xf>
    <xf numFmtId="41" fontId="66" fillId="25" borderId="80" xfId="29437" applyFont="1" applyFill="1" applyBorder="1" applyAlignment="1">
      <alignment horizontal="center" vertical="center"/>
    </xf>
    <xf numFmtId="41" fontId="66" fillId="25" borderId="86" xfId="29437" applyFont="1" applyFill="1" applyBorder="1" applyAlignment="1">
      <alignment horizontal="center" vertical="center"/>
    </xf>
    <xf numFmtId="41" fontId="66" fillId="25" borderId="2" xfId="29437" applyFont="1" applyFill="1" applyBorder="1" applyAlignment="1">
      <alignment horizontal="center" vertical="center"/>
    </xf>
    <xf numFmtId="0" fontId="115" fillId="25" borderId="135" xfId="29437" applyNumberFormat="1" applyFont="1" applyFill="1" applyBorder="1" applyAlignment="1">
      <alignment horizontal="center" vertical="center"/>
    </xf>
    <xf numFmtId="0" fontId="66" fillId="25" borderId="136" xfId="29437" applyNumberFormat="1" applyFont="1" applyFill="1" applyBorder="1" applyAlignment="1">
      <alignment horizontal="center" vertical="center"/>
    </xf>
    <xf numFmtId="41" fontId="66" fillId="25" borderId="135" xfId="29437" applyFont="1" applyFill="1" applyBorder="1" applyAlignment="1">
      <alignment horizontal="center" vertical="center"/>
    </xf>
    <xf numFmtId="41" fontId="66" fillId="25" borderId="137" xfId="29437" applyFont="1" applyFill="1" applyBorder="1" applyAlignment="1">
      <alignment horizontal="center" vertical="center"/>
    </xf>
    <xf numFmtId="41" fontId="66" fillId="25" borderId="136" xfId="29437" applyFont="1" applyFill="1" applyBorder="1" applyAlignment="1">
      <alignment horizontal="center" vertical="center"/>
    </xf>
    <xf numFmtId="41" fontId="66" fillId="25" borderId="118" xfId="29437" applyFont="1" applyFill="1" applyBorder="1" applyAlignment="1">
      <alignment horizontal="center" vertical="center"/>
    </xf>
    <xf numFmtId="41" fontId="66" fillId="25" borderId="118" xfId="29437" applyFont="1" applyFill="1" applyBorder="1" applyAlignment="1">
      <alignment horizontal="center" vertical="center" wrapText="1"/>
    </xf>
    <xf numFmtId="41" fontId="66" fillId="25" borderId="86" xfId="29437" applyFont="1" applyFill="1" applyBorder="1" applyAlignment="1">
      <alignment horizontal="center" vertical="center" wrapText="1"/>
    </xf>
    <xf numFmtId="41" fontId="66" fillId="25" borderId="81" xfId="29437" applyFont="1" applyFill="1" applyBorder="1" applyAlignment="1">
      <alignment horizontal="center" vertical="center"/>
    </xf>
    <xf numFmtId="41" fontId="66" fillId="25" borderId="82" xfId="29437" applyFont="1" applyFill="1" applyBorder="1" applyAlignment="1">
      <alignment horizontal="center" vertical="center"/>
    </xf>
    <xf numFmtId="41" fontId="66" fillId="25" borderId="84" xfId="29437" applyFont="1" applyFill="1" applyBorder="1" applyAlignment="1">
      <alignment horizontal="center" vertical="center"/>
    </xf>
    <xf numFmtId="41" fontId="66" fillId="25" borderId="87" xfId="29437" applyFont="1" applyFill="1" applyBorder="1" applyAlignment="1">
      <alignment horizontal="center" vertical="center"/>
    </xf>
    <xf numFmtId="41" fontId="66" fillId="25" borderId="83" xfId="29437" applyFont="1" applyFill="1" applyBorder="1" applyAlignment="1">
      <alignment horizontal="center" vertical="center" wrapText="1"/>
    </xf>
    <xf numFmtId="41" fontId="66" fillId="25" borderId="80" xfId="29437" applyFont="1" applyFill="1" applyBorder="1" applyAlignment="1">
      <alignment horizontal="center" vertical="center" wrapText="1"/>
    </xf>
    <xf numFmtId="41" fontId="66" fillId="25" borderId="133" xfId="29437" applyFont="1" applyFill="1" applyBorder="1" applyAlignment="1">
      <alignment horizontal="center" vertical="center"/>
    </xf>
    <xf numFmtId="41" fontId="66" fillId="25" borderId="34" xfId="29437" applyFont="1" applyFill="1" applyBorder="1" applyAlignment="1">
      <alignment horizontal="center" vertical="center"/>
    </xf>
    <xf numFmtId="41" fontId="66" fillId="25" borderId="35" xfId="29437" applyFont="1" applyFill="1" applyBorder="1" applyAlignment="1">
      <alignment horizontal="center" vertical="center"/>
    </xf>
    <xf numFmtId="0" fontId="66" fillId="25" borderId="2" xfId="29437" applyNumberFormat="1" applyFont="1" applyFill="1" applyBorder="1" applyAlignment="1">
      <alignment horizontal="center" vertical="center" wrapText="1"/>
    </xf>
    <xf numFmtId="0" fontId="66" fillId="25" borderId="2" xfId="29437" applyNumberFormat="1" applyFont="1" applyFill="1" applyBorder="1" applyAlignment="1">
      <alignment horizontal="center" vertical="center"/>
    </xf>
    <xf numFmtId="41" fontId="66" fillId="25" borderId="134" xfId="29437" applyFont="1" applyFill="1" applyBorder="1" applyAlignment="1">
      <alignment horizontal="center" vertical="center"/>
    </xf>
    <xf numFmtId="0" fontId="66" fillId="25" borderId="118" xfId="29437" applyNumberFormat="1" applyFont="1" applyFill="1" applyBorder="1" applyAlignment="1">
      <alignment horizontal="center" vertical="center"/>
    </xf>
    <xf numFmtId="0" fontId="66" fillId="25" borderId="123" xfId="29437" applyNumberFormat="1" applyFont="1" applyFill="1" applyBorder="1" applyAlignment="1">
      <alignment horizontal="center" vertical="center"/>
    </xf>
    <xf numFmtId="0" fontId="66" fillId="25" borderId="86" xfId="29437" applyNumberFormat="1" applyFont="1" applyFill="1" applyBorder="1" applyAlignment="1">
      <alignment horizontal="center" vertical="center"/>
    </xf>
    <xf numFmtId="0" fontId="66" fillId="25" borderId="118" xfId="29437" applyNumberFormat="1" applyFont="1" applyFill="1" applyBorder="1" applyAlignment="1">
      <alignment horizontal="center" vertical="center" wrapText="1"/>
    </xf>
    <xf numFmtId="0" fontId="66" fillId="25" borderId="123" xfId="29437" applyNumberFormat="1" applyFont="1" applyFill="1" applyBorder="1" applyAlignment="1">
      <alignment horizontal="center" vertical="center" wrapText="1"/>
    </xf>
    <xf numFmtId="0" fontId="66" fillId="25" borderId="86" xfId="29437" applyNumberFormat="1" applyFont="1" applyFill="1" applyBorder="1" applyAlignment="1">
      <alignment horizontal="center" vertical="center" wrapText="1"/>
    </xf>
    <xf numFmtId="41" fontId="66" fillId="25" borderId="138" xfId="29437" applyFont="1" applyFill="1" applyBorder="1" applyAlignment="1">
      <alignment horizontal="center" vertical="center"/>
    </xf>
    <xf numFmtId="41" fontId="66" fillId="25" borderId="146" xfId="29437" applyFont="1" applyFill="1" applyBorder="1" applyAlignment="1">
      <alignment horizontal="center" vertical="center"/>
    </xf>
    <xf numFmtId="0" fontId="55" fillId="24" borderId="0" xfId="0" applyFont="1" applyFill="1" applyAlignment="1">
      <alignment horizontal="center" vertical="center"/>
    </xf>
    <xf numFmtId="0" fontId="56" fillId="25" borderId="12" xfId="0" applyFont="1" applyFill="1" applyBorder="1" applyAlignment="1">
      <alignment horizontal="center" vertical="center"/>
    </xf>
    <xf numFmtId="0" fontId="56" fillId="25" borderId="15" xfId="0" applyFont="1" applyFill="1" applyBorder="1" applyAlignment="1">
      <alignment horizontal="center" vertical="center"/>
    </xf>
    <xf numFmtId="0" fontId="55" fillId="24" borderId="10" xfId="0" applyFont="1" applyFill="1" applyBorder="1" applyAlignment="1">
      <alignment horizontal="center" vertical="center"/>
    </xf>
    <xf numFmtId="0" fontId="113" fillId="25" borderId="12" xfId="0" applyFont="1" applyFill="1" applyBorder="1" applyAlignment="1">
      <alignment horizontal="center" vertical="center" wrapText="1"/>
    </xf>
    <xf numFmtId="0" fontId="113" fillId="25" borderId="13" xfId="0" applyFont="1" applyFill="1" applyBorder="1" applyAlignment="1">
      <alignment horizontal="center" vertical="center" wrapText="1"/>
    </xf>
    <xf numFmtId="0" fontId="113" fillId="25" borderId="15" xfId="0" applyFont="1" applyFill="1" applyBorder="1" applyAlignment="1">
      <alignment horizontal="center" vertical="center" wrapText="1"/>
    </xf>
    <xf numFmtId="0" fontId="113" fillId="25" borderId="16" xfId="0" applyFont="1" applyFill="1" applyBorder="1" applyAlignment="1">
      <alignment horizontal="center" vertical="center" wrapText="1"/>
    </xf>
    <xf numFmtId="49" fontId="112" fillId="24" borderId="0" xfId="0" applyNumberFormat="1" applyFont="1" applyFill="1" applyAlignment="1">
      <alignment horizontal="left" vertical="center" wrapText="1"/>
    </xf>
    <xf numFmtId="0" fontId="56" fillId="25" borderId="36" xfId="0" applyFont="1" applyFill="1" applyBorder="1" applyAlignment="1">
      <alignment horizontal="center" vertical="center"/>
    </xf>
    <xf numFmtId="0" fontId="56" fillId="25" borderId="38" xfId="0" applyFont="1" applyFill="1" applyBorder="1" applyAlignment="1">
      <alignment horizontal="center" vertical="center"/>
    </xf>
    <xf numFmtId="0" fontId="56" fillId="25" borderId="37" xfId="0" applyFont="1" applyFill="1" applyBorder="1" applyAlignment="1">
      <alignment horizontal="center" vertical="center"/>
    </xf>
    <xf numFmtId="0" fontId="124" fillId="0" borderId="0" xfId="30671" applyFont="1" applyBorder="1" applyAlignment="1">
      <alignment horizontal="center" vertical="center"/>
    </xf>
    <xf numFmtId="41" fontId="0" fillId="0" borderId="0" xfId="30492" applyFont="1" applyAlignment="1">
      <alignment horizontal="left" vertical="center" wrapText="1"/>
    </xf>
    <xf numFmtId="41" fontId="0" fillId="0" borderId="0" xfId="30492" applyFont="1" applyAlignment="1">
      <alignment horizontal="left" vertical="top" wrapText="1"/>
    </xf>
    <xf numFmtId="41" fontId="47" fillId="0" borderId="0" xfId="30492" applyFont="1" applyAlignment="1">
      <alignment horizontal="left" vertical="top" wrapText="1"/>
    </xf>
    <xf numFmtId="41" fontId="124" fillId="0" borderId="0" xfId="30492" applyFont="1" applyBorder="1" applyAlignment="1">
      <alignment horizontal="center" vertical="center"/>
    </xf>
    <xf numFmtId="41" fontId="0" fillId="0" borderId="0" xfId="30492" applyFont="1" applyAlignment="1">
      <alignment vertical="top" wrapText="1"/>
    </xf>
    <xf numFmtId="41" fontId="47" fillId="0" borderId="0" xfId="30492" applyFont="1" applyAlignment="1">
      <alignment vertical="top" wrapText="1"/>
    </xf>
    <xf numFmtId="0" fontId="116" fillId="24" borderId="10" xfId="0" applyFont="1" applyFill="1" applyBorder="1" applyAlignment="1">
      <alignment horizontal="center" vertical="center"/>
    </xf>
    <xf numFmtId="0" fontId="10" fillId="0" borderId="124" xfId="0" applyFont="1" applyFill="1" applyBorder="1" applyAlignment="1">
      <alignment horizontal="center" vertical="center"/>
    </xf>
    <xf numFmtId="0" fontId="10" fillId="0" borderId="75" xfId="0" applyFont="1" applyFill="1" applyBorder="1" applyAlignment="1">
      <alignment horizontal="center" vertical="center"/>
    </xf>
    <xf numFmtId="41" fontId="110" fillId="0" borderId="33" xfId="1151" applyFont="1" applyFill="1" applyBorder="1" applyAlignment="1">
      <alignment horizontal="center" vertical="center"/>
    </xf>
    <xf numFmtId="41" fontId="110" fillId="0" borderId="32" xfId="1151" applyFont="1" applyFill="1" applyBorder="1" applyAlignment="1">
      <alignment horizontal="center" vertical="center"/>
    </xf>
    <xf numFmtId="41" fontId="110" fillId="0" borderId="39" xfId="1151" applyFont="1" applyFill="1" applyBorder="1" applyAlignment="1">
      <alignment horizontal="center" vertical="center"/>
    </xf>
    <xf numFmtId="41" fontId="110" fillId="0" borderId="40" xfId="1151" applyFont="1" applyFill="1" applyBorder="1" applyAlignment="1">
      <alignment horizontal="center" vertical="center"/>
    </xf>
    <xf numFmtId="41" fontId="110" fillId="0" borderId="41" xfId="1151" applyFont="1" applyFill="1" applyBorder="1" applyAlignment="1">
      <alignment horizontal="center" vertical="center"/>
    </xf>
    <xf numFmtId="41" fontId="10" fillId="0" borderId="60" xfId="1151" applyFont="1" applyFill="1" applyBorder="1" applyAlignment="1">
      <alignment horizontal="center" vertical="center"/>
    </xf>
    <xf numFmtId="41" fontId="10" fillId="0" borderId="61" xfId="1151" applyFont="1" applyFill="1" applyBorder="1" applyAlignment="1">
      <alignment horizontal="center" vertical="center"/>
    </xf>
    <xf numFmtId="41" fontId="10" fillId="0" borderId="62" xfId="1151" applyFont="1" applyFill="1" applyBorder="1" applyAlignment="1">
      <alignment horizontal="center" vertical="center"/>
    </xf>
    <xf numFmtId="41" fontId="10" fillId="0" borderId="63" xfId="1151" applyFont="1" applyFill="1" applyBorder="1" applyAlignment="1">
      <alignment horizontal="center" vertical="center"/>
    </xf>
    <xf numFmtId="41" fontId="10" fillId="0" borderId="64" xfId="1151" applyFont="1" applyFill="1" applyBorder="1" applyAlignment="1">
      <alignment horizontal="center" vertical="center"/>
    </xf>
    <xf numFmtId="41" fontId="10" fillId="0" borderId="63" xfId="1151" applyFont="1" applyFill="1" applyBorder="1" applyAlignment="1">
      <alignment horizontal="center" vertical="center" wrapText="1"/>
    </xf>
    <xf numFmtId="41" fontId="10" fillId="0" borderId="43" xfId="1151" applyFont="1" applyFill="1" applyBorder="1" applyAlignment="1">
      <alignment horizontal="center" vertical="center" wrapText="1"/>
    </xf>
    <xf numFmtId="41" fontId="10" fillId="0" borderId="61" xfId="1151" applyFont="1" applyFill="1" applyBorder="1" applyAlignment="1">
      <alignment horizontal="center" vertical="center" wrapText="1"/>
    </xf>
    <xf numFmtId="41" fontId="10" fillId="0" borderId="44" xfId="1151" applyFont="1" applyFill="1" applyBorder="1" applyAlignment="1">
      <alignment horizontal="center" vertical="center" wrapText="1"/>
    </xf>
    <xf numFmtId="41" fontId="10" fillId="0" borderId="40" xfId="1151" applyFont="1" applyFill="1" applyBorder="1" applyAlignment="1">
      <alignment horizontal="center" vertical="center"/>
    </xf>
    <xf numFmtId="41" fontId="10" fillId="0" borderId="34" xfId="1151" applyFont="1" applyFill="1" applyBorder="1" applyAlignment="1">
      <alignment horizontal="center" vertical="center"/>
    </xf>
    <xf numFmtId="41" fontId="10" fillId="0" borderId="76" xfId="1151" applyFont="1" applyFill="1" applyBorder="1" applyAlignment="1">
      <alignment horizontal="center" vertical="center"/>
    </xf>
    <xf numFmtId="41" fontId="10" fillId="0" borderId="65" xfId="1151" applyFont="1" applyFill="1" applyBorder="1" applyAlignment="1">
      <alignment horizontal="center" vertical="center"/>
    </xf>
    <xf numFmtId="41" fontId="10" fillId="0" borderId="70" xfId="1151" applyFont="1" applyFill="1" applyBorder="1" applyAlignment="1">
      <alignment horizontal="center" vertical="center"/>
    </xf>
    <xf numFmtId="0" fontId="10" fillId="0" borderId="76" xfId="0" applyFont="1" applyFill="1" applyBorder="1" applyAlignment="1">
      <alignment horizontal="center" vertical="center"/>
    </xf>
    <xf numFmtId="0" fontId="10" fillId="0" borderId="70" xfId="0" applyFont="1" applyFill="1" applyBorder="1" applyAlignment="1">
      <alignment horizontal="center" vertical="center"/>
    </xf>
    <xf numFmtId="41" fontId="10" fillId="0" borderId="60" xfId="228" applyFont="1" applyFill="1" applyBorder="1" applyAlignment="1">
      <alignment horizontal="center" vertical="center"/>
    </xf>
    <xf numFmtId="41" fontId="10" fillId="0" borderId="61" xfId="228" applyFont="1" applyFill="1" applyBorder="1" applyAlignment="1">
      <alignment horizontal="center" vertical="center"/>
    </xf>
    <xf numFmtId="41" fontId="10" fillId="0" borderId="62" xfId="228" applyFont="1" applyFill="1" applyBorder="1" applyAlignment="1">
      <alignment horizontal="center" vertical="center"/>
    </xf>
    <xf numFmtId="41" fontId="10" fillId="0" borderId="63" xfId="228" applyFont="1" applyFill="1" applyBorder="1" applyAlignment="1">
      <alignment horizontal="center" vertical="center"/>
    </xf>
    <xf numFmtId="41" fontId="10" fillId="0" borderId="64" xfId="228" applyFont="1" applyFill="1" applyBorder="1" applyAlignment="1">
      <alignment horizontal="center" vertical="center"/>
    </xf>
    <xf numFmtId="41" fontId="10" fillId="0" borderId="43" xfId="228" applyFont="1" applyFill="1" applyBorder="1" applyAlignment="1">
      <alignment horizontal="center" vertical="center"/>
    </xf>
    <xf numFmtId="41" fontId="10" fillId="0" borderId="63" xfId="228" applyFont="1" applyFill="1" applyBorder="1" applyAlignment="1">
      <alignment horizontal="center" vertical="center" wrapText="1"/>
    </xf>
    <xf numFmtId="41" fontId="10" fillId="0" borderId="43" xfId="228" applyFont="1" applyFill="1" applyBorder="1" applyAlignment="1">
      <alignment horizontal="center" vertical="center" wrapText="1"/>
    </xf>
    <xf numFmtId="41" fontId="10" fillId="0" borderId="65" xfId="228" applyFont="1" applyFill="1" applyBorder="1" applyAlignment="1">
      <alignment horizontal="center" vertical="center" wrapText="1"/>
    </xf>
    <xf numFmtId="41" fontId="10" fillId="0" borderId="71" xfId="228" applyFont="1" applyFill="1" applyBorder="1" applyAlignment="1">
      <alignment horizontal="center" vertical="center" wrapText="1"/>
    </xf>
    <xf numFmtId="41" fontId="10" fillId="0" borderId="64" xfId="228" applyFont="1" applyFill="1" applyBorder="1" applyAlignment="1">
      <alignment horizontal="center" vertical="center" wrapText="1"/>
    </xf>
    <xf numFmtId="41" fontId="10" fillId="0" borderId="78" xfId="228" applyFont="1" applyFill="1" applyBorder="1" applyAlignment="1">
      <alignment horizontal="center" vertical="center" wrapText="1"/>
    </xf>
    <xf numFmtId="41" fontId="66" fillId="25" borderId="131" xfId="29437" applyFont="1" applyFill="1" applyBorder="1" applyAlignment="1">
      <alignment horizontal="center" vertical="center" wrapText="1"/>
    </xf>
    <xf numFmtId="41" fontId="66" fillId="25" borderId="131" xfId="29437" applyFont="1" applyFill="1" applyBorder="1" applyAlignment="1">
      <alignment horizontal="center" vertical="center"/>
    </xf>
    <xf numFmtId="41" fontId="66" fillId="25" borderId="132" xfId="29437" applyFont="1" applyFill="1" applyBorder="1" applyAlignment="1">
      <alignment horizontal="center" vertical="center"/>
    </xf>
    <xf numFmtId="0" fontId="66" fillId="25" borderId="131" xfId="29437" applyNumberFormat="1" applyFont="1" applyFill="1" applyBorder="1" applyAlignment="1">
      <alignment horizontal="center" vertical="center"/>
    </xf>
    <xf numFmtId="0" fontId="66" fillId="25" borderId="131" xfId="29437" applyNumberFormat="1" applyFont="1" applyFill="1" applyBorder="1" applyAlignment="1">
      <alignment horizontal="center" vertical="center" wrapText="1"/>
    </xf>
  </cellXfs>
  <cellStyles count="32387">
    <cellStyle name="20% - 강조색1 10" xfId="5151"/>
    <cellStyle name="20% - 강조색1 10 2" xfId="30258"/>
    <cellStyle name="20% - 강조색1 11" xfId="5152"/>
    <cellStyle name="20% - 강조색1 11 2" xfId="29781"/>
    <cellStyle name="20% - 강조색1 12" xfId="5153"/>
    <cellStyle name="20% - 강조색1 12 2" xfId="30196"/>
    <cellStyle name="20% - 강조색1 13" xfId="5154"/>
    <cellStyle name="20% - 강조색1 13 2" xfId="30241"/>
    <cellStyle name="20% - 강조색1 14" xfId="5155"/>
    <cellStyle name="20% - 강조색1 15" xfId="5156"/>
    <cellStyle name="20% - 강조색1 16" xfId="5157"/>
    <cellStyle name="20% - 강조색1 17" xfId="5158"/>
    <cellStyle name="20% - 강조색1 18" xfId="5159"/>
    <cellStyle name="20% - 강조색1 19" xfId="5160"/>
    <cellStyle name="20% - 강조색1 2" xfId="1"/>
    <cellStyle name="20% - 강조색1 2 2" xfId="5161"/>
    <cellStyle name="20% - 강조색1 2 3" xfId="5162"/>
    <cellStyle name="20% - 강조색1 2 4" xfId="5163"/>
    <cellStyle name="20% - 강조색1 20" xfId="5164"/>
    <cellStyle name="20% - 강조색1 21" xfId="5165"/>
    <cellStyle name="20% - 강조색1 22" xfId="5166"/>
    <cellStyle name="20% - 강조색1 23" xfId="5167"/>
    <cellStyle name="20% - 강조색1 24" xfId="5168"/>
    <cellStyle name="20% - 강조색1 25" xfId="5169"/>
    <cellStyle name="20% - 강조색1 26" xfId="5170"/>
    <cellStyle name="20% - 강조색1 27" xfId="5171"/>
    <cellStyle name="20% - 강조색1 28" xfId="5172"/>
    <cellStyle name="20% - 강조색1 29" xfId="5173"/>
    <cellStyle name="20% - 강조색1 3" xfId="2"/>
    <cellStyle name="20% - 강조색1 3 2" xfId="5174"/>
    <cellStyle name="20% - 강조색1 3 2 2" xfId="5175"/>
    <cellStyle name="20% - 강조색1 3 3" xfId="5176"/>
    <cellStyle name="20% - 강조색1 3 4" xfId="5177"/>
    <cellStyle name="20% - 강조색1 30" xfId="5178"/>
    <cellStyle name="20% - 강조색1 31" xfId="5179"/>
    <cellStyle name="20% - 강조색1 32" xfId="5180"/>
    <cellStyle name="20% - 강조색1 33" xfId="5181"/>
    <cellStyle name="20% - 강조색1 34" xfId="5182"/>
    <cellStyle name="20% - 강조색1 35" xfId="5183"/>
    <cellStyle name="20% - 강조색1 36" xfId="5184"/>
    <cellStyle name="20% - 강조색1 37" xfId="5185"/>
    <cellStyle name="20% - 강조색1 38" xfId="5186"/>
    <cellStyle name="20% - 강조색1 39" xfId="5187"/>
    <cellStyle name="20% - 강조색1 4" xfId="3"/>
    <cellStyle name="20% - 강조색1 4 2" xfId="5188"/>
    <cellStyle name="20% - 강조색1 4 3" xfId="5189"/>
    <cellStyle name="20% - 강조색1 4 4" xfId="5190"/>
    <cellStyle name="20% - 강조색1 40" xfId="5191"/>
    <cellStyle name="20% - 강조색1 41" xfId="5192"/>
    <cellStyle name="20% - 강조색1 42" xfId="5193"/>
    <cellStyle name="20% - 강조색1 43" xfId="5194"/>
    <cellStyle name="20% - 강조색1 44" xfId="5195"/>
    <cellStyle name="20% - 강조색1 45" xfId="5196"/>
    <cellStyle name="20% - 강조색1 46" xfId="5197"/>
    <cellStyle name="20% - 강조색1 47" xfId="5198"/>
    <cellStyle name="20% - 강조색1 48" xfId="5199"/>
    <cellStyle name="20% - 강조색1 49" xfId="5200"/>
    <cellStyle name="20% - 강조색1 5" xfId="4"/>
    <cellStyle name="20% - 강조색1 5 2" xfId="5201"/>
    <cellStyle name="20% - 강조색1 50" xfId="28118"/>
    <cellStyle name="20% - 강조색1 50 2" xfId="30718"/>
    <cellStyle name="20% - 강조색1 50 2 2" xfId="30768"/>
    <cellStyle name="20% - 강조색1 50 2 2 2" xfId="30865"/>
    <cellStyle name="20% - 강조색1 50 2 2 2 2" xfId="32219"/>
    <cellStyle name="20% - 강조색1 50 2 2 3" xfId="32124"/>
    <cellStyle name="20% - 강조색1 50 2 3" xfId="30818"/>
    <cellStyle name="20% - 강조색1 50 2 3 2" xfId="32172"/>
    <cellStyle name="20% - 강조색1 50 2 4" xfId="32077"/>
    <cellStyle name="20% - 강조색1 50 3" xfId="30745"/>
    <cellStyle name="20% - 강조색1 50 3 2" xfId="30842"/>
    <cellStyle name="20% - 강조색1 50 3 2 2" xfId="32196"/>
    <cellStyle name="20% - 강조색1 50 3 3" xfId="32101"/>
    <cellStyle name="20% - 강조색1 50 4" xfId="30794"/>
    <cellStyle name="20% - 강조색1 50 4 2" xfId="32149"/>
    <cellStyle name="20% - 강조색1 50 5" xfId="32053"/>
    <cellStyle name="20% - 강조색1 6" xfId="5"/>
    <cellStyle name="20% - 강조색1 6 2" xfId="5202"/>
    <cellStyle name="20% - 강조색1 7" xfId="6"/>
    <cellStyle name="20% - 강조색1 7 2" xfId="5203"/>
    <cellStyle name="20% - 강조색1 8" xfId="7"/>
    <cellStyle name="20% - 강조색1 8 2" xfId="5204"/>
    <cellStyle name="20% - 강조색1 9" xfId="5205"/>
    <cellStyle name="20% - 강조색1 9 2" xfId="29791"/>
    <cellStyle name="20% - 강조색2 10" xfId="5206"/>
    <cellStyle name="20% - 강조색2 10 2" xfId="29749"/>
    <cellStyle name="20% - 강조색2 11" xfId="5207"/>
    <cellStyle name="20% - 강조색2 11 2" xfId="29685"/>
    <cellStyle name="20% - 강조색2 12" xfId="5208"/>
    <cellStyle name="20% - 강조색2 12 2" xfId="29567"/>
    <cellStyle name="20% - 강조색2 13" xfId="5209"/>
    <cellStyle name="20% - 강조색2 13 2" xfId="29492"/>
    <cellStyle name="20% - 강조색2 14" xfId="5210"/>
    <cellStyle name="20% - 강조색2 15" xfId="5211"/>
    <cellStyle name="20% - 강조색2 16" xfId="5212"/>
    <cellStyle name="20% - 강조색2 17" xfId="5213"/>
    <cellStyle name="20% - 강조색2 18" xfId="5214"/>
    <cellStyle name="20% - 강조색2 19" xfId="5215"/>
    <cellStyle name="20% - 강조색2 2" xfId="8"/>
    <cellStyle name="20% - 강조색2 2 2" xfId="5216"/>
    <cellStyle name="20% - 강조색2 2 3" xfId="5217"/>
    <cellStyle name="20% - 강조색2 2 4" xfId="5218"/>
    <cellStyle name="20% - 강조색2 20" xfId="5219"/>
    <cellStyle name="20% - 강조색2 21" xfId="5220"/>
    <cellStyle name="20% - 강조색2 22" xfId="5221"/>
    <cellStyle name="20% - 강조색2 23" xfId="5222"/>
    <cellStyle name="20% - 강조색2 24" xfId="5223"/>
    <cellStyle name="20% - 강조색2 25" xfId="5224"/>
    <cellStyle name="20% - 강조색2 26" xfId="5225"/>
    <cellStyle name="20% - 강조색2 27" xfId="5226"/>
    <cellStyle name="20% - 강조색2 28" xfId="5227"/>
    <cellStyle name="20% - 강조색2 29" xfId="5228"/>
    <cellStyle name="20% - 강조색2 3" xfId="9"/>
    <cellStyle name="20% - 강조색2 3 2" xfId="5229"/>
    <cellStyle name="20% - 강조색2 3 2 2" xfId="5230"/>
    <cellStyle name="20% - 강조색2 3 3" xfId="5231"/>
    <cellStyle name="20% - 강조색2 3 4" xfId="5232"/>
    <cellStyle name="20% - 강조색2 30" xfId="5233"/>
    <cellStyle name="20% - 강조색2 31" xfId="5234"/>
    <cellStyle name="20% - 강조색2 32" xfId="5235"/>
    <cellStyle name="20% - 강조색2 33" xfId="5236"/>
    <cellStyle name="20% - 강조색2 34" xfId="5237"/>
    <cellStyle name="20% - 강조색2 35" xfId="5238"/>
    <cellStyle name="20% - 강조색2 36" xfId="5239"/>
    <cellStyle name="20% - 강조색2 37" xfId="5240"/>
    <cellStyle name="20% - 강조색2 38" xfId="5241"/>
    <cellStyle name="20% - 강조색2 39" xfId="5242"/>
    <cellStyle name="20% - 강조색2 4" xfId="10"/>
    <cellStyle name="20% - 강조색2 4 2" xfId="5243"/>
    <cellStyle name="20% - 강조색2 4 3" xfId="5244"/>
    <cellStyle name="20% - 강조색2 4 4" xfId="5245"/>
    <cellStyle name="20% - 강조색2 40" xfId="5246"/>
    <cellStyle name="20% - 강조색2 41" xfId="5247"/>
    <cellStyle name="20% - 강조색2 42" xfId="5248"/>
    <cellStyle name="20% - 강조색2 43" xfId="5249"/>
    <cellStyle name="20% - 강조색2 44" xfId="5250"/>
    <cellStyle name="20% - 강조색2 45" xfId="5251"/>
    <cellStyle name="20% - 강조색2 46" xfId="5252"/>
    <cellStyle name="20% - 강조색2 47" xfId="5253"/>
    <cellStyle name="20% - 강조색2 48" xfId="5254"/>
    <cellStyle name="20% - 강조색2 49" xfId="5255"/>
    <cellStyle name="20% - 강조색2 5" xfId="11"/>
    <cellStyle name="20% - 강조색2 5 2" xfId="5256"/>
    <cellStyle name="20% - 강조색2 50" xfId="28122"/>
    <cellStyle name="20% - 강조색2 50 2" xfId="30720"/>
    <cellStyle name="20% - 강조색2 50 2 2" xfId="30770"/>
    <cellStyle name="20% - 강조색2 50 2 2 2" xfId="30867"/>
    <cellStyle name="20% - 강조색2 50 2 2 2 2" xfId="32221"/>
    <cellStyle name="20% - 강조색2 50 2 2 3" xfId="32126"/>
    <cellStyle name="20% - 강조색2 50 2 3" xfId="30820"/>
    <cellStyle name="20% - 강조색2 50 2 3 2" xfId="32174"/>
    <cellStyle name="20% - 강조색2 50 2 4" xfId="32079"/>
    <cellStyle name="20% - 강조색2 50 3" xfId="30747"/>
    <cellStyle name="20% - 강조색2 50 3 2" xfId="30844"/>
    <cellStyle name="20% - 강조색2 50 3 2 2" xfId="32198"/>
    <cellStyle name="20% - 강조색2 50 3 3" xfId="32103"/>
    <cellStyle name="20% - 강조색2 50 4" xfId="30796"/>
    <cellStyle name="20% - 강조색2 50 4 2" xfId="32151"/>
    <cellStyle name="20% - 강조색2 50 5" xfId="32055"/>
    <cellStyle name="20% - 강조색2 6" xfId="12"/>
    <cellStyle name="20% - 강조색2 6 2" xfId="5257"/>
    <cellStyle name="20% - 강조색2 7" xfId="13"/>
    <cellStyle name="20% - 강조색2 7 2" xfId="5258"/>
    <cellStyle name="20% - 강조색2 8" xfId="14"/>
    <cellStyle name="20% - 강조색2 8 2" xfId="5259"/>
    <cellStyle name="20% - 강조색2 9" xfId="5260"/>
    <cellStyle name="20% - 강조색2 9 2" xfId="29487"/>
    <cellStyle name="20% - 강조색3 10" xfId="5261"/>
    <cellStyle name="20% - 강조색3 10 2" xfId="29586"/>
    <cellStyle name="20% - 강조색3 11" xfId="5262"/>
    <cellStyle name="20% - 강조색3 11 2" xfId="29566"/>
    <cellStyle name="20% - 강조색3 12" xfId="5263"/>
    <cellStyle name="20% - 강조색3 12 2" xfId="29834"/>
    <cellStyle name="20% - 강조색3 13" xfId="5264"/>
    <cellStyle name="20% - 강조색3 13 2" xfId="29790"/>
    <cellStyle name="20% - 강조색3 14" xfId="5265"/>
    <cellStyle name="20% - 강조색3 15" xfId="5266"/>
    <cellStyle name="20% - 강조색3 16" xfId="5267"/>
    <cellStyle name="20% - 강조색3 17" xfId="5268"/>
    <cellStyle name="20% - 강조색3 18" xfId="5269"/>
    <cellStyle name="20% - 강조색3 19" xfId="5270"/>
    <cellStyle name="20% - 강조색3 2" xfId="15"/>
    <cellStyle name="20% - 강조색3 2 2" xfId="5271"/>
    <cellStyle name="20% - 강조색3 2 3" xfId="5272"/>
    <cellStyle name="20% - 강조색3 2 4" xfId="5273"/>
    <cellStyle name="20% - 강조색3 20" xfId="5274"/>
    <cellStyle name="20% - 강조색3 21" xfId="5275"/>
    <cellStyle name="20% - 강조색3 22" xfId="5276"/>
    <cellStyle name="20% - 강조색3 23" xfId="5277"/>
    <cellStyle name="20% - 강조색3 24" xfId="5278"/>
    <cellStyle name="20% - 강조색3 25" xfId="5279"/>
    <cellStyle name="20% - 강조색3 26" xfId="5280"/>
    <cellStyle name="20% - 강조색3 27" xfId="5281"/>
    <cellStyle name="20% - 강조색3 28" xfId="5282"/>
    <cellStyle name="20% - 강조색3 29" xfId="5283"/>
    <cellStyle name="20% - 강조색3 3" xfId="16"/>
    <cellStyle name="20% - 강조색3 3 2" xfId="5284"/>
    <cellStyle name="20% - 강조색3 3 2 2" xfId="5285"/>
    <cellStyle name="20% - 강조색3 3 3" xfId="5286"/>
    <cellStyle name="20% - 강조색3 3 4" xfId="5287"/>
    <cellStyle name="20% - 강조색3 30" xfId="5288"/>
    <cellStyle name="20% - 강조색3 31" xfId="5289"/>
    <cellStyle name="20% - 강조색3 32" xfId="5290"/>
    <cellStyle name="20% - 강조색3 33" xfId="5291"/>
    <cellStyle name="20% - 강조색3 34" xfId="5292"/>
    <cellStyle name="20% - 강조색3 35" xfId="5293"/>
    <cellStyle name="20% - 강조색3 36" xfId="5294"/>
    <cellStyle name="20% - 강조색3 37" xfId="5295"/>
    <cellStyle name="20% - 강조색3 38" xfId="5296"/>
    <cellStyle name="20% - 강조색3 39" xfId="5297"/>
    <cellStyle name="20% - 강조색3 4" xfId="17"/>
    <cellStyle name="20% - 강조색3 4 2" xfId="5298"/>
    <cellStyle name="20% - 강조색3 4 3" xfId="5299"/>
    <cellStyle name="20% - 강조색3 4 4" xfId="5300"/>
    <cellStyle name="20% - 강조색3 40" xfId="5301"/>
    <cellStyle name="20% - 강조색3 41" xfId="5302"/>
    <cellStyle name="20% - 강조색3 42" xfId="5303"/>
    <cellStyle name="20% - 강조색3 43" xfId="5304"/>
    <cellStyle name="20% - 강조색3 44" xfId="5305"/>
    <cellStyle name="20% - 강조색3 45" xfId="5306"/>
    <cellStyle name="20% - 강조색3 46" xfId="5307"/>
    <cellStyle name="20% - 강조색3 47" xfId="5308"/>
    <cellStyle name="20% - 강조색3 48" xfId="5309"/>
    <cellStyle name="20% - 강조색3 49" xfId="5310"/>
    <cellStyle name="20% - 강조색3 5" xfId="18"/>
    <cellStyle name="20% - 강조색3 5 2" xfId="5311"/>
    <cellStyle name="20% - 강조색3 50" xfId="28126"/>
    <cellStyle name="20% - 강조색3 50 2" xfId="30722"/>
    <cellStyle name="20% - 강조색3 50 2 2" xfId="30772"/>
    <cellStyle name="20% - 강조색3 50 2 2 2" xfId="30869"/>
    <cellStyle name="20% - 강조색3 50 2 2 2 2" xfId="32223"/>
    <cellStyle name="20% - 강조색3 50 2 2 3" xfId="32128"/>
    <cellStyle name="20% - 강조색3 50 2 3" xfId="30822"/>
    <cellStyle name="20% - 강조색3 50 2 3 2" xfId="32176"/>
    <cellStyle name="20% - 강조색3 50 2 4" xfId="32081"/>
    <cellStyle name="20% - 강조색3 50 3" xfId="30749"/>
    <cellStyle name="20% - 강조색3 50 3 2" xfId="30846"/>
    <cellStyle name="20% - 강조색3 50 3 2 2" xfId="32200"/>
    <cellStyle name="20% - 강조색3 50 3 3" xfId="32105"/>
    <cellStyle name="20% - 강조색3 50 4" xfId="30798"/>
    <cellStyle name="20% - 강조색3 50 4 2" xfId="32153"/>
    <cellStyle name="20% - 강조색3 50 5" xfId="32057"/>
    <cellStyle name="20% - 강조색3 6" xfId="19"/>
    <cellStyle name="20% - 강조색3 6 2" xfId="5312"/>
    <cellStyle name="20% - 강조색3 7" xfId="20"/>
    <cellStyle name="20% - 강조색3 7 2" xfId="5313"/>
    <cellStyle name="20% - 강조색3 8" xfId="21"/>
    <cellStyle name="20% - 강조색3 8 2" xfId="5314"/>
    <cellStyle name="20% - 강조색3 9" xfId="5315"/>
    <cellStyle name="20% - 강조색3 9 2" xfId="29552"/>
    <cellStyle name="20% - 강조색4 10" xfId="5316"/>
    <cellStyle name="20% - 강조색4 10 2" xfId="29739"/>
    <cellStyle name="20% - 강조색4 11" xfId="5317"/>
    <cellStyle name="20% - 강조색4 11 2" xfId="29565"/>
    <cellStyle name="20% - 강조색4 12" xfId="5318"/>
    <cellStyle name="20% - 강조색4 12 2" xfId="29585"/>
    <cellStyle name="20% - 강조색4 13" xfId="5319"/>
    <cellStyle name="20% - 강조색4 13 2" xfId="29773"/>
    <cellStyle name="20% - 강조색4 14" xfId="5320"/>
    <cellStyle name="20% - 강조색4 15" xfId="5321"/>
    <cellStyle name="20% - 강조색4 16" xfId="5322"/>
    <cellStyle name="20% - 강조색4 17" xfId="5323"/>
    <cellStyle name="20% - 강조색4 18" xfId="5324"/>
    <cellStyle name="20% - 강조색4 19" xfId="5325"/>
    <cellStyle name="20% - 강조색4 2" xfId="22"/>
    <cellStyle name="20% - 강조색4 2 2" xfId="5326"/>
    <cellStyle name="20% - 강조색4 2 3" xfId="5327"/>
    <cellStyle name="20% - 강조색4 2 4" xfId="5328"/>
    <cellStyle name="20% - 강조색4 20" xfId="5329"/>
    <cellStyle name="20% - 강조색4 21" xfId="5330"/>
    <cellStyle name="20% - 강조색4 22" xfId="5331"/>
    <cellStyle name="20% - 강조색4 23" xfId="5332"/>
    <cellStyle name="20% - 강조색4 24" xfId="5333"/>
    <cellStyle name="20% - 강조색4 25" xfId="5334"/>
    <cellStyle name="20% - 강조색4 26" xfId="5335"/>
    <cellStyle name="20% - 강조색4 27" xfId="5336"/>
    <cellStyle name="20% - 강조색4 28" xfId="5337"/>
    <cellStyle name="20% - 강조색4 29" xfId="5338"/>
    <cellStyle name="20% - 강조색4 3" xfId="23"/>
    <cellStyle name="20% - 강조색4 3 2" xfId="5339"/>
    <cellStyle name="20% - 강조색4 3 2 2" xfId="5340"/>
    <cellStyle name="20% - 강조색4 3 3" xfId="5341"/>
    <cellStyle name="20% - 강조색4 3 4" xfId="5342"/>
    <cellStyle name="20% - 강조색4 30" xfId="5343"/>
    <cellStyle name="20% - 강조색4 31" xfId="5344"/>
    <cellStyle name="20% - 강조색4 32" xfId="5345"/>
    <cellStyle name="20% - 강조색4 33" xfId="5346"/>
    <cellStyle name="20% - 강조색4 34" xfId="5347"/>
    <cellStyle name="20% - 강조색4 35" xfId="5348"/>
    <cellStyle name="20% - 강조색4 36" xfId="5349"/>
    <cellStyle name="20% - 강조색4 37" xfId="5350"/>
    <cellStyle name="20% - 강조색4 38" xfId="5351"/>
    <cellStyle name="20% - 강조색4 39" xfId="5352"/>
    <cellStyle name="20% - 강조색4 4" xfId="24"/>
    <cellStyle name="20% - 강조색4 4 2" xfId="5353"/>
    <cellStyle name="20% - 강조색4 4 3" xfId="5354"/>
    <cellStyle name="20% - 강조색4 4 4" xfId="5355"/>
    <cellStyle name="20% - 강조색4 40" xfId="5356"/>
    <cellStyle name="20% - 강조색4 41" xfId="5357"/>
    <cellStyle name="20% - 강조색4 42" xfId="5358"/>
    <cellStyle name="20% - 강조색4 43" xfId="5359"/>
    <cellStyle name="20% - 강조색4 44" xfId="5360"/>
    <cellStyle name="20% - 강조색4 45" xfId="5361"/>
    <cellStyle name="20% - 강조색4 46" xfId="5362"/>
    <cellStyle name="20% - 강조색4 47" xfId="5363"/>
    <cellStyle name="20% - 강조색4 48" xfId="5364"/>
    <cellStyle name="20% - 강조색4 49" xfId="5365"/>
    <cellStyle name="20% - 강조색4 5" xfId="25"/>
    <cellStyle name="20% - 강조색4 5 2" xfId="5366"/>
    <cellStyle name="20% - 강조색4 50" xfId="28130"/>
    <cellStyle name="20% - 강조색4 50 2" xfId="30724"/>
    <cellStyle name="20% - 강조색4 50 2 2" xfId="30774"/>
    <cellStyle name="20% - 강조색4 50 2 2 2" xfId="30871"/>
    <cellStyle name="20% - 강조색4 50 2 2 2 2" xfId="32225"/>
    <cellStyle name="20% - 강조색4 50 2 2 3" xfId="32130"/>
    <cellStyle name="20% - 강조색4 50 2 3" xfId="30824"/>
    <cellStyle name="20% - 강조색4 50 2 3 2" xfId="32178"/>
    <cellStyle name="20% - 강조색4 50 2 4" xfId="32083"/>
    <cellStyle name="20% - 강조색4 50 3" xfId="30751"/>
    <cellStyle name="20% - 강조색4 50 3 2" xfId="30848"/>
    <cellStyle name="20% - 강조색4 50 3 2 2" xfId="32202"/>
    <cellStyle name="20% - 강조색4 50 3 3" xfId="32107"/>
    <cellStyle name="20% - 강조색4 50 4" xfId="30800"/>
    <cellStyle name="20% - 강조색4 50 4 2" xfId="32155"/>
    <cellStyle name="20% - 강조색4 50 5" xfId="32059"/>
    <cellStyle name="20% - 강조색4 6" xfId="26"/>
    <cellStyle name="20% - 강조색4 6 2" xfId="5367"/>
    <cellStyle name="20% - 강조색4 7" xfId="27"/>
    <cellStyle name="20% - 강조색4 7 2" xfId="5368"/>
    <cellStyle name="20% - 강조색4 8" xfId="28"/>
    <cellStyle name="20% - 강조색4 8 2" xfId="5369"/>
    <cellStyle name="20% - 강조색4 9" xfId="5370"/>
    <cellStyle name="20% - 강조색4 9 2" xfId="29714"/>
    <cellStyle name="20% - 강조색5 10" xfId="5371"/>
    <cellStyle name="20% - 강조색5 10 2" xfId="30122"/>
    <cellStyle name="20% - 강조색5 11" xfId="5372"/>
    <cellStyle name="20% - 강조색5 11 2" xfId="29655"/>
    <cellStyle name="20% - 강조색5 12" xfId="5373"/>
    <cellStyle name="20% - 강조색5 12 2" xfId="29491"/>
    <cellStyle name="20% - 강조색5 13" xfId="5374"/>
    <cellStyle name="20% - 강조색5 13 2" xfId="29564"/>
    <cellStyle name="20% - 강조색5 14" xfId="5375"/>
    <cellStyle name="20% - 강조색5 15" xfId="5376"/>
    <cellStyle name="20% - 강조색5 16" xfId="5377"/>
    <cellStyle name="20% - 강조색5 17" xfId="5378"/>
    <cellStyle name="20% - 강조색5 18" xfId="5379"/>
    <cellStyle name="20% - 강조색5 19" xfId="5380"/>
    <cellStyle name="20% - 강조색5 2" xfId="29"/>
    <cellStyle name="20% - 강조색5 2 2" xfId="5381"/>
    <cellStyle name="20% - 강조색5 2 3" xfId="5382"/>
    <cellStyle name="20% - 강조색5 2 4" xfId="5383"/>
    <cellStyle name="20% - 강조색5 20" xfId="5384"/>
    <cellStyle name="20% - 강조색5 21" xfId="5385"/>
    <cellStyle name="20% - 강조색5 22" xfId="5386"/>
    <cellStyle name="20% - 강조색5 23" xfId="5387"/>
    <cellStyle name="20% - 강조색5 24" xfId="5388"/>
    <cellStyle name="20% - 강조색5 25" xfId="5389"/>
    <cellStyle name="20% - 강조색5 26" xfId="5390"/>
    <cellStyle name="20% - 강조색5 27" xfId="5391"/>
    <cellStyle name="20% - 강조색5 28" xfId="5392"/>
    <cellStyle name="20% - 강조색5 29" xfId="5393"/>
    <cellStyle name="20% - 강조색5 3" xfId="30"/>
    <cellStyle name="20% - 강조색5 3 2" xfId="5394"/>
    <cellStyle name="20% - 강조색5 3 2 2" xfId="5395"/>
    <cellStyle name="20% - 강조색5 3 3" xfId="5396"/>
    <cellStyle name="20% - 강조색5 3 4" xfId="5397"/>
    <cellStyle name="20% - 강조색5 30" xfId="5398"/>
    <cellStyle name="20% - 강조색5 31" xfId="5399"/>
    <cellStyle name="20% - 강조색5 32" xfId="5400"/>
    <cellStyle name="20% - 강조색5 33" xfId="5401"/>
    <cellStyle name="20% - 강조색5 34" xfId="5402"/>
    <cellStyle name="20% - 강조색5 35" xfId="5403"/>
    <cellStyle name="20% - 강조색5 36" xfId="5404"/>
    <cellStyle name="20% - 강조색5 37" xfId="5405"/>
    <cellStyle name="20% - 강조색5 38" xfId="5406"/>
    <cellStyle name="20% - 강조색5 39" xfId="5407"/>
    <cellStyle name="20% - 강조색5 4" xfId="31"/>
    <cellStyle name="20% - 강조색5 4 2" xfId="5408"/>
    <cellStyle name="20% - 강조색5 4 3" xfId="5409"/>
    <cellStyle name="20% - 강조색5 4 4" xfId="5410"/>
    <cellStyle name="20% - 강조색5 40" xfId="5411"/>
    <cellStyle name="20% - 강조색5 41" xfId="5412"/>
    <cellStyle name="20% - 강조색5 42" xfId="5413"/>
    <cellStyle name="20% - 강조색5 43" xfId="5414"/>
    <cellStyle name="20% - 강조색5 44" xfId="5415"/>
    <cellStyle name="20% - 강조색5 45" xfId="5416"/>
    <cellStyle name="20% - 강조색5 46" xfId="5417"/>
    <cellStyle name="20% - 강조색5 47" xfId="5418"/>
    <cellStyle name="20% - 강조색5 48" xfId="5419"/>
    <cellStyle name="20% - 강조색5 49" xfId="5420"/>
    <cellStyle name="20% - 강조색5 5" xfId="32"/>
    <cellStyle name="20% - 강조색5 5 2" xfId="5421"/>
    <cellStyle name="20% - 강조색5 50" xfId="28134"/>
    <cellStyle name="20% - 강조색5 50 2" xfId="30726"/>
    <cellStyle name="20% - 강조색5 50 2 2" xfId="30776"/>
    <cellStyle name="20% - 강조색5 50 2 2 2" xfId="30873"/>
    <cellStyle name="20% - 강조색5 50 2 2 2 2" xfId="32227"/>
    <cellStyle name="20% - 강조색5 50 2 2 3" xfId="32132"/>
    <cellStyle name="20% - 강조색5 50 2 3" xfId="30826"/>
    <cellStyle name="20% - 강조색5 50 2 3 2" xfId="32180"/>
    <cellStyle name="20% - 강조색5 50 2 4" xfId="32085"/>
    <cellStyle name="20% - 강조색5 50 3" xfId="30753"/>
    <cellStyle name="20% - 강조색5 50 3 2" xfId="30850"/>
    <cellStyle name="20% - 강조색5 50 3 2 2" xfId="32204"/>
    <cellStyle name="20% - 강조색5 50 3 3" xfId="32109"/>
    <cellStyle name="20% - 강조색5 50 4" xfId="30802"/>
    <cellStyle name="20% - 강조색5 50 4 2" xfId="32157"/>
    <cellStyle name="20% - 강조색5 50 5" xfId="32061"/>
    <cellStyle name="20% - 강조색5 6" xfId="33"/>
    <cellStyle name="20% - 강조색5 6 2" xfId="5422"/>
    <cellStyle name="20% - 강조색5 7" xfId="34"/>
    <cellStyle name="20% - 강조색5 7 2" xfId="5423"/>
    <cellStyle name="20% - 강조색5 8" xfId="35"/>
    <cellStyle name="20% - 강조색5 8 2" xfId="5424"/>
    <cellStyle name="20% - 강조색5 9" xfId="5425"/>
    <cellStyle name="20% - 강조색5 9 2" xfId="29563"/>
    <cellStyle name="20% - 강조색6 10" xfId="5426"/>
    <cellStyle name="20% - 강조색6 10 2" xfId="29738"/>
    <cellStyle name="20% - 강조색6 11" xfId="5427"/>
    <cellStyle name="20% - 강조색6 11 2" xfId="29809"/>
    <cellStyle name="20% - 강조색6 12" xfId="5428"/>
    <cellStyle name="20% - 강조색6 12 2" xfId="29630"/>
    <cellStyle name="20% - 강조색6 13" xfId="5429"/>
    <cellStyle name="20% - 강조색6 13 2" xfId="29476"/>
    <cellStyle name="20% - 강조색6 14" xfId="5430"/>
    <cellStyle name="20% - 강조색6 15" xfId="5431"/>
    <cellStyle name="20% - 강조색6 16" xfId="5432"/>
    <cellStyle name="20% - 강조색6 17" xfId="5433"/>
    <cellStyle name="20% - 강조색6 18" xfId="5434"/>
    <cellStyle name="20% - 강조색6 19" xfId="5435"/>
    <cellStyle name="20% - 강조색6 2" xfId="36"/>
    <cellStyle name="20% - 강조색6 2 2" xfId="5436"/>
    <cellStyle name="20% - 강조색6 2 3" xfId="5437"/>
    <cellStyle name="20% - 강조색6 2 4" xfId="5438"/>
    <cellStyle name="20% - 강조색6 20" xfId="5439"/>
    <cellStyle name="20% - 강조색6 21" xfId="5440"/>
    <cellStyle name="20% - 강조색6 22" xfId="5441"/>
    <cellStyle name="20% - 강조색6 23" xfId="5442"/>
    <cellStyle name="20% - 강조색6 24" xfId="5443"/>
    <cellStyle name="20% - 강조색6 25" xfId="5444"/>
    <cellStyle name="20% - 강조색6 26" xfId="5445"/>
    <cellStyle name="20% - 강조색6 27" xfId="5446"/>
    <cellStyle name="20% - 강조색6 28" xfId="5447"/>
    <cellStyle name="20% - 강조색6 29" xfId="5448"/>
    <cellStyle name="20% - 강조색6 3" xfId="37"/>
    <cellStyle name="20% - 강조색6 3 2" xfId="5449"/>
    <cellStyle name="20% - 강조색6 3 2 2" xfId="5450"/>
    <cellStyle name="20% - 강조색6 3 3" xfId="5451"/>
    <cellStyle name="20% - 강조색6 3 4" xfId="5452"/>
    <cellStyle name="20% - 강조색6 30" xfId="5453"/>
    <cellStyle name="20% - 강조색6 31" xfId="5454"/>
    <cellStyle name="20% - 강조색6 32" xfId="5455"/>
    <cellStyle name="20% - 강조색6 33" xfId="5456"/>
    <cellStyle name="20% - 강조색6 34" xfId="5457"/>
    <cellStyle name="20% - 강조색6 35" xfId="5458"/>
    <cellStyle name="20% - 강조색6 36" xfId="5459"/>
    <cellStyle name="20% - 강조색6 37" xfId="5460"/>
    <cellStyle name="20% - 강조색6 38" xfId="5461"/>
    <cellStyle name="20% - 강조색6 39" xfId="5462"/>
    <cellStyle name="20% - 강조색6 4" xfId="38"/>
    <cellStyle name="20% - 강조색6 4 2" xfId="5463"/>
    <cellStyle name="20% - 강조색6 4 3" xfId="5464"/>
    <cellStyle name="20% - 강조색6 4 4" xfId="5465"/>
    <cellStyle name="20% - 강조색6 40" xfId="5466"/>
    <cellStyle name="20% - 강조색6 41" xfId="5467"/>
    <cellStyle name="20% - 강조색6 42" xfId="5468"/>
    <cellStyle name="20% - 강조색6 43" xfId="5469"/>
    <cellStyle name="20% - 강조색6 44" xfId="5470"/>
    <cellStyle name="20% - 강조색6 45" xfId="5471"/>
    <cellStyle name="20% - 강조색6 46" xfId="5472"/>
    <cellStyle name="20% - 강조색6 47" xfId="5473"/>
    <cellStyle name="20% - 강조색6 48" xfId="5474"/>
    <cellStyle name="20% - 강조색6 49" xfId="5475"/>
    <cellStyle name="20% - 강조색6 5" xfId="39"/>
    <cellStyle name="20% - 강조색6 5 2" xfId="5476"/>
    <cellStyle name="20% - 강조색6 50" xfId="28138"/>
    <cellStyle name="20% - 강조색6 50 2" xfId="30728"/>
    <cellStyle name="20% - 강조색6 50 2 2" xfId="30778"/>
    <cellStyle name="20% - 강조색6 50 2 2 2" xfId="30875"/>
    <cellStyle name="20% - 강조색6 50 2 2 2 2" xfId="32229"/>
    <cellStyle name="20% - 강조색6 50 2 2 3" xfId="32134"/>
    <cellStyle name="20% - 강조색6 50 2 3" xfId="30828"/>
    <cellStyle name="20% - 강조색6 50 2 3 2" xfId="32182"/>
    <cellStyle name="20% - 강조색6 50 2 4" xfId="32087"/>
    <cellStyle name="20% - 강조색6 50 3" xfId="30755"/>
    <cellStyle name="20% - 강조색6 50 3 2" xfId="30852"/>
    <cellStyle name="20% - 강조색6 50 3 2 2" xfId="32206"/>
    <cellStyle name="20% - 강조색6 50 3 3" xfId="32111"/>
    <cellStyle name="20% - 강조색6 50 4" xfId="30804"/>
    <cellStyle name="20% - 강조색6 50 4 2" xfId="32159"/>
    <cellStyle name="20% - 강조색6 50 5" xfId="32063"/>
    <cellStyle name="20% - 강조색6 6" xfId="40"/>
    <cellStyle name="20% - 강조색6 6 2" xfId="5477"/>
    <cellStyle name="20% - 강조색6 7" xfId="41"/>
    <cellStyle name="20% - 강조색6 7 2" xfId="5478"/>
    <cellStyle name="20% - 강조색6 8" xfId="42"/>
    <cellStyle name="20% - 강조색6 8 2" xfId="5479"/>
    <cellStyle name="20% - 강조색6 9" xfId="5480"/>
    <cellStyle name="20% - 강조색6 9 2" xfId="30273"/>
    <cellStyle name="40% - 강조색1 10" xfId="5481"/>
    <cellStyle name="40% - 강조색1 10 2" xfId="30318"/>
    <cellStyle name="40% - 강조색1 11" xfId="5482"/>
    <cellStyle name="40% - 강조색1 11 2" xfId="29562"/>
    <cellStyle name="40% - 강조색1 12" xfId="5483"/>
    <cellStyle name="40% - 강조색1 12 2" xfId="29789"/>
    <cellStyle name="40% - 강조색1 13" xfId="5484"/>
    <cellStyle name="40% - 강조색1 13 2" xfId="29654"/>
    <cellStyle name="40% - 강조색1 14" xfId="5485"/>
    <cellStyle name="40% - 강조색1 15" xfId="5486"/>
    <cellStyle name="40% - 강조색1 16" xfId="5487"/>
    <cellStyle name="40% - 강조색1 17" xfId="5488"/>
    <cellStyle name="40% - 강조색1 18" xfId="5489"/>
    <cellStyle name="40% - 강조색1 19" xfId="5490"/>
    <cellStyle name="40% - 강조색1 2" xfId="43"/>
    <cellStyle name="40% - 강조색1 2 2" xfId="5491"/>
    <cellStyle name="40% - 강조색1 2 3" xfId="5492"/>
    <cellStyle name="40% - 강조색1 2 4" xfId="5493"/>
    <cellStyle name="40% - 강조색1 20" xfId="5494"/>
    <cellStyle name="40% - 강조색1 21" xfId="5495"/>
    <cellStyle name="40% - 강조색1 22" xfId="5496"/>
    <cellStyle name="40% - 강조색1 23" xfId="5497"/>
    <cellStyle name="40% - 강조색1 24" xfId="5498"/>
    <cellStyle name="40% - 강조색1 25" xfId="5499"/>
    <cellStyle name="40% - 강조색1 26" xfId="5500"/>
    <cellStyle name="40% - 강조색1 27" xfId="5501"/>
    <cellStyle name="40% - 강조색1 28" xfId="5502"/>
    <cellStyle name="40% - 강조색1 29" xfId="5503"/>
    <cellStyle name="40% - 강조색1 3" xfId="44"/>
    <cellStyle name="40% - 강조색1 3 2" xfId="5504"/>
    <cellStyle name="40% - 강조색1 3 2 2" xfId="5505"/>
    <cellStyle name="40% - 강조색1 3 3" xfId="5506"/>
    <cellStyle name="40% - 강조색1 3 4" xfId="5507"/>
    <cellStyle name="40% - 강조색1 30" xfId="5508"/>
    <cellStyle name="40% - 강조색1 31" xfId="5509"/>
    <cellStyle name="40% - 강조색1 32" xfId="5510"/>
    <cellStyle name="40% - 강조색1 33" xfId="5511"/>
    <cellStyle name="40% - 강조색1 34" xfId="5512"/>
    <cellStyle name="40% - 강조색1 35" xfId="5513"/>
    <cellStyle name="40% - 강조색1 36" xfId="5514"/>
    <cellStyle name="40% - 강조색1 37" xfId="5515"/>
    <cellStyle name="40% - 강조색1 38" xfId="5516"/>
    <cellStyle name="40% - 강조색1 39" xfId="5517"/>
    <cellStyle name="40% - 강조색1 4" xfId="45"/>
    <cellStyle name="40% - 강조색1 4 2" xfId="5518"/>
    <cellStyle name="40% - 강조색1 4 3" xfId="5519"/>
    <cellStyle name="40% - 강조색1 4 4" xfId="5520"/>
    <cellStyle name="40% - 강조색1 40" xfId="5521"/>
    <cellStyle name="40% - 강조색1 41" xfId="5522"/>
    <cellStyle name="40% - 강조색1 42" xfId="5523"/>
    <cellStyle name="40% - 강조색1 43" xfId="5524"/>
    <cellStyle name="40% - 강조색1 44" xfId="5525"/>
    <cellStyle name="40% - 강조색1 45" xfId="5526"/>
    <cellStyle name="40% - 강조색1 46" xfId="5527"/>
    <cellStyle name="40% - 강조색1 47" xfId="5528"/>
    <cellStyle name="40% - 강조색1 48" xfId="5529"/>
    <cellStyle name="40% - 강조색1 49" xfId="5530"/>
    <cellStyle name="40% - 강조색1 5" xfId="46"/>
    <cellStyle name="40% - 강조색1 5 2" xfId="5531"/>
    <cellStyle name="40% - 강조색1 50" xfId="28119"/>
    <cellStyle name="40% - 강조색1 50 2" xfId="30719"/>
    <cellStyle name="40% - 강조색1 50 2 2" xfId="30769"/>
    <cellStyle name="40% - 강조색1 50 2 2 2" xfId="30866"/>
    <cellStyle name="40% - 강조색1 50 2 2 2 2" xfId="32220"/>
    <cellStyle name="40% - 강조색1 50 2 2 3" xfId="32125"/>
    <cellStyle name="40% - 강조색1 50 2 3" xfId="30819"/>
    <cellStyle name="40% - 강조색1 50 2 3 2" xfId="32173"/>
    <cellStyle name="40% - 강조색1 50 2 4" xfId="32078"/>
    <cellStyle name="40% - 강조색1 50 3" xfId="30746"/>
    <cellStyle name="40% - 강조색1 50 3 2" xfId="30843"/>
    <cellStyle name="40% - 강조색1 50 3 2 2" xfId="32197"/>
    <cellStyle name="40% - 강조색1 50 3 3" xfId="32102"/>
    <cellStyle name="40% - 강조색1 50 4" xfId="30795"/>
    <cellStyle name="40% - 강조색1 50 4 2" xfId="32150"/>
    <cellStyle name="40% - 강조색1 50 5" xfId="32054"/>
    <cellStyle name="40% - 강조색1 6" xfId="47"/>
    <cellStyle name="40% - 강조색1 6 2" xfId="5532"/>
    <cellStyle name="40% - 강조색1 7" xfId="48"/>
    <cellStyle name="40% - 강조색1 7 2" xfId="5533"/>
    <cellStyle name="40% - 강조색1 8" xfId="49"/>
    <cellStyle name="40% - 강조색1 8 2" xfId="5534"/>
    <cellStyle name="40% - 강조색1 9" xfId="5535"/>
    <cellStyle name="40% - 강조색1 9 2" xfId="29598"/>
    <cellStyle name="40% - 강조색2 10" xfId="5536"/>
    <cellStyle name="40% - 강조색2 10 2" xfId="29527"/>
    <cellStyle name="40% - 강조색2 11" xfId="5537"/>
    <cellStyle name="40% - 강조색2 11 2" xfId="29801"/>
    <cellStyle name="40% - 강조색2 12" xfId="5538"/>
    <cellStyle name="40% - 강조색2 12 2" xfId="29783"/>
    <cellStyle name="40% - 강조색2 13" xfId="5539"/>
    <cellStyle name="40% - 강조색2 13 2" xfId="29699"/>
    <cellStyle name="40% - 강조색2 14" xfId="5540"/>
    <cellStyle name="40% - 강조색2 15" xfId="5541"/>
    <cellStyle name="40% - 강조색2 16" xfId="5542"/>
    <cellStyle name="40% - 강조색2 17" xfId="5543"/>
    <cellStyle name="40% - 강조색2 18" xfId="5544"/>
    <cellStyle name="40% - 강조색2 19" xfId="5545"/>
    <cellStyle name="40% - 강조색2 2" xfId="50"/>
    <cellStyle name="40% - 강조색2 2 2" xfId="5546"/>
    <cellStyle name="40% - 강조색2 2 3" xfId="5547"/>
    <cellStyle name="40% - 강조색2 2 4" xfId="5548"/>
    <cellStyle name="40% - 강조색2 20" xfId="5549"/>
    <cellStyle name="40% - 강조색2 21" xfId="5550"/>
    <cellStyle name="40% - 강조색2 22" xfId="5551"/>
    <cellStyle name="40% - 강조색2 23" xfId="5552"/>
    <cellStyle name="40% - 강조색2 24" xfId="5553"/>
    <cellStyle name="40% - 강조색2 25" xfId="5554"/>
    <cellStyle name="40% - 강조색2 26" xfId="5555"/>
    <cellStyle name="40% - 강조색2 27" xfId="5556"/>
    <cellStyle name="40% - 강조색2 28" xfId="5557"/>
    <cellStyle name="40% - 강조색2 29" xfId="5558"/>
    <cellStyle name="40% - 강조색2 3" xfId="51"/>
    <cellStyle name="40% - 강조색2 3 2" xfId="5559"/>
    <cellStyle name="40% - 강조색2 3 2 2" xfId="5560"/>
    <cellStyle name="40% - 강조색2 3 3" xfId="5561"/>
    <cellStyle name="40% - 강조색2 3 4" xfId="5562"/>
    <cellStyle name="40% - 강조색2 30" xfId="5563"/>
    <cellStyle name="40% - 강조색2 31" xfId="5564"/>
    <cellStyle name="40% - 강조색2 32" xfId="5565"/>
    <cellStyle name="40% - 강조색2 33" xfId="5566"/>
    <cellStyle name="40% - 강조색2 34" xfId="5567"/>
    <cellStyle name="40% - 강조색2 35" xfId="5568"/>
    <cellStyle name="40% - 강조색2 36" xfId="5569"/>
    <cellStyle name="40% - 강조색2 37" xfId="5570"/>
    <cellStyle name="40% - 강조색2 38" xfId="5571"/>
    <cellStyle name="40% - 강조색2 39" xfId="5572"/>
    <cellStyle name="40% - 강조색2 4" xfId="52"/>
    <cellStyle name="40% - 강조색2 4 2" xfId="5573"/>
    <cellStyle name="40% - 강조색2 4 3" xfId="5574"/>
    <cellStyle name="40% - 강조색2 4 4" xfId="5575"/>
    <cellStyle name="40% - 강조색2 40" xfId="5576"/>
    <cellStyle name="40% - 강조색2 41" xfId="5577"/>
    <cellStyle name="40% - 강조색2 42" xfId="5578"/>
    <cellStyle name="40% - 강조색2 43" xfId="5579"/>
    <cellStyle name="40% - 강조색2 44" xfId="5580"/>
    <cellStyle name="40% - 강조색2 45" xfId="5581"/>
    <cellStyle name="40% - 강조색2 46" xfId="5582"/>
    <cellStyle name="40% - 강조색2 47" xfId="5583"/>
    <cellStyle name="40% - 강조색2 48" xfId="5584"/>
    <cellStyle name="40% - 강조색2 49" xfId="5585"/>
    <cellStyle name="40% - 강조색2 5" xfId="53"/>
    <cellStyle name="40% - 강조색2 5 2" xfId="5586"/>
    <cellStyle name="40% - 강조색2 50" xfId="28123"/>
    <cellStyle name="40% - 강조색2 50 2" xfId="30721"/>
    <cellStyle name="40% - 강조색2 50 2 2" xfId="30771"/>
    <cellStyle name="40% - 강조색2 50 2 2 2" xfId="30868"/>
    <cellStyle name="40% - 강조색2 50 2 2 2 2" xfId="32222"/>
    <cellStyle name="40% - 강조색2 50 2 2 3" xfId="32127"/>
    <cellStyle name="40% - 강조색2 50 2 3" xfId="30821"/>
    <cellStyle name="40% - 강조색2 50 2 3 2" xfId="32175"/>
    <cellStyle name="40% - 강조색2 50 2 4" xfId="32080"/>
    <cellStyle name="40% - 강조색2 50 3" xfId="30748"/>
    <cellStyle name="40% - 강조색2 50 3 2" xfId="30845"/>
    <cellStyle name="40% - 강조색2 50 3 2 2" xfId="32199"/>
    <cellStyle name="40% - 강조색2 50 3 3" xfId="32104"/>
    <cellStyle name="40% - 강조색2 50 4" xfId="30797"/>
    <cellStyle name="40% - 강조색2 50 4 2" xfId="32152"/>
    <cellStyle name="40% - 강조색2 50 5" xfId="32056"/>
    <cellStyle name="40% - 강조색2 6" xfId="54"/>
    <cellStyle name="40% - 강조색2 6 2" xfId="5587"/>
    <cellStyle name="40% - 강조색2 7" xfId="55"/>
    <cellStyle name="40% - 강조색2 7 2" xfId="5588"/>
    <cellStyle name="40% - 강조색2 8" xfId="56"/>
    <cellStyle name="40% - 강조색2 8 2" xfId="5589"/>
    <cellStyle name="40% - 강조색2 9" xfId="5590"/>
    <cellStyle name="40% - 강조색2 9 2" xfId="29583"/>
    <cellStyle name="40% - 강조색3 10" xfId="5591"/>
    <cellStyle name="40% - 강조색3 10 2" xfId="29597"/>
    <cellStyle name="40% - 강조색3 11" xfId="5592"/>
    <cellStyle name="40% - 강조색3 11 2" xfId="29605"/>
    <cellStyle name="40% - 강조색3 12" xfId="5593"/>
    <cellStyle name="40% - 강조색3 12 2" xfId="29838"/>
    <cellStyle name="40% - 강조색3 13" xfId="5594"/>
    <cellStyle name="40% - 강조색3 13 2" xfId="29526"/>
    <cellStyle name="40% - 강조색3 14" xfId="5595"/>
    <cellStyle name="40% - 강조색3 15" xfId="5596"/>
    <cellStyle name="40% - 강조색3 16" xfId="5597"/>
    <cellStyle name="40% - 강조색3 17" xfId="5598"/>
    <cellStyle name="40% - 강조색3 18" xfId="5599"/>
    <cellStyle name="40% - 강조색3 19" xfId="5600"/>
    <cellStyle name="40% - 강조색3 2" xfId="57"/>
    <cellStyle name="40% - 강조색3 2 2" xfId="5601"/>
    <cellStyle name="40% - 강조색3 2 3" xfId="5602"/>
    <cellStyle name="40% - 강조색3 2 4" xfId="5603"/>
    <cellStyle name="40% - 강조색3 20" xfId="5604"/>
    <cellStyle name="40% - 강조색3 21" xfId="5605"/>
    <cellStyle name="40% - 강조색3 22" xfId="5606"/>
    <cellStyle name="40% - 강조색3 23" xfId="5607"/>
    <cellStyle name="40% - 강조색3 24" xfId="5608"/>
    <cellStyle name="40% - 강조색3 25" xfId="5609"/>
    <cellStyle name="40% - 강조색3 26" xfId="5610"/>
    <cellStyle name="40% - 강조색3 27" xfId="5611"/>
    <cellStyle name="40% - 강조색3 28" xfId="5612"/>
    <cellStyle name="40% - 강조색3 29" xfId="5613"/>
    <cellStyle name="40% - 강조색3 3" xfId="58"/>
    <cellStyle name="40% - 강조색3 3 2" xfId="5614"/>
    <cellStyle name="40% - 강조색3 3 2 2" xfId="5615"/>
    <cellStyle name="40% - 강조색3 3 3" xfId="5616"/>
    <cellStyle name="40% - 강조색3 3 4" xfId="5617"/>
    <cellStyle name="40% - 강조색3 30" xfId="5618"/>
    <cellStyle name="40% - 강조색3 31" xfId="5619"/>
    <cellStyle name="40% - 강조색3 32" xfId="5620"/>
    <cellStyle name="40% - 강조색3 33" xfId="5621"/>
    <cellStyle name="40% - 강조색3 34" xfId="5622"/>
    <cellStyle name="40% - 강조색3 35" xfId="5623"/>
    <cellStyle name="40% - 강조색3 36" xfId="5624"/>
    <cellStyle name="40% - 강조색3 37" xfId="5625"/>
    <cellStyle name="40% - 강조색3 38" xfId="5626"/>
    <cellStyle name="40% - 강조색3 39" xfId="5627"/>
    <cellStyle name="40% - 강조색3 4" xfId="59"/>
    <cellStyle name="40% - 강조색3 4 2" xfId="5628"/>
    <cellStyle name="40% - 강조색3 4 3" xfId="5629"/>
    <cellStyle name="40% - 강조색3 4 4" xfId="5630"/>
    <cellStyle name="40% - 강조색3 40" xfId="5631"/>
    <cellStyle name="40% - 강조색3 41" xfId="5632"/>
    <cellStyle name="40% - 강조색3 42" xfId="5633"/>
    <cellStyle name="40% - 강조색3 43" xfId="5634"/>
    <cellStyle name="40% - 강조색3 44" xfId="5635"/>
    <cellStyle name="40% - 강조색3 45" xfId="5636"/>
    <cellStyle name="40% - 강조색3 46" xfId="5637"/>
    <cellStyle name="40% - 강조색3 47" xfId="5638"/>
    <cellStyle name="40% - 강조색3 48" xfId="5639"/>
    <cellStyle name="40% - 강조색3 49" xfId="5640"/>
    <cellStyle name="40% - 강조색3 5" xfId="60"/>
    <cellStyle name="40% - 강조색3 5 2" xfId="5641"/>
    <cellStyle name="40% - 강조색3 50" xfId="28127"/>
    <cellStyle name="40% - 강조색3 50 2" xfId="30723"/>
    <cellStyle name="40% - 강조색3 50 2 2" xfId="30773"/>
    <cellStyle name="40% - 강조색3 50 2 2 2" xfId="30870"/>
    <cellStyle name="40% - 강조색3 50 2 2 2 2" xfId="32224"/>
    <cellStyle name="40% - 강조색3 50 2 2 3" xfId="32129"/>
    <cellStyle name="40% - 강조색3 50 2 3" xfId="30823"/>
    <cellStyle name="40% - 강조색3 50 2 3 2" xfId="32177"/>
    <cellStyle name="40% - 강조색3 50 2 4" xfId="32082"/>
    <cellStyle name="40% - 강조색3 50 3" xfId="30750"/>
    <cellStyle name="40% - 강조색3 50 3 2" xfId="30847"/>
    <cellStyle name="40% - 강조색3 50 3 2 2" xfId="32201"/>
    <cellStyle name="40% - 강조색3 50 3 3" xfId="32106"/>
    <cellStyle name="40% - 강조색3 50 4" xfId="30799"/>
    <cellStyle name="40% - 강조색3 50 4 2" xfId="32154"/>
    <cellStyle name="40% - 강조색3 50 5" xfId="32058"/>
    <cellStyle name="40% - 강조색3 6" xfId="61"/>
    <cellStyle name="40% - 강조색3 6 2" xfId="5642"/>
    <cellStyle name="40% - 강조색3 7" xfId="62"/>
    <cellStyle name="40% - 강조색3 7 2" xfId="5643"/>
    <cellStyle name="40% - 강조색3 8" xfId="63"/>
    <cellStyle name="40% - 강조색3 8 2" xfId="5644"/>
    <cellStyle name="40% - 강조색3 9" xfId="5645"/>
    <cellStyle name="40% - 강조색3 9 2" xfId="29604"/>
    <cellStyle name="40% - 강조색4 10" xfId="5646"/>
    <cellStyle name="40% - 강조색4 10 2" xfId="29446"/>
    <cellStyle name="40% - 강조색4 11" xfId="5647"/>
    <cellStyle name="40% - 강조색4 11 2" xfId="29611"/>
    <cellStyle name="40% - 강조색4 12" xfId="5648"/>
    <cellStyle name="40% - 강조색4 12 2" xfId="30664"/>
    <cellStyle name="40% - 강조색4 13" xfId="5649"/>
    <cellStyle name="40% - 강조색4 13 2" xfId="29529"/>
    <cellStyle name="40% - 강조색4 14" xfId="5650"/>
    <cellStyle name="40% - 강조색4 15" xfId="5651"/>
    <cellStyle name="40% - 강조색4 16" xfId="5652"/>
    <cellStyle name="40% - 강조색4 17" xfId="5653"/>
    <cellStyle name="40% - 강조색4 18" xfId="5654"/>
    <cellStyle name="40% - 강조색4 19" xfId="5655"/>
    <cellStyle name="40% - 강조색4 2" xfId="64"/>
    <cellStyle name="40% - 강조색4 2 2" xfId="5656"/>
    <cellStyle name="40% - 강조색4 2 3" xfId="5657"/>
    <cellStyle name="40% - 강조색4 2 4" xfId="5658"/>
    <cellStyle name="40% - 강조색4 20" xfId="5659"/>
    <cellStyle name="40% - 강조색4 21" xfId="5660"/>
    <cellStyle name="40% - 강조색4 22" xfId="5661"/>
    <cellStyle name="40% - 강조색4 23" xfId="5662"/>
    <cellStyle name="40% - 강조색4 24" xfId="5663"/>
    <cellStyle name="40% - 강조색4 25" xfId="5664"/>
    <cellStyle name="40% - 강조색4 26" xfId="5665"/>
    <cellStyle name="40% - 강조색4 27" xfId="5666"/>
    <cellStyle name="40% - 강조색4 28" xfId="5667"/>
    <cellStyle name="40% - 강조색4 29" xfId="5668"/>
    <cellStyle name="40% - 강조색4 3" xfId="65"/>
    <cellStyle name="40% - 강조색4 3 2" xfId="5669"/>
    <cellStyle name="40% - 강조색4 3 2 2" xfId="5670"/>
    <cellStyle name="40% - 강조색4 3 3" xfId="5671"/>
    <cellStyle name="40% - 강조색4 3 4" xfId="5672"/>
    <cellStyle name="40% - 강조색4 30" xfId="5673"/>
    <cellStyle name="40% - 강조색4 31" xfId="5674"/>
    <cellStyle name="40% - 강조색4 32" xfId="5675"/>
    <cellStyle name="40% - 강조색4 33" xfId="5676"/>
    <cellStyle name="40% - 강조색4 34" xfId="5677"/>
    <cellStyle name="40% - 강조색4 35" xfId="5678"/>
    <cellStyle name="40% - 강조색4 36" xfId="5679"/>
    <cellStyle name="40% - 강조색4 37" xfId="5680"/>
    <cellStyle name="40% - 강조색4 38" xfId="5681"/>
    <cellStyle name="40% - 강조색4 39" xfId="5682"/>
    <cellStyle name="40% - 강조색4 4" xfId="66"/>
    <cellStyle name="40% - 강조색4 4 2" xfId="5683"/>
    <cellStyle name="40% - 강조색4 4 3" xfId="5684"/>
    <cellStyle name="40% - 강조색4 4 4" xfId="5685"/>
    <cellStyle name="40% - 강조색4 40" xfId="5686"/>
    <cellStyle name="40% - 강조색4 41" xfId="5687"/>
    <cellStyle name="40% - 강조색4 42" xfId="5688"/>
    <cellStyle name="40% - 강조색4 43" xfId="5689"/>
    <cellStyle name="40% - 강조색4 44" xfId="5690"/>
    <cellStyle name="40% - 강조색4 45" xfId="5691"/>
    <cellStyle name="40% - 강조색4 46" xfId="5692"/>
    <cellStyle name="40% - 강조색4 47" xfId="5693"/>
    <cellStyle name="40% - 강조색4 48" xfId="5694"/>
    <cellStyle name="40% - 강조색4 49" xfId="5695"/>
    <cellStyle name="40% - 강조색4 5" xfId="67"/>
    <cellStyle name="40% - 강조색4 5 2" xfId="5696"/>
    <cellStyle name="40% - 강조색4 50" xfId="28131"/>
    <cellStyle name="40% - 강조색4 50 2" xfId="30725"/>
    <cellStyle name="40% - 강조색4 50 2 2" xfId="30775"/>
    <cellStyle name="40% - 강조색4 50 2 2 2" xfId="30872"/>
    <cellStyle name="40% - 강조색4 50 2 2 2 2" xfId="32226"/>
    <cellStyle name="40% - 강조색4 50 2 2 3" xfId="32131"/>
    <cellStyle name="40% - 강조색4 50 2 3" xfId="30825"/>
    <cellStyle name="40% - 강조색4 50 2 3 2" xfId="32179"/>
    <cellStyle name="40% - 강조색4 50 2 4" xfId="32084"/>
    <cellStyle name="40% - 강조색4 50 3" xfId="30752"/>
    <cellStyle name="40% - 강조색4 50 3 2" xfId="30849"/>
    <cellStyle name="40% - 강조색4 50 3 2 2" xfId="32203"/>
    <cellStyle name="40% - 강조색4 50 3 3" xfId="32108"/>
    <cellStyle name="40% - 강조색4 50 4" xfId="30801"/>
    <cellStyle name="40% - 강조색4 50 4 2" xfId="32156"/>
    <cellStyle name="40% - 강조색4 50 5" xfId="32060"/>
    <cellStyle name="40% - 강조색4 6" xfId="68"/>
    <cellStyle name="40% - 강조색4 6 2" xfId="5697"/>
    <cellStyle name="40% - 강조색4 7" xfId="69"/>
    <cellStyle name="40% - 강조색4 7 2" xfId="5698"/>
    <cellStyle name="40% - 강조색4 8" xfId="70"/>
    <cellStyle name="40% - 강조색4 8 2" xfId="5699"/>
    <cellStyle name="40% - 강조색4 9" xfId="5700"/>
    <cellStyle name="40% - 강조색4 9 2" xfId="29528"/>
    <cellStyle name="40% - 강조색5 10" xfId="5701"/>
    <cellStyle name="40% - 강조색5 10 2" xfId="30672"/>
    <cellStyle name="40% - 강조색5 11" xfId="5702"/>
    <cellStyle name="40% - 강조색5 11 2" xfId="29489"/>
    <cellStyle name="40% - 강조색5 12" xfId="5703"/>
    <cellStyle name="40% - 강조색5 12 2" xfId="29525"/>
    <cellStyle name="40% - 강조색5 13" xfId="5704"/>
    <cellStyle name="40% - 강조색5 13 2" xfId="30335"/>
    <cellStyle name="40% - 강조색5 14" xfId="5705"/>
    <cellStyle name="40% - 강조색5 15" xfId="5706"/>
    <cellStyle name="40% - 강조색5 16" xfId="5707"/>
    <cellStyle name="40% - 강조색5 17" xfId="5708"/>
    <cellStyle name="40% - 강조색5 18" xfId="5709"/>
    <cellStyle name="40% - 강조색5 19" xfId="5710"/>
    <cellStyle name="40% - 강조색5 2" xfId="71"/>
    <cellStyle name="40% - 강조색5 2 2" xfId="5711"/>
    <cellStyle name="40% - 강조색5 2 3" xfId="5712"/>
    <cellStyle name="40% - 강조색5 2 4" xfId="5713"/>
    <cellStyle name="40% - 강조색5 20" xfId="5714"/>
    <cellStyle name="40% - 강조색5 21" xfId="5715"/>
    <cellStyle name="40% - 강조색5 22" xfId="5716"/>
    <cellStyle name="40% - 강조색5 23" xfId="5717"/>
    <cellStyle name="40% - 강조색5 24" xfId="5718"/>
    <cellStyle name="40% - 강조색5 25" xfId="5719"/>
    <cellStyle name="40% - 강조색5 26" xfId="5720"/>
    <cellStyle name="40% - 강조색5 27" xfId="5721"/>
    <cellStyle name="40% - 강조색5 28" xfId="5722"/>
    <cellStyle name="40% - 강조색5 29" xfId="5723"/>
    <cellStyle name="40% - 강조색5 3" xfId="72"/>
    <cellStyle name="40% - 강조색5 3 2" xfId="5724"/>
    <cellStyle name="40% - 강조색5 3 2 2" xfId="5725"/>
    <cellStyle name="40% - 강조색5 3 3" xfId="5726"/>
    <cellStyle name="40% - 강조색5 3 4" xfId="5727"/>
    <cellStyle name="40% - 강조색5 30" xfId="5728"/>
    <cellStyle name="40% - 강조색5 31" xfId="5729"/>
    <cellStyle name="40% - 강조색5 32" xfId="5730"/>
    <cellStyle name="40% - 강조색5 33" xfId="5731"/>
    <cellStyle name="40% - 강조색5 34" xfId="5732"/>
    <cellStyle name="40% - 강조색5 35" xfId="5733"/>
    <cellStyle name="40% - 강조색5 36" xfId="5734"/>
    <cellStyle name="40% - 강조색5 37" xfId="5735"/>
    <cellStyle name="40% - 강조색5 38" xfId="5736"/>
    <cellStyle name="40% - 강조색5 39" xfId="5737"/>
    <cellStyle name="40% - 강조색5 4" xfId="73"/>
    <cellStyle name="40% - 강조색5 4 2" xfId="5738"/>
    <cellStyle name="40% - 강조색5 4 3" xfId="5739"/>
    <cellStyle name="40% - 강조색5 4 4" xfId="5740"/>
    <cellStyle name="40% - 강조색5 40" xfId="5741"/>
    <cellStyle name="40% - 강조색5 41" xfId="5742"/>
    <cellStyle name="40% - 강조색5 42" xfId="5743"/>
    <cellStyle name="40% - 강조색5 43" xfId="5744"/>
    <cellStyle name="40% - 강조색5 44" xfId="5745"/>
    <cellStyle name="40% - 강조색5 45" xfId="5746"/>
    <cellStyle name="40% - 강조색5 46" xfId="5747"/>
    <cellStyle name="40% - 강조색5 47" xfId="5748"/>
    <cellStyle name="40% - 강조색5 48" xfId="5749"/>
    <cellStyle name="40% - 강조색5 49" xfId="5750"/>
    <cellStyle name="40% - 강조색5 5" xfId="74"/>
    <cellStyle name="40% - 강조색5 5 2" xfId="5751"/>
    <cellStyle name="40% - 강조색5 50" xfId="28135"/>
    <cellStyle name="40% - 강조색5 50 2" xfId="30727"/>
    <cellStyle name="40% - 강조색5 50 2 2" xfId="30777"/>
    <cellStyle name="40% - 강조색5 50 2 2 2" xfId="30874"/>
    <cellStyle name="40% - 강조색5 50 2 2 2 2" xfId="32228"/>
    <cellStyle name="40% - 강조색5 50 2 2 3" xfId="32133"/>
    <cellStyle name="40% - 강조색5 50 2 3" xfId="30827"/>
    <cellStyle name="40% - 강조색5 50 2 3 2" xfId="32181"/>
    <cellStyle name="40% - 강조색5 50 2 4" xfId="32086"/>
    <cellStyle name="40% - 강조색5 50 3" xfId="30754"/>
    <cellStyle name="40% - 강조색5 50 3 2" xfId="30851"/>
    <cellStyle name="40% - 강조색5 50 3 2 2" xfId="32205"/>
    <cellStyle name="40% - 강조색5 50 3 3" xfId="32110"/>
    <cellStyle name="40% - 강조색5 50 4" xfId="30803"/>
    <cellStyle name="40% - 강조색5 50 4 2" xfId="32158"/>
    <cellStyle name="40% - 강조색5 50 5" xfId="32062"/>
    <cellStyle name="40% - 강조색5 6" xfId="75"/>
    <cellStyle name="40% - 강조색5 6 2" xfId="5752"/>
    <cellStyle name="40% - 강조색5 7" xfId="76"/>
    <cellStyle name="40% - 강조색5 7 2" xfId="5753"/>
    <cellStyle name="40% - 강조색5 8" xfId="77"/>
    <cellStyle name="40% - 강조색5 8 2" xfId="5754"/>
    <cellStyle name="40% - 강조색5 9" xfId="5755"/>
    <cellStyle name="40% - 강조색5 9 2" xfId="29763"/>
    <cellStyle name="40% - 강조색6 10" xfId="5756"/>
    <cellStyle name="40% - 강조색6 10 2" xfId="29687"/>
    <cellStyle name="40% - 강조색6 11" xfId="5757"/>
    <cellStyle name="40% - 강조색6 11 2" xfId="30654"/>
    <cellStyle name="40% - 강조색6 12" xfId="5758"/>
    <cellStyle name="40% - 강조색6 12 2" xfId="29934"/>
    <cellStyle name="40% - 강조색6 13" xfId="5759"/>
    <cellStyle name="40% - 강조색6 13 2" xfId="29707"/>
    <cellStyle name="40% - 강조색6 14" xfId="5760"/>
    <cellStyle name="40% - 강조색6 15" xfId="5761"/>
    <cellStyle name="40% - 강조색6 16" xfId="5762"/>
    <cellStyle name="40% - 강조색6 17" xfId="5763"/>
    <cellStyle name="40% - 강조색6 18" xfId="5764"/>
    <cellStyle name="40% - 강조색6 19" xfId="5765"/>
    <cellStyle name="40% - 강조색6 2" xfId="78"/>
    <cellStyle name="40% - 강조색6 2 2" xfId="5766"/>
    <cellStyle name="40% - 강조색6 2 3" xfId="5767"/>
    <cellStyle name="40% - 강조색6 2 4" xfId="5768"/>
    <cellStyle name="40% - 강조색6 20" xfId="5769"/>
    <cellStyle name="40% - 강조색6 21" xfId="5770"/>
    <cellStyle name="40% - 강조색6 22" xfId="5771"/>
    <cellStyle name="40% - 강조색6 23" xfId="5772"/>
    <cellStyle name="40% - 강조색6 24" xfId="5773"/>
    <cellStyle name="40% - 강조색6 25" xfId="5774"/>
    <cellStyle name="40% - 강조색6 26" xfId="5775"/>
    <cellStyle name="40% - 강조색6 27" xfId="5776"/>
    <cellStyle name="40% - 강조색6 28" xfId="5777"/>
    <cellStyle name="40% - 강조색6 29" xfId="5778"/>
    <cellStyle name="40% - 강조색6 3" xfId="79"/>
    <cellStyle name="40% - 강조색6 3 2" xfId="5779"/>
    <cellStyle name="40% - 강조색6 3 2 2" xfId="5780"/>
    <cellStyle name="40% - 강조색6 3 3" xfId="5781"/>
    <cellStyle name="40% - 강조색6 3 4" xfId="5782"/>
    <cellStyle name="40% - 강조색6 30" xfId="5783"/>
    <cellStyle name="40% - 강조색6 31" xfId="5784"/>
    <cellStyle name="40% - 강조색6 32" xfId="5785"/>
    <cellStyle name="40% - 강조색6 33" xfId="5786"/>
    <cellStyle name="40% - 강조색6 34" xfId="5787"/>
    <cellStyle name="40% - 강조색6 35" xfId="5788"/>
    <cellStyle name="40% - 강조색6 36" xfId="5789"/>
    <cellStyle name="40% - 강조색6 37" xfId="5790"/>
    <cellStyle name="40% - 강조색6 38" xfId="5791"/>
    <cellStyle name="40% - 강조색6 39" xfId="5792"/>
    <cellStyle name="40% - 강조색6 4" xfId="80"/>
    <cellStyle name="40% - 강조색6 4 2" xfId="5793"/>
    <cellStyle name="40% - 강조색6 4 3" xfId="5794"/>
    <cellStyle name="40% - 강조색6 4 4" xfId="5795"/>
    <cellStyle name="40% - 강조색6 40" xfId="5796"/>
    <cellStyle name="40% - 강조색6 41" xfId="5797"/>
    <cellStyle name="40% - 강조색6 42" xfId="5798"/>
    <cellStyle name="40% - 강조색6 43" xfId="5799"/>
    <cellStyle name="40% - 강조색6 44" xfId="5800"/>
    <cellStyle name="40% - 강조색6 45" xfId="5801"/>
    <cellStyle name="40% - 강조색6 46" xfId="5802"/>
    <cellStyle name="40% - 강조색6 47" xfId="5803"/>
    <cellStyle name="40% - 강조색6 48" xfId="5804"/>
    <cellStyle name="40% - 강조색6 49" xfId="5805"/>
    <cellStyle name="40% - 강조색6 5" xfId="81"/>
    <cellStyle name="40% - 강조색6 5 2" xfId="5806"/>
    <cellStyle name="40% - 강조색6 50" xfId="28139"/>
    <cellStyle name="40% - 강조색6 50 2" xfId="30729"/>
    <cellStyle name="40% - 강조색6 50 2 2" xfId="30779"/>
    <cellStyle name="40% - 강조색6 50 2 2 2" xfId="30876"/>
    <cellStyle name="40% - 강조색6 50 2 2 2 2" xfId="32230"/>
    <cellStyle name="40% - 강조색6 50 2 2 3" xfId="32135"/>
    <cellStyle name="40% - 강조색6 50 2 3" xfId="30829"/>
    <cellStyle name="40% - 강조색6 50 2 3 2" xfId="32183"/>
    <cellStyle name="40% - 강조색6 50 2 4" xfId="32088"/>
    <cellStyle name="40% - 강조색6 50 3" xfId="30756"/>
    <cellStyle name="40% - 강조색6 50 3 2" xfId="30853"/>
    <cellStyle name="40% - 강조색6 50 3 2 2" xfId="32207"/>
    <cellStyle name="40% - 강조색6 50 3 3" xfId="32112"/>
    <cellStyle name="40% - 강조색6 50 4" xfId="30805"/>
    <cellStyle name="40% - 강조색6 50 4 2" xfId="32160"/>
    <cellStyle name="40% - 강조색6 50 5" xfId="32064"/>
    <cellStyle name="40% - 강조색6 6" xfId="82"/>
    <cellStyle name="40% - 강조색6 6 2" xfId="5807"/>
    <cellStyle name="40% - 강조색6 7" xfId="83"/>
    <cellStyle name="40% - 강조색6 7 2" xfId="5808"/>
    <cellStyle name="40% - 강조색6 8" xfId="84"/>
    <cellStyle name="40% - 강조색6 8 2" xfId="5809"/>
    <cellStyle name="40% - 강조색6 9" xfId="5810"/>
    <cellStyle name="40% - 강조색6 9 2" xfId="29468"/>
    <cellStyle name="60% - 강조색1 10" xfId="5811"/>
    <cellStyle name="60% - 강조색1 10 2" xfId="29581"/>
    <cellStyle name="60% - 강조색1 11" xfId="5812"/>
    <cellStyle name="60% - 강조색1 11 2" xfId="29493"/>
    <cellStyle name="60% - 강조색1 12" xfId="5813"/>
    <cellStyle name="60% - 강조색1 12 2" xfId="29653"/>
    <cellStyle name="60% - 강조색1 13" xfId="5814"/>
    <cellStyle name="60% - 강조색1 13 2" xfId="29610"/>
    <cellStyle name="60% - 강조색1 14" xfId="5815"/>
    <cellStyle name="60% - 강조색1 15" xfId="5816"/>
    <cellStyle name="60% - 강조색1 16" xfId="5817"/>
    <cellStyle name="60% - 강조색1 17" xfId="5818"/>
    <cellStyle name="60% - 강조색1 18" xfId="5819"/>
    <cellStyle name="60% - 강조색1 19" xfId="5820"/>
    <cellStyle name="60% - 강조색1 2" xfId="85"/>
    <cellStyle name="60% - 강조색1 2 2" xfId="5821"/>
    <cellStyle name="60% - 강조색1 2 3" xfId="5822"/>
    <cellStyle name="60% - 강조색1 2 4" xfId="5823"/>
    <cellStyle name="60% - 강조색1 20" xfId="5824"/>
    <cellStyle name="60% - 강조색1 21" xfId="5825"/>
    <cellStyle name="60% - 강조색1 22" xfId="5826"/>
    <cellStyle name="60% - 강조색1 23" xfId="5827"/>
    <cellStyle name="60% - 강조색1 24" xfId="5828"/>
    <cellStyle name="60% - 강조색1 25" xfId="5829"/>
    <cellStyle name="60% - 강조색1 26" xfId="5830"/>
    <cellStyle name="60% - 강조색1 27" xfId="5831"/>
    <cellStyle name="60% - 강조색1 28" xfId="5832"/>
    <cellStyle name="60% - 강조색1 29" xfId="5833"/>
    <cellStyle name="60% - 강조색1 3" xfId="86"/>
    <cellStyle name="60% - 강조색1 3 2" xfId="5834"/>
    <cellStyle name="60% - 강조색1 3 2 2" xfId="5835"/>
    <cellStyle name="60% - 강조색1 3 3" xfId="5836"/>
    <cellStyle name="60% - 강조색1 3 4" xfId="5837"/>
    <cellStyle name="60% - 강조색1 30" xfId="5838"/>
    <cellStyle name="60% - 강조색1 31" xfId="5839"/>
    <cellStyle name="60% - 강조색1 32" xfId="5840"/>
    <cellStyle name="60% - 강조색1 33" xfId="5841"/>
    <cellStyle name="60% - 강조색1 34" xfId="5842"/>
    <cellStyle name="60% - 강조색1 35" xfId="5843"/>
    <cellStyle name="60% - 강조색1 36" xfId="5844"/>
    <cellStyle name="60% - 강조색1 37" xfId="5845"/>
    <cellStyle name="60% - 강조색1 38" xfId="5846"/>
    <cellStyle name="60% - 강조색1 39" xfId="5847"/>
    <cellStyle name="60% - 강조색1 4" xfId="87"/>
    <cellStyle name="60% - 강조색1 4 2" xfId="5848"/>
    <cellStyle name="60% - 강조색1 4 3" xfId="5849"/>
    <cellStyle name="60% - 강조색1 4 4" xfId="5850"/>
    <cellStyle name="60% - 강조색1 40" xfId="5851"/>
    <cellStyle name="60% - 강조색1 41" xfId="5852"/>
    <cellStyle name="60% - 강조색1 42" xfId="5853"/>
    <cellStyle name="60% - 강조색1 43" xfId="5854"/>
    <cellStyle name="60% - 강조색1 44" xfId="5855"/>
    <cellStyle name="60% - 강조색1 45" xfId="5856"/>
    <cellStyle name="60% - 강조색1 46" xfId="5857"/>
    <cellStyle name="60% - 강조색1 47" xfId="5858"/>
    <cellStyle name="60% - 강조색1 48" xfId="5859"/>
    <cellStyle name="60% - 강조색1 49" xfId="5860"/>
    <cellStyle name="60% - 강조색1 5" xfId="88"/>
    <cellStyle name="60% - 강조색1 5 2" xfId="5861"/>
    <cellStyle name="60% - 강조색1 50" xfId="28120"/>
    <cellStyle name="60% - 강조색1 6" xfId="89"/>
    <cellStyle name="60% - 강조색1 6 2" xfId="5862"/>
    <cellStyle name="60% - 강조색1 7" xfId="90"/>
    <cellStyle name="60% - 강조색1 7 2" xfId="5863"/>
    <cellStyle name="60% - 강조색1 8" xfId="91"/>
    <cellStyle name="60% - 강조색1 8 2" xfId="5864"/>
    <cellStyle name="60% - 강조색1 9" xfId="5865"/>
    <cellStyle name="60% - 강조색1 9 2" xfId="29792"/>
    <cellStyle name="60% - 강조색2 10" xfId="5866"/>
    <cellStyle name="60% - 강조색2 10 2" xfId="29788"/>
    <cellStyle name="60% - 강조색2 11" xfId="5867"/>
    <cellStyle name="60% - 강조색2 11 2" xfId="29574"/>
    <cellStyle name="60% - 강조색2 12" xfId="5868"/>
    <cellStyle name="60% - 강조색2 12 2" xfId="29634"/>
    <cellStyle name="60% - 강조색2 13" xfId="5869"/>
    <cellStyle name="60% - 강조색2 13 2" xfId="29686"/>
    <cellStyle name="60% - 강조색2 14" xfId="5870"/>
    <cellStyle name="60% - 강조색2 15" xfId="5871"/>
    <cellStyle name="60% - 강조색2 16" xfId="5872"/>
    <cellStyle name="60% - 강조색2 17" xfId="5873"/>
    <cellStyle name="60% - 강조색2 18" xfId="5874"/>
    <cellStyle name="60% - 강조색2 19" xfId="5875"/>
    <cellStyle name="60% - 강조색2 2" xfId="92"/>
    <cellStyle name="60% - 강조색2 2 2" xfId="5876"/>
    <cellStyle name="60% - 강조색2 2 3" xfId="5877"/>
    <cellStyle name="60% - 강조색2 2 4" xfId="5878"/>
    <cellStyle name="60% - 강조색2 20" xfId="5879"/>
    <cellStyle name="60% - 강조색2 21" xfId="5880"/>
    <cellStyle name="60% - 강조색2 22" xfId="5881"/>
    <cellStyle name="60% - 강조색2 23" xfId="5882"/>
    <cellStyle name="60% - 강조색2 24" xfId="5883"/>
    <cellStyle name="60% - 강조색2 25" xfId="5884"/>
    <cellStyle name="60% - 강조색2 26" xfId="5885"/>
    <cellStyle name="60% - 강조색2 27" xfId="5886"/>
    <cellStyle name="60% - 강조색2 28" xfId="5887"/>
    <cellStyle name="60% - 강조색2 29" xfId="5888"/>
    <cellStyle name="60% - 강조색2 3" xfId="93"/>
    <cellStyle name="60% - 강조색2 3 2" xfId="5889"/>
    <cellStyle name="60% - 강조색2 3 2 2" xfId="5890"/>
    <cellStyle name="60% - 강조색2 3 3" xfId="5891"/>
    <cellStyle name="60% - 강조색2 3 4" xfId="5892"/>
    <cellStyle name="60% - 강조색2 30" xfId="5893"/>
    <cellStyle name="60% - 강조색2 31" xfId="5894"/>
    <cellStyle name="60% - 강조색2 32" xfId="5895"/>
    <cellStyle name="60% - 강조색2 33" xfId="5896"/>
    <cellStyle name="60% - 강조색2 34" xfId="5897"/>
    <cellStyle name="60% - 강조색2 35" xfId="5898"/>
    <cellStyle name="60% - 강조색2 36" xfId="5899"/>
    <cellStyle name="60% - 강조색2 37" xfId="5900"/>
    <cellStyle name="60% - 강조색2 38" xfId="5901"/>
    <cellStyle name="60% - 강조색2 39" xfId="5902"/>
    <cellStyle name="60% - 강조색2 4" xfId="94"/>
    <cellStyle name="60% - 강조색2 4 2" xfId="5903"/>
    <cellStyle name="60% - 강조색2 4 3" xfId="5904"/>
    <cellStyle name="60% - 강조색2 4 4" xfId="5905"/>
    <cellStyle name="60% - 강조색2 40" xfId="5906"/>
    <cellStyle name="60% - 강조색2 41" xfId="5907"/>
    <cellStyle name="60% - 강조색2 42" xfId="5908"/>
    <cellStyle name="60% - 강조색2 43" xfId="5909"/>
    <cellStyle name="60% - 강조색2 44" xfId="5910"/>
    <cellStyle name="60% - 강조색2 45" xfId="5911"/>
    <cellStyle name="60% - 강조색2 46" xfId="5912"/>
    <cellStyle name="60% - 강조색2 47" xfId="5913"/>
    <cellStyle name="60% - 강조색2 48" xfId="5914"/>
    <cellStyle name="60% - 강조색2 49" xfId="5915"/>
    <cellStyle name="60% - 강조색2 5" xfId="95"/>
    <cellStyle name="60% - 강조색2 5 2" xfId="5916"/>
    <cellStyle name="60% - 강조색2 50" xfId="28124"/>
    <cellStyle name="60% - 강조색2 6" xfId="96"/>
    <cellStyle name="60% - 강조색2 6 2" xfId="5917"/>
    <cellStyle name="60% - 강조색2 7" xfId="97"/>
    <cellStyle name="60% - 강조색2 7 2" xfId="5918"/>
    <cellStyle name="60% - 강조색2 8" xfId="98"/>
    <cellStyle name="60% - 강조색2 8 2" xfId="5919"/>
    <cellStyle name="60% - 강조색2 9" xfId="5920"/>
    <cellStyle name="60% - 강조색2 9 2" xfId="29633"/>
    <cellStyle name="60% - 강조색3 10" xfId="5921"/>
    <cellStyle name="60% - 강조색3 10 2" xfId="29580"/>
    <cellStyle name="60% - 강조색3 11" xfId="5922"/>
    <cellStyle name="60% - 강조색3 11 2" xfId="29693"/>
    <cellStyle name="60% - 강조색3 12" xfId="5923"/>
    <cellStyle name="60% - 강조색3 12 2" xfId="30301"/>
    <cellStyle name="60% - 강조색3 13" xfId="5924"/>
    <cellStyle name="60% - 강조색3 13 2" xfId="29465"/>
    <cellStyle name="60% - 강조색3 14" xfId="5925"/>
    <cellStyle name="60% - 강조색3 15" xfId="5926"/>
    <cellStyle name="60% - 강조색3 16" xfId="5927"/>
    <cellStyle name="60% - 강조색3 17" xfId="5928"/>
    <cellStyle name="60% - 강조색3 18" xfId="5929"/>
    <cellStyle name="60% - 강조색3 19" xfId="5930"/>
    <cellStyle name="60% - 강조색3 2" xfId="99"/>
    <cellStyle name="60% - 강조색3 2 2" xfId="5931"/>
    <cellStyle name="60% - 강조색3 2 3" xfId="5932"/>
    <cellStyle name="60% - 강조색3 2 4" xfId="5933"/>
    <cellStyle name="60% - 강조색3 20" xfId="5934"/>
    <cellStyle name="60% - 강조색3 21" xfId="5935"/>
    <cellStyle name="60% - 강조색3 22" xfId="5936"/>
    <cellStyle name="60% - 강조색3 23" xfId="5937"/>
    <cellStyle name="60% - 강조색3 24" xfId="5938"/>
    <cellStyle name="60% - 강조색3 25" xfId="5939"/>
    <cellStyle name="60% - 강조색3 26" xfId="5940"/>
    <cellStyle name="60% - 강조색3 27" xfId="5941"/>
    <cellStyle name="60% - 강조색3 28" xfId="5942"/>
    <cellStyle name="60% - 강조색3 29" xfId="5943"/>
    <cellStyle name="60% - 강조색3 3" xfId="100"/>
    <cellStyle name="60% - 강조색3 3 2" xfId="5944"/>
    <cellStyle name="60% - 강조색3 3 2 2" xfId="5945"/>
    <cellStyle name="60% - 강조색3 3 3" xfId="5946"/>
    <cellStyle name="60% - 강조색3 3 4" xfId="5947"/>
    <cellStyle name="60% - 강조색3 30" xfId="5948"/>
    <cellStyle name="60% - 강조색3 31" xfId="5949"/>
    <cellStyle name="60% - 강조색3 32" xfId="5950"/>
    <cellStyle name="60% - 강조색3 33" xfId="5951"/>
    <cellStyle name="60% - 강조색3 34" xfId="5952"/>
    <cellStyle name="60% - 강조색3 35" xfId="5953"/>
    <cellStyle name="60% - 강조색3 36" xfId="5954"/>
    <cellStyle name="60% - 강조색3 37" xfId="5955"/>
    <cellStyle name="60% - 강조색3 38" xfId="5956"/>
    <cellStyle name="60% - 강조색3 39" xfId="5957"/>
    <cellStyle name="60% - 강조색3 4" xfId="101"/>
    <cellStyle name="60% - 강조색3 4 2" xfId="5958"/>
    <cellStyle name="60% - 강조색3 4 3" xfId="5959"/>
    <cellStyle name="60% - 강조색3 4 4" xfId="5960"/>
    <cellStyle name="60% - 강조색3 40" xfId="5961"/>
    <cellStyle name="60% - 강조색3 41" xfId="5962"/>
    <cellStyle name="60% - 강조색3 42" xfId="5963"/>
    <cellStyle name="60% - 강조색3 43" xfId="5964"/>
    <cellStyle name="60% - 강조색3 44" xfId="5965"/>
    <cellStyle name="60% - 강조색3 45" xfId="5966"/>
    <cellStyle name="60% - 강조색3 46" xfId="5967"/>
    <cellStyle name="60% - 강조색3 47" xfId="5968"/>
    <cellStyle name="60% - 강조색3 48" xfId="5969"/>
    <cellStyle name="60% - 강조색3 49" xfId="5970"/>
    <cellStyle name="60% - 강조색3 5" xfId="102"/>
    <cellStyle name="60% - 강조색3 5 2" xfId="5971"/>
    <cellStyle name="60% - 강조색3 50" xfId="28128"/>
    <cellStyle name="60% - 강조색3 6" xfId="103"/>
    <cellStyle name="60% - 강조색3 6 2" xfId="5972"/>
    <cellStyle name="60% - 강조색3 7" xfId="104"/>
    <cellStyle name="60% - 강조색3 7 2" xfId="5973"/>
    <cellStyle name="60% - 강조색3 8" xfId="105"/>
    <cellStyle name="60% - 강조색3 8 2" xfId="5974"/>
    <cellStyle name="60% - 강조색3 9" xfId="5975"/>
    <cellStyle name="60% - 강조색3 9 2" xfId="30334"/>
    <cellStyle name="60% - 강조색4 10" xfId="5976"/>
    <cellStyle name="60% - 강조색4 10 2" xfId="29524"/>
    <cellStyle name="60% - 강조색4 11" xfId="5977"/>
    <cellStyle name="60% - 강조색4 11 2" xfId="30409"/>
    <cellStyle name="60% - 강조색4 12" xfId="5978"/>
    <cellStyle name="60% - 강조색4 12 2" xfId="29596"/>
    <cellStyle name="60% - 강조색4 13" xfId="5979"/>
    <cellStyle name="60% - 강조색4 13 2" xfId="29637"/>
    <cellStyle name="60% - 강조색4 14" xfId="5980"/>
    <cellStyle name="60% - 강조색4 15" xfId="5981"/>
    <cellStyle name="60% - 강조색4 16" xfId="5982"/>
    <cellStyle name="60% - 강조색4 17" xfId="5983"/>
    <cellStyle name="60% - 강조색4 18" xfId="5984"/>
    <cellStyle name="60% - 강조색4 19" xfId="5985"/>
    <cellStyle name="60% - 강조색4 2" xfId="106"/>
    <cellStyle name="60% - 강조색4 2 2" xfId="5986"/>
    <cellStyle name="60% - 강조색4 2 3" xfId="5987"/>
    <cellStyle name="60% - 강조색4 2 4" xfId="5988"/>
    <cellStyle name="60% - 강조색4 20" xfId="5989"/>
    <cellStyle name="60% - 강조색4 21" xfId="5990"/>
    <cellStyle name="60% - 강조색4 22" xfId="5991"/>
    <cellStyle name="60% - 강조색4 23" xfId="5992"/>
    <cellStyle name="60% - 강조색4 24" xfId="5993"/>
    <cellStyle name="60% - 강조색4 25" xfId="5994"/>
    <cellStyle name="60% - 강조색4 26" xfId="5995"/>
    <cellStyle name="60% - 강조색4 27" xfId="5996"/>
    <cellStyle name="60% - 강조색4 28" xfId="5997"/>
    <cellStyle name="60% - 강조색4 29" xfId="5998"/>
    <cellStyle name="60% - 강조색4 3" xfId="107"/>
    <cellStyle name="60% - 강조색4 3 2" xfId="5999"/>
    <cellStyle name="60% - 강조색4 3 2 2" xfId="6000"/>
    <cellStyle name="60% - 강조색4 3 3" xfId="6001"/>
    <cellStyle name="60% - 강조색4 3 4" xfId="6002"/>
    <cellStyle name="60% - 강조색4 30" xfId="6003"/>
    <cellStyle name="60% - 강조색4 31" xfId="6004"/>
    <cellStyle name="60% - 강조색4 32" xfId="6005"/>
    <cellStyle name="60% - 강조색4 33" xfId="6006"/>
    <cellStyle name="60% - 강조색4 34" xfId="6007"/>
    <cellStyle name="60% - 강조색4 35" xfId="6008"/>
    <cellStyle name="60% - 강조색4 36" xfId="6009"/>
    <cellStyle name="60% - 강조색4 37" xfId="6010"/>
    <cellStyle name="60% - 강조색4 38" xfId="6011"/>
    <cellStyle name="60% - 강조색4 39" xfId="6012"/>
    <cellStyle name="60% - 강조색4 4" xfId="108"/>
    <cellStyle name="60% - 강조색4 4 2" xfId="6013"/>
    <cellStyle name="60% - 강조색4 4 3" xfId="6014"/>
    <cellStyle name="60% - 강조색4 4 4" xfId="6015"/>
    <cellStyle name="60% - 강조색4 40" xfId="6016"/>
    <cellStyle name="60% - 강조색4 41" xfId="6017"/>
    <cellStyle name="60% - 강조색4 42" xfId="6018"/>
    <cellStyle name="60% - 강조색4 43" xfId="6019"/>
    <cellStyle name="60% - 강조색4 44" xfId="6020"/>
    <cellStyle name="60% - 강조색4 45" xfId="6021"/>
    <cellStyle name="60% - 강조색4 46" xfId="6022"/>
    <cellStyle name="60% - 강조색4 47" xfId="6023"/>
    <cellStyle name="60% - 강조색4 48" xfId="6024"/>
    <cellStyle name="60% - 강조색4 49" xfId="6025"/>
    <cellStyle name="60% - 강조색4 5" xfId="109"/>
    <cellStyle name="60% - 강조색4 5 2" xfId="6026"/>
    <cellStyle name="60% - 강조색4 50" xfId="28132"/>
    <cellStyle name="60% - 강조색4 6" xfId="110"/>
    <cellStyle name="60% - 강조색4 6 2" xfId="6027"/>
    <cellStyle name="60% - 강조색4 7" xfId="111"/>
    <cellStyle name="60% - 강조색4 7 2" xfId="6028"/>
    <cellStyle name="60% - 강조색4 8" xfId="112"/>
    <cellStyle name="60% - 강조색4 8 2" xfId="6029"/>
    <cellStyle name="60% - 강조색4 9" xfId="6030"/>
    <cellStyle name="60% - 강조색4 9 2" xfId="29681"/>
    <cellStyle name="60% - 강조색5 10" xfId="6031"/>
    <cellStyle name="60% - 강조색5 10 2" xfId="30059"/>
    <cellStyle name="60% - 강조색5 11" xfId="6032"/>
    <cellStyle name="60% - 강조색5 11 2" xfId="29706"/>
    <cellStyle name="60% - 강조색5 12" xfId="6033"/>
    <cellStyle name="60% - 강조색5 12 2" xfId="29725"/>
    <cellStyle name="60% - 강조색5 13" xfId="6034"/>
    <cellStyle name="60% - 강조색5 13 2" xfId="29603"/>
    <cellStyle name="60% - 강조색5 14" xfId="6035"/>
    <cellStyle name="60% - 강조색5 15" xfId="6036"/>
    <cellStyle name="60% - 강조색5 16" xfId="6037"/>
    <cellStyle name="60% - 강조색5 17" xfId="6038"/>
    <cellStyle name="60% - 강조색5 18" xfId="6039"/>
    <cellStyle name="60% - 강조색5 19" xfId="6040"/>
    <cellStyle name="60% - 강조색5 2" xfId="113"/>
    <cellStyle name="60% - 강조색5 2 2" xfId="6041"/>
    <cellStyle name="60% - 강조색5 2 3" xfId="6042"/>
    <cellStyle name="60% - 강조색5 2 4" xfId="6043"/>
    <cellStyle name="60% - 강조색5 20" xfId="6044"/>
    <cellStyle name="60% - 강조색5 21" xfId="6045"/>
    <cellStyle name="60% - 강조색5 22" xfId="6046"/>
    <cellStyle name="60% - 강조색5 23" xfId="6047"/>
    <cellStyle name="60% - 강조색5 24" xfId="6048"/>
    <cellStyle name="60% - 강조색5 25" xfId="6049"/>
    <cellStyle name="60% - 강조색5 26" xfId="6050"/>
    <cellStyle name="60% - 강조색5 27" xfId="6051"/>
    <cellStyle name="60% - 강조색5 28" xfId="6052"/>
    <cellStyle name="60% - 강조색5 29" xfId="6053"/>
    <cellStyle name="60% - 강조색5 3" xfId="114"/>
    <cellStyle name="60% - 강조색5 3 2" xfId="6054"/>
    <cellStyle name="60% - 강조색5 3 2 2" xfId="6055"/>
    <cellStyle name="60% - 강조색5 3 3" xfId="6056"/>
    <cellStyle name="60% - 강조색5 3 4" xfId="6057"/>
    <cellStyle name="60% - 강조색5 30" xfId="6058"/>
    <cellStyle name="60% - 강조색5 31" xfId="6059"/>
    <cellStyle name="60% - 강조색5 32" xfId="6060"/>
    <cellStyle name="60% - 강조색5 33" xfId="6061"/>
    <cellStyle name="60% - 강조색5 34" xfId="6062"/>
    <cellStyle name="60% - 강조색5 35" xfId="6063"/>
    <cellStyle name="60% - 강조색5 36" xfId="6064"/>
    <cellStyle name="60% - 강조색5 37" xfId="6065"/>
    <cellStyle name="60% - 강조색5 38" xfId="6066"/>
    <cellStyle name="60% - 강조색5 39" xfId="6067"/>
    <cellStyle name="60% - 강조색5 4" xfId="115"/>
    <cellStyle name="60% - 강조색5 4 2" xfId="6068"/>
    <cellStyle name="60% - 강조색5 4 3" xfId="6069"/>
    <cellStyle name="60% - 강조색5 4 4" xfId="6070"/>
    <cellStyle name="60% - 강조색5 40" xfId="6071"/>
    <cellStyle name="60% - 강조색5 41" xfId="6072"/>
    <cellStyle name="60% - 강조색5 42" xfId="6073"/>
    <cellStyle name="60% - 강조색5 43" xfId="6074"/>
    <cellStyle name="60% - 강조색5 44" xfId="6075"/>
    <cellStyle name="60% - 강조색5 45" xfId="6076"/>
    <cellStyle name="60% - 강조색5 46" xfId="6077"/>
    <cellStyle name="60% - 강조색5 47" xfId="6078"/>
    <cellStyle name="60% - 강조색5 48" xfId="6079"/>
    <cellStyle name="60% - 강조색5 49" xfId="6080"/>
    <cellStyle name="60% - 강조색5 5" xfId="116"/>
    <cellStyle name="60% - 강조색5 5 2" xfId="6081"/>
    <cellStyle name="60% - 강조색5 50" xfId="28136"/>
    <cellStyle name="60% - 강조색5 6" xfId="117"/>
    <cellStyle name="60% - 강조색5 6 2" xfId="6082"/>
    <cellStyle name="60% - 강조색5 7" xfId="118"/>
    <cellStyle name="60% - 강조색5 7 2" xfId="6083"/>
    <cellStyle name="60% - 강조색5 8" xfId="119"/>
    <cellStyle name="60% - 강조색5 8 2" xfId="6084"/>
    <cellStyle name="60% - 강조색5 9" xfId="6085"/>
    <cellStyle name="60% - 강조색5 9 2" xfId="29540"/>
    <cellStyle name="60% - 강조색6 10" xfId="6086"/>
    <cellStyle name="60% - 강조색6 10 2" xfId="29478"/>
    <cellStyle name="60% - 강조색6 11" xfId="6087"/>
    <cellStyle name="60% - 강조색6 11 2" xfId="29602"/>
    <cellStyle name="60% - 강조색6 12" xfId="6088"/>
    <cellStyle name="60% - 강조색6 12 2" xfId="29458"/>
    <cellStyle name="60% - 강조색6 13" xfId="6089"/>
    <cellStyle name="60% - 강조색6 13 2" xfId="29689"/>
    <cellStyle name="60% - 강조색6 14" xfId="6090"/>
    <cellStyle name="60% - 강조색6 15" xfId="6091"/>
    <cellStyle name="60% - 강조색6 16" xfId="6092"/>
    <cellStyle name="60% - 강조색6 17" xfId="6093"/>
    <cellStyle name="60% - 강조색6 18" xfId="6094"/>
    <cellStyle name="60% - 강조색6 19" xfId="6095"/>
    <cellStyle name="60% - 강조색6 2" xfId="120"/>
    <cellStyle name="60% - 강조색6 2 2" xfId="6096"/>
    <cellStyle name="60% - 강조색6 2 3" xfId="6097"/>
    <cellStyle name="60% - 강조색6 2 4" xfId="6098"/>
    <cellStyle name="60% - 강조색6 20" xfId="6099"/>
    <cellStyle name="60% - 강조색6 21" xfId="6100"/>
    <cellStyle name="60% - 강조색6 22" xfId="6101"/>
    <cellStyle name="60% - 강조색6 23" xfId="6102"/>
    <cellStyle name="60% - 강조색6 24" xfId="6103"/>
    <cellStyle name="60% - 강조색6 25" xfId="6104"/>
    <cellStyle name="60% - 강조색6 26" xfId="6105"/>
    <cellStyle name="60% - 강조색6 27" xfId="6106"/>
    <cellStyle name="60% - 강조색6 28" xfId="6107"/>
    <cellStyle name="60% - 강조색6 29" xfId="6108"/>
    <cellStyle name="60% - 강조색6 3" xfId="121"/>
    <cellStyle name="60% - 강조색6 3 2" xfId="6109"/>
    <cellStyle name="60% - 강조색6 3 2 2" xfId="6110"/>
    <cellStyle name="60% - 강조색6 3 3" xfId="6111"/>
    <cellStyle name="60% - 강조색6 3 4" xfId="6112"/>
    <cellStyle name="60% - 강조색6 30" xfId="6113"/>
    <cellStyle name="60% - 강조색6 31" xfId="6114"/>
    <cellStyle name="60% - 강조색6 32" xfId="6115"/>
    <cellStyle name="60% - 강조색6 33" xfId="6116"/>
    <cellStyle name="60% - 강조색6 34" xfId="6117"/>
    <cellStyle name="60% - 강조색6 35" xfId="6118"/>
    <cellStyle name="60% - 강조색6 36" xfId="6119"/>
    <cellStyle name="60% - 강조색6 37" xfId="6120"/>
    <cellStyle name="60% - 강조색6 38" xfId="6121"/>
    <cellStyle name="60% - 강조색6 39" xfId="6122"/>
    <cellStyle name="60% - 강조색6 4" xfId="122"/>
    <cellStyle name="60% - 강조색6 4 2" xfId="6123"/>
    <cellStyle name="60% - 강조색6 4 3" xfId="6124"/>
    <cellStyle name="60% - 강조색6 4 4" xfId="6125"/>
    <cellStyle name="60% - 강조색6 40" xfId="6126"/>
    <cellStyle name="60% - 강조색6 41" xfId="6127"/>
    <cellStyle name="60% - 강조색6 42" xfId="6128"/>
    <cellStyle name="60% - 강조색6 43" xfId="6129"/>
    <cellStyle name="60% - 강조색6 44" xfId="6130"/>
    <cellStyle name="60% - 강조색6 45" xfId="6131"/>
    <cellStyle name="60% - 강조색6 46" xfId="6132"/>
    <cellStyle name="60% - 강조색6 47" xfId="6133"/>
    <cellStyle name="60% - 강조색6 48" xfId="6134"/>
    <cellStyle name="60% - 강조색6 49" xfId="6135"/>
    <cellStyle name="60% - 강조색6 5" xfId="123"/>
    <cellStyle name="60% - 강조색6 5 2" xfId="6136"/>
    <cellStyle name="60% - 강조색6 50" xfId="28140"/>
    <cellStyle name="60% - 강조색6 6" xfId="124"/>
    <cellStyle name="60% - 강조색6 6 2" xfId="6137"/>
    <cellStyle name="60% - 강조색6 7" xfId="125"/>
    <cellStyle name="60% - 강조색6 7 2" xfId="6138"/>
    <cellStyle name="60% - 강조색6 8" xfId="126"/>
    <cellStyle name="60% - 강조색6 8 2" xfId="6139"/>
    <cellStyle name="60% - 강조색6 9" xfId="6140"/>
    <cellStyle name="60% - 강조색6 9 2" xfId="29677"/>
    <cellStyle name="MSTRStyle.모두.c1_36b906e7-934a-4ba9-8af2-ec36426caf37" xfId="30326"/>
    <cellStyle name="MSTRStyle.모두.c12_068755cb-e5df-4f22-9f27-1ce61947a0a7" xfId="31978"/>
    <cellStyle name="MSTRStyle.모두.c13_35434a52-1c6a-41c4-8c57-7fa6ea050147" xfId="30327"/>
    <cellStyle name="MSTRStyle.모두.c14_278c89bd-f639-4ae2-94e5-18b0f633b565" xfId="31977"/>
    <cellStyle name="MSTRStyle.모두.c15_87365668-4ab8-4c4b-b8c5-3540695452f7" xfId="31662"/>
    <cellStyle name="MSTRStyle.모두.c16_57a5268c-45cd-4fa7-adcd-c352e7be121c" xfId="30927"/>
    <cellStyle name="MSTRStyle.모두.c2_23e2b42d-ea8e-4f8f-a363-e36cba5b20c2" xfId="31661"/>
    <cellStyle name="MSTRStyle.모두.c3_4aae668d-cba8-4b73-a8bd-7b056e2d5292" xfId="30985"/>
    <cellStyle name="MSTRStyle.모두.c6_ce523200-971b-4ab5-8874-ee7e7fe2d8e5" xfId="30328"/>
    <cellStyle name="MSTRStyle.모두.c7_9b0dcb03-0e39-4269-8454-2350338b1b46" xfId="31660"/>
    <cellStyle name="강조색1 10" xfId="6141"/>
    <cellStyle name="강조색1 10 2" xfId="29523"/>
    <cellStyle name="강조색1 11" xfId="6142"/>
    <cellStyle name="강조색1 11 2" xfId="29671"/>
    <cellStyle name="강조색1 12" xfId="6143"/>
    <cellStyle name="강조색1 12 2" xfId="29772"/>
    <cellStyle name="강조색1 13" xfId="6144"/>
    <cellStyle name="강조색1 13 2" xfId="29473"/>
    <cellStyle name="강조색1 14" xfId="6145"/>
    <cellStyle name="강조색1 15" xfId="6146"/>
    <cellStyle name="강조색1 16" xfId="6147"/>
    <cellStyle name="강조색1 17" xfId="6148"/>
    <cellStyle name="강조색1 18" xfId="6149"/>
    <cellStyle name="강조색1 19" xfId="6150"/>
    <cellStyle name="강조색1 2" xfId="127"/>
    <cellStyle name="강조색1 2 2" xfId="6151"/>
    <cellStyle name="강조색1 2 3" xfId="6152"/>
    <cellStyle name="강조색1 2 4" xfId="6153"/>
    <cellStyle name="강조색1 20" xfId="6154"/>
    <cellStyle name="강조색1 21" xfId="6155"/>
    <cellStyle name="강조색1 22" xfId="6156"/>
    <cellStyle name="강조색1 23" xfId="6157"/>
    <cellStyle name="강조색1 24" xfId="6158"/>
    <cellStyle name="강조색1 25" xfId="6159"/>
    <cellStyle name="강조색1 26" xfId="6160"/>
    <cellStyle name="강조색1 27" xfId="6161"/>
    <cellStyle name="강조색1 28" xfId="6162"/>
    <cellStyle name="강조색1 29" xfId="6163"/>
    <cellStyle name="강조색1 3" xfId="128"/>
    <cellStyle name="강조색1 3 2" xfId="6164"/>
    <cellStyle name="강조색1 3 2 2" xfId="6165"/>
    <cellStyle name="강조색1 3 3" xfId="6166"/>
    <cellStyle name="강조색1 3 4" xfId="6167"/>
    <cellStyle name="강조색1 30" xfId="6168"/>
    <cellStyle name="강조색1 31" xfId="6169"/>
    <cellStyle name="강조색1 32" xfId="6170"/>
    <cellStyle name="강조색1 33" xfId="6171"/>
    <cellStyle name="강조색1 34" xfId="6172"/>
    <cellStyle name="강조색1 35" xfId="6173"/>
    <cellStyle name="강조색1 36" xfId="6174"/>
    <cellStyle name="강조색1 37" xfId="6175"/>
    <cellStyle name="강조색1 38" xfId="6176"/>
    <cellStyle name="강조색1 39" xfId="6177"/>
    <cellStyle name="강조색1 4" xfId="129"/>
    <cellStyle name="강조색1 4 2" xfId="6178"/>
    <cellStyle name="강조색1 4 3" xfId="6179"/>
    <cellStyle name="강조색1 4 4" xfId="6180"/>
    <cellStyle name="강조색1 40" xfId="6181"/>
    <cellStyle name="강조색1 41" xfId="6182"/>
    <cellStyle name="강조색1 42" xfId="6183"/>
    <cellStyle name="강조색1 43" xfId="6184"/>
    <cellStyle name="강조색1 44" xfId="6185"/>
    <cellStyle name="강조색1 45" xfId="6186"/>
    <cellStyle name="강조색1 46" xfId="6187"/>
    <cellStyle name="강조색1 47" xfId="6188"/>
    <cellStyle name="강조색1 48" xfId="6189"/>
    <cellStyle name="강조색1 49" xfId="6190"/>
    <cellStyle name="강조색1 5" xfId="130"/>
    <cellStyle name="강조색1 5 2" xfId="6191"/>
    <cellStyle name="강조색1 50" xfId="28117"/>
    <cellStyle name="강조색1 6" xfId="131"/>
    <cellStyle name="강조색1 6 2" xfId="6192"/>
    <cellStyle name="강조색1 7" xfId="132"/>
    <cellStyle name="강조색1 7 2" xfId="6193"/>
    <cellStyle name="강조색1 8" xfId="133"/>
    <cellStyle name="강조색1 8 2" xfId="6194"/>
    <cellStyle name="강조색1 9" xfId="6195"/>
    <cellStyle name="강조색1 9 2" xfId="29690"/>
    <cellStyle name="강조색2 10" xfId="6196"/>
    <cellStyle name="강조색2 10 2" xfId="29754"/>
    <cellStyle name="강조색2 11" xfId="6197"/>
    <cellStyle name="강조색2 11 2" xfId="29680"/>
    <cellStyle name="강조색2 12" xfId="6198"/>
    <cellStyle name="강조색2 12 2" xfId="29513"/>
    <cellStyle name="강조색2 13" xfId="6199"/>
    <cellStyle name="강조색2 13 2" xfId="29595"/>
    <cellStyle name="강조색2 14" xfId="6200"/>
    <cellStyle name="강조색2 15" xfId="6201"/>
    <cellStyle name="강조색2 16" xfId="6202"/>
    <cellStyle name="강조색2 17" xfId="6203"/>
    <cellStyle name="강조색2 18" xfId="6204"/>
    <cellStyle name="강조색2 19" xfId="6205"/>
    <cellStyle name="강조색2 2" xfId="134"/>
    <cellStyle name="강조색2 2 2" xfId="6206"/>
    <cellStyle name="강조색2 2 3" xfId="6207"/>
    <cellStyle name="강조색2 2 4" xfId="6208"/>
    <cellStyle name="강조색2 20" xfId="6209"/>
    <cellStyle name="강조색2 21" xfId="6210"/>
    <cellStyle name="강조색2 22" xfId="6211"/>
    <cellStyle name="강조색2 23" xfId="6212"/>
    <cellStyle name="강조색2 24" xfId="6213"/>
    <cellStyle name="강조색2 25" xfId="6214"/>
    <cellStyle name="강조색2 26" xfId="6215"/>
    <cellStyle name="강조색2 27" xfId="6216"/>
    <cellStyle name="강조색2 28" xfId="6217"/>
    <cellStyle name="강조색2 29" xfId="6218"/>
    <cellStyle name="강조색2 3" xfId="135"/>
    <cellStyle name="강조색2 3 2" xfId="6219"/>
    <cellStyle name="강조색2 3 2 2" xfId="6220"/>
    <cellStyle name="강조색2 3 3" xfId="6221"/>
    <cellStyle name="강조색2 3 4" xfId="6222"/>
    <cellStyle name="강조색2 30" xfId="6223"/>
    <cellStyle name="강조색2 31" xfId="6224"/>
    <cellStyle name="강조색2 32" xfId="6225"/>
    <cellStyle name="강조색2 33" xfId="6226"/>
    <cellStyle name="강조색2 34" xfId="6227"/>
    <cellStyle name="강조색2 35" xfId="6228"/>
    <cellStyle name="강조색2 36" xfId="6229"/>
    <cellStyle name="강조색2 37" xfId="6230"/>
    <cellStyle name="강조색2 38" xfId="6231"/>
    <cellStyle name="강조색2 39" xfId="6232"/>
    <cellStyle name="강조색2 4" xfId="136"/>
    <cellStyle name="강조색2 4 2" xfId="6233"/>
    <cellStyle name="강조색2 4 3" xfId="6234"/>
    <cellStyle name="강조색2 4 4" xfId="6235"/>
    <cellStyle name="강조색2 40" xfId="6236"/>
    <cellStyle name="강조색2 41" xfId="6237"/>
    <cellStyle name="강조색2 42" xfId="6238"/>
    <cellStyle name="강조색2 43" xfId="6239"/>
    <cellStyle name="강조색2 44" xfId="6240"/>
    <cellStyle name="강조색2 45" xfId="6241"/>
    <cellStyle name="강조색2 46" xfId="6242"/>
    <cellStyle name="강조색2 47" xfId="6243"/>
    <cellStyle name="강조색2 48" xfId="6244"/>
    <cellStyle name="강조색2 49" xfId="6245"/>
    <cellStyle name="강조색2 5" xfId="137"/>
    <cellStyle name="강조색2 5 2" xfId="6246"/>
    <cellStyle name="강조색2 50" xfId="28121"/>
    <cellStyle name="강조색2 6" xfId="138"/>
    <cellStyle name="강조색2 6 2" xfId="6247"/>
    <cellStyle name="강조색2 7" xfId="139"/>
    <cellStyle name="강조색2 7 2" xfId="6248"/>
    <cellStyle name="강조색2 8" xfId="140"/>
    <cellStyle name="강조색2 8 2" xfId="6249"/>
    <cellStyle name="강조색2 9" xfId="6250"/>
    <cellStyle name="강조색2 9 2" xfId="29548"/>
    <cellStyle name="강조색3 10" xfId="6251"/>
    <cellStyle name="강조색3 10 2" xfId="29522"/>
    <cellStyle name="강조색3 11" xfId="6252"/>
    <cellStyle name="강조색3 11 2" xfId="29676"/>
    <cellStyle name="강조색3 12" xfId="6253"/>
    <cellStyle name="강조색3 12 2" xfId="29808"/>
    <cellStyle name="강조색3 13" xfId="6254"/>
    <cellStyle name="강조색3 13 2" xfId="30267"/>
    <cellStyle name="강조색3 14" xfId="6255"/>
    <cellStyle name="강조색3 15" xfId="6256"/>
    <cellStyle name="강조색3 16" xfId="6257"/>
    <cellStyle name="강조색3 17" xfId="6258"/>
    <cellStyle name="강조색3 18" xfId="6259"/>
    <cellStyle name="강조색3 19" xfId="6260"/>
    <cellStyle name="강조색3 2" xfId="141"/>
    <cellStyle name="강조색3 2 2" xfId="6261"/>
    <cellStyle name="강조색3 2 3" xfId="6262"/>
    <cellStyle name="강조색3 2 4" xfId="6263"/>
    <cellStyle name="강조색3 20" xfId="6264"/>
    <cellStyle name="강조색3 21" xfId="6265"/>
    <cellStyle name="강조색3 22" xfId="6266"/>
    <cellStyle name="강조색3 23" xfId="6267"/>
    <cellStyle name="강조색3 24" xfId="6268"/>
    <cellStyle name="강조색3 25" xfId="6269"/>
    <cellStyle name="강조색3 26" xfId="6270"/>
    <cellStyle name="강조색3 27" xfId="6271"/>
    <cellStyle name="강조색3 28" xfId="6272"/>
    <cellStyle name="강조색3 29" xfId="6273"/>
    <cellStyle name="강조색3 3" xfId="142"/>
    <cellStyle name="강조색3 3 2" xfId="6274"/>
    <cellStyle name="강조색3 3 2 2" xfId="6275"/>
    <cellStyle name="강조색3 3 3" xfId="6276"/>
    <cellStyle name="강조색3 3 4" xfId="6277"/>
    <cellStyle name="강조색3 30" xfId="6278"/>
    <cellStyle name="강조색3 31" xfId="6279"/>
    <cellStyle name="강조색3 32" xfId="6280"/>
    <cellStyle name="강조색3 33" xfId="6281"/>
    <cellStyle name="강조색3 34" xfId="6282"/>
    <cellStyle name="강조색3 35" xfId="6283"/>
    <cellStyle name="강조색3 36" xfId="6284"/>
    <cellStyle name="강조색3 37" xfId="6285"/>
    <cellStyle name="강조색3 38" xfId="6286"/>
    <cellStyle name="강조색3 39" xfId="6287"/>
    <cellStyle name="강조색3 4" xfId="143"/>
    <cellStyle name="강조색3 4 2" xfId="6288"/>
    <cellStyle name="강조색3 4 3" xfId="6289"/>
    <cellStyle name="강조색3 4 4" xfId="6290"/>
    <cellStyle name="강조색3 40" xfId="6291"/>
    <cellStyle name="강조색3 41" xfId="6292"/>
    <cellStyle name="강조색3 42" xfId="6293"/>
    <cellStyle name="강조색3 43" xfId="6294"/>
    <cellStyle name="강조색3 44" xfId="6295"/>
    <cellStyle name="강조색3 45" xfId="6296"/>
    <cellStyle name="강조색3 46" xfId="6297"/>
    <cellStyle name="강조색3 47" xfId="6298"/>
    <cellStyle name="강조색3 48" xfId="6299"/>
    <cellStyle name="강조색3 49" xfId="6300"/>
    <cellStyle name="강조색3 5" xfId="144"/>
    <cellStyle name="강조색3 5 2" xfId="6301"/>
    <cellStyle name="강조색3 50" xfId="28125"/>
    <cellStyle name="강조색3 6" xfId="145"/>
    <cellStyle name="강조색3 6 2" xfId="6302"/>
    <cellStyle name="강조색3 7" xfId="146"/>
    <cellStyle name="강조색3 7 2" xfId="6303"/>
    <cellStyle name="강조색3 8" xfId="147"/>
    <cellStyle name="강조색3 8 2" xfId="6304"/>
    <cellStyle name="강조색3 9" xfId="6305"/>
    <cellStyle name="강조색3 9 2" xfId="29670"/>
    <cellStyle name="강조색4 10" xfId="6306"/>
    <cellStyle name="강조색4 10 2" xfId="30317"/>
    <cellStyle name="강조색4 11" xfId="6307"/>
    <cellStyle name="강조색4 11 2" xfId="29551"/>
    <cellStyle name="강조색4 12" xfId="6308"/>
    <cellStyle name="강조색4 12 2" xfId="29873"/>
    <cellStyle name="강조색4 13" xfId="6309"/>
    <cellStyle name="강조색4 13 2" xfId="29737"/>
    <cellStyle name="강조색4 14" xfId="6310"/>
    <cellStyle name="강조색4 15" xfId="6311"/>
    <cellStyle name="강조색4 16" xfId="6312"/>
    <cellStyle name="강조색4 17" xfId="6313"/>
    <cellStyle name="강조색4 18" xfId="6314"/>
    <cellStyle name="강조색4 19" xfId="6315"/>
    <cellStyle name="강조색4 2" xfId="148"/>
    <cellStyle name="강조색4 2 2" xfId="6316"/>
    <cellStyle name="강조색4 2 3" xfId="6317"/>
    <cellStyle name="강조색4 2 4" xfId="6318"/>
    <cellStyle name="강조색4 20" xfId="6319"/>
    <cellStyle name="강조색4 21" xfId="6320"/>
    <cellStyle name="강조색4 22" xfId="6321"/>
    <cellStyle name="강조색4 23" xfId="6322"/>
    <cellStyle name="강조색4 24" xfId="6323"/>
    <cellStyle name="강조색4 25" xfId="6324"/>
    <cellStyle name="강조색4 26" xfId="6325"/>
    <cellStyle name="강조색4 27" xfId="6326"/>
    <cellStyle name="강조색4 28" xfId="6327"/>
    <cellStyle name="강조색4 29" xfId="6328"/>
    <cellStyle name="강조색4 3" xfId="149"/>
    <cellStyle name="강조색4 3 2" xfId="6329"/>
    <cellStyle name="강조색4 3 2 2" xfId="6330"/>
    <cellStyle name="강조색4 3 3" xfId="6331"/>
    <cellStyle name="강조색4 3 4" xfId="6332"/>
    <cellStyle name="강조색4 30" xfId="6333"/>
    <cellStyle name="강조색4 31" xfId="6334"/>
    <cellStyle name="강조색4 32" xfId="6335"/>
    <cellStyle name="강조색4 33" xfId="6336"/>
    <cellStyle name="강조색4 34" xfId="6337"/>
    <cellStyle name="강조색4 35" xfId="6338"/>
    <cellStyle name="강조색4 36" xfId="6339"/>
    <cellStyle name="강조색4 37" xfId="6340"/>
    <cellStyle name="강조색4 38" xfId="6341"/>
    <cellStyle name="강조색4 39" xfId="6342"/>
    <cellStyle name="강조색4 4" xfId="150"/>
    <cellStyle name="강조색4 4 2" xfId="6343"/>
    <cellStyle name="강조색4 4 3" xfId="6344"/>
    <cellStyle name="강조색4 4 4" xfId="6345"/>
    <cellStyle name="강조색4 40" xfId="6346"/>
    <cellStyle name="강조색4 41" xfId="6347"/>
    <cellStyle name="강조색4 42" xfId="6348"/>
    <cellStyle name="강조색4 43" xfId="6349"/>
    <cellStyle name="강조색4 44" xfId="6350"/>
    <cellStyle name="강조색4 45" xfId="6351"/>
    <cellStyle name="강조색4 46" xfId="6352"/>
    <cellStyle name="강조색4 47" xfId="6353"/>
    <cellStyle name="강조색4 48" xfId="6354"/>
    <cellStyle name="강조색4 49" xfId="6355"/>
    <cellStyle name="강조색4 5" xfId="151"/>
    <cellStyle name="강조색4 5 2" xfId="6356"/>
    <cellStyle name="강조색4 50" xfId="28129"/>
    <cellStyle name="강조색4 6" xfId="152"/>
    <cellStyle name="강조색4 6 2" xfId="6357"/>
    <cellStyle name="강조색4 7" xfId="153"/>
    <cellStyle name="강조색4 7 2" xfId="6358"/>
    <cellStyle name="강조색4 8" xfId="154"/>
    <cellStyle name="강조색4 8 2" xfId="6359"/>
    <cellStyle name="강조색4 9" xfId="6360"/>
    <cellStyle name="강조색4 9 2" xfId="29682"/>
    <cellStyle name="강조색5 10" xfId="6361"/>
    <cellStyle name="강조색5 10 2" xfId="29521"/>
    <cellStyle name="강조색5 11" xfId="6362"/>
    <cellStyle name="강조색5 11 2" xfId="29663"/>
    <cellStyle name="강조색5 12" xfId="6363"/>
    <cellStyle name="강조색5 12 2" xfId="29787"/>
    <cellStyle name="강조색5 13" xfId="6364"/>
    <cellStyle name="강조색5 13 2" xfId="29477"/>
    <cellStyle name="강조색5 14" xfId="6365"/>
    <cellStyle name="강조색5 15" xfId="6366"/>
    <cellStyle name="강조색5 16" xfId="6367"/>
    <cellStyle name="강조색5 17" xfId="6368"/>
    <cellStyle name="강조색5 18" xfId="6369"/>
    <cellStyle name="강조색5 19" xfId="6370"/>
    <cellStyle name="강조색5 2" xfId="155"/>
    <cellStyle name="강조색5 2 2" xfId="6371"/>
    <cellStyle name="강조색5 2 3" xfId="6372"/>
    <cellStyle name="강조색5 2 4" xfId="6373"/>
    <cellStyle name="강조색5 20" xfId="6374"/>
    <cellStyle name="강조색5 21" xfId="6375"/>
    <cellStyle name="강조색5 22" xfId="6376"/>
    <cellStyle name="강조색5 23" xfId="6377"/>
    <cellStyle name="강조색5 24" xfId="6378"/>
    <cellStyle name="강조색5 25" xfId="6379"/>
    <cellStyle name="강조색5 26" xfId="6380"/>
    <cellStyle name="강조색5 27" xfId="6381"/>
    <cellStyle name="강조색5 28" xfId="6382"/>
    <cellStyle name="강조색5 29" xfId="6383"/>
    <cellStyle name="강조색5 3" xfId="156"/>
    <cellStyle name="강조색5 3 2" xfId="6384"/>
    <cellStyle name="강조색5 3 2 2" xfId="6385"/>
    <cellStyle name="강조색5 3 3" xfId="6386"/>
    <cellStyle name="강조색5 3 4" xfId="6387"/>
    <cellStyle name="강조색5 30" xfId="6388"/>
    <cellStyle name="강조색5 31" xfId="6389"/>
    <cellStyle name="강조색5 32" xfId="6390"/>
    <cellStyle name="강조색5 33" xfId="6391"/>
    <cellStyle name="강조색5 34" xfId="6392"/>
    <cellStyle name="강조색5 35" xfId="6393"/>
    <cellStyle name="강조색5 36" xfId="6394"/>
    <cellStyle name="강조색5 37" xfId="6395"/>
    <cellStyle name="강조색5 38" xfId="6396"/>
    <cellStyle name="강조색5 39" xfId="6397"/>
    <cellStyle name="강조색5 4" xfId="157"/>
    <cellStyle name="강조색5 4 2" xfId="6398"/>
    <cellStyle name="강조색5 4 3" xfId="6399"/>
    <cellStyle name="강조색5 4 4" xfId="6400"/>
    <cellStyle name="강조색5 40" xfId="6401"/>
    <cellStyle name="강조색5 41" xfId="6402"/>
    <cellStyle name="강조색5 42" xfId="6403"/>
    <cellStyle name="강조색5 43" xfId="6404"/>
    <cellStyle name="강조색5 44" xfId="6405"/>
    <cellStyle name="강조색5 45" xfId="6406"/>
    <cellStyle name="강조색5 46" xfId="6407"/>
    <cellStyle name="강조색5 47" xfId="6408"/>
    <cellStyle name="강조색5 48" xfId="6409"/>
    <cellStyle name="강조색5 49" xfId="6410"/>
    <cellStyle name="강조색5 5" xfId="158"/>
    <cellStyle name="강조색5 5 2" xfId="6411"/>
    <cellStyle name="강조색5 50" xfId="28133"/>
    <cellStyle name="강조색5 6" xfId="159"/>
    <cellStyle name="강조색5 6 2" xfId="6412"/>
    <cellStyle name="강조색5 7" xfId="160"/>
    <cellStyle name="강조색5 7 2" xfId="6413"/>
    <cellStyle name="강조색5 8" xfId="161"/>
    <cellStyle name="강조색5 8 2" xfId="6414"/>
    <cellStyle name="강조색5 9" xfId="6415"/>
    <cellStyle name="강조색5 9 2" xfId="29821"/>
    <cellStyle name="강조색6 10" xfId="6416"/>
    <cellStyle name="강조색6 10 2" xfId="29486"/>
    <cellStyle name="강조색6 11" xfId="6417"/>
    <cellStyle name="강조색6 11 2" xfId="29532"/>
    <cellStyle name="강조색6 12" xfId="6418"/>
    <cellStyle name="강조색6 12 2" xfId="29579"/>
    <cellStyle name="강조색6 13" xfId="6419"/>
    <cellStyle name="강조색6 13 2" xfId="29472"/>
    <cellStyle name="강조색6 14" xfId="6420"/>
    <cellStyle name="강조색6 15" xfId="6421"/>
    <cellStyle name="강조색6 16" xfId="6422"/>
    <cellStyle name="강조색6 17" xfId="6423"/>
    <cellStyle name="강조색6 18" xfId="6424"/>
    <cellStyle name="강조색6 19" xfId="6425"/>
    <cellStyle name="강조색6 2" xfId="162"/>
    <cellStyle name="강조색6 2 2" xfId="6426"/>
    <cellStyle name="강조색6 2 3" xfId="6427"/>
    <cellStyle name="강조색6 2 4" xfId="6428"/>
    <cellStyle name="강조색6 20" xfId="6429"/>
    <cellStyle name="강조색6 21" xfId="6430"/>
    <cellStyle name="강조색6 22" xfId="6431"/>
    <cellStyle name="강조색6 23" xfId="6432"/>
    <cellStyle name="강조색6 24" xfId="6433"/>
    <cellStyle name="강조색6 25" xfId="6434"/>
    <cellStyle name="강조색6 26" xfId="6435"/>
    <cellStyle name="강조색6 27" xfId="6436"/>
    <cellStyle name="강조색6 28" xfId="6437"/>
    <cellStyle name="강조색6 29" xfId="6438"/>
    <cellStyle name="강조색6 3" xfId="163"/>
    <cellStyle name="강조색6 3 2" xfId="6439"/>
    <cellStyle name="강조색6 3 2 2" xfId="6440"/>
    <cellStyle name="강조색6 3 3" xfId="6441"/>
    <cellStyle name="강조색6 3 4" xfId="6442"/>
    <cellStyle name="강조색6 30" xfId="6443"/>
    <cellStyle name="강조색6 31" xfId="6444"/>
    <cellStyle name="강조색6 32" xfId="6445"/>
    <cellStyle name="강조색6 33" xfId="6446"/>
    <cellStyle name="강조색6 34" xfId="6447"/>
    <cellStyle name="강조색6 35" xfId="6448"/>
    <cellStyle name="강조색6 36" xfId="6449"/>
    <cellStyle name="강조색6 37" xfId="6450"/>
    <cellStyle name="강조색6 38" xfId="6451"/>
    <cellStyle name="강조색6 39" xfId="6452"/>
    <cellStyle name="강조색6 4" xfId="164"/>
    <cellStyle name="강조색6 4 2" xfId="6453"/>
    <cellStyle name="강조색6 4 3" xfId="6454"/>
    <cellStyle name="강조색6 4 4" xfId="6455"/>
    <cellStyle name="강조색6 40" xfId="6456"/>
    <cellStyle name="강조색6 41" xfId="6457"/>
    <cellStyle name="강조색6 42" xfId="6458"/>
    <cellStyle name="강조색6 43" xfId="6459"/>
    <cellStyle name="강조색6 44" xfId="6460"/>
    <cellStyle name="강조색6 45" xfId="6461"/>
    <cellStyle name="강조색6 46" xfId="6462"/>
    <cellStyle name="강조색6 47" xfId="6463"/>
    <cellStyle name="강조색6 48" xfId="6464"/>
    <cellStyle name="강조색6 49" xfId="6465"/>
    <cellStyle name="강조색6 5" xfId="165"/>
    <cellStyle name="강조색6 5 2" xfId="6466"/>
    <cellStyle name="강조색6 50" xfId="28137"/>
    <cellStyle name="강조색6 6" xfId="166"/>
    <cellStyle name="강조색6 6 2" xfId="6467"/>
    <cellStyle name="강조색6 7" xfId="167"/>
    <cellStyle name="강조색6 7 2" xfId="6468"/>
    <cellStyle name="강조색6 8" xfId="168"/>
    <cellStyle name="강조색6 8 2" xfId="6469"/>
    <cellStyle name="강조색6 9" xfId="6470"/>
    <cellStyle name="강조색6 9 2" xfId="29520"/>
    <cellStyle name="경고문 10" xfId="6471"/>
    <cellStyle name="경고문 11" xfId="6472"/>
    <cellStyle name="경고문 12" xfId="6473"/>
    <cellStyle name="경고문 13" xfId="6474"/>
    <cellStyle name="경고문 14" xfId="6475"/>
    <cellStyle name="경고문 15" xfId="6476"/>
    <cellStyle name="경고문 16" xfId="6477"/>
    <cellStyle name="경고문 17" xfId="6478"/>
    <cellStyle name="경고문 18" xfId="6479"/>
    <cellStyle name="경고문 19" xfId="6480"/>
    <cellStyle name="경고문 2" xfId="169"/>
    <cellStyle name="경고문 20" xfId="6481"/>
    <cellStyle name="경고문 21" xfId="6482"/>
    <cellStyle name="경고문 22" xfId="6483"/>
    <cellStyle name="경고문 23" xfId="6484"/>
    <cellStyle name="경고문 24" xfId="6485"/>
    <cellStyle name="경고문 25" xfId="6486"/>
    <cellStyle name="경고문 26" xfId="6487"/>
    <cellStyle name="경고문 27" xfId="6488"/>
    <cellStyle name="경고문 28" xfId="6489"/>
    <cellStyle name="경고문 29" xfId="6490"/>
    <cellStyle name="경고문 3" xfId="170"/>
    <cellStyle name="경고문 3 2" xfId="6491"/>
    <cellStyle name="경고문 3 3" xfId="6492"/>
    <cellStyle name="경고문 3 4" xfId="6493"/>
    <cellStyle name="경고문 30" xfId="6494"/>
    <cellStyle name="경고문 31" xfId="28113"/>
    <cellStyle name="경고문 4" xfId="171"/>
    <cellStyle name="경고문 5" xfId="172"/>
    <cellStyle name="경고문 6" xfId="173"/>
    <cellStyle name="경고문 7" xfId="174"/>
    <cellStyle name="경고문 8" xfId="175"/>
    <cellStyle name="경고문 9" xfId="6495"/>
    <cellStyle name="계산 10" xfId="6496"/>
    <cellStyle name="계산 10 2" xfId="30385"/>
    <cellStyle name="계산 10 3" xfId="30652"/>
    <cellStyle name="계산 11" xfId="6497"/>
    <cellStyle name="계산 11 2" xfId="30386"/>
    <cellStyle name="계산 11 3" xfId="29775"/>
    <cellStyle name="계산 12" xfId="6498"/>
    <cellStyle name="계산 12 2" xfId="30387"/>
    <cellStyle name="계산 12 3" xfId="29519"/>
    <cellStyle name="계산 13" xfId="6499"/>
    <cellStyle name="계산 13 2" xfId="30388"/>
    <cellStyle name="계산 13 3" xfId="29782"/>
    <cellStyle name="계산 14" xfId="6500"/>
    <cellStyle name="계산 14 2" xfId="30389"/>
    <cellStyle name="계산 15" xfId="6501"/>
    <cellStyle name="계산 15 2" xfId="30390"/>
    <cellStyle name="계산 16" xfId="6502"/>
    <cellStyle name="계산 16 2" xfId="30391"/>
    <cellStyle name="계산 17" xfId="6503"/>
    <cellStyle name="계산 17 2" xfId="30392"/>
    <cellStyle name="계산 18" xfId="6504"/>
    <cellStyle name="계산 18 2" xfId="30393"/>
    <cellStyle name="계산 19" xfId="6505"/>
    <cellStyle name="계산 19 2" xfId="30394"/>
    <cellStyle name="계산 2" xfId="176"/>
    <cellStyle name="계산 2 2" xfId="6506"/>
    <cellStyle name="계산 2 2 2" xfId="30395"/>
    <cellStyle name="계산 2 3" xfId="6507"/>
    <cellStyle name="계산 2 3 2" xfId="30396"/>
    <cellStyle name="계산 2 4" xfId="6508"/>
    <cellStyle name="계산 2 4 2" xfId="30397"/>
    <cellStyle name="계산 2 5" xfId="30398"/>
    <cellStyle name="계산 20" xfId="6509"/>
    <cellStyle name="계산 20 2" xfId="30399"/>
    <cellStyle name="계산 21" xfId="6510"/>
    <cellStyle name="계산 21 2" xfId="30400"/>
    <cellStyle name="계산 22" xfId="6511"/>
    <cellStyle name="계산 22 2" xfId="30401"/>
    <cellStyle name="계산 23" xfId="6512"/>
    <cellStyle name="계산 23 2" xfId="30402"/>
    <cellStyle name="계산 24" xfId="6513"/>
    <cellStyle name="계산 24 2" xfId="30403"/>
    <cellStyle name="계산 25" xfId="6514"/>
    <cellStyle name="계산 25 2" xfId="30404"/>
    <cellStyle name="계산 26" xfId="6515"/>
    <cellStyle name="계산 26 2" xfId="30405"/>
    <cellStyle name="계산 27" xfId="6516"/>
    <cellStyle name="계산 27 2" xfId="30406"/>
    <cellStyle name="계산 28" xfId="6517"/>
    <cellStyle name="계산 28 2" xfId="30407"/>
    <cellStyle name="계산 29" xfId="6518"/>
    <cellStyle name="계산 29 2" xfId="30408"/>
    <cellStyle name="계산 3" xfId="177"/>
    <cellStyle name="계산 3 2" xfId="6519"/>
    <cellStyle name="계산 3 2 2" xfId="6520"/>
    <cellStyle name="계산 3 3" xfId="6521"/>
    <cellStyle name="계산 3 3 2" xfId="30410"/>
    <cellStyle name="계산 3 4" xfId="6522"/>
    <cellStyle name="계산 3 4 2" xfId="30411"/>
    <cellStyle name="계산 3 5" xfId="30412"/>
    <cellStyle name="계산 30" xfId="6523"/>
    <cellStyle name="계산 30 2" xfId="30413"/>
    <cellStyle name="계산 31" xfId="6524"/>
    <cellStyle name="계산 31 2" xfId="30414"/>
    <cellStyle name="계산 32" xfId="6525"/>
    <cellStyle name="계산 32 2" xfId="30415"/>
    <cellStyle name="계산 33" xfId="6526"/>
    <cellStyle name="계산 33 2" xfId="30416"/>
    <cellStyle name="계산 34" xfId="6527"/>
    <cellStyle name="계산 34 2" xfId="30417"/>
    <cellStyle name="계산 35" xfId="6528"/>
    <cellStyle name="계산 35 2" xfId="30418"/>
    <cellStyle name="계산 36" xfId="6529"/>
    <cellStyle name="계산 36 2" xfId="30419"/>
    <cellStyle name="계산 37" xfId="6530"/>
    <cellStyle name="계산 37 2" xfId="30420"/>
    <cellStyle name="계산 38" xfId="6531"/>
    <cellStyle name="계산 38 2" xfId="30421"/>
    <cellStyle name="계산 39" xfId="6532"/>
    <cellStyle name="계산 39 2" xfId="30422"/>
    <cellStyle name="계산 4" xfId="178"/>
    <cellStyle name="계산 4 2" xfId="6533"/>
    <cellStyle name="계산 4 2 2" xfId="30423"/>
    <cellStyle name="계산 4 3" xfId="6534"/>
    <cellStyle name="계산 4 3 2" xfId="30424"/>
    <cellStyle name="계산 4 4" xfId="6535"/>
    <cellStyle name="계산 4 4 2" xfId="30425"/>
    <cellStyle name="계산 4 5" xfId="30426"/>
    <cellStyle name="계산 40" xfId="6536"/>
    <cellStyle name="계산 40 2" xfId="30427"/>
    <cellStyle name="계산 41" xfId="6537"/>
    <cellStyle name="계산 41 2" xfId="30428"/>
    <cellStyle name="계산 42" xfId="6538"/>
    <cellStyle name="계산 42 2" xfId="30429"/>
    <cellStyle name="계산 43" xfId="6539"/>
    <cellStyle name="계산 43 2" xfId="30430"/>
    <cellStyle name="계산 44" xfId="6540"/>
    <cellStyle name="계산 44 2" xfId="30431"/>
    <cellStyle name="계산 45" xfId="6541"/>
    <cellStyle name="계산 45 2" xfId="30432"/>
    <cellStyle name="계산 46" xfId="6542"/>
    <cellStyle name="계산 46 2" xfId="30433"/>
    <cellStyle name="계산 47" xfId="6543"/>
    <cellStyle name="계산 47 2" xfId="30434"/>
    <cellStyle name="계산 48" xfId="6544"/>
    <cellStyle name="계산 48 2" xfId="30435"/>
    <cellStyle name="계산 49" xfId="6545"/>
    <cellStyle name="계산 5" xfId="179"/>
    <cellStyle name="계산 5 2" xfId="6546"/>
    <cellStyle name="계산 50" xfId="28110"/>
    <cellStyle name="계산 6" xfId="180"/>
    <cellStyle name="계산 6 2" xfId="6547"/>
    <cellStyle name="계산 7" xfId="181"/>
    <cellStyle name="계산 7 2" xfId="6548"/>
    <cellStyle name="계산 8" xfId="182"/>
    <cellStyle name="계산 8 2" xfId="6549"/>
    <cellStyle name="계산 9" xfId="6550"/>
    <cellStyle name="계산 9 2" xfId="30439"/>
    <cellStyle name="계산 9 3" xfId="29818"/>
    <cellStyle name="나쁨 10" xfId="6551"/>
    <cellStyle name="나쁨 10 2" xfId="29652"/>
    <cellStyle name="나쁨 11" xfId="6552"/>
    <cellStyle name="나쁨 11 2" xfId="29576"/>
    <cellStyle name="나쁨 12" xfId="6553"/>
    <cellStyle name="나쁨 12 2" xfId="30315"/>
    <cellStyle name="나쁨 13" xfId="6554"/>
    <cellStyle name="나쁨 13 2" xfId="29712"/>
    <cellStyle name="나쁨 14" xfId="6555"/>
    <cellStyle name="나쁨 15" xfId="6556"/>
    <cellStyle name="나쁨 16" xfId="6557"/>
    <cellStyle name="나쁨 17" xfId="6558"/>
    <cellStyle name="나쁨 18" xfId="6559"/>
    <cellStyle name="나쁨 19" xfId="6560"/>
    <cellStyle name="나쁨 2" xfId="183"/>
    <cellStyle name="나쁨 2 2" xfId="6561"/>
    <cellStyle name="나쁨 2 3" xfId="6562"/>
    <cellStyle name="나쁨 2 4" xfId="6563"/>
    <cellStyle name="나쁨 20" xfId="6564"/>
    <cellStyle name="나쁨 21" xfId="6565"/>
    <cellStyle name="나쁨 22" xfId="6566"/>
    <cellStyle name="나쁨 23" xfId="6567"/>
    <cellStyle name="나쁨 24" xfId="6568"/>
    <cellStyle name="나쁨 25" xfId="6569"/>
    <cellStyle name="나쁨 26" xfId="6570"/>
    <cellStyle name="나쁨 27" xfId="6571"/>
    <cellStyle name="나쁨 28" xfId="6572"/>
    <cellStyle name="나쁨 29" xfId="6573"/>
    <cellStyle name="나쁨 3" xfId="184"/>
    <cellStyle name="나쁨 3 2" xfId="6574"/>
    <cellStyle name="나쁨 3 2 2" xfId="6575"/>
    <cellStyle name="나쁨 3 3" xfId="6576"/>
    <cellStyle name="나쁨 3 4" xfId="6577"/>
    <cellStyle name="나쁨 30" xfId="6578"/>
    <cellStyle name="나쁨 31" xfId="6579"/>
    <cellStyle name="나쁨 32" xfId="6580"/>
    <cellStyle name="나쁨 33" xfId="6581"/>
    <cellStyle name="나쁨 34" xfId="6582"/>
    <cellStyle name="나쁨 35" xfId="6583"/>
    <cellStyle name="나쁨 36" xfId="6584"/>
    <cellStyle name="나쁨 37" xfId="6585"/>
    <cellStyle name="나쁨 38" xfId="6586"/>
    <cellStyle name="나쁨 39" xfId="6587"/>
    <cellStyle name="나쁨 4" xfId="185"/>
    <cellStyle name="나쁨 4 2" xfId="6588"/>
    <cellStyle name="나쁨 4 3" xfId="6589"/>
    <cellStyle name="나쁨 4 4" xfId="6590"/>
    <cellStyle name="나쁨 40" xfId="6591"/>
    <cellStyle name="나쁨 41" xfId="6592"/>
    <cellStyle name="나쁨 42" xfId="6593"/>
    <cellStyle name="나쁨 43" xfId="6594"/>
    <cellStyle name="나쁨 44" xfId="6595"/>
    <cellStyle name="나쁨 45" xfId="6596"/>
    <cellStyle name="나쁨 46" xfId="6597"/>
    <cellStyle name="나쁨 47" xfId="6598"/>
    <cellStyle name="나쁨 48" xfId="6599"/>
    <cellStyle name="나쁨 49" xfId="6600"/>
    <cellStyle name="나쁨 5" xfId="186"/>
    <cellStyle name="나쁨 5 2" xfId="6601"/>
    <cellStyle name="나쁨 50" xfId="28106"/>
    <cellStyle name="나쁨 6" xfId="187"/>
    <cellStyle name="나쁨 6 2" xfId="6602"/>
    <cellStyle name="나쁨 7" xfId="188"/>
    <cellStyle name="나쁨 7 2" xfId="6603"/>
    <cellStyle name="나쁨 8" xfId="189"/>
    <cellStyle name="나쁨 8 2" xfId="6604"/>
    <cellStyle name="나쁨 9" xfId="6605"/>
    <cellStyle name="나쁨 9 2" xfId="29471"/>
    <cellStyle name="메모 10" xfId="6606"/>
    <cellStyle name="메모 10 2" xfId="30440"/>
    <cellStyle name="메모 10 3" xfId="29723"/>
    <cellStyle name="메모 11" xfId="6607"/>
    <cellStyle name="메모 11 2" xfId="30441"/>
    <cellStyle name="메모 11 3" xfId="29841"/>
    <cellStyle name="메모 12" xfId="6608"/>
    <cellStyle name="메모 12 2" xfId="30442"/>
    <cellStyle name="메모 12 3" xfId="29669"/>
    <cellStyle name="메모 13" xfId="6609"/>
    <cellStyle name="메모 13 2" xfId="30443"/>
    <cellStyle name="메모 13 3" xfId="30268"/>
    <cellStyle name="메모 14" xfId="6610"/>
    <cellStyle name="메모 14 2" xfId="30444"/>
    <cellStyle name="메모 15" xfId="6611"/>
    <cellStyle name="메모 15 2" xfId="30445"/>
    <cellStyle name="메모 16" xfId="6612"/>
    <cellStyle name="메모 16 2" xfId="30446"/>
    <cellStyle name="메모 17" xfId="6613"/>
    <cellStyle name="메모 17 2" xfId="30447"/>
    <cellStyle name="메모 18" xfId="6614"/>
    <cellStyle name="메모 18 2" xfId="30448"/>
    <cellStyle name="메모 19" xfId="6615"/>
    <cellStyle name="메모 19 2" xfId="30449"/>
    <cellStyle name="메모 2" xfId="190"/>
    <cellStyle name="메모 2 2" xfId="191"/>
    <cellStyle name="메모 2 2 2" xfId="6616"/>
    <cellStyle name="메모 2 3" xfId="192"/>
    <cellStyle name="메모 2 3 2" xfId="6617"/>
    <cellStyle name="메모 2 4" xfId="6618"/>
    <cellStyle name="메모 2 4 2" xfId="30451"/>
    <cellStyle name="메모 2 5" xfId="30452"/>
    <cellStyle name="메모 20" xfId="6619"/>
    <cellStyle name="메모 20 2" xfId="30453"/>
    <cellStyle name="메모 21" xfId="6620"/>
    <cellStyle name="메모 21 2" xfId="30454"/>
    <cellStyle name="메모 22" xfId="6621"/>
    <cellStyle name="메모 22 2" xfId="30455"/>
    <cellStyle name="메모 23" xfId="6622"/>
    <cellStyle name="메모 23 2" xfId="30456"/>
    <cellStyle name="메모 24" xfId="6623"/>
    <cellStyle name="메모 24 2" xfId="30457"/>
    <cellStyle name="메모 25" xfId="6624"/>
    <cellStyle name="메모 25 2" xfId="30458"/>
    <cellStyle name="메모 26" xfId="6625"/>
    <cellStyle name="메모 26 2" xfId="30459"/>
    <cellStyle name="메모 27" xfId="6626"/>
    <cellStyle name="메모 27 2" xfId="30460"/>
    <cellStyle name="메모 28" xfId="6627"/>
    <cellStyle name="메모 28 2" xfId="30461"/>
    <cellStyle name="메모 29" xfId="6628"/>
    <cellStyle name="메모 29 2" xfId="30462"/>
    <cellStyle name="메모 3" xfId="193"/>
    <cellStyle name="메모 3 2" xfId="194"/>
    <cellStyle name="메모 3 2 2" xfId="30463"/>
    <cellStyle name="메모 3 2 3" xfId="29698"/>
    <cellStyle name="메모 3 3" xfId="195"/>
    <cellStyle name="메모 3 3 2" xfId="6629"/>
    <cellStyle name="메모 3 4" xfId="6630"/>
    <cellStyle name="메모 3 4 2" xfId="6631"/>
    <cellStyle name="메모 3 5" xfId="30464"/>
    <cellStyle name="메모 30" xfId="6632"/>
    <cellStyle name="메모 30 2" xfId="30465"/>
    <cellStyle name="메모 31" xfId="6633"/>
    <cellStyle name="메모 31 2" xfId="30466"/>
    <cellStyle name="메모 32" xfId="6634"/>
    <cellStyle name="메모 32 2" xfId="30467"/>
    <cellStyle name="메모 33" xfId="6635"/>
    <cellStyle name="메모 33 2" xfId="30468"/>
    <cellStyle name="메모 34" xfId="6636"/>
    <cellStyle name="메모 34 2" xfId="30469"/>
    <cellStyle name="메모 35" xfId="6637"/>
    <cellStyle name="메모 35 2" xfId="30470"/>
    <cellStyle name="메모 36" xfId="6638"/>
    <cellStyle name="메모 36 2" xfId="30471"/>
    <cellStyle name="메모 37" xfId="6639"/>
    <cellStyle name="메모 37 2" xfId="30472"/>
    <cellStyle name="메모 38" xfId="6640"/>
    <cellStyle name="메모 38 2" xfId="30473"/>
    <cellStyle name="메모 39" xfId="6641"/>
    <cellStyle name="메모 39 2" xfId="30474"/>
    <cellStyle name="메모 4" xfId="196"/>
    <cellStyle name="메모 4 2" xfId="6642"/>
    <cellStyle name="메모 4 2 2" xfId="30475"/>
    <cellStyle name="메모 4 3" xfId="6643"/>
    <cellStyle name="메모 4 3 2" xfId="30476"/>
    <cellStyle name="메모 4 4" xfId="6644"/>
    <cellStyle name="메모 4 4 2" xfId="30477"/>
    <cellStyle name="메모 4 5" xfId="6645"/>
    <cellStyle name="메모 40" xfId="6646"/>
    <cellStyle name="메모 40 2" xfId="30478"/>
    <cellStyle name="메모 41" xfId="6647"/>
    <cellStyle name="메모 41 2" xfId="30479"/>
    <cellStyle name="메모 42" xfId="6648"/>
    <cellStyle name="메모 42 2" xfId="30480"/>
    <cellStyle name="메모 43" xfId="6649"/>
    <cellStyle name="메모 43 2" xfId="30481"/>
    <cellStyle name="메모 44" xfId="6650"/>
    <cellStyle name="메모 44 2" xfId="30482"/>
    <cellStyle name="메모 45" xfId="6651"/>
    <cellStyle name="메모 45 2" xfId="30483"/>
    <cellStyle name="메모 46" xfId="6652"/>
    <cellStyle name="메모 46 2" xfId="30484"/>
    <cellStyle name="메모 47" xfId="6653"/>
    <cellStyle name="메모 47 2" xfId="30485"/>
    <cellStyle name="메모 48" xfId="6654"/>
    <cellStyle name="메모 48 2" xfId="30486"/>
    <cellStyle name="메모 49" xfId="6655"/>
    <cellStyle name="메모 49 2" xfId="6656"/>
    <cellStyle name="메모 5" xfId="197"/>
    <cellStyle name="메모 5 2" xfId="198"/>
    <cellStyle name="메모 5 2 2" xfId="30487"/>
    <cellStyle name="메모 5 2 2 2" xfId="29457"/>
    <cellStyle name="메모 5 2 3" xfId="29668"/>
    <cellStyle name="메모 5 3" xfId="6657"/>
    <cellStyle name="메모 50" xfId="28114"/>
    <cellStyle name="메모 50 2" xfId="30717"/>
    <cellStyle name="메모 50 2 2" xfId="30767"/>
    <cellStyle name="메모 50 2 2 2" xfId="30864"/>
    <cellStyle name="메모 50 2 2 2 2" xfId="32218"/>
    <cellStyle name="메모 50 2 2 3" xfId="32123"/>
    <cellStyle name="메모 50 2 3" xfId="30817"/>
    <cellStyle name="메모 50 2 3 2" xfId="32171"/>
    <cellStyle name="메모 50 2 4" xfId="32076"/>
    <cellStyle name="메모 50 3" xfId="30744"/>
    <cellStyle name="메모 50 3 2" xfId="30841"/>
    <cellStyle name="메모 50 3 2 2" xfId="32195"/>
    <cellStyle name="메모 50 3 3" xfId="32100"/>
    <cellStyle name="메모 50 4" xfId="30793"/>
    <cellStyle name="메모 50 4 2" xfId="32148"/>
    <cellStyle name="메모 50 5" xfId="32052"/>
    <cellStyle name="메모 6" xfId="199"/>
    <cellStyle name="메모 6 2" xfId="6658"/>
    <cellStyle name="메모 7" xfId="200"/>
    <cellStyle name="메모 7 2" xfId="6659"/>
    <cellStyle name="메모 8" xfId="201"/>
    <cellStyle name="메모 8 2" xfId="6660"/>
    <cellStyle name="메모 9" xfId="6661"/>
    <cellStyle name="메모 9 2" xfId="30488"/>
    <cellStyle name="메모 9 3" xfId="29820"/>
    <cellStyle name="백분율 2" xfId="202"/>
    <cellStyle name="백분율 2 2" xfId="30489"/>
    <cellStyle name="백분율 2 2 2" xfId="30920"/>
    <cellStyle name="백분율 2 2 2 2" xfId="30967"/>
    <cellStyle name="백분율 2 2 2 2 2" xfId="31032"/>
    <cellStyle name="백분율 2 2 2 2 2 2" xfId="32382"/>
    <cellStyle name="백분율 2 2 2 2 3" xfId="32319"/>
    <cellStyle name="백분율 2 2 2 3" xfId="30922"/>
    <cellStyle name="백분율 2 2 2 3 2" xfId="32276"/>
    <cellStyle name="백분율 2 2 2 4" xfId="32274"/>
    <cellStyle name="백분율 2 2 3" xfId="30977"/>
    <cellStyle name="백분율 2 2 3 2" xfId="30889"/>
    <cellStyle name="백분율 2 2 3 2 2" xfId="32243"/>
    <cellStyle name="백분율 2 2 3 3" xfId="32329"/>
    <cellStyle name="백분율 2 2 4" xfId="31010"/>
    <cellStyle name="백분율 2 2 4 2" xfId="32360"/>
    <cellStyle name="백분율 2 3" xfId="30934"/>
    <cellStyle name="백분율 2 3 2" xfId="30905"/>
    <cellStyle name="백분율 2 3 2 2" xfId="30996"/>
    <cellStyle name="백분율 2 3 2 2 2" xfId="32347"/>
    <cellStyle name="백분율 2 3 2 3" xfId="32259"/>
    <cellStyle name="백분율 2 3 3" xfId="30951"/>
    <cellStyle name="백분율 2 3 3 2" xfId="32304"/>
    <cellStyle name="백분율 2 3 4" xfId="32287"/>
    <cellStyle name="백분율 2 4" xfId="30911"/>
    <cellStyle name="백분율 2 4 2" xfId="30965"/>
    <cellStyle name="백분율 2 4 2 2" xfId="32317"/>
    <cellStyle name="백분율 2 4 3" xfId="32265"/>
    <cellStyle name="백분율 2 5" xfId="30962"/>
    <cellStyle name="백분율 2 5 2" xfId="32314"/>
    <cellStyle name="백분율 3" xfId="6662"/>
    <cellStyle name="백분율 3 2" xfId="30914"/>
    <cellStyle name="백분율 3 2 2" xfId="30925"/>
    <cellStyle name="백분율 3 2 2 2" xfId="31030"/>
    <cellStyle name="백분율 3 2 2 2 2" xfId="32380"/>
    <cellStyle name="백분율 3 2 2 3" xfId="32279"/>
    <cellStyle name="백분율 3 2 3" xfId="30939"/>
    <cellStyle name="백분율 3 2 3 2" xfId="32292"/>
    <cellStyle name="백분율 3 2 4" xfId="32268"/>
    <cellStyle name="백분율 3 3" xfId="31015"/>
    <cellStyle name="백분율 3 3 2" xfId="31014"/>
    <cellStyle name="백분율 3 3 2 2" xfId="32364"/>
    <cellStyle name="백분율 3 3 3" xfId="32365"/>
    <cellStyle name="백분율 3 4" xfId="30981"/>
    <cellStyle name="백분율 3 4 2" xfId="32333"/>
    <cellStyle name="백분율 4" xfId="30944"/>
    <cellStyle name="백분율 4 2" xfId="32297"/>
    <cellStyle name="보통 10" xfId="6663"/>
    <cellStyle name="보통 10 2" xfId="29852"/>
    <cellStyle name="보통 11" xfId="6664"/>
    <cellStyle name="보통 11 2" xfId="29631"/>
    <cellStyle name="보통 12" xfId="6665"/>
    <cellStyle name="보통 12 2" xfId="29651"/>
    <cellStyle name="보통 13" xfId="6666"/>
    <cellStyle name="보통 13 2" xfId="30018"/>
    <cellStyle name="보통 14" xfId="6667"/>
    <cellStyle name="보통 15" xfId="6668"/>
    <cellStyle name="보통 16" xfId="6669"/>
    <cellStyle name="보통 17" xfId="6670"/>
    <cellStyle name="보통 18" xfId="6671"/>
    <cellStyle name="보통 19" xfId="6672"/>
    <cellStyle name="보통 2" xfId="203"/>
    <cellStyle name="보통 2 2" xfId="6673"/>
    <cellStyle name="보통 2 3" xfId="6674"/>
    <cellStyle name="보통 2 4" xfId="6675"/>
    <cellStyle name="보통 20" xfId="6676"/>
    <cellStyle name="보통 21" xfId="6677"/>
    <cellStyle name="보통 22" xfId="6678"/>
    <cellStyle name="보통 23" xfId="6679"/>
    <cellStyle name="보통 24" xfId="6680"/>
    <cellStyle name="보통 25" xfId="6681"/>
    <cellStyle name="보통 26" xfId="6682"/>
    <cellStyle name="보통 27" xfId="6683"/>
    <cellStyle name="보통 28" xfId="6684"/>
    <cellStyle name="보통 29" xfId="6685"/>
    <cellStyle name="보통 3" xfId="204"/>
    <cellStyle name="보통 3 2" xfId="6686"/>
    <cellStyle name="보통 3 2 2" xfId="6687"/>
    <cellStyle name="보통 3 3" xfId="6688"/>
    <cellStyle name="보통 3 4" xfId="6689"/>
    <cellStyle name="보통 30" xfId="6690"/>
    <cellStyle name="보통 31" xfId="6691"/>
    <cellStyle name="보통 32" xfId="6692"/>
    <cellStyle name="보통 33" xfId="6693"/>
    <cellStyle name="보통 34" xfId="6694"/>
    <cellStyle name="보통 35" xfId="6695"/>
    <cellStyle name="보통 36" xfId="6696"/>
    <cellStyle name="보통 37" xfId="6697"/>
    <cellStyle name="보통 38" xfId="6698"/>
    <cellStyle name="보통 39" xfId="6699"/>
    <cellStyle name="보통 4" xfId="205"/>
    <cellStyle name="보통 4 2" xfId="6700"/>
    <cellStyle name="보통 4 3" xfId="6701"/>
    <cellStyle name="보통 4 4" xfId="6702"/>
    <cellStyle name="보통 40" xfId="6703"/>
    <cellStyle name="보통 41" xfId="6704"/>
    <cellStyle name="보통 42" xfId="6705"/>
    <cellStyle name="보통 43" xfId="6706"/>
    <cellStyle name="보통 44" xfId="6707"/>
    <cellStyle name="보통 45" xfId="6708"/>
    <cellStyle name="보통 46" xfId="6709"/>
    <cellStyle name="보통 47" xfId="6710"/>
    <cellStyle name="보통 48" xfId="6711"/>
    <cellStyle name="보통 49" xfId="6712"/>
    <cellStyle name="보통 5" xfId="206"/>
    <cellStyle name="보통 5 2" xfId="6713"/>
    <cellStyle name="보통 50" xfId="28107"/>
    <cellStyle name="보통 6" xfId="207"/>
    <cellStyle name="보통 6 2" xfId="6714"/>
    <cellStyle name="보통 7" xfId="208"/>
    <cellStyle name="보통 7 2" xfId="6715"/>
    <cellStyle name="보통 8" xfId="209"/>
    <cellStyle name="보통 8 2" xfId="6716"/>
    <cellStyle name="보통 9" xfId="6717"/>
    <cellStyle name="보통 9 2" xfId="29577"/>
    <cellStyle name="설명 텍스트 10" xfId="6718"/>
    <cellStyle name="설명 텍스트 11" xfId="6719"/>
    <cellStyle name="설명 텍스트 12" xfId="6720"/>
    <cellStyle name="설명 텍스트 13" xfId="6721"/>
    <cellStyle name="설명 텍스트 14" xfId="6722"/>
    <cellStyle name="설명 텍스트 15" xfId="6723"/>
    <cellStyle name="설명 텍스트 16" xfId="6724"/>
    <cellStyle name="설명 텍스트 17" xfId="6725"/>
    <cellStyle name="설명 텍스트 18" xfId="6726"/>
    <cellStyle name="설명 텍스트 19" xfId="6727"/>
    <cellStyle name="설명 텍스트 2" xfId="210"/>
    <cellStyle name="설명 텍스트 20" xfId="6728"/>
    <cellStyle name="설명 텍스트 21" xfId="6729"/>
    <cellStyle name="설명 텍스트 22" xfId="6730"/>
    <cellStyle name="설명 텍스트 23" xfId="6731"/>
    <cellStyle name="설명 텍스트 24" xfId="6732"/>
    <cellStyle name="설명 텍스트 25" xfId="6733"/>
    <cellStyle name="설명 텍스트 26" xfId="6734"/>
    <cellStyle name="설명 텍스트 27" xfId="6735"/>
    <cellStyle name="설명 텍스트 28" xfId="6736"/>
    <cellStyle name="설명 텍스트 29" xfId="6737"/>
    <cellStyle name="설명 텍스트 3" xfId="211"/>
    <cellStyle name="설명 텍스트 3 2" xfId="6738"/>
    <cellStyle name="설명 텍스트 3 3" xfId="6739"/>
    <cellStyle name="설명 텍스트 3 4" xfId="6740"/>
    <cellStyle name="설명 텍스트 30" xfId="6741"/>
    <cellStyle name="설명 텍스트 31" xfId="28115"/>
    <cellStyle name="설명 텍스트 4" xfId="212"/>
    <cellStyle name="설명 텍스트 5" xfId="213"/>
    <cellStyle name="설명 텍스트 6" xfId="214"/>
    <cellStyle name="설명 텍스트 7" xfId="215"/>
    <cellStyle name="설명 텍스트 8" xfId="216"/>
    <cellStyle name="설명 텍스트 9" xfId="6742"/>
    <cellStyle name="셀 확인 10" xfId="6743"/>
    <cellStyle name="셀 확인 10 2" xfId="29785"/>
    <cellStyle name="셀 확인 11" xfId="6744"/>
    <cellStyle name="셀 확인 11 2" xfId="29470"/>
    <cellStyle name="셀 확인 12" xfId="6745"/>
    <cellStyle name="셀 확인 12 2" xfId="29807"/>
    <cellStyle name="셀 확인 13" xfId="6746"/>
    <cellStyle name="셀 확인 13 2" xfId="29584"/>
    <cellStyle name="셀 확인 14" xfId="6747"/>
    <cellStyle name="셀 확인 15" xfId="6748"/>
    <cellStyle name="셀 확인 16" xfId="6749"/>
    <cellStyle name="셀 확인 17" xfId="6750"/>
    <cellStyle name="셀 확인 18" xfId="6751"/>
    <cellStyle name="셀 확인 19" xfId="6752"/>
    <cellStyle name="셀 확인 2" xfId="217"/>
    <cellStyle name="셀 확인 2 2" xfId="6753"/>
    <cellStyle name="셀 확인 2 3" xfId="6754"/>
    <cellStyle name="셀 확인 2 4" xfId="6755"/>
    <cellStyle name="셀 확인 20" xfId="6756"/>
    <cellStyle name="셀 확인 21" xfId="6757"/>
    <cellStyle name="셀 확인 22" xfId="6758"/>
    <cellStyle name="셀 확인 23" xfId="6759"/>
    <cellStyle name="셀 확인 24" xfId="6760"/>
    <cellStyle name="셀 확인 25" xfId="6761"/>
    <cellStyle name="셀 확인 26" xfId="6762"/>
    <cellStyle name="셀 확인 27" xfId="6763"/>
    <cellStyle name="셀 확인 28" xfId="6764"/>
    <cellStyle name="셀 확인 29" xfId="6765"/>
    <cellStyle name="셀 확인 3" xfId="218"/>
    <cellStyle name="셀 확인 3 2" xfId="6766"/>
    <cellStyle name="셀 확인 3 2 2" xfId="6767"/>
    <cellStyle name="셀 확인 3 3" xfId="6768"/>
    <cellStyle name="셀 확인 3 4" xfId="6769"/>
    <cellStyle name="셀 확인 30" xfId="6770"/>
    <cellStyle name="셀 확인 31" xfId="6771"/>
    <cellStyle name="셀 확인 32" xfId="6772"/>
    <cellStyle name="셀 확인 33" xfId="6773"/>
    <cellStyle name="셀 확인 34" xfId="6774"/>
    <cellStyle name="셀 확인 35" xfId="6775"/>
    <cellStyle name="셀 확인 36" xfId="6776"/>
    <cellStyle name="셀 확인 37" xfId="6777"/>
    <cellStyle name="셀 확인 38" xfId="6778"/>
    <cellStyle name="셀 확인 39" xfId="6779"/>
    <cellStyle name="셀 확인 4" xfId="219"/>
    <cellStyle name="셀 확인 4 2" xfId="6780"/>
    <cellStyle name="셀 확인 4 3" xfId="6781"/>
    <cellStyle name="셀 확인 4 4" xfId="6782"/>
    <cellStyle name="셀 확인 40" xfId="6783"/>
    <cellStyle name="셀 확인 41" xfId="6784"/>
    <cellStyle name="셀 확인 42" xfId="6785"/>
    <cellStyle name="셀 확인 43" xfId="6786"/>
    <cellStyle name="셀 확인 44" xfId="6787"/>
    <cellStyle name="셀 확인 45" xfId="6788"/>
    <cellStyle name="셀 확인 46" xfId="6789"/>
    <cellStyle name="셀 확인 47" xfId="6790"/>
    <cellStyle name="셀 확인 48" xfId="6791"/>
    <cellStyle name="셀 확인 49" xfId="6792"/>
    <cellStyle name="셀 확인 5" xfId="220"/>
    <cellStyle name="셀 확인 5 2" xfId="6793"/>
    <cellStyle name="셀 확인 50" xfId="28112"/>
    <cellStyle name="셀 확인 6" xfId="221"/>
    <cellStyle name="셀 확인 6 2" xfId="6794"/>
    <cellStyle name="셀 확인 7" xfId="222"/>
    <cellStyle name="셀 확인 7 2" xfId="6795"/>
    <cellStyle name="셀 확인 8" xfId="223"/>
    <cellStyle name="셀 확인 8 2" xfId="6796"/>
    <cellStyle name="셀 확인 9" xfId="6797"/>
    <cellStyle name="셀 확인 9 2" xfId="29507"/>
    <cellStyle name="쉼표 [0]" xfId="29437" builtinId="6"/>
    <cellStyle name="쉼표 [0] 10" xfId="224"/>
    <cellStyle name="쉼표 [0] 10 10" xfId="6798"/>
    <cellStyle name="쉼표 [0] 10 10 2" xfId="6799"/>
    <cellStyle name="쉼표 [0] 10 11" xfId="6800"/>
    <cellStyle name="쉼표 [0] 10 11 2" xfId="16556"/>
    <cellStyle name="쉼표 [0] 10 12" xfId="30490"/>
    <cellStyle name="쉼표 [0] 10 12 2" xfId="30734"/>
    <cellStyle name="쉼표 [0] 10 12 2 2" xfId="30784"/>
    <cellStyle name="쉼표 [0] 10 12 2 2 2" xfId="30881"/>
    <cellStyle name="쉼표 [0] 10 12 2 2 2 2" xfId="32235"/>
    <cellStyle name="쉼표 [0] 10 12 2 2 3" xfId="32140"/>
    <cellStyle name="쉼표 [0] 10 12 2 3" xfId="30834"/>
    <cellStyle name="쉼표 [0] 10 12 2 3 2" xfId="32188"/>
    <cellStyle name="쉼표 [0] 10 12 2 4" xfId="32093"/>
    <cellStyle name="쉼표 [0] 10 12 3" xfId="30761"/>
    <cellStyle name="쉼표 [0] 10 12 3 2" xfId="30858"/>
    <cellStyle name="쉼표 [0] 10 12 3 2 2" xfId="32212"/>
    <cellStyle name="쉼표 [0] 10 12 3 3" xfId="32117"/>
    <cellStyle name="쉼표 [0] 10 12 4" xfId="30811"/>
    <cellStyle name="쉼표 [0] 10 12 4 2" xfId="32165"/>
    <cellStyle name="쉼표 [0] 10 12 5" xfId="32070"/>
    <cellStyle name="쉼표 [0] 10 13" xfId="29594"/>
    <cellStyle name="쉼표 [0] 10 2" xfId="225"/>
    <cellStyle name="쉼표 [0] 10 2 2" xfId="226"/>
    <cellStyle name="쉼표 [0] 10 2 2 2" xfId="227"/>
    <cellStyle name="쉼표 [0] 10 2 2 2 2" xfId="228"/>
    <cellStyle name="쉼표 [0] 10 2 2 3" xfId="229"/>
    <cellStyle name="쉼표 [0] 10 2 2 3 2" xfId="230"/>
    <cellStyle name="쉼표 [0] 10 2 2 3 2 2" xfId="231"/>
    <cellStyle name="쉼표 [0] 10 2 2 3 3" xfId="232"/>
    <cellStyle name="쉼표 [0] 10 2 2 4" xfId="233"/>
    <cellStyle name="쉼표 [0] 10 2 2 4 2" xfId="234"/>
    <cellStyle name="쉼표 [0] 10 2 2 5" xfId="235"/>
    <cellStyle name="쉼표 [0] 10 2 2 6" xfId="30677"/>
    <cellStyle name="쉼표 [0] 10 2 3" xfId="236"/>
    <cellStyle name="쉼표 [0] 10 2 3 2" xfId="237"/>
    <cellStyle name="쉼표 [0] 10 2 4" xfId="238"/>
    <cellStyle name="쉼표 [0] 10 2 4 2" xfId="239"/>
    <cellStyle name="쉼표 [0] 10 2 4 2 2" xfId="240"/>
    <cellStyle name="쉼표 [0] 10 2 4 3" xfId="241"/>
    <cellStyle name="쉼표 [0] 10 2 5" xfId="242"/>
    <cellStyle name="쉼표 [0] 10 2 5 2" xfId="243"/>
    <cellStyle name="쉼표 [0] 10 2 6" xfId="244"/>
    <cellStyle name="쉼표 [0] 10 2 7" xfId="6801"/>
    <cellStyle name="쉼표 [0] 10 2 7 2" xfId="6802"/>
    <cellStyle name="쉼표 [0] 10 2 8" xfId="29703"/>
    <cellStyle name="쉼표 [0] 10 3" xfId="245"/>
    <cellStyle name="쉼표 [0] 10 3 2" xfId="246"/>
    <cellStyle name="쉼표 [0] 10 3 2 2" xfId="247"/>
    <cellStyle name="쉼표 [0] 10 3 3" xfId="248"/>
    <cellStyle name="쉼표 [0] 10 3 3 2" xfId="249"/>
    <cellStyle name="쉼표 [0] 10 3 3 2 2" xfId="250"/>
    <cellStyle name="쉼표 [0] 10 3 3 3" xfId="251"/>
    <cellStyle name="쉼표 [0] 10 3 4" xfId="252"/>
    <cellStyle name="쉼표 [0] 10 3 4 2" xfId="253"/>
    <cellStyle name="쉼표 [0] 10 3 5" xfId="254"/>
    <cellStyle name="쉼표 [0] 10 3 6" xfId="6803"/>
    <cellStyle name="쉼표 [0] 10 3 6 2" xfId="6804"/>
    <cellStyle name="쉼표 [0] 10 3 7" xfId="29827"/>
    <cellStyle name="쉼표 [0] 10 4" xfId="255"/>
    <cellStyle name="쉼표 [0] 10 4 2" xfId="256"/>
    <cellStyle name="쉼표 [0] 10 4 3" xfId="6805"/>
    <cellStyle name="쉼표 [0] 10 4 3 2" xfId="6806"/>
    <cellStyle name="쉼표 [0] 10 4 4" xfId="29650"/>
    <cellStyle name="쉼표 [0] 10 5" xfId="257"/>
    <cellStyle name="쉼표 [0] 10 5 2" xfId="258"/>
    <cellStyle name="쉼표 [0] 10 5 2 2" xfId="259"/>
    <cellStyle name="쉼표 [0] 10 5 3" xfId="260"/>
    <cellStyle name="쉼표 [0] 10 6" xfId="261"/>
    <cellStyle name="쉼표 [0] 10 6 2" xfId="262"/>
    <cellStyle name="쉼표 [0] 10 7" xfId="263"/>
    <cellStyle name="쉼표 [0] 10 7 2" xfId="264"/>
    <cellStyle name="쉼표 [0] 10 8" xfId="265"/>
    <cellStyle name="쉼표 [0] 10 9" xfId="266"/>
    <cellStyle name="쉼표 [0] 10 9 2" xfId="267"/>
    <cellStyle name="쉼표 [0] 11" xfId="268"/>
    <cellStyle name="쉼표 [0] 11 2" xfId="269"/>
    <cellStyle name="쉼표 [0] 11 2 2" xfId="270"/>
    <cellStyle name="쉼표 [0] 11 2 3" xfId="6807"/>
    <cellStyle name="쉼표 [0] 11 2 3 2" xfId="6808"/>
    <cellStyle name="쉼표 [0] 11 2 4" xfId="29646"/>
    <cellStyle name="쉼표 [0] 11 3" xfId="271"/>
    <cellStyle name="쉼표 [0] 11 3 2" xfId="272"/>
    <cellStyle name="쉼표 [0] 11 3 2 2" xfId="30491"/>
    <cellStyle name="쉼표 [0] 11 3 3" xfId="6809"/>
    <cellStyle name="쉼표 [0] 11 3 3 2" xfId="6810"/>
    <cellStyle name="쉼표 [0] 11 4" xfId="273"/>
    <cellStyle name="쉼표 [0] 11 4 2" xfId="274"/>
    <cellStyle name="쉼표 [0] 11 4 3" xfId="6811"/>
    <cellStyle name="쉼표 [0] 11 4 3 2" xfId="6812"/>
    <cellStyle name="쉼표 [0] 11 5" xfId="6813"/>
    <cellStyle name="쉼표 [0] 11 5 2" xfId="6814"/>
    <cellStyle name="쉼표 [0] 11 6" xfId="6815"/>
    <cellStyle name="쉼표 [0] 11 6 2" xfId="16555"/>
    <cellStyle name="쉼표 [0] 11 7" xfId="30052"/>
    <cellStyle name="쉼표 [0] 12" xfId="275"/>
    <cellStyle name="쉼표 [0] 12 2" xfId="276"/>
    <cellStyle name="쉼표 [0] 12 2 2" xfId="277"/>
    <cellStyle name="쉼표 [0] 12 2 2 2" xfId="278"/>
    <cellStyle name="쉼표 [0] 12 2 3" xfId="279"/>
    <cellStyle name="쉼표 [0] 12 3" xfId="280"/>
    <cellStyle name="쉼표 [0] 12 3 2" xfId="281"/>
    <cellStyle name="쉼표 [0] 12 4" xfId="282"/>
    <cellStyle name="쉼표 [0] 12 5" xfId="283"/>
    <cellStyle name="쉼표 [0] 12 5 2" xfId="284"/>
    <cellStyle name="쉼표 [0] 12 6" xfId="6816"/>
    <cellStyle name="쉼표 [0] 12 6 2" xfId="6817"/>
    <cellStyle name="쉼표 [0] 12 7" xfId="30661"/>
    <cellStyle name="쉼표 [0] 13" xfId="285"/>
    <cellStyle name="쉼표 [0] 13 10" xfId="6818"/>
    <cellStyle name="쉼표 [0] 13 10 2" xfId="6819"/>
    <cellStyle name="쉼표 [0] 13 11" xfId="6820"/>
    <cellStyle name="쉼표 [0] 13 11 2" xfId="6821"/>
    <cellStyle name="쉼표 [0] 13 12" xfId="6822"/>
    <cellStyle name="쉼표 [0] 13 12 2" xfId="6823"/>
    <cellStyle name="쉼표 [0] 13 13" xfId="6824"/>
    <cellStyle name="쉼표 [0] 13 14" xfId="30684"/>
    <cellStyle name="쉼표 [0] 13 2" xfId="286"/>
    <cellStyle name="쉼표 [0] 13 2 2" xfId="287"/>
    <cellStyle name="쉼표 [0] 13 2 2 2" xfId="288"/>
    <cellStyle name="쉼표 [0] 13 2 2 2 2" xfId="289"/>
    <cellStyle name="쉼표 [0] 13 2 3" xfId="290"/>
    <cellStyle name="쉼표 [0] 13 2 3 2" xfId="291"/>
    <cellStyle name="쉼표 [0] 13 2 4" xfId="292"/>
    <cellStyle name="쉼표 [0] 13 2 4 2" xfId="293"/>
    <cellStyle name="쉼표 [0] 13 2 5" xfId="6825"/>
    <cellStyle name="쉼표 [0] 13 2 5 2" xfId="6826"/>
    <cellStyle name="쉼표 [0] 13 2 6" xfId="29440"/>
    <cellStyle name="쉼표 [0] 13 3" xfId="294"/>
    <cellStyle name="쉼표 [0] 13 3 2" xfId="295"/>
    <cellStyle name="쉼표 [0] 13 3 2 2" xfId="296"/>
    <cellStyle name="쉼표 [0] 13 3 3" xfId="297"/>
    <cellStyle name="쉼표 [0] 13 3 3 2" xfId="298"/>
    <cellStyle name="쉼표 [0] 13 3 4" xfId="6827"/>
    <cellStyle name="쉼표 [0] 13 3 4 2" xfId="6828"/>
    <cellStyle name="쉼표 [0] 13 3 5" xfId="30660"/>
    <cellStyle name="쉼표 [0] 13 4" xfId="299"/>
    <cellStyle name="쉼표 [0] 13 4 2" xfId="300"/>
    <cellStyle name="쉼표 [0] 13 4 3" xfId="6829"/>
    <cellStyle name="쉼표 [0] 13 4 3 2" xfId="6830"/>
    <cellStyle name="쉼표 [0] 13 5" xfId="301"/>
    <cellStyle name="쉼표 [0] 13 5 2" xfId="302"/>
    <cellStyle name="쉼표 [0] 13 5 3" xfId="6831"/>
    <cellStyle name="쉼표 [0] 13 5 3 2" xfId="6832"/>
    <cellStyle name="쉼표 [0] 13 6" xfId="6833"/>
    <cellStyle name="쉼표 [0] 13 6 2" xfId="6834"/>
    <cellStyle name="쉼표 [0] 13 7" xfId="6835"/>
    <cellStyle name="쉼표 [0] 13 7 2" xfId="6836"/>
    <cellStyle name="쉼표 [0] 13 8" xfId="6837"/>
    <cellStyle name="쉼표 [0] 13 8 2" xfId="6838"/>
    <cellStyle name="쉼표 [0] 13 9" xfId="6839"/>
    <cellStyle name="쉼표 [0] 13 9 2" xfId="6840"/>
    <cellStyle name="쉼표 [0] 14" xfId="303"/>
    <cellStyle name="쉼표 [0] 14 10" xfId="6841"/>
    <cellStyle name="쉼표 [0] 14 10 2" xfId="6842"/>
    <cellStyle name="쉼표 [0] 14 11" xfId="6843"/>
    <cellStyle name="쉼표 [0] 14 11 2" xfId="6844"/>
    <cellStyle name="쉼표 [0] 14 12" xfId="6845"/>
    <cellStyle name="쉼표 [0] 14 12 2" xfId="6846"/>
    <cellStyle name="쉼표 [0] 14 13" xfId="6847"/>
    <cellStyle name="쉼표 [0] 14 14" xfId="30673"/>
    <cellStyle name="쉼표 [0] 14 2" xfId="304"/>
    <cellStyle name="쉼표 [0] 14 2 2" xfId="305"/>
    <cellStyle name="쉼표 [0] 14 2 2 2" xfId="6848"/>
    <cellStyle name="쉼표 [0] 14 2 3" xfId="6849"/>
    <cellStyle name="쉼표 [0] 14 2 4" xfId="6850"/>
    <cellStyle name="쉼표 [0] 14 2 5" xfId="6851"/>
    <cellStyle name="쉼표 [0] 14 2 5 2" xfId="6852"/>
    <cellStyle name="쉼표 [0] 14 3" xfId="6853"/>
    <cellStyle name="쉼표 [0] 14 3 2" xfId="6854"/>
    <cellStyle name="쉼표 [0] 14 3 3" xfId="6855"/>
    <cellStyle name="쉼표 [0] 14 3 4" xfId="6856"/>
    <cellStyle name="쉼표 [0] 14 3 5" xfId="6857"/>
    <cellStyle name="쉼표 [0] 14 4" xfId="6858"/>
    <cellStyle name="쉼표 [0] 14 4 2" xfId="6859"/>
    <cellStyle name="쉼표 [0] 14 5" xfId="6860"/>
    <cellStyle name="쉼표 [0] 14 5 2" xfId="6861"/>
    <cellStyle name="쉼표 [0] 14 6" xfId="6862"/>
    <cellStyle name="쉼표 [0] 14 6 2" xfId="6863"/>
    <cellStyle name="쉼표 [0] 14 7" xfId="6864"/>
    <cellStyle name="쉼표 [0] 14 7 2" xfId="6865"/>
    <cellStyle name="쉼표 [0] 14 8" xfId="6866"/>
    <cellStyle name="쉼표 [0] 14 8 2" xfId="6867"/>
    <cellStyle name="쉼표 [0] 14 9" xfId="6868"/>
    <cellStyle name="쉼표 [0] 14 9 2" xfId="6869"/>
    <cellStyle name="쉼표 [0] 15" xfId="306"/>
    <cellStyle name="쉼표 [0] 15 10" xfId="6870"/>
    <cellStyle name="쉼표 [0] 15 10 2" xfId="6871"/>
    <cellStyle name="쉼표 [0] 15 10 3" xfId="29447"/>
    <cellStyle name="쉼표 [0] 15 11" xfId="6872"/>
    <cellStyle name="쉼표 [0] 15 11 2" xfId="6873"/>
    <cellStyle name="쉼표 [0] 15 11 3" xfId="30662"/>
    <cellStyle name="쉼표 [0] 15 12" xfId="6874"/>
    <cellStyle name="쉼표 [0] 15 12 2" xfId="6875"/>
    <cellStyle name="쉼표 [0] 15 13" xfId="6876"/>
    <cellStyle name="쉼표 [0] 15 14" xfId="30669"/>
    <cellStyle name="쉼표 [0] 15 2" xfId="307"/>
    <cellStyle name="쉼표 [0] 15 2 2" xfId="308"/>
    <cellStyle name="쉼표 [0] 15 2 2 2" xfId="309"/>
    <cellStyle name="쉼표 [0] 15 2 2 3" xfId="6877"/>
    <cellStyle name="쉼표 [0] 15 2 3" xfId="6878"/>
    <cellStyle name="쉼표 [0] 15 2 4" xfId="6879"/>
    <cellStyle name="쉼표 [0] 15 2 5" xfId="6880"/>
    <cellStyle name="쉼표 [0] 15 2 5 2" xfId="6881"/>
    <cellStyle name="쉼표 [0] 15 2 6" xfId="29506"/>
    <cellStyle name="쉼표 [0] 15 3" xfId="310"/>
    <cellStyle name="쉼표 [0] 15 3 2" xfId="311"/>
    <cellStyle name="쉼표 [0] 15 3 2 2" xfId="6882"/>
    <cellStyle name="쉼표 [0] 15 3 3" xfId="6883"/>
    <cellStyle name="쉼표 [0] 15 3 4" xfId="6884"/>
    <cellStyle name="쉼표 [0] 15 3 5" xfId="6885"/>
    <cellStyle name="쉼표 [0] 15 3 5 2" xfId="6886"/>
    <cellStyle name="쉼표 [0] 15 3 6" xfId="29697"/>
    <cellStyle name="쉼표 [0] 15 4" xfId="6887"/>
    <cellStyle name="쉼표 [0] 15 4 2" xfId="6888"/>
    <cellStyle name="쉼표 [0] 15 4 3" xfId="30245"/>
    <cellStyle name="쉼표 [0] 15 5" xfId="6889"/>
    <cellStyle name="쉼표 [0] 15 5 2" xfId="6890"/>
    <cellStyle name="쉼표 [0] 15 5 3" xfId="30678"/>
    <cellStyle name="쉼표 [0] 15 6" xfId="6891"/>
    <cellStyle name="쉼표 [0] 15 6 2" xfId="6892"/>
    <cellStyle name="쉼표 [0] 15 6 3" xfId="29826"/>
    <cellStyle name="쉼표 [0] 15 7" xfId="6893"/>
    <cellStyle name="쉼표 [0] 15 7 2" xfId="6894"/>
    <cellStyle name="쉼표 [0] 15 7 3" xfId="29771"/>
    <cellStyle name="쉼표 [0] 15 8" xfId="6895"/>
    <cellStyle name="쉼표 [0] 15 8 2" xfId="6896"/>
    <cellStyle name="쉼표 [0] 15 8 3" xfId="29632"/>
    <cellStyle name="쉼표 [0] 15 9" xfId="6897"/>
    <cellStyle name="쉼표 [0] 15 9 2" xfId="6898"/>
    <cellStyle name="쉼표 [0] 15 9 3" xfId="29645"/>
    <cellStyle name="쉼표 [0] 16" xfId="312"/>
    <cellStyle name="쉼표 [0] 16 2" xfId="313"/>
    <cellStyle name="쉼표 [0] 16 2 2" xfId="314"/>
    <cellStyle name="쉼표 [0] 16 2 3" xfId="6899"/>
    <cellStyle name="쉼표 [0] 16 3" xfId="6900"/>
    <cellStyle name="쉼표 [0] 16 4" xfId="6901"/>
    <cellStyle name="쉼표 [0] 16 4 2" xfId="6902"/>
    <cellStyle name="쉼표 [0] 16 5" xfId="29505"/>
    <cellStyle name="쉼표 [0] 17" xfId="315"/>
    <cellStyle name="쉼표 [0] 17 2" xfId="316"/>
    <cellStyle name="쉼표 [0] 17 3" xfId="317"/>
    <cellStyle name="쉼표 [0] 17 3 2" xfId="318"/>
    <cellStyle name="쉼표 [0] 17 4" xfId="6903"/>
    <cellStyle name="쉼표 [0] 17 4 2" xfId="6904"/>
    <cellStyle name="쉼표 [0] 17 5" xfId="29623"/>
    <cellStyle name="쉼표 [0] 18" xfId="319"/>
    <cellStyle name="쉼표 [0] 18 2" xfId="320"/>
    <cellStyle name="쉼표 [0] 18 2 2" xfId="30916"/>
    <cellStyle name="쉼표 [0] 18 2 2 2" xfId="31007"/>
    <cellStyle name="쉼표 [0] 18 2 2 2 2" xfId="31028"/>
    <cellStyle name="쉼표 [0] 18 2 2 2 2 2" xfId="30941"/>
    <cellStyle name="쉼표 [0] 18 2 2 2 2 2 2" xfId="32294"/>
    <cellStyle name="쉼표 [0] 18 2 2 2 2 3" xfId="32378"/>
    <cellStyle name="쉼표 [0] 18 2 2 2 3" xfId="30904"/>
    <cellStyle name="쉼표 [0] 18 2 2 2 3 2" xfId="32258"/>
    <cellStyle name="쉼표 [0] 18 2 2 2 4" xfId="32358"/>
    <cellStyle name="쉼표 [0] 18 2 2 3" xfId="30968"/>
    <cellStyle name="쉼표 [0] 18 2 2 3 2" xfId="30963"/>
    <cellStyle name="쉼표 [0] 18 2 2 3 2 2" xfId="32315"/>
    <cellStyle name="쉼표 [0] 18 2 2 3 3" xfId="32320"/>
    <cellStyle name="쉼표 [0] 18 2 2 4" xfId="31004"/>
    <cellStyle name="쉼표 [0] 18 2 2 4 2" xfId="32355"/>
    <cellStyle name="쉼표 [0] 18 2 2 5" xfId="32270"/>
    <cellStyle name="쉼표 [0] 18 2 3" xfId="30913"/>
    <cellStyle name="쉼표 [0] 18 2 3 2" xfId="31025"/>
    <cellStyle name="쉼표 [0] 18 2 3 2 2" xfId="30948"/>
    <cellStyle name="쉼표 [0] 18 2 3 2 2 2" xfId="32301"/>
    <cellStyle name="쉼표 [0] 18 2 3 2 3" xfId="32375"/>
    <cellStyle name="쉼표 [0] 18 2 3 3" xfId="30892"/>
    <cellStyle name="쉼표 [0] 18 2 3 3 2" xfId="32246"/>
    <cellStyle name="쉼표 [0] 18 2 3 4" xfId="32267"/>
    <cellStyle name="쉼표 [0] 18 2 4" xfId="30988"/>
    <cellStyle name="쉼표 [0] 18 2 4 2" xfId="31000"/>
    <cellStyle name="쉼표 [0] 18 2 4 2 2" xfId="32351"/>
    <cellStyle name="쉼표 [0] 18 2 4 3" xfId="32339"/>
    <cellStyle name="쉼표 [0] 18 2 5" xfId="30923"/>
    <cellStyle name="쉼표 [0] 18 2 5 2" xfId="32277"/>
    <cellStyle name="쉼표 [0] 18 3" xfId="6905"/>
    <cellStyle name="쉼표 [0] 18 3 2" xfId="6906"/>
    <cellStyle name="쉼표 [0] 18 3 2 2" xfId="30957"/>
    <cellStyle name="쉼표 [0] 18 3 2 2 2" xfId="30945"/>
    <cellStyle name="쉼표 [0] 18 3 2 2 2 2" xfId="32298"/>
    <cellStyle name="쉼표 [0] 18 3 2 2 3" xfId="32310"/>
    <cellStyle name="쉼표 [0] 18 3 2 3" xfId="30933"/>
    <cellStyle name="쉼표 [0] 18 3 2 3 2" xfId="32286"/>
    <cellStyle name="쉼표 [0] 18 3 3" xfId="31019"/>
    <cellStyle name="쉼표 [0] 18 3 3 2" xfId="31012"/>
    <cellStyle name="쉼표 [0] 18 3 3 2 2" xfId="32362"/>
    <cellStyle name="쉼표 [0] 18 3 3 3" xfId="32369"/>
    <cellStyle name="쉼표 [0] 18 3 4" xfId="30915"/>
    <cellStyle name="쉼표 [0] 18 3 4 2" xfId="32269"/>
    <cellStyle name="쉼표 [0] 18 4" xfId="29638"/>
    <cellStyle name="쉼표 [0] 18 4 2" xfId="30924"/>
    <cellStyle name="쉼표 [0] 18 4 2 2" xfId="31013"/>
    <cellStyle name="쉼표 [0] 18 4 2 2 2" xfId="32363"/>
    <cellStyle name="쉼표 [0] 18 4 2 3" xfId="32278"/>
    <cellStyle name="쉼표 [0] 18 4 3" xfId="30897"/>
    <cellStyle name="쉼표 [0] 18 4 3 2" xfId="32251"/>
    <cellStyle name="쉼표 [0] 18 5" xfId="30902"/>
    <cellStyle name="쉼표 [0] 18 5 2" xfId="31026"/>
    <cellStyle name="쉼표 [0] 18 5 2 2" xfId="32376"/>
    <cellStyle name="쉼표 [0] 18 5 3" xfId="32256"/>
    <cellStyle name="쉼표 [0] 18 6" xfId="31029"/>
    <cellStyle name="쉼표 [0] 18 6 2" xfId="32379"/>
    <cellStyle name="쉼표 [0] 19" xfId="321"/>
    <cellStyle name="쉼표 [0] 19 2" xfId="322"/>
    <cellStyle name="쉼표 [0] 19 3" xfId="323"/>
    <cellStyle name="쉼표 [0] 19 4" xfId="6907"/>
    <cellStyle name="쉼표 [0] 19 4 2" xfId="6908"/>
    <cellStyle name="쉼표 [0] 19 5" xfId="29546"/>
    <cellStyle name="쉼표 [0] 2" xfId="324"/>
    <cellStyle name="쉼표 [0] 2 10" xfId="325"/>
    <cellStyle name="쉼표 [0] 2 10 10" xfId="6909"/>
    <cellStyle name="쉼표 [0] 2 10 11" xfId="6910"/>
    <cellStyle name="쉼표 [0] 2 10 12" xfId="6911"/>
    <cellStyle name="쉼표 [0] 2 10 12 2" xfId="6912"/>
    <cellStyle name="쉼표 [0] 2 10 13" xfId="6913"/>
    <cellStyle name="쉼표 [0] 2 10 13 2" xfId="6914"/>
    <cellStyle name="쉼표 [0] 2 10 14" xfId="6915"/>
    <cellStyle name="쉼표 [0] 2 10 14 2" xfId="6916"/>
    <cellStyle name="쉼표 [0] 2 10 15" xfId="6917"/>
    <cellStyle name="쉼표 [0] 2 10 15 2" xfId="6918"/>
    <cellStyle name="쉼표 [0] 2 10 16" xfId="6919"/>
    <cellStyle name="쉼표 [0] 2 10 16 2" xfId="6920"/>
    <cellStyle name="쉼표 [0] 2 10 17" xfId="6921"/>
    <cellStyle name="쉼표 [0] 2 10 17 2" xfId="6922"/>
    <cellStyle name="쉼표 [0] 2 10 18" xfId="6923"/>
    <cellStyle name="쉼표 [0] 2 10 18 2" xfId="6924"/>
    <cellStyle name="쉼표 [0] 2 10 19" xfId="6925"/>
    <cellStyle name="쉼표 [0] 2 10 19 2" xfId="6926"/>
    <cellStyle name="쉼표 [0] 2 10 2" xfId="326"/>
    <cellStyle name="쉼표 [0] 2 10 2 2" xfId="6927"/>
    <cellStyle name="쉼표 [0] 2 10 2 2 2" xfId="6928"/>
    <cellStyle name="쉼표 [0] 2 10 20" xfId="6929"/>
    <cellStyle name="쉼표 [0] 2 10 20 2" xfId="6930"/>
    <cellStyle name="쉼표 [0] 2 10 21" xfId="6931"/>
    <cellStyle name="쉼표 [0] 2 10 21 2" xfId="6932"/>
    <cellStyle name="쉼표 [0] 2 10 22" xfId="6933"/>
    <cellStyle name="쉼표 [0] 2 10 22 2" xfId="6934"/>
    <cellStyle name="쉼표 [0] 2 10 23" xfId="6935"/>
    <cellStyle name="쉼표 [0] 2 10 23 2" xfId="6936"/>
    <cellStyle name="쉼표 [0] 2 10 24" xfId="6937"/>
    <cellStyle name="쉼표 [0] 2 10 24 2" xfId="6938"/>
    <cellStyle name="쉼표 [0] 2 10 25" xfId="6939"/>
    <cellStyle name="쉼표 [0] 2 10 25 2" xfId="6940"/>
    <cellStyle name="쉼표 [0] 2 10 26" xfId="6941"/>
    <cellStyle name="쉼표 [0] 2 10 26 2" xfId="6942"/>
    <cellStyle name="쉼표 [0] 2 10 27" xfId="6943"/>
    <cellStyle name="쉼표 [0] 2 10 27 2" xfId="6944"/>
    <cellStyle name="쉼표 [0] 2 10 28" xfId="6945"/>
    <cellStyle name="쉼표 [0] 2 10 28 2" xfId="6946"/>
    <cellStyle name="쉼표 [0] 2 10 29" xfId="6947"/>
    <cellStyle name="쉼표 [0] 2 10 29 2" xfId="6948"/>
    <cellStyle name="쉼표 [0] 2 10 3" xfId="6949"/>
    <cellStyle name="쉼표 [0] 2 10 3 2" xfId="6950"/>
    <cellStyle name="쉼표 [0] 2 10 30" xfId="6951"/>
    <cellStyle name="쉼표 [0] 2 10 30 2" xfId="6952"/>
    <cellStyle name="쉼표 [0] 2 10 31" xfId="6953"/>
    <cellStyle name="쉼표 [0] 2 10 31 2" xfId="6954"/>
    <cellStyle name="쉼표 [0] 2 10 32" xfId="6955"/>
    <cellStyle name="쉼표 [0] 2 10 32 2" xfId="6956"/>
    <cellStyle name="쉼표 [0] 2 10 33" xfId="6957"/>
    <cellStyle name="쉼표 [0] 2 10 33 2" xfId="6958"/>
    <cellStyle name="쉼표 [0] 2 10 34" xfId="6959"/>
    <cellStyle name="쉼표 [0] 2 10 34 2" xfId="6960"/>
    <cellStyle name="쉼표 [0] 2 10 35" xfId="6961"/>
    <cellStyle name="쉼표 [0] 2 10 35 2" xfId="6962"/>
    <cellStyle name="쉼표 [0] 2 10 36" xfId="6963"/>
    <cellStyle name="쉼표 [0] 2 10 36 2" xfId="6964"/>
    <cellStyle name="쉼표 [0] 2 10 37" xfId="6965"/>
    <cellStyle name="쉼표 [0] 2 10 37 2" xfId="6966"/>
    <cellStyle name="쉼표 [0] 2 10 38" xfId="6967"/>
    <cellStyle name="쉼표 [0] 2 10 38 2" xfId="6968"/>
    <cellStyle name="쉼표 [0] 2 10 39" xfId="6969"/>
    <cellStyle name="쉼표 [0] 2 10 39 2" xfId="6970"/>
    <cellStyle name="쉼표 [0] 2 10 4" xfId="6971"/>
    <cellStyle name="쉼표 [0] 2 10 4 2" xfId="6972"/>
    <cellStyle name="쉼표 [0] 2 10 40" xfId="6973"/>
    <cellStyle name="쉼표 [0] 2 10 40 2" xfId="6974"/>
    <cellStyle name="쉼표 [0] 2 10 41" xfId="6975"/>
    <cellStyle name="쉼표 [0] 2 10 41 2" xfId="6976"/>
    <cellStyle name="쉼표 [0] 2 10 42" xfId="6977"/>
    <cellStyle name="쉼표 [0] 2 10 42 2" xfId="6978"/>
    <cellStyle name="쉼표 [0] 2 10 43" xfId="6979"/>
    <cellStyle name="쉼표 [0] 2 10 43 2" xfId="6980"/>
    <cellStyle name="쉼표 [0] 2 10 44" xfId="6981"/>
    <cellStyle name="쉼표 [0] 2 10 44 2" xfId="6982"/>
    <cellStyle name="쉼표 [0] 2 10 45" xfId="6983"/>
    <cellStyle name="쉼표 [0] 2 10 45 2" xfId="6984"/>
    <cellStyle name="쉼표 [0] 2 10 46" xfId="6985"/>
    <cellStyle name="쉼표 [0] 2 10 47" xfId="6986"/>
    <cellStyle name="쉼표 [0] 2 10 48" xfId="6987"/>
    <cellStyle name="쉼표 [0] 2 10 49" xfId="6988"/>
    <cellStyle name="쉼표 [0] 2 10 5" xfId="6989"/>
    <cellStyle name="쉼표 [0] 2 10 5 2" xfId="6990"/>
    <cellStyle name="쉼표 [0] 2 10 50" xfId="6991"/>
    <cellStyle name="쉼표 [0] 2 10 51" xfId="6992"/>
    <cellStyle name="쉼표 [0] 2 10 52" xfId="6993"/>
    <cellStyle name="쉼표 [0] 2 10 53" xfId="6994"/>
    <cellStyle name="쉼표 [0] 2 10 54" xfId="6995"/>
    <cellStyle name="쉼표 [0] 2 10 54 2" xfId="16554"/>
    <cellStyle name="쉼표 [0] 2 10 55" xfId="29593"/>
    <cellStyle name="쉼표 [0] 2 10 6" xfId="6996"/>
    <cellStyle name="쉼표 [0] 2 10 6 2" xfId="6997"/>
    <cellStyle name="쉼표 [0] 2 10 7" xfId="6998"/>
    <cellStyle name="쉼표 [0] 2 10 7 2" xfId="6999"/>
    <cellStyle name="쉼표 [0] 2 10 8" xfId="7000"/>
    <cellStyle name="쉼표 [0] 2 10 9" xfId="7001"/>
    <cellStyle name="쉼표 [0] 2 11" xfId="327"/>
    <cellStyle name="쉼표 [0] 2 11 10" xfId="7002"/>
    <cellStyle name="쉼표 [0] 2 11 11" xfId="7003"/>
    <cellStyle name="쉼표 [0] 2 11 12" xfId="7004"/>
    <cellStyle name="쉼표 [0] 2 11 13" xfId="7005"/>
    <cellStyle name="쉼표 [0] 2 11 2" xfId="328"/>
    <cellStyle name="쉼표 [0] 2 11 2 2" xfId="7006"/>
    <cellStyle name="쉼표 [0] 2 11 3" xfId="7007"/>
    <cellStyle name="쉼표 [0] 2 11 4" xfId="7008"/>
    <cellStyle name="쉼표 [0] 2 11 5" xfId="7009"/>
    <cellStyle name="쉼표 [0] 2 11 6" xfId="7010"/>
    <cellStyle name="쉼표 [0] 2 11 7" xfId="7011"/>
    <cellStyle name="쉼표 [0] 2 11 8" xfId="7012"/>
    <cellStyle name="쉼표 [0] 2 11 9" xfId="7013"/>
    <cellStyle name="쉼표 [0] 2 12" xfId="329"/>
    <cellStyle name="쉼표 [0] 2 12 10" xfId="7014"/>
    <cellStyle name="쉼표 [0] 2 12 11" xfId="7015"/>
    <cellStyle name="쉼표 [0] 2 12 12" xfId="7016"/>
    <cellStyle name="쉼표 [0] 2 12 13" xfId="7017"/>
    <cellStyle name="쉼표 [0] 2 12 14" xfId="31659"/>
    <cellStyle name="쉼표 [0] 2 12 2" xfId="330"/>
    <cellStyle name="쉼표 [0] 2 12 2 2" xfId="331"/>
    <cellStyle name="쉼표 [0] 2 12 2 3" xfId="7018"/>
    <cellStyle name="쉼표 [0] 2 12 3" xfId="332"/>
    <cellStyle name="쉼표 [0] 2 12 3 2" xfId="7019"/>
    <cellStyle name="쉼표 [0] 2 12 4" xfId="7020"/>
    <cellStyle name="쉼표 [0] 2 12 5" xfId="7021"/>
    <cellStyle name="쉼표 [0] 2 12 6" xfId="7022"/>
    <cellStyle name="쉼표 [0] 2 12 7" xfId="7023"/>
    <cellStyle name="쉼표 [0] 2 12 8" xfId="7024"/>
    <cellStyle name="쉼표 [0] 2 12 9" xfId="7025"/>
    <cellStyle name="쉼표 [0] 2 13" xfId="333"/>
    <cellStyle name="쉼표 [0] 2 13 10" xfId="7026"/>
    <cellStyle name="쉼표 [0] 2 13 11" xfId="7027"/>
    <cellStyle name="쉼표 [0] 2 13 12" xfId="7028"/>
    <cellStyle name="쉼표 [0] 2 13 13" xfId="7029"/>
    <cellStyle name="쉼표 [0] 2 13 2" xfId="334"/>
    <cellStyle name="쉼표 [0] 2 13 2 2" xfId="7030"/>
    <cellStyle name="쉼표 [0] 2 13 3" xfId="7031"/>
    <cellStyle name="쉼표 [0] 2 13 4" xfId="7032"/>
    <cellStyle name="쉼표 [0] 2 13 5" xfId="7033"/>
    <cellStyle name="쉼표 [0] 2 13 6" xfId="7034"/>
    <cellStyle name="쉼표 [0] 2 13 7" xfId="7035"/>
    <cellStyle name="쉼표 [0] 2 13 8" xfId="7036"/>
    <cellStyle name="쉼표 [0] 2 13 9" xfId="7037"/>
    <cellStyle name="쉼표 [0] 2 14" xfId="335"/>
    <cellStyle name="쉼표 [0] 2 14 10" xfId="7038"/>
    <cellStyle name="쉼표 [0] 2 14 11" xfId="7039"/>
    <cellStyle name="쉼표 [0] 2 14 12" xfId="7040"/>
    <cellStyle name="쉼표 [0] 2 14 13" xfId="7041"/>
    <cellStyle name="쉼표 [0] 2 14 2" xfId="336"/>
    <cellStyle name="쉼표 [0] 2 14 2 2" xfId="7042"/>
    <cellStyle name="쉼표 [0] 2 14 3" xfId="7043"/>
    <cellStyle name="쉼표 [0] 2 14 4" xfId="7044"/>
    <cellStyle name="쉼표 [0] 2 14 5" xfId="7045"/>
    <cellStyle name="쉼표 [0] 2 14 6" xfId="7046"/>
    <cellStyle name="쉼표 [0] 2 14 7" xfId="7047"/>
    <cellStyle name="쉼표 [0] 2 14 8" xfId="7048"/>
    <cellStyle name="쉼표 [0] 2 14 9" xfId="7049"/>
    <cellStyle name="쉼표 [0] 2 15" xfId="337"/>
    <cellStyle name="쉼표 [0] 2 15 10" xfId="7050"/>
    <cellStyle name="쉼표 [0] 2 15 11" xfId="7051"/>
    <cellStyle name="쉼표 [0] 2 15 12" xfId="7052"/>
    <cellStyle name="쉼표 [0] 2 15 13" xfId="7053"/>
    <cellStyle name="쉼표 [0] 2 15 2" xfId="338"/>
    <cellStyle name="쉼표 [0] 2 15 2 2" xfId="7054"/>
    <cellStyle name="쉼표 [0] 2 15 3" xfId="339"/>
    <cellStyle name="쉼표 [0] 2 15 3 2" xfId="7055"/>
    <cellStyle name="쉼표 [0] 2 15 4" xfId="7056"/>
    <cellStyle name="쉼표 [0] 2 15 5" xfId="7057"/>
    <cellStyle name="쉼표 [0] 2 15 6" xfId="7058"/>
    <cellStyle name="쉼표 [0] 2 15 7" xfId="7059"/>
    <cellStyle name="쉼표 [0] 2 15 8" xfId="7060"/>
    <cellStyle name="쉼표 [0] 2 15 9" xfId="7061"/>
    <cellStyle name="쉼표 [0] 2 16" xfId="340"/>
    <cellStyle name="쉼표 [0] 2 16 10" xfId="7062"/>
    <cellStyle name="쉼표 [0] 2 16 11" xfId="7063"/>
    <cellStyle name="쉼표 [0] 2 16 12" xfId="7064"/>
    <cellStyle name="쉼표 [0] 2 16 13" xfId="7065"/>
    <cellStyle name="쉼표 [0] 2 16 2" xfId="7066"/>
    <cellStyle name="쉼표 [0] 2 16 3" xfId="7067"/>
    <cellStyle name="쉼표 [0] 2 16 4" xfId="7068"/>
    <cellStyle name="쉼표 [0] 2 16 5" xfId="7069"/>
    <cellStyle name="쉼표 [0] 2 16 6" xfId="7070"/>
    <cellStyle name="쉼표 [0] 2 16 7" xfId="7071"/>
    <cellStyle name="쉼표 [0] 2 16 8" xfId="7072"/>
    <cellStyle name="쉼표 [0] 2 16 9" xfId="7073"/>
    <cellStyle name="쉼표 [0] 2 17" xfId="341"/>
    <cellStyle name="쉼표 [0] 2 17 10" xfId="7075"/>
    <cellStyle name="쉼표 [0] 2 17 11" xfId="7076"/>
    <cellStyle name="쉼표 [0] 2 17 12" xfId="7077"/>
    <cellStyle name="쉼표 [0] 2 17 13" xfId="7078"/>
    <cellStyle name="쉼표 [0] 2 17 14" xfId="7079"/>
    <cellStyle name="쉼표 [0] 2 17 15" xfId="7074"/>
    <cellStyle name="쉼표 [0] 2 17 2" xfId="7080"/>
    <cellStyle name="쉼표 [0] 2 17 3" xfId="7081"/>
    <cellStyle name="쉼표 [0] 2 17 4" xfId="7082"/>
    <cellStyle name="쉼표 [0] 2 17 5" xfId="7083"/>
    <cellStyle name="쉼표 [0] 2 17 6" xfId="7084"/>
    <cellStyle name="쉼표 [0] 2 17 7" xfId="7085"/>
    <cellStyle name="쉼표 [0] 2 17 8" xfId="7086"/>
    <cellStyle name="쉼표 [0] 2 17 9" xfId="7087"/>
    <cellStyle name="쉼표 [0] 2 18" xfId="7088"/>
    <cellStyle name="쉼표 [0] 2 18 10" xfId="7089"/>
    <cellStyle name="쉼표 [0] 2 18 11" xfId="7090"/>
    <cellStyle name="쉼표 [0] 2 18 12" xfId="7091"/>
    <cellStyle name="쉼표 [0] 2 18 2" xfId="7092"/>
    <cellStyle name="쉼표 [0] 2 18 3" xfId="7093"/>
    <cellStyle name="쉼표 [0] 2 18 4" xfId="7094"/>
    <cellStyle name="쉼표 [0] 2 18 5" xfId="7095"/>
    <cellStyle name="쉼표 [0] 2 18 6" xfId="7096"/>
    <cellStyle name="쉼표 [0] 2 18 7" xfId="7097"/>
    <cellStyle name="쉼표 [0] 2 18 8" xfId="7098"/>
    <cellStyle name="쉼표 [0] 2 18 9" xfId="7099"/>
    <cellStyle name="쉼표 [0] 2 19" xfId="7100"/>
    <cellStyle name="쉼표 [0] 2 19 10" xfId="7101"/>
    <cellStyle name="쉼표 [0] 2 19 11" xfId="7102"/>
    <cellStyle name="쉼표 [0] 2 19 12" xfId="7103"/>
    <cellStyle name="쉼표 [0] 2 19 2" xfId="7104"/>
    <cellStyle name="쉼표 [0] 2 19 3" xfId="7105"/>
    <cellStyle name="쉼표 [0] 2 19 4" xfId="7106"/>
    <cellStyle name="쉼표 [0] 2 19 5" xfId="7107"/>
    <cellStyle name="쉼표 [0] 2 19 6" xfId="7108"/>
    <cellStyle name="쉼표 [0] 2 19 7" xfId="7109"/>
    <cellStyle name="쉼표 [0] 2 19 8" xfId="7110"/>
    <cellStyle name="쉼표 [0] 2 19 9" xfId="7111"/>
    <cellStyle name="쉼표 [0] 2 2" xfId="342"/>
    <cellStyle name="쉼표 [0] 2 2 10" xfId="343"/>
    <cellStyle name="쉼표 [0] 2 2 10 2" xfId="344"/>
    <cellStyle name="쉼표 [0] 2 2 10 2 2" xfId="345"/>
    <cellStyle name="쉼표 [0] 2 2 10 3" xfId="346"/>
    <cellStyle name="쉼표 [0] 2 2 10 4" xfId="7112"/>
    <cellStyle name="쉼표 [0] 2 2 10 4 2" xfId="7113"/>
    <cellStyle name="쉼표 [0] 2 2 10 4 3" xfId="31658"/>
    <cellStyle name="쉼표 [0] 2 2 11" xfId="347"/>
    <cellStyle name="쉼표 [0] 2 2 11 2" xfId="348"/>
    <cellStyle name="쉼표 [0] 2 2 11 3" xfId="7114"/>
    <cellStyle name="쉼표 [0] 2 2 11 3 2" xfId="7115"/>
    <cellStyle name="쉼표 [0] 2 2 12" xfId="349"/>
    <cellStyle name="쉼표 [0] 2 2 12 2" xfId="7116"/>
    <cellStyle name="쉼표 [0] 2 2 12 2 2" xfId="7117"/>
    <cellStyle name="쉼표 [0] 2 2 12 3" xfId="7118"/>
    <cellStyle name="쉼표 [0] 2 2 12 3 2" xfId="7119"/>
    <cellStyle name="쉼표 [0] 2 2 12 4" xfId="7120"/>
    <cellStyle name="쉼표 [0] 2 2 12 4 2" xfId="7121"/>
    <cellStyle name="쉼표 [0] 2 2 12 5" xfId="7122"/>
    <cellStyle name="쉼표 [0] 2 2 12 6" xfId="31657"/>
    <cellStyle name="쉼표 [0] 2 2 13" xfId="350"/>
    <cellStyle name="쉼표 [0] 2 2 13 2" xfId="7123"/>
    <cellStyle name="쉼표 [0] 2 2 14" xfId="7124"/>
    <cellStyle name="쉼표 [0] 2 2 14 2" xfId="7125"/>
    <cellStyle name="쉼표 [0] 2 2 14 3" xfId="7126"/>
    <cellStyle name="쉼표 [0] 2 2 14 4" xfId="7127"/>
    <cellStyle name="쉼표 [0] 2 2 14 5" xfId="7128"/>
    <cellStyle name="쉼표 [0] 2 2 14 6" xfId="7129"/>
    <cellStyle name="쉼표 [0] 2 2 14 7" xfId="31656"/>
    <cellStyle name="쉼표 [0] 2 2 15" xfId="7130"/>
    <cellStyle name="쉼표 [0] 2 2 15 2" xfId="7131"/>
    <cellStyle name="쉼표 [0] 2 2 15 3" xfId="7132"/>
    <cellStyle name="쉼표 [0] 2 2 15 4" xfId="7133"/>
    <cellStyle name="쉼표 [0] 2 2 15 5" xfId="31655"/>
    <cellStyle name="쉼표 [0] 2 2 16" xfId="7134"/>
    <cellStyle name="쉼표 [0] 2 2 16 2" xfId="7135"/>
    <cellStyle name="쉼표 [0] 2 2 16 3" xfId="31654"/>
    <cellStyle name="쉼표 [0] 2 2 17" xfId="7136"/>
    <cellStyle name="쉼표 [0] 2 2 17 2" xfId="7137"/>
    <cellStyle name="쉼표 [0] 2 2 17 3" xfId="31653"/>
    <cellStyle name="쉼표 [0] 2 2 18" xfId="7138"/>
    <cellStyle name="쉼표 [0] 2 2 18 2" xfId="7139"/>
    <cellStyle name="쉼표 [0] 2 2 18 3" xfId="31652"/>
    <cellStyle name="쉼표 [0] 2 2 19" xfId="7140"/>
    <cellStyle name="쉼표 [0] 2 2 19 2" xfId="7141"/>
    <cellStyle name="쉼표 [0] 2 2 19 3" xfId="31651"/>
    <cellStyle name="쉼표 [0] 2 2 2" xfId="351"/>
    <cellStyle name="쉼표 [0] 2 2 2 10" xfId="7142"/>
    <cellStyle name="쉼표 [0] 2 2 2 10 2" xfId="32043"/>
    <cellStyle name="쉼표 [0] 2 2 2 11" xfId="7143"/>
    <cellStyle name="쉼표 [0] 2 2 2 11 2" xfId="32047"/>
    <cellStyle name="쉼표 [0] 2 2 2 12" xfId="7144"/>
    <cellStyle name="쉼표 [0] 2 2 2 12 2" xfId="31976"/>
    <cellStyle name="쉼표 [0] 2 2 2 13" xfId="7145"/>
    <cellStyle name="쉼표 [0] 2 2 2 13 2" xfId="31975"/>
    <cellStyle name="쉼표 [0] 2 2 2 14" xfId="7146"/>
    <cellStyle name="쉼표 [0] 2 2 2 14 2" xfId="31974"/>
    <cellStyle name="쉼표 [0] 2 2 2 15" xfId="7147"/>
    <cellStyle name="쉼표 [0] 2 2 2 15 2" xfId="31973"/>
    <cellStyle name="쉼표 [0] 2 2 2 16" xfId="7148"/>
    <cellStyle name="쉼표 [0] 2 2 2 16 2" xfId="31972"/>
    <cellStyle name="쉼표 [0] 2 2 2 17" xfId="7149"/>
    <cellStyle name="쉼표 [0] 2 2 2 17 2" xfId="31971"/>
    <cellStyle name="쉼표 [0] 2 2 2 18" xfId="7150"/>
    <cellStyle name="쉼표 [0] 2 2 2 18 2" xfId="31970"/>
    <cellStyle name="쉼표 [0] 2 2 2 19" xfId="7151"/>
    <cellStyle name="쉼표 [0] 2 2 2 19 2" xfId="31650"/>
    <cellStyle name="쉼표 [0] 2 2 2 2" xfId="352"/>
    <cellStyle name="쉼표 [0] 2 2 2 2 10" xfId="7152"/>
    <cellStyle name="쉼표 [0] 2 2 2 2 10 2" xfId="7153"/>
    <cellStyle name="쉼표 [0] 2 2 2 2 11" xfId="7154"/>
    <cellStyle name="쉼표 [0] 2 2 2 2 11 2" xfId="7155"/>
    <cellStyle name="쉼표 [0] 2 2 2 2 12" xfId="7156"/>
    <cellStyle name="쉼표 [0] 2 2 2 2 12 2" xfId="7157"/>
    <cellStyle name="쉼표 [0] 2 2 2 2 13" xfId="7158"/>
    <cellStyle name="쉼표 [0] 2 2 2 2 13 2" xfId="7159"/>
    <cellStyle name="쉼표 [0] 2 2 2 2 14" xfId="7160"/>
    <cellStyle name="쉼표 [0] 2 2 2 2 14 2" xfId="7161"/>
    <cellStyle name="쉼표 [0] 2 2 2 2 15" xfId="7162"/>
    <cellStyle name="쉼표 [0] 2 2 2 2 15 2" xfId="7163"/>
    <cellStyle name="쉼표 [0] 2 2 2 2 16" xfId="7164"/>
    <cellStyle name="쉼표 [0] 2 2 2 2 16 2" xfId="7165"/>
    <cellStyle name="쉼표 [0] 2 2 2 2 17" xfId="7166"/>
    <cellStyle name="쉼표 [0] 2 2 2 2 17 2" xfId="7167"/>
    <cellStyle name="쉼표 [0] 2 2 2 2 18" xfId="7168"/>
    <cellStyle name="쉼표 [0] 2 2 2 2 18 2" xfId="7169"/>
    <cellStyle name="쉼표 [0] 2 2 2 2 19" xfId="7170"/>
    <cellStyle name="쉼표 [0] 2 2 2 2 19 2" xfId="7171"/>
    <cellStyle name="쉼표 [0] 2 2 2 2 2" xfId="353"/>
    <cellStyle name="쉼표 [0] 2 2 2 2 2 10" xfId="7172"/>
    <cellStyle name="쉼표 [0] 2 2 2 2 2 11" xfId="7173"/>
    <cellStyle name="쉼표 [0] 2 2 2 2 2 12" xfId="7174"/>
    <cellStyle name="쉼표 [0] 2 2 2 2 2 13" xfId="7175"/>
    <cellStyle name="쉼표 [0] 2 2 2 2 2 14" xfId="7176"/>
    <cellStyle name="쉼표 [0] 2 2 2 2 2 15" xfId="7177"/>
    <cellStyle name="쉼표 [0] 2 2 2 2 2 16" xfId="7178"/>
    <cellStyle name="쉼표 [0] 2 2 2 2 2 17" xfId="7179"/>
    <cellStyle name="쉼표 [0] 2 2 2 2 2 18" xfId="7180"/>
    <cellStyle name="쉼표 [0] 2 2 2 2 2 19" xfId="7181"/>
    <cellStyle name="쉼표 [0] 2 2 2 2 2 2" xfId="354"/>
    <cellStyle name="쉼표 [0] 2 2 2 2 2 2 10" xfId="7182"/>
    <cellStyle name="쉼표 [0] 2 2 2 2 2 2 10 2" xfId="7183"/>
    <cellStyle name="쉼표 [0] 2 2 2 2 2 2 11" xfId="7184"/>
    <cellStyle name="쉼표 [0] 2 2 2 2 2 2 11 2" xfId="7185"/>
    <cellStyle name="쉼표 [0] 2 2 2 2 2 2 12" xfId="7186"/>
    <cellStyle name="쉼표 [0] 2 2 2 2 2 2 12 2" xfId="7187"/>
    <cellStyle name="쉼표 [0] 2 2 2 2 2 2 13" xfId="7188"/>
    <cellStyle name="쉼표 [0] 2 2 2 2 2 2 13 2" xfId="7189"/>
    <cellStyle name="쉼표 [0] 2 2 2 2 2 2 14" xfId="7190"/>
    <cellStyle name="쉼표 [0] 2 2 2 2 2 2 14 2" xfId="7191"/>
    <cellStyle name="쉼표 [0] 2 2 2 2 2 2 15" xfId="7192"/>
    <cellStyle name="쉼표 [0] 2 2 2 2 2 2 15 2" xfId="7193"/>
    <cellStyle name="쉼표 [0] 2 2 2 2 2 2 16" xfId="7194"/>
    <cellStyle name="쉼표 [0] 2 2 2 2 2 2 16 2" xfId="7195"/>
    <cellStyle name="쉼표 [0] 2 2 2 2 2 2 17" xfId="7196"/>
    <cellStyle name="쉼표 [0] 2 2 2 2 2 2 17 2" xfId="7197"/>
    <cellStyle name="쉼표 [0] 2 2 2 2 2 2 18" xfId="7198"/>
    <cellStyle name="쉼표 [0] 2 2 2 2 2 2 18 2" xfId="7199"/>
    <cellStyle name="쉼표 [0] 2 2 2 2 2 2 19" xfId="7200"/>
    <cellStyle name="쉼표 [0] 2 2 2 2 2 2 19 2" xfId="7201"/>
    <cellStyle name="쉼표 [0] 2 2 2 2 2 2 2" xfId="355"/>
    <cellStyle name="쉼표 [0] 2 2 2 2 2 2 2 10" xfId="7202"/>
    <cellStyle name="쉼표 [0] 2 2 2 2 2 2 2 11" xfId="7203"/>
    <cellStyle name="쉼표 [0] 2 2 2 2 2 2 2 12" xfId="7204"/>
    <cellStyle name="쉼표 [0] 2 2 2 2 2 2 2 13" xfId="7205"/>
    <cellStyle name="쉼표 [0] 2 2 2 2 2 2 2 14" xfId="7206"/>
    <cellStyle name="쉼표 [0] 2 2 2 2 2 2 2 15" xfId="7207"/>
    <cellStyle name="쉼표 [0] 2 2 2 2 2 2 2 16" xfId="7208"/>
    <cellStyle name="쉼표 [0] 2 2 2 2 2 2 2 17" xfId="7209"/>
    <cellStyle name="쉼표 [0] 2 2 2 2 2 2 2 18" xfId="7210"/>
    <cellStyle name="쉼표 [0] 2 2 2 2 2 2 2 19" xfId="7211"/>
    <cellStyle name="쉼표 [0] 2 2 2 2 2 2 2 2" xfId="356"/>
    <cellStyle name="쉼표 [0] 2 2 2 2 2 2 2 2 2" xfId="357"/>
    <cellStyle name="쉼표 [0] 2 2 2 2 2 2 2 2 3" xfId="7212"/>
    <cellStyle name="쉼표 [0] 2 2 2 2 2 2 2 2 4" xfId="31967"/>
    <cellStyle name="쉼표 [0] 2 2 2 2 2 2 2 20" xfId="7213"/>
    <cellStyle name="쉼표 [0] 2 2 2 2 2 2 2 21" xfId="7214"/>
    <cellStyle name="쉼표 [0] 2 2 2 2 2 2 2 22" xfId="7215"/>
    <cellStyle name="쉼표 [0] 2 2 2 2 2 2 2 23" xfId="7216"/>
    <cellStyle name="쉼표 [0] 2 2 2 2 2 2 2 24" xfId="7217"/>
    <cellStyle name="쉼표 [0] 2 2 2 2 2 2 2 25" xfId="7218"/>
    <cellStyle name="쉼표 [0] 2 2 2 2 2 2 2 26" xfId="7219"/>
    <cellStyle name="쉼표 [0] 2 2 2 2 2 2 2 27" xfId="7220"/>
    <cellStyle name="쉼표 [0] 2 2 2 2 2 2 2 28" xfId="7221"/>
    <cellStyle name="쉼표 [0] 2 2 2 2 2 2 2 29" xfId="7222"/>
    <cellStyle name="쉼표 [0] 2 2 2 2 2 2 2 3" xfId="358"/>
    <cellStyle name="쉼표 [0] 2 2 2 2 2 2 2 3 2" xfId="359"/>
    <cellStyle name="쉼표 [0] 2 2 2 2 2 2 2 3 2 2" xfId="360"/>
    <cellStyle name="쉼표 [0] 2 2 2 2 2 2 2 3 3" xfId="361"/>
    <cellStyle name="쉼표 [0] 2 2 2 2 2 2 2 3 4" xfId="7223"/>
    <cellStyle name="쉼표 [0] 2 2 2 2 2 2 2 3 5" xfId="31966"/>
    <cellStyle name="쉼표 [0] 2 2 2 2 2 2 2 30" xfId="7224"/>
    <cellStyle name="쉼표 [0] 2 2 2 2 2 2 2 31" xfId="7225"/>
    <cellStyle name="쉼표 [0] 2 2 2 2 2 2 2 32" xfId="7226"/>
    <cellStyle name="쉼표 [0] 2 2 2 2 2 2 2 33" xfId="7227"/>
    <cellStyle name="쉼표 [0] 2 2 2 2 2 2 2 34" xfId="7228"/>
    <cellStyle name="쉼표 [0] 2 2 2 2 2 2 2 35" xfId="7229"/>
    <cellStyle name="쉼표 [0] 2 2 2 2 2 2 2 36" xfId="7230"/>
    <cellStyle name="쉼표 [0] 2 2 2 2 2 2 2 37" xfId="7231"/>
    <cellStyle name="쉼표 [0] 2 2 2 2 2 2 2 38" xfId="7232"/>
    <cellStyle name="쉼표 [0] 2 2 2 2 2 2 2 39" xfId="7233"/>
    <cellStyle name="쉼표 [0] 2 2 2 2 2 2 2 4" xfId="362"/>
    <cellStyle name="쉼표 [0] 2 2 2 2 2 2 2 4 2" xfId="363"/>
    <cellStyle name="쉼표 [0] 2 2 2 2 2 2 2 4 3" xfId="7234"/>
    <cellStyle name="쉼표 [0] 2 2 2 2 2 2 2 4 4" xfId="31965"/>
    <cellStyle name="쉼표 [0] 2 2 2 2 2 2 2 40" xfId="7235"/>
    <cellStyle name="쉼표 [0] 2 2 2 2 2 2 2 41" xfId="7236"/>
    <cellStyle name="쉼표 [0] 2 2 2 2 2 2 2 42" xfId="7237"/>
    <cellStyle name="쉼표 [0] 2 2 2 2 2 2 2 42 2" xfId="7238"/>
    <cellStyle name="쉼표 [0] 2 2 2 2 2 2 2 43" xfId="29662"/>
    <cellStyle name="쉼표 [0] 2 2 2 2 2 2 2 5" xfId="364"/>
    <cellStyle name="쉼표 [0] 2 2 2 2 2 2 2 5 2" xfId="7239"/>
    <cellStyle name="쉼표 [0] 2 2 2 2 2 2 2 5 3" xfId="31964"/>
    <cellStyle name="쉼표 [0] 2 2 2 2 2 2 2 6" xfId="7240"/>
    <cellStyle name="쉼표 [0] 2 2 2 2 2 2 2 6 2" xfId="31963"/>
    <cellStyle name="쉼표 [0] 2 2 2 2 2 2 2 7" xfId="7241"/>
    <cellStyle name="쉼표 [0] 2 2 2 2 2 2 2 7 2" xfId="31962"/>
    <cellStyle name="쉼표 [0] 2 2 2 2 2 2 2 8" xfId="7242"/>
    <cellStyle name="쉼표 [0] 2 2 2 2 2 2 2 8 2" xfId="31961"/>
    <cellStyle name="쉼표 [0] 2 2 2 2 2 2 2 9" xfId="7243"/>
    <cellStyle name="쉼표 [0] 2 2 2 2 2 2 20" xfId="7244"/>
    <cellStyle name="쉼표 [0] 2 2 2 2 2 2 20 2" xfId="7245"/>
    <cellStyle name="쉼표 [0] 2 2 2 2 2 2 21" xfId="7246"/>
    <cellStyle name="쉼표 [0] 2 2 2 2 2 2 21 2" xfId="7247"/>
    <cellStyle name="쉼표 [0] 2 2 2 2 2 2 22" xfId="7248"/>
    <cellStyle name="쉼표 [0] 2 2 2 2 2 2 22 2" xfId="7249"/>
    <cellStyle name="쉼표 [0] 2 2 2 2 2 2 23" xfId="7250"/>
    <cellStyle name="쉼표 [0] 2 2 2 2 2 2 23 2" xfId="7251"/>
    <cellStyle name="쉼표 [0] 2 2 2 2 2 2 24" xfId="7252"/>
    <cellStyle name="쉼표 [0] 2 2 2 2 2 2 24 2" xfId="7253"/>
    <cellStyle name="쉼표 [0] 2 2 2 2 2 2 25" xfId="7254"/>
    <cellStyle name="쉼표 [0] 2 2 2 2 2 2 25 2" xfId="7255"/>
    <cellStyle name="쉼표 [0] 2 2 2 2 2 2 26" xfId="7256"/>
    <cellStyle name="쉼표 [0] 2 2 2 2 2 2 26 2" xfId="7257"/>
    <cellStyle name="쉼표 [0] 2 2 2 2 2 2 27" xfId="7258"/>
    <cellStyle name="쉼표 [0] 2 2 2 2 2 2 27 2" xfId="7259"/>
    <cellStyle name="쉼표 [0] 2 2 2 2 2 2 28" xfId="7260"/>
    <cellStyle name="쉼표 [0] 2 2 2 2 2 2 28 2" xfId="7261"/>
    <cellStyle name="쉼표 [0] 2 2 2 2 2 2 29" xfId="7262"/>
    <cellStyle name="쉼표 [0] 2 2 2 2 2 2 29 2" xfId="7263"/>
    <cellStyle name="쉼표 [0] 2 2 2 2 2 2 3" xfId="365"/>
    <cellStyle name="쉼표 [0] 2 2 2 2 2 2 3 2" xfId="366"/>
    <cellStyle name="쉼표 [0] 2 2 2 2 2 2 3 3" xfId="7264"/>
    <cellStyle name="쉼표 [0] 2 2 2 2 2 2 30" xfId="7265"/>
    <cellStyle name="쉼표 [0] 2 2 2 2 2 2 30 2" xfId="7266"/>
    <cellStyle name="쉼표 [0] 2 2 2 2 2 2 31" xfId="7267"/>
    <cellStyle name="쉼표 [0] 2 2 2 2 2 2 31 2" xfId="7268"/>
    <cellStyle name="쉼표 [0] 2 2 2 2 2 2 32" xfId="7269"/>
    <cellStyle name="쉼표 [0] 2 2 2 2 2 2 32 2" xfId="7270"/>
    <cellStyle name="쉼표 [0] 2 2 2 2 2 2 33" xfId="7271"/>
    <cellStyle name="쉼표 [0] 2 2 2 2 2 2 33 2" xfId="7272"/>
    <cellStyle name="쉼표 [0] 2 2 2 2 2 2 34" xfId="7273"/>
    <cellStyle name="쉼표 [0] 2 2 2 2 2 2 34 2" xfId="7274"/>
    <cellStyle name="쉼표 [0] 2 2 2 2 2 2 35" xfId="7275"/>
    <cellStyle name="쉼표 [0] 2 2 2 2 2 2 35 2" xfId="7276"/>
    <cellStyle name="쉼표 [0] 2 2 2 2 2 2 36" xfId="7277"/>
    <cellStyle name="쉼표 [0] 2 2 2 2 2 2 36 2" xfId="7278"/>
    <cellStyle name="쉼표 [0] 2 2 2 2 2 2 37" xfId="7279"/>
    <cellStyle name="쉼표 [0] 2 2 2 2 2 2 37 2" xfId="7280"/>
    <cellStyle name="쉼표 [0] 2 2 2 2 2 2 38" xfId="7281"/>
    <cellStyle name="쉼표 [0] 2 2 2 2 2 2 38 2" xfId="7282"/>
    <cellStyle name="쉼표 [0] 2 2 2 2 2 2 39" xfId="7283"/>
    <cellStyle name="쉼표 [0] 2 2 2 2 2 2 39 2" xfId="7284"/>
    <cellStyle name="쉼표 [0] 2 2 2 2 2 2 4" xfId="367"/>
    <cellStyle name="쉼표 [0] 2 2 2 2 2 2 4 2" xfId="368"/>
    <cellStyle name="쉼표 [0] 2 2 2 2 2 2 4 2 2" xfId="369"/>
    <cellStyle name="쉼표 [0] 2 2 2 2 2 2 4 3" xfId="370"/>
    <cellStyle name="쉼표 [0] 2 2 2 2 2 2 4 4" xfId="7285"/>
    <cellStyle name="쉼표 [0] 2 2 2 2 2 2 4 4 2" xfId="7286"/>
    <cellStyle name="쉼표 [0] 2 2 2 2 2 2 40" xfId="7287"/>
    <cellStyle name="쉼표 [0] 2 2 2 2 2 2 40 2" xfId="7288"/>
    <cellStyle name="쉼표 [0] 2 2 2 2 2 2 41" xfId="7289"/>
    <cellStyle name="쉼표 [0] 2 2 2 2 2 2 41 2" xfId="7290"/>
    <cellStyle name="쉼표 [0] 2 2 2 2 2 2 42" xfId="7291"/>
    <cellStyle name="쉼표 [0] 2 2 2 2 2 2 42 2" xfId="7292"/>
    <cellStyle name="쉼표 [0] 2 2 2 2 2 2 43" xfId="7293"/>
    <cellStyle name="쉼표 [0] 2 2 2 2 2 2 43 2" xfId="16553"/>
    <cellStyle name="쉼표 [0] 2 2 2 2 2 2 44" xfId="30679"/>
    <cellStyle name="쉼표 [0] 2 2 2 2 2 2 45" xfId="31968"/>
    <cellStyle name="쉼표 [0] 2 2 2 2 2 2 5" xfId="371"/>
    <cellStyle name="쉼표 [0] 2 2 2 2 2 2 5 2" xfId="372"/>
    <cellStyle name="쉼표 [0] 2 2 2 2 2 2 5 3" xfId="7294"/>
    <cellStyle name="쉼표 [0] 2 2 2 2 2 2 5 3 2" xfId="7295"/>
    <cellStyle name="쉼표 [0] 2 2 2 2 2 2 6" xfId="373"/>
    <cellStyle name="쉼표 [0] 2 2 2 2 2 2 6 2" xfId="7296"/>
    <cellStyle name="쉼표 [0] 2 2 2 2 2 2 6 2 2" xfId="7297"/>
    <cellStyle name="쉼표 [0] 2 2 2 2 2 2 7" xfId="7298"/>
    <cellStyle name="쉼표 [0] 2 2 2 2 2 2 7 2" xfId="7299"/>
    <cellStyle name="쉼표 [0] 2 2 2 2 2 2 7 3" xfId="31649"/>
    <cellStyle name="쉼표 [0] 2 2 2 2 2 2 8" xfId="7300"/>
    <cellStyle name="쉼표 [0] 2 2 2 2 2 2 8 2" xfId="7301"/>
    <cellStyle name="쉼표 [0] 2 2 2 2 2 2 8 3" xfId="31979"/>
    <cellStyle name="쉼표 [0] 2 2 2 2 2 2 9" xfId="7302"/>
    <cellStyle name="쉼표 [0] 2 2 2 2 2 2 9 2" xfId="7303"/>
    <cellStyle name="쉼표 [0] 2 2 2 2 2 20" xfId="7304"/>
    <cellStyle name="쉼표 [0] 2 2 2 2 2 21" xfId="7305"/>
    <cellStyle name="쉼표 [0] 2 2 2 2 2 22" xfId="7306"/>
    <cellStyle name="쉼표 [0] 2 2 2 2 2 23" xfId="7307"/>
    <cellStyle name="쉼표 [0] 2 2 2 2 2 24" xfId="7308"/>
    <cellStyle name="쉼표 [0] 2 2 2 2 2 25" xfId="7309"/>
    <cellStyle name="쉼표 [0] 2 2 2 2 2 26" xfId="7310"/>
    <cellStyle name="쉼표 [0] 2 2 2 2 2 27" xfId="7311"/>
    <cellStyle name="쉼표 [0] 2 2 2 2 2 28" xfId="7312"/>
    <cellStyle name="쉼표 [0] 2 2 2 2 2 29" xfId="7313"/>
    <cellStyle name="쉼표 [0] 2 2 2 2 2 3" xfId="374"/>
    <cellStyle name="쉼표 [0] 2 2 2 2 2 3 2" xfId="375"/>
    <cellStyle name="쉼표 [0] 2 2 2 2 2 3 2 2" xfId="376"/>
    <cellStyle name="쉼표 [0] 2 2 2 2 2 3 3" xfId="377"/>
    <cellStyle name="쉼표 [0] 2 2 2 2 2 3 3 2" xfId="378"/>
    <cellStyle name="쉼표 [0] 2 2 2 2 2 3 3 2 2" xfId="379"/>
    <cellStyle name="쉼표 [0] 2 2 2 2 2 3 3 3" xfId="380"/>
    <cellStyle name="쉼표 [0] 2 2 2 2 2 3 4" xfId="381"/>
    <cellStyle name="쉼표 [0] 2 2 2 2 2 3 4 2" xfId="382"/>
    <cellStyle name="쉼표 [0] 2 2 2 2 2 3 5" xfId="383"/>
    <cellStyle name="쉼표 [0] 2 2 2 2 2 3 6" xfId="7314"/>
    <cellStyle name="쉼표 [0] 2 2 2 2 2 3 7" xfId="29722"/>
    <cellStyle name="쉼표 [0] 2 2 2 2 2 3 8" xfId="31960"/>
    <cellStyle name="쉼표 [0] 2 2 2 2 2 30" xfId="7315"/>
    <cellStyle name="쉼표 [0] 2 2 2 2 2 31" xfId="7316"/>
    <cellStyle name="쉼표 [0] 2 2 2 2 2 32" xfId="7317"/>
    <cellStyle name="쉼표 [0] 2 2 2 2 2 33" xfId="7318"/>
    <cellStyle name="쉼표 [0] 2 2 2 2 2 34" xfId="7319"/>
    <cellStyle name="쉼표 [0] 2 2 2 2 2 35" xfId="7320"/>
    <cellStyle name="쉼표 [0] 2 2 2 2 2 36" xfId="7321"/>
    <cellStyle name="쉼표 [0] 2 2 2 2 2 37" xfId="7322"/>
    <cellStyle name="쉼표 [0] 2 2 2 2 2 38" xfId="7323"/>
    <cellStyle name="쉼표 [0] 2 2 2 2 2 39" xfId="7324"/>
    <cellStyle name="쉼표 [0] 2 2 2 2 2 4" xfId="384"/>
    <cellStyle name="쉼표 [0] 2 2 2 2 2 4 2" xfId="385"/>
    <cellStyle name="쉼표 [0] 2 2 2 2 2 4 3" xfId="7325"/>
    <cellStyle name="쉼표 [0] 2 2 2 2 2 4 3 2" xfId="7326"/>
    <cellStyle name="쉼표 [0] 2 2 2 2 2 4 4" xfId="7327"/>
    <cellStyle name="쉼표 [0] 2 2 2 2 2 4 4 2" xfId="16552"/>
    <cellStyle name="쉼표 [0] 2 2 2 2 2 4 5" xfId="31648"/>
    <cellStyle name="쉼표 [0] 2 2 2 2 2 40" xfId="7328"/>
    <cellStyle name="쉼표 [0] 2 2 2 2 2 41" xfId="7329"/>
    <cellStyle name="쉼표 [0] 2 2 2 2 2 42" xfId="7330"/>
    <cellStyle name="쉼표 [0] 2 2 2 2 2 43" xfId="7331"/>
    <cellStyle name="쉼표 [0] 2 2 2 2 2 44" xfId="29608"/>
    <cellStyle name="쉼표 [0] 2 2 2 2 2 45" xfId="30942"/>
    <cellStyle name="쉼표 [0] 2 2 2 2 2 45 2" xfId="32295"/>
    <cellStyle name="쉼표 [0] 2 2 2 2 2 5" xfId="386"/>
    <cellStyle name="쉼표 [0] 2 2 2 2 2 5 2" xfId="387"/>
    <cellStyle name="쉼표 [0] 2 2 2 2 2 5 2 2" xfId="388"/>
    <cellStyle name="쉼표 [0] 2 2 2 2 2 5 3" xfId="389"/>
    <cellStyle name="쉼표 [0] 2 2 2 2 2 5 4" xfId="7332"/>
    <cellStyle name="쉼표 [0] 2 2 2 2 2 5 5" xfId="31647"/>
    <cellStyle name="쉼표 [0] 2 2 2 2 2 6" xfId="390"/>
    <cellStyle name="쉼표 [0] 2 2 2 2 2 6 2" xfId="391"/>
    <cellStyle name="쉼표 [0] 2 2 2 2 2 6 3" xfId="7333"/>
    <cellStyle name="쉼표 [0] 2 2 2 2 2 6 4" xfId="31646"/>
    <cellStyle name="쉼표 [0] 2 2 2 2 2 7" xfId="392"/>
    <cellStyle name="쉼표 [0] 2 2 2 2 2 7 2" xfId="7334"/>
    <cellStyle name="쉼표 [0] 2 2 2 2 2 7 3" xfId="31645"/>
    <cellStyle name="쉼표 [0] 2 2 2 2 2 8" xfId="7335"/>
    <cellStyle name="쉼표 [0] 2 2 2 2 2 8 2" xfId="31644"/>
    <cellStyle name="쉼표 [0] 2 2 2 2 2 9" xfId="7336"/>
    <cellStyle name="쉼표 [0] 2 2 2 2 2 9 2" xfId="31643"/>
    <cellStyle name="쉼표 [0] 2 2 2 2 20" xfId="7337"/>
    <cellStyle name="쉼표 [0] 2 2 2 2 20 2" xfId="7338"/>
    <cellStyle name="쉼표 [0] 2 2 2 2 21" xfId="7339"/>
    <cellStyle name="쉼표 [0] 2 2 2 2 21 2" xfId="7340"/>
    <cellStyle name="쉼표 [0] 2 2 2 2 22" xfId="7341"/>
    <cellStyle name="쉼표 [0] 2 2 2 2 22 2" xfId="7342"/>
    <cellStyle name="쉼표 [0] 2 2 2 2 23" xfId="7343"/>
    <cellStyle name="쉼표 [0] 2 2 2 2 23 2" xfId="7344"/>
    <cellStyle name="쉼표 [0] 2 2 2 2 24" xfId="7345"/>
    <cellStyle name="쉼표 [0] 2 2 2 2 24 2" xfId="7346"/>
    <cellStyle name="쉼표 [0] 2 2 2 2 25" xfId="7347"/>
    <cellStyle name="쉼표 [0] 2 2 2 2 25 2" xfId="7348"/>
    <cellStyle name="쉼표 [0] 2 2 2 2 26" xfId="7349"/>
    <cellStyle name="쉼표 [0] 2 2 2 2 26 2" xfId="7350"/>
    <cellStyle name="쉼표 [0] 2 2 2 2 27" xfId="7351"/>
    <cellStyle name="쉼표 [0] 2 2 2 2 27 2" xfId="7352"/>
    <cellStyle name="쉼표 [0] 2 2 2 2 28" xfId="7353"/>
    <cellStyle name="쉼표 [0] 2 2 2 2 28 2" xfId="7354"/>
    <cellStyle name="쉼표 [0] 2 2 2 2 29" xfId="7355"/>
    <cellStyle name="쉼표 [0] 2 2 2 2 29 2" xfId="7356"/>
    <cellStyle name="쉼표 [0] 2 2 2 2 3" xfId="393"/>
    <cellStyle name="쉼표 [0] 2 2 2 2 3 2" xfId="394"/>
    <cellStyle name="쉼표 [0] 2 2 2 2 3 2 2" xfId="31642"/>
    <cellStyle name="쉼표 [0] 2 2 2 2 3 3" xfId="7357"/>
    <cellStyle name="쉼표 [0] 2 2 2 2 3 3 2" xfId="31641"/>
    <cellStyle name="쉼표 [0] 2 2 2 2 3 4" xfId="29582"/>
    <cellStyle name="쉼표 [0] 2 2 2 2 3 4 2" xfId="31640"/>
    <cellStyle name="쉼표 [0] 2 2 2 2 3 5" xfId="31639"/>
    <cellStyle name="쉼표 [0] 2 2 2 2 3 6" xfId="31638"/>
    <cellStyle name="쉼표 [0] 2 2 2 2 3 7" xfId="31637"/>
    <cellStyle name="쉼표 [0] 2 2 2 2 3 8" xfId="31636"/>
    <cellStyle name="쉼표 [0] 2 2 2 2 30" xfId="7358"/>
    <cellStyle name="쉼표 [0] 2 2 2 2 30 2" xfId="7359"/>
    <cellStyle name="쉼표 [0] 2 2 2 2 31" xfId="7360"/>
    <cellStyle name="쉼표 [0] 2 2 2 2 31 2" xfId="7361"/>
    <cellStyle name="쉼표 [0] 2 2 2 2 32" xfId="7362"/>
    <cellStyle name="쉼표 [0] 2 2 2 2 32 2" xfId="7363"/>
    <cellStyle name="쉼표 [0] 2 2 2 2 33" xfId="7364"/>
    <cellStyle name="쉼표 [0] 2 2 2 2 33 2" xfId="7365"/>
    <cellStyle name="쉼표 [0] 2 2 2 2 34" xfId="7366"/>
    <cellStyle name="쉼표 [0] 2 2 2 2 34 2" xfId="7367"/>
    <cellStyle name="쉼표 [0] 2 2 2 2 35" xfId="7368"/>
    <cellStyle name="쉼표 [0] 2 2 2 2 35 2" xfId="7369"/>
    <cellStyle name="쉼표 [0] 2 2 2 2 36" xfId="7370"/>
    <cellStyle name="쉼표 [0] 2 2 2 2 36 2" xfId="7371"/>
    <cellStyle name="쉼표 [0] 2 2 2 2 37" xfId="7372"/>
    <cellStyle name="쉼표 [0] 2 2 2 2 37 2" xfId="7373"/>
    <cellStyle name="쉼표 [0] 2 2 2 2 38" xfId="7374"/>
    <cellStyle name="쉼표 [0] 2 2 2 2 38 2" xfId="7375"/>
    <cellStyle name="쉼표 [0] 2 2 2 2 39" xfId="7376"/>
    <cellStyle name="쉼표 [0] 2 2 2 2 39 2" xfId="7377"/>
    <cellStyle name="쉼표 [0] 2 2 2 2 4" xfId="395"/>
    <cellStyle name="쉼표 [0] 2 2 2 2 4 2" xfId="396"/>
    <cellStyle name="쉼표 [0] 2 2 2 2 4 2 2" xfId="397"/>
    <cellStyle name="쉼표 [0] 2 2 2 2 4 2 2 2" xfId="398"/>
    <cellStyle name="쉼표 [0] 2 2 2 2 4 2 3" xfId="399"/>
    <cellStyle name="쉼표 [0] 2 2 2 2 4 2 3 2" xfId="400"/>
    <cellStyle name="쉼표 [0] 2 2 2 2 4 2 3 2 2" xfId="401"/>
    <cellStyle name="쉼표 [0] 2 2 2 2 4 2 3 3" xfId="402"/>
    <cellStyle name="쉼표 [0] 2 2 2 2 4 2 4" xfId="403"/>
    <cellStyle name="쉼표 [0] 2 2 2 2 4 2 4 2" xfId="404"/>
    <cellStyle name="쉼표 [0] 2 2 2 2 4 2 5" xfId="405"/>
    <cellStyle name="쉼표 [0] 2 2 2 2 4 2 6" xfId="7378"/>
    <cellStyle name="쉼표 [0] 2 2 2 2 4 2 6 2" xfId="7379"/>
    <cellStyle name="쉼표 [0] 2 2 2 2 4 2 7" xfId="7380"/>
    <cellStyle name="쉼표 [0] 2 2 2 2 4 2 7 2" xfId="16551"/>
    <cellStyle name="쉼표 [0] 2 2 2 2 4 2 8" xfId="29547"/>
    <cellStyle name="쉼표 [0] 2 2 2 2 4 3" xfId="406"/>
    <cellStyle name="쉼표 [0] 2 2 2 2 4 3 2" xfId="407"/>
    <cellStyle name="쉼표 [0] 2 2 2 2 4 3 3" xfId="7381"/>
    <cellStyle name="쉼표 [0] 2 2 2 2 4 3 3 2" xfId="7382"/>
    <cellStyle name="쉼표 [0] 2 2 2 2 4 3 4" xfId="7383"/>
    <cellStyle name="쉼표 [0] 2 2 2 2 4 3 4 2" xfId="16550"/>
    <cellStyle name="쉼표 [0] 2 2 2 2 4 4" xfId="408"/>
    <cellStyle name="쉼표 [0] 2 2 2 2 4 4 2" xfId="409"/>
    <cellStyle name="쉼표 [0] 2 2 2 2 4 4 2 2" xfId="410"/>
    <cellStyle name="쉼표 [0] 2 2 2 2 4 4 3" xfId="411"/>
    <cellStyle name="쉼표 [0] 2 2 2 2 4 5" xfId="412"/>
    <cellStyle name="쉼표 [0] 2 2 2 2 4 5 2" xfId="413"/>
    <cellStyle name="쉼표 [0] 2 2 2 2 4 6" xfId="414"/>
    <cellStyle name="쉼표 [0] 2 2 2 2 4 7" xfId="7384"/>
    <cellStyle name="쉼표 [0] 2 2 2 2 4 8" xfId="30320"/>
    <cellStyle name="쉼표 [0] 2 2 2 2 40" xfId="7385"/>
    <cellStyle name="쉼표 [0] 2 2 2 2 40 2" xfId="7386"/>
    <cellStyle name="쉼표 [0] 2 2 2 2 41" xfId="7387"/>
    <cellStyle name="쉼표 [0] 2 2 2 2 41 2" xfId="7388"/>
    <cellStyle name="쉼표 [0] 2 2 2 2 42" xfId="7389"/>
    <cellStyle name="쉼표 [0] 2 2 2 2 42 2" xfId="7390"/>
    <cellStyle name="쉼표 [0] 2 2 2 2 43" xfId="7391"/>
    <cellStyle name="쉼표 [0] 2 2 2 2 43 2" xfId="7392"/>
    <cellStyle name="쉼표 [0] 2 2 2 2 44" xfId="7393"/>
    <cellStyle name="쉼표 [0] 2 2 2 2 44 2" xfId="7394"/>
    <cellStyle name="쉼표 [0] 2 2 2 2 45" xfId="7395"/>
    <cellStyle name="쉼표 [0] 2 2 2 2 45 2" xfId="16549"/>
    <cellStyle name="쉼표 [0] 2 2 2 2 46" xfId="30323"/>
    <cellStyle name="쉼표 [0] 2 2 2 2 47" xfId="30986"/>
    <cellStyle name="쉼표 [0] 2 2 2 2 47 2" xfId="32337"/>
    <cellStyle name="쉼표 [0] 2 2 2 2 48" xfId="31969"/>
    <cellStyle name="쉼표 [0] 2 2 2 2 5" xfId="415"/>
    <cellStyle name="쉼표 [0] 2 2 2 2 5 2" xfId="416"/>
    <cellStyle name="쉼표 [0] 2 2 2 2 5 2 2" xfId="417"/>
    <cellStyle name="쉼표 [0] 2 2 2 2 5 3" xfId="418"/>
    <cellStyle name="쉼표 [0] 2 2 2 2 5 3 2" xfId="419"/>
    <cellStyle name="쉼표 [0] 2 2 2 2 5 3 2 2" xfId="420"/>
    <cellStyle name="쉼표 [0] 2 2 2 2 5 3 3" xfId="421"/>
    <cellStyle name="쉼표 [0] 2 2 2 2 5 4" xfId="422"/>
    <cellStyle name="쉼표 [0] 2 2 2 2 5 4 2" xfId="423"/>
    <cellStyle name="쉼표 [0] 2 2 2 2 5 5" xfId="424"/>
    <cellStyle name="쉼표 [0] 2 2 2 2 5 6" xfId="7396"/>
    <cellStyle name="쉼표 [0] 2 2 2 2 5 7" xfId="29825"/>
    <cellStyle name="쉼표 [0] 2 2 2 2 6" xfId="425"/>
    <cellStyle name="쉼표 [0] 2 2 2 2 6 2" xfId="426"/>
    <cellStyle name="쉼표 [0] 2 2 2 2 6 2 2" xfId="427"/>
    <cellStyle name="쉼표 [0] 2 2 2 2 6 3" xfId="428"/>
    <cellStyle name="쉼표 [0] 2 2 2 2 6 4" xfId="7397"/>
    <cellStyle name="쉼표 [0] 2 2 2 2 6 4 2" xfId="7398"/>
    <cellStyle name="쉼표 [0] 2 2 2 2 7" xfId="429"/>
    <cellStyle name="쉼표 [0] 2 2 2 2 7 2" xfId="430"/>
    <cellStyle name="쉼표 [0] 2 2 2 2 7 3" xfId="7399"/>
    <cellStyle name="쉼표 [0] 2 2 2 2 7 3 2" xfId="7400"/>
    <cellStyle name="쉼표 [0] 2 2 2 2 8" xfId="431"/>
    <cellStyle name="쉼표 [0] 2 2 2 2 8 2" xfId="7401"/>
    <cellStyle name="쉼표 [0] 2 2 2 2 8 2 2" xfId="7402"/>
    <cellStyle name="쉼표 [0] 2 2 2 2 9" xfId="7403"/>
    <cellStyle name="쉼표 [0] 2 2 2 2 9 2" xfId="7404"/>
    <cellStyle name="쉼표 [0] 2 2 2 2 9 3" xfId="31635"/>
    <cellStyle name="쉼표 [0] 2 2 2 20" xfId="7405"/>
    <cellStyle name="쉼표 [0] 2 2 2 20 2" xfId="31634"/>
    <cellStyle name="쉼표 [0] 2 2 2 21" xfId="7406"/>
    <cellStyle name="쉼표 [0] 2 2 2 21 2" xfId="31633"/>
    <cellStyle name="쉼표 [0] 2 2 2 22" xfId="7407"/>
    <cellStyle name="쉼표 [0] 2 2 2 22 2" xfId="31632"/>
    <cellStyle name="쉼표 [0] 2 2 2 23" xfId="7408"/>
    <cellStyle name="쉼표 [0] 2 2 2 23 2" xfId="31631"/>
    <cellStyle name="쉼표 [0] 2 2 2 24" xfId="7409"/>
    <cellStyle name="쉼표 [0] 2 2 2 24 2" xfId="31630"/>
    <cellStyle name="쉼표 [0] 2 2 2 25" xfId="7410"/>
    <cellStyle name="쉼표 [0] 2 2 2 25 2" xfId="31629"/>
    <cellStyle name="쉼표 [0] 2 2 2 26" xfId="7411"/>
    <cellStyle name="쉼표 [0] 2 2 2 26 2" xfId="31628"/>
    <cellStyle name="쉼표 [0] 2 2 2 27" xfId="7412"/>
    <cellStyle name="쉼표 [0] 2 2 2 27 2" xfId="31980"/>
    <cellStyle name="쉼표 [0] 2 2 2 28" xfId="7413"/>
    <cellStyle name="쉼표 [0] 2 2 2 28 2" xfId="31627"/>
    <cellStyle name="쉼표 [0] 2 2 2 29" xfId="7414"/>
    <cellStyle name="쉼표 [0] 2 2 2 29 2" xfId="31626"/>
    <cellStyle name="쉼표 [0] 2 2 2 3" xfId="432"/>
    <cellStyle name="쉼표 [0] 2 2 2 3 10" xfId="30949"/>
    <cellStyle name="쉼표 [0] 2 2 2 3 10 2" xfId="32302"/>
    <cellStyle name="쉼표 [0] 2 2 2 3 11" xfId="31625"/>
    <cellStyle name="쉼표 [0] 2 2 2 3 2" xfId="433"/>
    <cellStyle name="쉼표 [0] 2 2 2 3 2 2" xfId="434"/>
    <cellStyle name="쉼표 [0] 2 2 2 3 2 2 2" xfId="435"/>
    <cellStyle name="쉼표 [0] 2 2 2 3 2 2 2 2" xfId="436"/>
    <cellStyle name="쉼표 [0] 2 2 2 3 2 2 3" xfId="437"/>
    <cellStyle name="쉼표 [0] 2 2 2 3 2 2 3 2" xfId="438"/>
    <cellStyle name="쉼표 [0] 2 2 2 3 2 2 3 2 2" xfId="439"/>
    <cellStyle name="쉼표 [0] 2 2 2 3 2 2 3 3" xfId="440"/>
    <cellStyle name="쉼표 [0] 2 2 2 3 2 2 4" xfId="441"/>
    <cellStyle name="쉼표 [0] 2 2 2 3 2 2 4 2" xfId="442"/>
    <cellStyle name="쉼표 [0] 2 2 2 3 2 2 5" xfId="443"/>
    <cellStyle name="쉼표 [0] 2 2 2 3 2 2 6" xfId="29774"/>
    <cellStyle name="쉼표 [0] 2 2 2 3 2 3" xfId="444"/>
    <cellStyle name="쉼표 [0] 2 2 2 3 2 3 2" xfId="445"/>
    <cellStyle name="쉼표 [0] 2 2 2 3 2 4" xfId="446"/>
    <cellStyle name="쉼표 [0] 2 2 2 3 2 4 2" xfId="447"/>
    <cellStyle name="쉼표 [0] 2 2 2 3 2 4 2 2" xfId="448"/>
    <cellStyle name="쉼표 [0] 2 2 2 3 2 4 3" xfId="449"/>
    <cellStyle name="쉼표 [0] 2 2 2 3 2 5" xfId="450"/>
    <cellStyle name="쉼표 [0] 2 2 2 3 2 5 2" xfId="451"/>
    <cellStyle name="쉼표 [0] 2 2 2 3 2 6" xfId="452"/>
    <cellStyle name="쉼표 [0] 2 2 2 3 2 7" xfId="29545"/>
    <cellStyle name="쉼표 [0] 2 2 2 3 3" xfId="453"/>
    <cellStyle name="쉼표 [0] 2 2 2 3 3 2" xfId="454"/>
    <cellStyle name="쉼표 [0] 2 2 2 3 3 2 2" xfId="455"/>
    <cellStyle name="쉼표 [0] 2 2 2 3 3 3" xfId="456"/>
    <cellStyle name="쉼표 [0] 2 2 2 3 3 3 2" xfId="457"/>
    <cellStyle name="쉼표 [0] 2 2 2 3 3 3 2 2" xfId="458"/>
    <cellStyle name="쉼표 [0] 2 2 2 3 3 3 3" xfId="459"/>
    <cellStyle name="쉼표 [0] 2 2 2 3 3 4" xfId="460"/>
    <cellStyle name="쉼표 [0] 2 2 2 3 3 4 2" xfId="461"/>
    <cellStyle name="쉼표 [0] 2 2 2 3 3 5" xfId="462"/>
    <cellStyle name="쉼표 [0] 2 2 2 3 3 6" xfId="29799"/>
    <cellStyle name="쉼표 [0] 2 2 2 3 4" xfId="463"/>
    <cellStyle name="쉼표 [0] 2 2 2 3 4 2" xfId="464"/>
    <cellStyle name="쉼표 [0] 2 2 2 3 5" xfId="465"/>
    <cellStyle name="쉼표 [0] 2 2 2 3 5 2" xfId="466"/>
    <cellStyle name="쉼표 [0] 2 2 2 3 5 2 2" xfId="467"/>
    <cellStyle name="쉼표 [0] 2 2 2 3 5 3" xfId="468"/>
    <cellStyle name="쉼표 [0] 2 2 2 3 6" xfId="469"/>
    <cellStyle name="쉼표 [0] 2 2 2 3 6 2" xfId="470"/>
    <cellStyle name="쉼표 [0] 2 2 2 3 7" xfId="471"/>
    <cellStyle name="쉼표 [0] 2 2 2 3 8" xfId="7415"/>
    <cellStyle name="쉼표 [0] 2 2 2 3 9" xfId="29817"/>
    <cellStyle name="쉼표 [0] 2 2 2 30" xfId="7416"/>
    <cellStyle name="쉼표 [0] 2 2 2 30 2" xfId="31624"/>
    <cellStyle name="쉼표 [0] 2 2 2 31" xfId="7417"/>
    <cellStyle name="쉼표 [0] 2 2 2 31 2" xfId="31623"/>
    <cellStyle name="쉼표 [0] 2 2 2 32" xfId="7418"/>
    <cellStyle name="쉼표 [0] 2 2 2 33" xfId="7419"/>
    <cellStyle name="쉼표 [0] 2 2 2 34" xfId="7420"/>
    <cellStyle name="쉼표 [0] 2 2 2 35" xfId="7421"/>
    <cellStyle name="쉼표 [0] 2 2 2 36" xfId="7422"/>
    <cellStyle name="쉼표 [0] 2 2 2 37" xfId="7423"/>
    <cellStyle name="쉼표 [0] 2 2 2 38" xfId="7424"/>
    <cellStyle name="쉼표 [0] 2 2 2 39" xfId="7425"/>
    <cellStyle name="쉼표 [0] 2 2 2 4" xfId="472"/>
    <cellStyle name="쉼표 [0] 2 2 2 4 10" xfId="29877"/>
    <cellStyle name="쉼표 [0] 2 2 2 4 11" xfId="32042"/>
    <cellStyle name="쉼표 [0] 2 2 2 4 2" xfId="473"/>
    <cellStyle name="쉼표 [0] 2 2 2 4 2 2" xfId="474"/>
    <cellStyle name="쉼표 [0] 2 2 2 4 2 2 2" xfId="475"/>
    <cellStyle name="쉼표 [0] 2 2 2 4 2 2 2 2" xfId="476"/>
    <cellStyle name="쉼표 [0] 2 2 2 4 2 2 3" xfId="477"/>
    <cellStyle name="쉼표 [0] 2 2 2 4 2 2 3 2" xfId="478"/>
    <cellStyle name="쉼표 [0] 2 2 2 4 2 2 3 2 2" xfId="479"/>
    <cellStyle name="쉼표 [0] 2 2 2 4 2 2 3 3" xfId="480"/>
    <cellStyle name="쉼표 [0] 2 2 2 4 2 2 4" xfId="481"/>
    <cellStyle name="쉼표 [0] 2 2 2 4 2 2 4 2" xfId="482"/>
    <cellStyle name="쉼표 [0] 2 2 2 4 2 2 5" xfId="483"/>
    <cellStyle name="쉼표 [0] 2 2 2 4 2 2 6" xfId="7426"/>
    <cellStyle name="쉼표 [0] 2 2 2 4 2 2 6 2" xfId="7427"/>
    <cellStyle name="쉼표 [0] 2 2 2 4 2 2 7" xfId="7428"/>
    <cellStyle name="쉼표 [0] 2 2 2 4 2 2 7 2" xfId="16548"/>
    <cellStyle name="쉼표 [0] 2 2 2 4 2 2 8" xfId="29649"/>
    <cellStyle name="쉼표 [0] 2 2 2 4 2 3" xfId="484"/>
    <cellStyle name="쉼표 [0] 2 2 2 4 2 3 2" xfId="485"/>
    <cellStyle name="쉼표 [0] 2 2 2 4 2 3 3" xfId="7429"/>
    <cellStyle name="쉼표 [0] 2 2 2 4 2 3 3 2" xfId="7430"/>
    <cellStyle name="쉼표 [0] 2 2 2 4 2 3 4" xfId="7431"/>
    <cellStyle name="쉼표 [0] 2 2 2 4 2 3 4 2" xfId="16547"/>
    <cellStyle name="쉼표 [0] 2 2 2 4 2 4" xfId="486"/>
    <cellStyle name="쉼표 [0] 2 2 2 4 2 4 2" xfId="487"/>
    <cellStyle name="쉼표 [0] 2 2 2 4 2 4 2 2" xfId="488"/>
    <cellStyle name="쉼표 [0] 2 2 2 4 2 4 3" xfId="489"/>
    <cellStyle name="쉼표 [0] 2 2 2 4 2 5" xfId="490"/>
    <cellStyle name="쉼표 [0] 2 2 2 4 2 5 2" xfId="491"/>
    <cellStyle name="쉼표 [0] 2 2 2 4 2 6" xfId="492"/>
    <cellStyle name="쉼표 [0] 2 2 2 4 2 7" xfId="7432"/>
    <cellStyle name="쉼표 [0] 2 2 2 4 2 8" xfId="30041"/>
    <cellStyle name="쉼표 [0] 2 2 2 4 3" xfId="493"/>
    <cellStyle name="쉼표 [0] 2 2 2 4 3 2" xfId="494"/>
    <cellStyle name="쉼표 [0] 2 2 2 4 3 2 2" xfId="495"/>
    <cellStyle name="쉼표 [0] 2 2 2 4 3 3" xfId="496"/>
    <cellStyle name="쉼표 [0] 2 2 2 4 3 3 2" xfId="497"/>
    <cellStyle name="쉼표 [0] 2 2 2 4 3 3 2 2" xfId="498"/>
    <cellStyle name="쉼표 [0] 2 2 2 4 3 3 3" xfId="499"/>
    <cellStyle name="쉼표 [0] 2 2 2 4 3 4" xfId="500"/>
    <cellStyle name="쉼표 [0] 2 2 2 4 3 4 2" xfId="501"/>
    <cellStyle name="쉼표 [0] 2 2 2 4 3 5" xfId="502"/>
    <cellStyle name="쉼표 [0] 2 2 2 4 3 6" xfId="7433"/>
    <cellStyle name="쉼표 [0] 2 2 2 4 3 6 2" xfId="7434"/>
    <cellStyle name="쉼표 [0] 2 2 2 4 3 7" xfId="7435"/>
    <cellStyle name="쉼표 [0] 2 2 2 4 3 7 2" xfId="16546"/>
    <cellStyle name="쉼표 [0] 2 2 2 4 3 8" xfId="29504"/>
    <cellStyle name="쉼표 [0] 2 2 2 4 4" xfId="503"/>
    <cellStyle name="쉼표 [0] 2 2 2 4 4 2" xfId="504"/>
    <cellStyle name="쉼표 [0] 2 2 2 4 4 3" xfId="7436"/>
    <cellStyle name="쉼표 [0] 2 2 2 4 5" xfId="505"/>
    <cellStyle name="쉼표 [0] 2 2 2 4 5 2" xfId="506"/>
    <cellStyle name="쉼표 [0] 2 2 2 4 5 2 2" xfId="507"/>
    <cellStyle name="쉼표 [0] 2 2 2 4 5 3" xfId="508"/>
    <cellStyle name="쉼표 [0] 2 2 2 4 6" xfId="509"/>
    <cellStyle name="쉼표 [0] 2 2 2 4 6 2" xfId="510"/>
    <cellStyle name="쉼표 [0] 2 2 2 4 7" xfId="511"/>
    <cellStyle name="쉼표 [0] 2 2 2 4 8" xfId="7437"/>
    <cellStyle name="쉼표 [0] 2 2 2 4 8 2" xfId="7438"/>
    <cellStyle name="쉼표 [0] 2 2 2 4 9" xfId="7439"/>
    <cellStyle name="쉼표 [0] 2 2 2 4 9 2" xfId="16545"/>
    <cellStyle name="쉼표 [0] 2 2 2 40" xfId="7440"/>
    <cellStyle name="쉼표 [0] 2 2 2 41" xfId="7441"/>
    <cellStyle name="쉼표 [0] 2 2 2 42" xfId="7442"/>
    <cellStyle name="쉼표 [0] 2 2 2 43" xfId="7443"/>
    <cellStyle name="쉼표 [0] 2 2 2 44" xfId="7444"/>
    <cellStyle name="쉼표 [0] 2 2 2 45" xfId="7445"/>
    <cellStyle name="쉼표 [0] 2 2 2 46" xfId="7446"/>
    <cellStyle name="쉼표 [0] 2 2 2 47" xfId="7447"/>
    <cellStyle name="쉼표 [0] 2 2 2 48" xfId="30959"/>
    <cellStyle name="쉼표 [0] 2 2 2 48 2" xfId="32311"/>
    <cellStyle name="쉼표 [0] 2 2 2 5" xfId="512"/>
    <cellStyle name="쉼표 [0] 2 2 2 5 10" xfId="31622"/>
    <cellStyle name="쉼표 [0] 2 2 2 5 2" xfId="513"/>
    <cellStyle name="쉼표 [0] 2 2 2 5 2 2" xfId="514"/>
    <cellStyle name="쉼표 [0] 2 2 2 5 2 2 2" xfId="515"/>
    <cellStyle name="쉼표 [0] 2 2 2 5 2 3" xfId="516"/>
    <cellStyle name="쉼표 [0] 2 2 2 5 2 3 2" xfId="517"/>
    <cellStyle name="쉼표 [0] 2 2 2 5 2 3 2 2" xfId="518"/>
    <cellStyle name="쉼표 [0] 2 2 2 5 2 3 3" xfId="519"/>
    <cellStyle name="쉼표 [0] 2 2 2 5 2 4" xfId="520"/>
    <cellStyle name="쉼표 [0] 2 2 2 5 2 4 2" xfId="521"/>
    <cellStyle name="쉼표 [0] 2 2 2 5 2 5" xfId="522"/>
    <cellStyle name="쉼표 [0] 2 2 2 5 2 6" xfId="7448"/>
    <cellStyle name="쉼표 [0] 2 2 2 5 2 7" xfId="29488"/>
    <cellStyle name="쉼표 [0] 2 2 2 5 3" xfId="523"/>
    <cellStyle name="쉼표 [0] 2 2 2 5 3 2" xfId="524"/>
    <cellStyle name="쉼표 [0] 2 2 2 5 3 3" xfId="7449"/>
    <cellStyle name="쉼표 [0] 2 2 2 5 4" xfId="525"/>
    <cellStyle name="쉼표 [0] 2 2 2 5 4 2" xfId="526"/>
    <cellStyle name="쉼표 [0] 2 2 2 5 4 2 2" xfId="527"/>
    <cellStyle name="쉼표 [0] 2 2 2 5 4 3" xfId="528"/>
    <cellStyle name="쉼표 [0] 2 2 2 5 5" xfId="529"/>
    <cellStyle name="쉼표 [0] 2 2 2 5 5 2" xfId="530"/>
    <cellStyle name="쉼표 [0] 2 2 2 5 6" xfId="531"/>
    <cellStyle name="쉼표 [0] 2 2 2 5 7" xfId="7450"/>
    <cellStyle name="쉼표 [0] 2 2 2 5 7 2" xfId="7451"/>
    <cellStyle name="쉼표 [0] 2 2 2 5 8" xfId="7452"/>
    <cellStyle name="쉼표 [0] 2 2 2 5 8 2" xfId="16544"/>
    <cellStyle name="쉼표 [0] 2 2 2 5 9" xfId="30680"/>
    <cellStyle name="쉼표 [0] 2 2 2 6" xfId="532"/>
    <cellStyle name="쉼표 [0] 2 2 2 6 2" xfId="533"/>
    <cellStyle name="쉼표 [0] 2 2 2 6 2 2" xfId="534"/>
    <cellStyle name="쉼표 [0] 2 2 2 6 3" xfId="535"/>
    <cellStyle name="쉼표 [0] 2 2 2 6 3 2" xfId="536"/>
    <cellStyle name="쉼표 [0] 2 2 2 6 3 2 2" xfId="537"/>
    <cellStyle name="쉼표 [0] 2 2 2 6 3 3" xfId="538"/>
    <cellStyle name="쉼표 [0] 2 2 2 6 4" xfId="539"/>
    <cellStyle name="쉼표 [0] 2 2 2 6 4 2" xfId="540"/>
    <cellStyle name="쉼표 [0] 2 2 2 6 5" xfId="541"/>
    <cellStyle name="쉼표 [0] 2 2 2 6 6" xfId="7453"/>
    <cellStyle name="쉼표 [0] 2 2 2 6 6 2" xfId="7454"/>
    <cellStyle name="쉼표 [0] 2 2 2 6 7" xfId="7455"/>
    <cellStyle name="쉼표 [0] 2 2 2 6 7 2" xfId="16543"/>
    <cellStyle name="쉼표 [0] 2 2 2 6 8" xfId="29592"/>
    <cellStyle name="쉼표 [0] 2 2 2 6 9" xfId="31621"/>
    <cellStyle name="쉼표 [0] 2 2 2 7" xfId="542"/>
    <cellStyle name="쉼표 [0] 2 2 2 7 2" xfId="543"/>
    <cellStyle name="쉼표 [0] 2 2 2 7 2 2" xfId="544"/>
    <cellStyle name="쉼표 [0] 2 2 2 7 3" xfId="545"/>
    <cellStyle name="쉼표 [0] 2 2 2 7 4" xfId="7456"/>
    <cellStyle name="쉼표 [0] 2 2 2 7 5" xfId="29514"/>
    <cellStyle name="쉼표 [0] 2 2 2 7 6" xfId="31620"/>
    <cellStyle name="쉼표 [0] 2 2 2 8" xfId="546"/>
    <cellStyle name="쉼표 [0] 2 2 2 8 2" xfId="547"/>
    <cellStyle name="쉼표 [0] 2 2 2 8 3" xfId="7457"/>
    <cellStyle name="쉼표 [0] 2 2 2 8 4" xfId="29619"/>
    <cellStyle name="쉼표 [0] 2 2 2 9" xfId="548"/>
    <cellStyle name="쉼표 [0] 2 2 2 9 2" xfId="7458"/>
    <cellStyle name="쉼표 [0] 2 2 2 9 2 2" xfId="31619"/>
    <cellStyle name="쉼표 [0] 2 2 2 9 2 3" xfId="31618"/>
    <cellStyle name="쉼표 [0] 2 2 2 9 2 4" xfId="31617"/>
    <cellStyle name="쉼표 [0] 2 2 2 9 2 5" xfId="31616"/>
    <cellStyle name="쉼표 [0] 2 2 2 9 2 6" xfId="31615"/>
    <cellStyle name="쉼표 [0] 2 2 2 9 2 7" xfId="31614"/>
    <cellStyle name="쉼표 [0] 2 2 2 9 2 8" xfId="31613"/>
    <cellStyle name="쉼표 [0] 2 2 2 9 2 9" xfId="31959"/>
    <cellStyle name="쉼표 [0] 2 2 2 9 3" xfId="31612"/>
    <cellStyle name="쉼표 [0] 2 2 2 9 4" xfId="31611"/>
    <cellStyle name="쉼표 [0] 2 2 2 9 5" xfId="31610"/>
    <cellStyle name="쉼표 [0] 2 2 2 9 6" xfId="31609"/>
    <cellStyle name="쉼표 [0] 2 2 2 9 7" xfId="31608"/>
    <cellStyle name="쉼표 [0] 2 2 2 9 8" xfId="31607"/>
    <cellStyle name="쉼표 [0] 2 2 2 9 9" xfId="31981"/>
    <cellStyle name="쉼표 [0] 2 2 20" xfId="7459"/>
    <cellStyle name="쉼표 [0] 2 2 20 2" xfId="7460"/>
    <cellStyle name="쉼표 [0] 2 2 20 3" xfId="31606"/>
    <cellStyle name="쉼표 [0] 2 2 21" xfId="7461"/>
    <cellStyle name="쉼표 [0] 2 2 21 2" xfId="7462"/>
    <cellStyle name="쉼표 [0] 2 2 21 3" xfId="31605"/>
    <cellStyle name="쉼표 [0] 2 2 22" xfId="7463"/>
    <cellStyle name="쉼표 [0] 2 2 22 2" xfId="7464"/>
    <cellStyle name="쉼표 [0] 2 2 22 3" xfId="31604"/>
    <cellStyle name="쉼표 [0] 2 2 23" xfId="7465"/>
    <cellStyle name="쉼표 [0] 2 2 23 2" xfId="7466"/>
    <cellStyle name="쉼표 [0] 2 2 23 3" xfId="31603"/>
    <cellStyle name="쉼표 [0] 2 2 24" xfId="7467"/>
    <cellStyle name="쉼표 [0] 2 2 24 2" xfId="7468"/>
    <cellStyle name="쉼표 [0] 2 2 24 3" xfId="31602"/>
    <cellStyle name="쉼표 [0] 2 2 25" xfId="7469"/>
    <cellStyle name="쉼표 [0] 2 2 25 2" xfId="7470"/>
    <cellStyle name="쉼표 [0] 2 2 25 3" xfId="31601"/>
    <cellStyle name="쉼표 [0] 2 2 26" xfId="7471"/>
    <cellStyle name="쉼표 [0] 2 2 26 2" xfId="7472"/>
    <cellStyle name="쉼표 [0] 2 2 26 3" xfId="31600"/>
    <cellStyle name="쉼표 [0] 2 2 27" xfId="7473"/>
    <cellStyle name="쉼표 [0] 2 2 27 2" xfId="7474"/>
    <cellStyle name="쉼표 [0] 2 2 27 3" xfId="31599"/>
    <cellStyle name="쉼표 [0] 2 2 28" xfId="7475"/>
    <cellStyle name="쉼표 [0] 2 2 28 2" xfId="7476"/>
    <cellStyle name="쉼표 [0] 2 2 28 3" xfId="31598"/>
    <cellStyle name="쉼표 [0] 2 2 29" xfId="7477"/>
    <cellStyle name="쉼표 [0] 2 2 29 2" xfId="7478"/>
    <cellStyle name="쉼표 [0] 2 2 29 3" xfId="32046"/>
    <cellStyle name="쉼표 [0] 2 2 3" xfId="549"/>
    <cellStyle name="쉼표 [0] 2 2 3 10" xfId="7479"/>
    <cellStyle name="쉼표 [0] 2 2 3 10 2" xfId="31958"/>
    <cellStyle name="쉼표 [0] 2 2 3 11" xfId="7480"/>
    <cellStyle name="쉼표 [0] 2 2 3 11 2" xfId="31957"/>
    <cellStyle name="쉼표 [0] 2 2 3 12" xfId="7481"/>
    <cellStyle name="쉼표 [0] 2 2 3 12 2" xfId="31956"/>
    <cellStyle name="쉼표 [0] 2 2 3 13" xfId="7482"/>
    <cellStyle name="쉼표 [0] 2 2 3 13 2" xfId="31955"/>
    <cellStyle name="쉼표 [0] 2 2 3 14" xfId="7483"/>
    <cellStyle name="쉼표 [0] 2 2 3 14 2" xfId="31954"/>
    <cellStyle name="쉼표 [0] 2 2 3 15" xfId="7484"/>
    <cellStyle name="쉼표 [0] 2 2 3 15 2" xfId="31953"/>
    <cellStyle name="쉼표 [0] 2 2 3 16" xfId="7485"/>
    <cellStyle name="쉼표 [0] 2 2 3 16 2" xfId="31952"/>
    <cellStyle name="쉼표 [0] 2 2 3 17" xfId="7486"/>
    <cellStyle name="쉼표 [0] 2 2 3 17 2" xfId="31951"/>
    <cellStyle name="쉼표 [0] 2 2 3 18" xfId="7487"/>
    <cellStyle name="쉼표 [0] 2 2 3 18 2" xfId="31597"/>
    <cellStyle name="쉼표 [0] 2 2 3 19" xfId="7488"/>
    <cellStyle name="쉼표 [0] 2 2 3 19 2" xfId="31596"/>
    <cellStyle name="쉼표 [0] 2 2 3 2" xfId="550"/>
    <cellStyle name="쉼표 [0] 2 2 3 2 10" xfId="7489"/>
    <cellStyle name="쉼표 [0] 2 2 3 2 10 2" xfId="7490"/>
    <cellStyle name="쉼표 [0] 2 2 3 2 11" xfId="7491"/>
    <cellStyle name="쉼표 [0] 2 2 3 2 11 2" xfId="7492"/>
    <cellStyle name="쉼표 [0] 2 2 3 2 12" xfId="7493"/>
    <cellStyle name="쉼표 [0] 2 2 3 2 12 2" xfId="7494"/>
    <cellStyle name="쉼표 [0] 2 2 3 2 13" xfId="7495"/>
    <cellStyle name="쉼표 [0] 2 2 3 2 13 2" xfId="7496"/>
    <cellStyle name="쉼표 [0] 2 2 3 2 14" xfId="7497"/>
    <cellStyle name="쉼표 [0] 2 2 3 2 14 2" xfId="7498"/>
    <cellStyle name="쉼표 [0] 2 2 3 2 15" xfId="7499"/>
    <cellStyle name="쉼표 [0] 2 2 3 2 15 2" xfId="7500"/>
    <cellStyle name="쉼표 [0] 2 2 3 2 16" xfId="7501"/>
    <cellStyle name="쉼표 [0] 2 2 3 2 16 2" xfId="7502"/>
    <cellStyle name="쉼표 [0] 2 2 3 2 17" xfId="7503"/>
    <cellStyle name="쉼표 [0] 2 2 3 2 17 2" xfId="7504"/>
    <cellStyle name="쉼표 [0] 2 2 3 2 18" xfId="7505"/>
    <cellStyle name="쉼표 [0] 2 2 3 2 18 2" xfId="7506"/>
    <cellStyle name="쉼표 [0] 2 2 3 2 19" xfId="7507"/>
    <cellStyle name="쉼표 [0] 2 2 3 2 19 2" xfId="7508"/>
    <cellStyle name="쉼표 [0] 2 2 3 2 2" xfId="551"/>
    <cellStyle name="쉼표 [0] 2 2 3 2 2 10" xfId="7509"/>
    <cellStyle name="쉼표 [0] 2 2 3 2 2 11" xfId="7510"/>
    <cellStyle name="쉼표 [0] 2 2 3 2 2 12" xfId="7511"/>
    <cellStyle name="쉼표 [0] 2 2 3 2 2 13" xfId="7512"/>
    <cellStyle name="쉼표 [0] 2 2 3 2 2 14" xfId="7513"/>
    <cellStyle name="쉼표 [0] 2 2 3 2 2 15" xfId="7514"/>
    <cellStyle name="쉼표 [0] 2 2 3 2 2 16" xfId="7515"/>
    <cellStyle name="쉼표 [0] 2 2 3 2 2 17" xfId="7516"/>
    <cellStyle name="쉼표 [0] 2 2 3 2 2 18" xfId="7517"/>
    <cellStyle name="쉼표 [0] 2 2 3 2 2 19" xfId="7518"/>
    <cellStyle name="쉼표 [0] 2 2 3 2 2 2" xfId="552"/>
    <cellStyle name="쉼표 [0] 2 2 3 2 2 2 10" xfId="7519"/>
    <cellStyle name="쉼표 [0] 2 2 3 2 2 2 10 2" xfId="7520"/>
    <cellStyle name="쉼표 [0] 2 2 3 2 2 2 11" xfId="7521"/>
    <cellStyle name="쉼표 [0] 2 2 3 2 2 2 11 2" xfId="7522"/>
    <cellStyle name="쉼표 [0] 2 2 3 2 2 2 12" xfId="7523"/>
    <cellStyle name="쉼표 [0] 2 2 3 2 2 2 12 2" xfId="7524"/>
    <cellStyle name="쉼표 [0] 2 2 3 2 2 2 13" xfId="7525"/>
    <cellStyle name="쉼표 [0] 2 2 3 2 2 2 13 2" xfId="7526"/>
    <cellStyle name="쉼표 [0] 2 2 3 2 2 2 14" xfId="7527"/>
    <cellStyle name="쉼표 [0] 2 2 3 2 2 2 14 2" xfId="7528"/>
    <cellStyle name="쉼표 [0] 2 2 3 2 2 2 15" xfId="7529"/>
    <cellStyle name="쉼표 [0] 2 2 3 2 2 2 15 2" xfId="7530"/>
    <cellStyle name="쉼표 [0] 2 2 3 2 2 2 16" xfId="7531"/>
    <cellStyle name="쉼표 [0] 2 2 3 2 2 2 16 2" xfId="7532"/>
    <cellStyle name="쉼표 [0] 2 2 3 2 2 2 17" xfId="7533"/>
    <cellStyle name="쉼표 [0] 2 2 3 2 2 2 17 2" xfId="7534"/>
    <cellStyle name="쉼표 [0] 2 2 3 2 2 2 18" xfId="7535"/>
    <cellStyle name="쉼표 [0] 2 2 3 2 2 2 18 2" xfId="7536"/>
    <cellStyle name="쉼표 [0] 2 2 3 2 2 2 19" xfId="7537"/>
    <cellStyle name="쉼표 [0] 2 2 3 2 2 2 19 2" xfId="7538"/>
    <cellStyle name="쉼표 [0] 2 2 3 2 2 2 2" xfId="553"/>
    <cellStyle name="쉼표 [0] 2 2 3 2 2 2 2 2" xfId="554"/>
    <cellStyle name="쉼표 [0] 2 2 3 2 2 2 2 3" xfId="7539"/>
    <cellStyle name="쉼표 [0] 2 2 3 2 2 2 2 3 2" xfId="7540"/>
    <cellStyle name="쉼표 [0] 2 2 3 2 2 2 20" xfId="7541"/>
    <cellStyle name="쉼표 [0] 2 2 3 2 2 2 20 2" xfId="7542"/>
    <cellStyle name="쉼표 [0] 2 2 3 2 2 2 21" xfId="7543"/>
    <cellStyle name="쉼표 [0] 2 2 3 2 2 2 21 2" xfId="7544"/>
    <cellStyle name="쉼표 [0] 2 2 3 2 2 2 22" xfId="7545"/>
    <cellStyle name="쉼표 [0] 2 2 3 2 2 2 22 2" xfId="7546"/>
    <cellStyle name="쉼표 [0] 2 2 3 2 2 2 23" xfId="7547"/>
    <cellStyle name="쉼표 [0] 2 2 3 2 2 2 23 2" xfId="7548"/>
    <cellStyle name="쉼표 [0] 2 2 3 2 2 2 24" xfId="7549"/>
    <cellStyle name="쉼표 [0] 2 2 3 2 2 2 24 2" xfId="7550"/>
    <cellStyle name="쉼표 [0] 2 2 3 2 2 2 25" xfId="7551"/>
    <cellStyle name="쉼표 [0] 2 2 3 2 2 2 25 2" xfId="7552"/>
    <cellStyle name="쉼표 [0] 2 2 3 2 2 2 26" xfId="7553"/>
    <cellStyle name="쉼표 [0] 2 2 3 2 2 2 26 2" xfId="7554"/>
    <cellStyle name="쉼표 [0] 2 2 3 2 2 2 27" xfId="7555"/>
    <cellStyle name="쉼표 [0] 2 2 3 2 2 2 27 2" xfId="7556"/>
    <cellStyle name="쉼표 [0] 2 2 3 2 2 2 28" xfId="7557"/>
    <cellStyle name="쉼표 [0] 2 2 3 2 2 2 28 2" xfId="7558"/>
    <cellStyle name="쉼표 [0] 2 2 3 2 2 2 29" xfId="7559"/>
    <cellStyle name="쉼표 [0] 2 2 3 2 2 2 29 2" xfId="7560"/>
    <cellStyle name="쉼표 [0] 2 2 3 2 2 2 3" xfId="555"/>
    <cellStyle name="쉼표 [0] 2 2 3 2 2 2 3 2" xfId="556"/>
    <cellStyle name="쉼표 [0] 2 2 3 2 2 2 3 2 2" xfId="557"/>
    <cellStyle name="쉼표 [0] 2 2 3 2 2 2 3 3" xfId="558"/>
    <cellStyle name="쉼표 [0] 2 2 3 2 2 2 3 4" xfId="7561"/>
    <cellStyle name="쉼표 [0] 2 2 3 2 2 2 3 4 2" xfId="7562"/>
    <cellStyle name="쉼표 [0] 2 2 3 2 2 2 30" xfId="7563"/>
    <cellStyle name="쉼표 [0] 2 2 3 2 2 2 30 2" xfId="7564"/>
    <cellStyle name="쉼표 [0] 2 2 3 2 2 2 31" xfId="7565"/>
    <cellStyle name="쉼표 [0] 2 2 3 2 2 2 31 2" xfId="7566"/>
    <cellStyle name="쉼표 [0] 2 2 3 2 2 2 32" xfId="7567"/>
    <cellStyle name="쉼표 [0] 2 2 3 2 2 2 32 2" xfId="7568"/>
    <cellStyle name="쉼표 [0] 2 2 3 2 2 2 33" xfId="7569"/>
    <cellStyle name="쉼표 [0] 2 2 3 2 2 2 33 2" xfId="7570"/>
    <cellStyle name="쉼표 [0] 2 2 3 2 2 2 34" xfId="7571"/>
    <cellStyle name="쉼표 [0] 2 2 3 2 2 2 34 2" xfId="7572"/>
    <cellStyle name="쉼표 [0] 2 2 3 2 2 2 35" xfId="7573"/>
    <cellStyle name="쉼표 [0] 2 2 3 2 2 2 35 2" xfId="7574"/>
    <cellStyle name="쉼표 [0] 2 2 3 2 2 2 36" xfId="7575"/>
    <cellStyle name="쉼표 [0] 2 2 3 2 2 2 36 2" xfId="7576"/>
    <cellStyle name="쉼표 [0] 2 2 3 2 2 2 37" xfId="7577"/>
    <cellStyle name="쉼표 [0] 2 2 3 2 2 2 37 2" xfId="7578"/>
    <cellStyle name="쉼표 [0] 2 2 3 2 2 2 38" xfId="7579"/>
    <cellStyle name="쉼표 [0] 2 2 3 2 2 2 38 2" xfId="7580"/>
    <cellStyle name="쉼표 [0] 2 2 3 2 2 2 39" xfId="7581"/>
    <cellStyle name="쉼표 [0] 2 2 3 2 2 2 39 2" xfId="7582"/>
    <cellStyle name="쉼표 [0] 2 2 3 2 2 2 4" xfId="559"/>
    <cellStyle name="쉼표 [0] 2 2 3 2 2 2 4 2" xfId="560"/>
    <cellStyle name="쉼표 [0] 2 2 3 2 2 2 4 3" xfId="7583"/>
    <cellStyle name="쉼표 [0] 2 2 3 2 2 2 4 3 2" xfId="7584"/>
    <cellStyle name="쉼표 [0] 2 2 3 2 2 2 40" xfId="7585"/>
    <cellStyle name="쉼표 [0] 2 2 3 2 2 2 40 2" xfId="7586"/>
    <cellStyle name="쉼표 [0] 2 2 3 2 2 2 41" xfId="7587"/>
    <cellStyle name="쉼표 [0] 2 2 3 2 2 2 41 2" xfId="7588"/>
    <cellStyle name="쉼표 [0] 2 2 3 2 2 2 42" xfId="7589"/>
    <cellStyle name="쉼표 [0] 2 2 3 2 2 2 43" xfId="7590"/>
    <cellStyle name="쉼표 [0] 2 2 3 2 2 2 43 2" xfId="16542"/>
    <cellStyle name="쉼표 [0] 2 2 3 2 2 2 44" xfId="29518"/>
    <cellStyle name="쉼표 [0] 2 2 3 2 2 2 45" xfId="31949"/>
    <cellStyle name="쉼표 [0] 2 2 3 2 2 2 5" xfId="561"/>
    <cellStyle name="쉼표 [0] 2 2 3 2 2 2 5 2" xfId="7591"/>
    <cellStyle name="쉼표 [0] 2 2 3 2 2 2 5 2 2" xfId="7592"/>
    <cellStyle name="쉼표 [0] 2 2 3 2 2 2 6" xfId="7593"/>
    <cellStyle name="쉼표 [0] 2 2 3 2 2 2 6 2" xfId="7594"/>
    <cellStyle name="쉼표 [0] 2 2 3 2 2 2 6 3" xfId="31948"/>
    <cellStyle name="쉼표 [0] 2 2 3 2 2 2 7" xfId="7595"/>
    <cellStyle name="쉼표 [0] 2 2 3 2 2 2 7 2" xfId="7596"/>
    <cellStyle name="쉼표 [0] 2 2 3 2 2 2 7 3" xfId="31947"/>
    <cellStyle name="쉼표 [0] 2 2 3 2 2 2 8" xfId="7597"/>
    <cellStyle name="쉼표 [0] 2 2 3 2 2 2 8 2" xfId="7598"/>
    <cellStyle name="쉼표 [0] 2 2 3 2 2 2 8 3" xfId="31946"/>
    <cellStyle name="쉼표 [0] 2 2 3 2 2 2 9" xfId="7599"/>
    <cellStyle name="쉼표 [0] 2 2 3 2 2 2 9 2" xfId="7600"/>
    <cellStyle name="쉼표 [0] 2 2 3 2 2 20" xfId="7601"/>
    <cellStyle name="쉼표 [0] 2 2 3 2 2 21" xfId="7602"/>
    <cellStyle name="쉼표 [0] 2 2 3 2 2 22" xfId="7603"/>
    <cellStyle name="쉼표 [0] 2 2 3 2 2 23" xfId="7604"/>
    <cellStyle name="쉼표 [0] 2 2 3 2 2 24" xfId="7605"/>
    <cellStyle name="쉼표 [0] 2 2 3 2 2 25" xfId="7606"/>
    <cellStyle name="쉼표 [0] 2 2 3 2 2 26" xfId="7607"/>
    <cellStyle name="쉼표 [0] 2 2 3 2 2 27" xfId="7608"/>
    <cellStyle name="쉼표 [0] 2 2 3 2 2 28" xfId="7609"/>
    <cellStyle name="쉼표 [0] 2 2 3 2 2 29" xfId="7610"/>
    <cellStyle name="쉼표 [0] 2 2 3 2 2 3" xfId="562"/>
    <cellStyle name="쉼표 [0] 2 2 3 2 2 3 2" xfId="563"/>
    <cellStyle name="쉼표 [0] 2 2 3 2 2 3 3" xfId="7611"/>
    <cellStyle name="쉼표 [0] 2 2 3 2 2 3 3 2" xfId="7612"/>
    <cellStyle name="쉼표 [0] 2 2 3 2 2 3 4" xfId="7613"/>
    <cellStyle name="쉼표 [0] 2 2 3 2 2 3 4 2" xfId="16541"/>
    <cellStyle name="쉼표 [0] 2 2 3 2 2 3 5" xfId="31945"/>
    <cellStyle name="쉼표 [0] 2 2 3 2 2 30" xfId="7614"/>
    <cellStyle name="쉼표 [0] 2 2 3 2 2 31" xfId="7615"/>
    <cellStyle name="쉼표 [0] 2 2 3 2 2 32" xfId="7616"/>
    <cellStyle name="쉼표 [0] 2 2 3 2 2 33" xfId="7617"/>
    <cellStyle name="쉼표 [0] 2 2 3 2 2 34" xfId="7618"/>
    <cellStyle name="쉼표 [0] 2 2 3 2 2 35" xfId="7619"/>
    <cellStyle name="쉼표 [0] 2 2 3 2 2 36" xfId="7620"/>
    <cellStyle name="쉼표 [0] 2 2 3 2 2 37" xfId="7621"/>
    <cellStyle name="쉼표 [0] 2 2 3 2 2 38" xfId="7622"/>
    <cellStyle name="쉼표 [0] 2 2 3 2 2 39" xfId="7623"/>
    <cellStyle name="쉼표 [0] 2 2 3 2 2 4" xfId="564"/>
    <cellStyle name="쉼표 [0] 2 2 3 2 2 4 2" xfId="565"/>
    <cellStyle name="쉼표 [0] 2 2 3 2 2 4 2 2" xfId="566"/>
    <cellStyle name="쉼표 [0] 2 2 3 2 2 4 3" xfId="567"/>
    <cellStyle name="쉼표 [0] 2 2 3 2 2 4 4" xfId="7624"/>
    <cellStyle name="쉼표 [0] 2 2 3 2 2 4 5" xfId="31595"/>
    <cellStyle name="쉼표 [0] 2 2 3 2 2 40" xfId="7625"/>
    <cellStyle name="쉼표 [0] 2 2 3 2 2 41" xfId="7626"/>
    <cellStyle name="쉼표 [0] 2 2 3 2 2 42" xfId="7627"/>
    <cellStyle name="쉼표 [0] 2 2 3 2 2 43" xfId="29644"/>
    <cellStyle name="쉼표 [0] 2 2 3 2 2 5" xfId="568"/>
    <cellStyle name="쉼표 [0] 2 2 3 2 2 5 2" xfId="569"/>
    <cellStyle name="쉼표 [0] 2 2 3 2 2 5 3" xfId="7628"/>
    <cellStyle name="쉼표 [0] 2 2 3 2 2 5 4" xfId="31594"/>
    <cellStyle name="쉼표 [0] 2 2 3 2 2 6" xfId="570"/>
    <cellStyle name="쉼표 [0] 2 2 3 2 2 6 2" xfId="7629"/>
    <cellStyle name="쉼표 [0] 2 2 3 2 2 6 3" xfId="31944"/>
    <cellStyle name="쉼표 [0] 2 2 3 2 2 7" xfId="7630"/>
    <cellStyle name="쉼표 [0] 2 2 3 2 2 7 2" xfId="31593"/>
    <cellStyle name="쉼표 [0] 2 2 3 2 2 8" xfId="7631"/>
    <cellStyle name="쉼표 [0] 2 2 3 2 2 8 2" xfId="31592"/>
    <cellStyle name="쉼표 [0] 2 2 3 2 2 9" xfId="7632"/>
    <cellStyle name="쉼표 [0] 2 2 3 2 20" xfId="7633"/>
    <cellStyle name="쉼표 [0] 2 2 3 2 20 2" xfId="7634"/>
    <cellStyle name="쉼표 [0] 2 2 3 2 21" xfId="7635"/>
    <cellStyle name="쉼표 [0] 2 2 3 2 21 2" xfId="7636"/>
    <cellStyle name="쉼표 [0] 2 2 3 2 22" xfId="7637"/>
    <cellStyle name="쉼표 [0] 2 2 3 2 22 2" xfId="7638"/>
    <cellStyle name="쉼표 [0] 2 2 3 2 23" xfId="7639"/>
    <cellStyle name="쉼표 [0] 2 2 3 2 23 2" xfId="7640"/>
    <cellStyle name="쉼표 [0] 2 2 3 2 24" xfId="7641"/>
    <cellStyle name="쉼표 [0] 2 2 3 2 24 2" xfId="7642"/>
    <cellStyle name="쉼표 [0] 2 2 3 2 25" xfId="7643"/>
    <cellStyle name="쉼표 [0] 2 2 3 2 25 2" xfId="7644"/>
    <cellStyle name="쉼표 [0] 2 2 3 2 26" xfId="7645"/>
    <cellStyle name="쉼표 [0] 2 2 3 2 26 2" xfId="7646"/>
    <cellStyle name="쉼표 [0] 2 2 3 2 27" xfId="7647"/>
    <cellStyle name="쉼표 [0] 2 2 3 2 27 2" xfId="7648"/>
    <cellStyle name="쉼표 [0] 2 2 3 2 28" xfId="7649"/>
    <cellStyle name="쉼표 [0] 2 2 3 2 28 2" xfId="7650"/>
    <cellStyle name="쉼표 [0] 2 2 3 2 29" xfId="7651"/>
    <cellStyle name="쉼표 [0] 2 2 3 2 29 2" xfId="7652"/>
    <cellStyle name="쉼표 [0] 2 2 3 2 3" xfId="571"/>
    <cellStyle name="쉼표 [0] 2 2 3 2 3 2" xfId="572"/>
    <cellStyle name="쉼표 [0] 2 2 3 2 3 2 2" xfId="573"/>
    <cellStyle name="쉼표 [0] 2 2 3 2 3 3" xfId="574"/>
    <cellStyle name="쉼표 [0] 2 2 3 2 3 3 2" xfId="575"/>
    <cellStyle name="쉼표 [0] 2 2 3 2 3 3 2 2" xfId="576"/>
    <cellStyle name="쉼표 [0] 2 2 3 2 3 3 3" xfId="577"/>
    <cellStyle name="쉼표 [0] 2 2 3 2 3 4" xfId="578"/>
    <cellStyle name="쉼표 [0] 2 2 3 2 3 4 2" xfId="579"/>
    <cellStyle name="쉼표 [0] 2 2 3 2 3 5" xfId="580"/>
    <cellStyle name="쉼표 [0] 2 2 3 2 3 6" xfId="7653"/>
    <cellStyle name="쉼표 [0] 2 2 3 2 3 6 2" xfId="7654"/>
    <cellStyle name="쉼표 [0] 2 2 3 2 3 7" xfId="7655"/>
    <cellStyle name="쉼표 [0] 2 2 3 2 3 7 2" xfId="16540"/>
    <cellStyle name="쉼표 [0] 2 2 3 2 3 8" xfId="29824"/>
    <cellStyle name="쉼표 [0] 2 2 3 2 30" xfId="7656"/>
    <cellStyle name="쉼표 [0] 2 2 3 2 30 2" xfId="7657"/>
    <cellStyle name="쉼표 [0] 2 2 3 2 31" xfId="7658"/>
    <cellStyle name="쉼표 [0] 2 2 3 2 31 2" xfId="7659"/>
    <cellStyle name="쉼표 [0] 2 2 3 2 32" xfId="7660"/>
    <cellStyle name="쉼표 [0] 2 2 3 2 32 2" xfId="7661"/>
    <cellStyle name="쉼표 [0] 2 2 3 2 33" xfId="7662"/>
    <cellStyle name="쉼표 [0] 2 2 3 2 33 2" xfId="7663"/>
    <cellStyle name="쉼표 [0] 2 2 3 2 34" xfId="7664"/>
    <cellStyle name="쉼표 [0] 2 2 3 2 34 2" xfId="7665"/>
    <cellStyle name="쉼표 [0] 2 2 3 2 35" xfId="7666"/>
    <cellStyle name="쉼표 [0] 2 2 3 2 35 2" xfId="7667"/>
    <cellStyle name="쉼표 [0] 2 2 3 2 36" xfId="7668"/>
    <cellStyle name="쉼표 [0] 2 2 3 2 36 2" xfId="7669"/>
    <cellStyle name="쉼표 [0] 2 2 3 2 37" xfId="7670"/>
    <cellStyle name="쉼표 [0] 2 2 3 2 37 2" xfId="7671"/>
    <cellStyle name="쉼표 [0] 2 2 3 2 38" xfId="7672"/>
    <cellStyle name="쉼표 [0] 2 2 3 2 38 2" xfId="7673"/>
    <cellStyle name="쉼표 [0] 2 2 3 2 39" xfId="7674"/>
    <cellStyle name="쉼표 [0] 2 2 3 2 39 2" xfId="7675"/>
    <cellStyle name="쉼표 [0] 2 2 3 2 4" xfId="581"/>
    <cellStyle name="쉼표 [0] 2 2 3 2 4 2" xfId="582"/>
    <cellStyle name="쉼표 [0] 2 2 3 2 4 3" xfId="7676"/>
    <cellStyle name="쉼표 [0] 2 2 3 2 40" xfId="7677"/>
    <cellStyle name="쉼표 [0] 2 2 3 2 40 2" xfId="7678"/>
    <cellStyle name="쉼표 [0] 2 2 3 2 41" xfId="7679"/>
    <cellStyle name="쉼표 [0] 2 2 3 2 41 2" xfId="7680"/>
    <cellStyle name="쉼표 [0] 2 2 3 2 42" xfId="7681"/>
    <cellStyle name="쉼표 [0] 2 2 3 2 42 2" xfId="7682"/>
    <cellStyle name="쉼표 [0] 2 2 3 2 43" xfId="7683"/>
    <cellStyle name="쉼표 [0] 2 2 3 2 43 2" xfId="7684"/>
    <cellStyle name="쉼표 [0] 2 2 3 2 44" xfId="7685"/>
    <cellStyle name="쉼표 [0] 2 2 3 2 44 2" xfId="16539"/>
    <cellStyle name="쉼표 [0] 2 2 3 2 45" xfId="29629"/>
    <cellStyle name="쉼표 [0] 2 2 3 2 46" xfId="30979"/>
    <cellStyle name="쉼표 [0] 2 2 3 2 46 2" xfId="32331"/>
    <cellStyle name="쉼표 [0] 2 2 3 2 47" xfId="31950"/>
    <cellStyle name="쉼표 [0] 2 2 3 2 5" xfId="583"/>
    <cellStyle name="쉼표 [0] 2 2 3 2 5 2" xfId="584"/>
    <cellStyle name="쉼표 [0] 2 2 3 2 5 2 2" xfId="585"/>
    <cellStyle name="쉼표 [0] 2 2 3 2 5 3" xfId="586"/>
    <cellStyle name="쉼표 [0] 2 2 3 2 5 4" xfId="7686"/>
    <cellStyle name="쉼표 [0] 2 2 3 2 5 4 2" xfId="7687"/>
    <cellStyle name="쉼표 [0] 2 2 3 2 6" xfId="587"/>
    <cellStyle name="쉼표 [0] 2 2 3 2 6 2" xfId="588"/>
    <cellStyle name="쉼표 [0] 2 2 3 2 6 3" xfId="7688"/>
    <cellStyle name="쉼표 [0] 2 2 3 2 6 3 2" xfId="7689"/>
    <cellStyle name="쉼표 [0] 2 2 3 2 7" xfId="589"/>
    <cellStyle name="쉼표 [0] 2 2 3 2 7 2" xfId="7690"/>
    <cellStyle name="쉼표 [0] 2 2 3 2 7 2 2" xfId="7691"/>
    <cellStyle name="쉼표 [0] 2 2 3 2 8" xfId="7692"/>
    <cellStyle name="쉼표 [0] 2 2 3 2 8 2" xfId="7693"/>
    <cellStyle name="쉼표 [0] 2 2 3 2 8 3" xfId="31591"/>
    <cellStyle name="쉼표 [0] 2 2 3 2 9" xfId="7694"/>
    <cellStyle name="쉼표 [0] 2 2 3 2 9 2" xfId="7695"/>
    <cellStyle name="쉼표 [0] 2 2 3 2 9 3" xfId="31590"/>
    <cellStyle name="쉼표 [0] 2 2 3 20" xfId="7696"/>
    <cellStyle name="쉼표 [0] 2 2 3 20 2" xfId="31589"/>
    <cellStyle name="쉼표 [0] 2 2 3 21" xfId="7697"/>
    <cellStyle name="쉼표 [0] 2 2 3 21 2" xfId="31588"/>
    <cellStyle name="쉼표 [0] 2 2 3 22" xfId="7698"/>
    <cellStyle name="쉼표 [0] 2 2 3 22 2" xfId="31587"/>
    <cellStyle name="쉼표 [0] 2 2 3 23" xfId="7699"/>
    <cellStyle name="쉼표 [0] 2 2 3 23 2" xfId="31586"/>
    <cellStyle name="쉼표 [0] 2 2 3 24" xfId="7700"/>
    <cellStyle name="쉼표 [0] 2 2 3 24 2" xfId="31943"/>
    <cellStyle name="쉼표 [0] 2 2 3 25" xfId="7701"/>
    <cellStyle name="쉼표 [0] 2 2 3 26" xfId="7702"/>
    <cellStyle name="쉼표 [0] 2 2 3 27" xfId="7703"/>
    <cellStyle name="쉼표 [0] 2 2 3 28" xfId="7704"/>
    <cellStyle name="쉼표 [0] 2 2 3 29" xfId="7705"/>
    <cellStyle name="쉼표 [0] 2 2 3 3" xfId="590"/>
    <cellStyle name="쉼표 [0] 2 2 3 3 2" xfId="591"/>
    <cellStyle name="쉼표 [0] 2 2 3 3 3" xfId="7706"/>
    <cellStyle name="쉼표 [0] 2 2 3 3 3 2" xfId="7707"/>
    <cellStyle name="쉼표 [0] 2 2 3 3 3 3" xfId="31584"/>
    <cellStyle name="쉼표 [0] 2 2 3 3 4" xfId="7708"/>
    <cellStyle name="쉼표 [0] 2 2 3 3 4 2" xfId="16538"/>
    <cellStyle name="쉼표 [0] 2 2 3 3 4 3" xfId="31583"/>
    <cellStyle name="쉼표 [0] 2 2 3 3 5" xfId="29736"/>
    <cellStyle name="쉼표 [0] 2 2 3 3 5 2" xfId="31582"/>
    <cellStyle name="쉼표 [0] 2 2 3 3 6" xfId="31581"/>
    <cellStyle name="쉼표 [0] 2 2 3 3 7" xfId="31580"/>
    <cellStyle name="쉼표 [0] 2 2 3 3 8" xfId="31579"/>
    <cellStyle name="쉼표 [0] 2 2 3 3 9" xfId="31585"/>
    <cellStyle name="쉼표 [0] 2 2 3 30" xfId="7709"/>
    <cellStyle name="쉼표 [0] 2 2 3 31" xfId="7710"/>
    <cellStyle name="쉼표 [0] 2 2 3 32" xfId="7711"/>
    <cellStyle name="쉼표 [0] 2 2 3 33" xfId="7712"/>
    <cellStyle name="쉼표 [0] 2 2 3 34" xfId="7713"/>
    <cellStyle name="쉼표 [0] 2 2 3 35" xfId="7714"/>
    <cellStyle name="쉼표 [0] 2 2 3 36" xfId="7715"/>
    <cellStyle name="쉼표 [0] 2 2 3 37" xfId="7716"/>
    <cellStyle name="쉼표 [0] 2 2 3 38" xfId="7717"/>
    <cellStyle name="쉼표 [0] 2 2 3 39" xfId="7718"/>
    <cellStyle name="쉼표 [0] 2 2 3 4" xfId="592"/>
    <cellStyle name="쉼표 [0] 2 2 3 4 10" xfId="31578"/>
    <cellStyle name="쉼표 [0] 2 2 3 4 2" xfId="593"/>
    <cellStyle name="쉼표 [0] 2 2 3 4 2 2" xfId="594"/>
    <cellStyle name="쉼표 [0] 2 2 3 4 2 2 2" xfId="595"/>
    <cellStyle name="쉼표 [0] 2 2 3 4 2 3" xfId="596"/>
    <cellStyle name="쉼표 [0] 2 2 3 4 2 3 2" xfId="597"/>
    <cellStyle name="쉼표 [0] 2 2 3 4 2 3 2 2" xfId="598"/>
    <cellStyle name="쉼표 [0] 2 2 3 4 2 3 3" xfId="599"/>
    <cellStyle name="쉼표 [0] 2 2 3 4 2 4" xfId="600"/>
    <cellStyle name="쉼표 [0] 2 2 3 4 2 4 2" xfId="601"/>
    <cellStyle name="쉼표 [0] 2 2 3 4 2 5" xfId="602"/>
    <cellStyle name="쉼표 [0] 2 2 3 4 2 6" xfId="7719"/>
    <cellStyle name="쉼표 [0] 2 2 3 4 2 7" xfId="29467"/>
    <cellStyle name="쉼표 [0] 2 2 3 4 3" xfId="603"/>
    <cellStyle name="쉼표 [0] 2 2 3 4 3 2" xfId="604"/>
    <cellStyle name="쉼표 [0] 2 2 3 4 3 3" xfId="7720"/>
    <cellStyle name="쉼표 [0] 2 2 3 4 4" xfId="605"/>
    <cellStyle name="쉼표 [0] 2 2 3 4 4 2" xfId="606"/>
    <cellStyle name="쉼표 [0] 2 2 3 4 4 2 2" xfId="607"/>
    <cellStyle name="쉼표 [0] 2 2 3 4 4 3" xfId="608"/>
    <cellStyle name="쉼표 [0] 2 2 3 4 5" xfId="609"/>
    <cellStyle name="쉼표 [0] 2 2 3 4 5 2" xfId="610"/>
    <cellStyle name="쉼표 [0] 2 2 3 4 6" xfId="611"/>
    <cellStyle name="쉼표 [0] 2 2 3 4 7" xfId="7721"/>
    <cellStyle name="쉼표 [0] 2 2 3 4 7 2" xfId="7722"/>
    <cellStyle name="쉼표 [0] 2 2 3 4 8" xfId="7723"/>
    <cellStyle name="쉼표 [0] 2 2 3 4 8 2" xfId="16537"/>
    <cellStyle name="쉼표 [0] 2 2 3 4 9" xfId="29466"/>
    <cellStyle name="쉼표 [0] 2 2 3 40" xfId="7724"/>
    <cellStyle name="쉼표 [0] 2 2 3 41" xfId="7725"/>
    <cellStyle name="쉼표 [0] 2 2 3 42" xfId="7726"/>
    <cellStyle name="쉼표 [0] 2 2 3 43" xfId="7727"/>
    <cellStyle name="쉼표 [0] 2 2 3 44" xfId="7728"/>
    <cellStyle name="쉼표 [0] 2 2 3 45" xfId="7729"/>
    <cellStyle name="쉼표 [0] 2 2 3 46" xfId="7730"/>
    <cellStyle name="쉼표 [0] 2 2 3 47" xfId="7731"/>
    <cellStyle name="쉼표 [0] 2 2 3 48" xfId="7732"/>
    <cellStyle name="쉼표 [0] 2 2 3 49" xfId="7733"/>
    <cellStyle name="쉼표 [0] 2 2 3 5" xfId="612"/>
    <cellStyle name="쉼표 [0] 2 2 3 5 2" xfId="613"/>
    <cellStyle name="쉼표 [0] 2 2 3 5 2 2" xfId="614"/>
    <cellStyle name="쉼표 [0] 2 2 3 5 3" xfId="615"/>
    <cellStyle name="쉼표 [0] 2 2 3 5 3 2" xfId="616"/>
    <cellStyle name="쉼표 [0] 2 2 3 5 3 2 2" xfId="617"/>
    <cellStyle name="쉼표 [0] 2 2 3 5 3 3" xfId="618"/>
    <cellStyle name="쉼표 [0] 2 2 3 5 4" xfId="619"/>
    <cellStyle name="쉼표 [0] 2 2 3 5 4 2" xfId="620"/>
    <cellStyle name="쉼표 [0] 2 2 3 5 5" xfId="621"/>
    <cellStyle name="쉼표 [0] 2 2 3 5 6" xfId="7734"/>
    <cellStyle name="쉼표 [0] 2 2 3 5 6 2" xfId="7735"/>
    <cellStyle name="쉼표 [0] 2 2 3 5 7" xfId="7736"/>
    <cellStyle name="쉼표 [0] 2 2 3 5 7 2" xfId="16536"/>
    <cellStyle name="쉼표 [0] 2 2 3 5 8" xfId="29456"/>
    <cellStyle name="쉼표 [0] 2 2 3 5 9" xfId="31942"/>
    <cellStyle name="쉼표 [0] 2 2 3 50" xfId="7737"/>
    <cellStyle name="쉼표 [0] 2 2 3 51" xfId="7738"/>
    <cellStyle name="쉼표 [0] 2 2 3 52" xfId="7739"/>
    <cellStyle name="쉼표 [0] 2 2 3 53" xfId="7740"/>
    <cellStyle name="쉼표 [0] 2 2 3 54" xfId="7741"/>
    <cellStyle name="쉼표 [0] 2 2 3 55" xfId="7742"/>
    <cellStyle name="쉼표 [0] 2 2 3 56" xfId="7743"/>
    <cellStyle name="쉼표 [0] 2 2 3 57" xfId="7744"/>
    <cellStyle name="쉼표 [0] 2 2 3 58" xfId="7745"/>
    <cellStyle name="쉼표 [0] 2 2 3 59" xfId="7746"/>
    <cellStyle name="쉼표 [0] 2 2 3 6" xfId="622"/>
    <cellStyle name="쉼표 [0] 2 2 3 6 2" xfId="623"/>
    <cellStyle name="쉼표 [0] 2 2 3 6 2 2" xfId="624"/>
    <cellStyle name="쉼표 [0] 2 2 3 6 3" xfId="625"/>
    <cellStyle name="쉼표 [0] 2 2 3 6 4" xfId="7747"/>
    <cellStyle name="쉼표 [0] 2 2 3 6 5" xfId="30242"/>
    <cellStyle name="쉼표 [0] 2 2 3 6 6" xfId="31577"/>
    <cellStyle name="쉼표 [0] 2 2 3 60" xfId="7748"/>
    <cellStyle name="쉼표 [0] 2 2 3 61" xfId="7749"/>
    <cellStyle name="쉼표 [0] 2 2 3 62" xfId="7750"/>
    <cellStyle name="쉼표 [0] 2 2 3 63" xfId="7751"/>
    <cellStyle name="쉼표 [0] 2 2 3 64" xfId="31023"/>
    <cellStyle name="쉼표 [0] 2 2 3 64 2" xfId="32373"/>
    <cellStyle name="쉼표 [0] 2 2 3 7" xfId="626"/>
    <cellStyle name="쉼표 [0] 2 2 3 7 2" xfId="627"/>
    <cellStyle name="쉼표 [0] 2 2 3 7 3" xfId="7752"/>
    <cellStyle name="쉼표 [0] 2 2 3 7 4" xfId="30022"/>
    <cellStyle name="쉼표 [0] 2 2 3 8" xfId="628"/>
    <cellStyle name="쉼표 [0] 2 2 3 8 2" xfId="7753"/>
    <cellStyle name="쉼표 [0] 2 2 3 8 3" xfId="31576"/>
    <cellStyle name="쉼표 [0] 2 2 3 9" xfId="7754"/>
    <cellStyle name="쉼표 [0] 2 2 3 9 2" xfId="31575"/>
    <cellStyle name="쉼표 [0] 2 2 30" xfId="7755"/>
    <cellStyle name="쉼표 [0] 2 2 30 2" xfId="7756"/>
    <cellStyle name="쉼표 [0] 2 2 30 3" xfId="31574"/>
    <cellStyle name="쉼표 [0] 2 2 31" xfId="7757"/>
    <cellStyle name="쉼표 [0] 2 2 31 2" xfId="7758"/>
    <cellStyle name="쉼표 [0] 2 2 32" xfId="7759"/>
    <cellStyle name="쉼표 [0] 2 2 32 2" xfId="7760"/>
    <cellStyle name="쉼표 [0] 2 2 33" xfId="7761"/>
    <cellStyle name="쉼표 [0] 2 2 33 2" xfId="7762"/>
    <cellStyle name="쉼표 [0] 2 2 34" xfId="7763"/>
    <cellStyle name="쉼표 [0] 2 2 34 2" xfId="7764"/>
    <cellStyle name="쉼표 [0] 2 2 35" xfId="7765"/>
    <cellStyle name="쉼표 [0] 2 2 35 2" xfId="7766"/>
    <cellStyle name="쉼표 [0] 2 2 36" xfId="7767"/>
    <cellStyle name="쉼표 [0] 2 2 36 2" xfId="7768"/>
    <cellStyle name="쉼표 [0] 2 2 37" xfId="7769"/>
    <cellStyle name="쉼표 [0] 2 2 37 2" xfId="7770"/>
    <cellStyle name="쉼표 [0] 2 2 38" xfId="7771"/>
    <cellStyle name="쉼표 [0] 2 2 38 2" xfId="7772"/>
    <cellStyle name="쉼표 [0] 2 2 39" xfId="7773"/>
    <cellStyle name="쉼표 [0] 2 2 39 2" xfId="7774"/>
    <cellStyle name="쉼표 [0] 2 2 4" xfId="629"/>
    <cellStyle name="쉼표 [0] 2 2 4 10" xfId="7775"/>
    <cellStyle name="쉼표 [0] 2 2 4 11" xfId="7776"/>
    <cellStyle name="쉼표 [0] 2 2 4 12" xfId="7777"/>
    <cellStyle name="쉼표 [0] 2 2 4 13" xfId="7778"/>
    <cellStyle name="쉼표 [0] 2 2 4 14" xfId="7779"/>
    <cellStyle name="쉼표 [0] 2 2 4 15" xfId="7780"/>
    <cellStyle name="쉼표 [0] 2 2 4 16" xfId="7781"/>
    <cellStyle name="쉼표 [0] 2 2 4 17" xfId="7782"/>
    <cellStyle name="쉼표 [0] 2 2 4 17 2" xfId="31573"/>
    <cellStyle name="쉼표 [0] 2 2 4 18" xfId="7783"/>
    <cellStyle name="쉼표 [0] 2 2 4 19" xfId="7784"/>
    <cellStyle name="쉼표 [0] 2 2 4 2" xfId="630"/>
    <cellStyle name="쉼표 [0] 2 2 4 2 10" xfId="7785"/>
    <cellStyle name="쉼표 [0] 2 2 4 2 11" xfId="7786"/>
    <cellStyle name="쉼표 [0] 2 2 4 2 12" xfId="7787"/>
    <cellStyle name="쉼표 [0] 2 2 4 2 13" xfId="7788"/>
    <cellStyle name="쉼표 [0] 2 2 4 2 13 2" xfId="16535"/>
    <cellStyle name="쉼표 [0] 2 2 4 2 14" xfId="30681"/>
    <cellStyle name="쉼표 [0] 2 2 4 2 15" xfId="31572"/>
    <cellStyle name="쉼표 [0] 2 2 4 2 2" xfId="631"/>
    <cellStyle name="쉼표 [0] 2 2 4 2 2 10" xfId="7789"/>
    <cellStyle name="쉼표 [0] 2 2 4 2 2 10 2" xfId="7790"/>
    <cellStyle name="쉼표 [0] 2 2 4 2 2 11" xfId="7791"/>
    <cellStyle name="쉼표 [0] 2 2 4 2 2 11 2" xfId="7792"/>
    <cellStyle name="쉼표 [0] 2 2 4 2 2 12" xfId="29614"/>
    <cellStyle name="쉼표 [0] 2 2 4 2 2 2" xfId="632"/>
    <cellStyle name="쉼표 [0] 2 2 4 2 2 2 10" xfId="7793"/>
    <cellStyle name="쉼표 [0] 2 2 4 2 2 2 11" xfId="7794"/>
    <cellStyle name="쉼표 [0] 2 2 4 2 2 2 11 2" xfId="7795"/>
    <cellStyle name="쉼표 [0] 2 2 4 2 2 2 2" xfId="633"/>
    <cellStyle name="쉼표 [0] 2 2 4 2 2 2 2 2" xfId="7796"/>
    <cellStyle name="쉼표 [0] 2 2 4 2 2 2 3" xfId="7797"/>
    <cellStyle name="쉼표 [0] 2 2 4 2 2 2 4" xfId="7798"/>
    <cellStyle name="쉼표 [0] 2 2 4 2 2 2 5" xfId="7799"/>
    <cellStyle name="쉼표 [0] 2 2 4 2 2 2 6" xfId="7800"/>
    <cellStyle name="쉼표 [0] 2 2 4 2 2 2 7" xfId="7801"/>
    <cellStyle name="쉼표 [0] 2 2 4 2 2 2 8" xfId="7802"/>
    <cellStyle name="쉼표 [0] 2 2 4 2 2 2 9" xfId="7803"/>
    <cellStyle name="쉼표 [0] 2 2 4 2 2 3" xfId="634"/>
    <cellStyle name="쉼표 [0] 2 2 4 2 2 3 2" xfId="635"/>
    <cellStyle name="쉼표 [0] 2 2 4 2 2 3 2 2" xfId="636"/>
    <cellStyle name="쉼표 [0] 2 2 4 2 2 3 3" xfId="637"/>
    <cellStyle name="쉼표 [0] 2 2 4 2 2 3 4" xfId="7804"/>
    <cellStyle name="쉼표 [0] 2 2 4 2 2 4" xfId="638"/>
    <cellStyle name="쉼표 [0] 2 2 4 2 2 4 2" xfId="639"/>
    <cellStyle name="쉼표 [0] 2 2 4 2 2 4 2 2" xfId="7805"/>
    <cellStyle name="쉼표 [0] 2 2 4 2 2 4 3" xfId="7806"/>
    <cellStyle name="쉼표 [0] 2 2 4 2 2 4 4" xfId="7807"/>
    <cellStyle name="쉼표 [0] 2 2 4 2 2 4 5" xfId="7808"/>
    <cellStyle name="쉼표 [0] 2 2 4 2 2 4 5 2" xfId="7809"/>
    <cellStyle name="쉼표 [0] 2 2 4 2 2 5" xfId="640"/>
    <cellStyle name="쉼표 [0] 2 2 4 2 2 5 2" xfId="7810"/>
    <cellStyle name="쉼표 [0] 2 2 4 2 2 5 2 2" xfId="7811"/>
    <cellStyle name="쉼표 [0] 2 2 4 2 2 6" xfId="7812"/>
    <cellStyle name="쉼표 [0] 2 2 4 2 2 6 2" xfId="7813"/>
    <cellStyle name="쉼표 [0] 2 2 4 2 2 6 2 2" xfId="7814"/>
    <cellStyle name="쉼표 [0] 2 2 4 2 2 7" xfId="7815"/>
    <cellStyle name="쉼표 [0] 2 2 4 2 2 7 2" xfId="7816"/>
    <cellStyle name="쉼표 [0] 2 2 4 2 2 8" xfId="7817"/>
    <cellStyle name="쉼표 [0] 2 2 4 2 2 8 2" xfId="7818"/>
    <cellStyle name="쉼표 [0] 2 2 4 2 2 9" xfId="7819"/>
    <cellStyle name="쉼표 [0] 2 2 4 2 2 9 2" xfId="7820"/>
    <cellStyle name="쉼표 [0] 2 2 4 2 3" xfId="641"/>
    <cellStyle name="쉼표 [0] 2 2 4 2 3 2" xfId="642"/>
    <cellStyle name="쉼표 [0] 2 2 4 2 3 3" xfId="7821"/>
    <cellStyle name="쉼표 [0] 2 2 4 2 4" xfId="643"/>
    <cellStyle name="쉼표 [0] 2 2 4 2 4 10" xfId="7822"/>
    <cellStyle name="쉼표 [0] 2 2 4 2 4 10 2" xfId="7823"/>
    <cellStyle name="쉼표 [0] 2 2 4 2 4 11" xfId="7824"/>
    <cellStyle name="쉼표 [0] 2 2 4 2 4 2" xfId="644"/>
    <cellStyle name="쉼표 [0] 2 2 4 2 4 2 2" xfId="645"/>
    <cellStyle name="쉼표 [0] 2 2 4 2 4 2 3" xfId="7825"/>
    <cellStyle name="쉼표 [0] 2 2 4 2 4 2 3 2" xfId="7826"/>
    <cellStyle name="쉼표 [0] 2 2 4 2 4 3" xfId="646"/>
    <cellStyle name="쉼표 [0] 2 2 4 2 4 3 2" xfId="7827"/>
    <cellStyle name="쉼표 [0] 2 2 4 2 4 3 2 2" xfId="7828"/>
    <cellStyle name="쉼표 [0] 2 2 4 2 4 4" xfId="7829"/>
    <cellStyle name="쉼표 [0] 2 2 4 2 4 4 2" xfId="7830"/>
    <cellStyle name="쉼표 [0] 2 2 4 2 4 5" xfId="7831"/>
    <cellStyle name="쉼표 [0] 2 2 4 2 4 5 2" xfId="7832"/>
    <cellStyle name="쉼표 [0] 2 2 4 2 4 6" xfId="7833"/>
    <cellStyle name="쉼표 [0] 2 2 4 2 4 6 2" xfId="7834"/>
    <cellStyle name="쉼표 [0] 2 2 4 2 4 7" xfId="7835"/>
    <cellStyle name="쉼표 [0] 2 2 4 2 4 7 2" xfId="7836"/>
    <cellStyle name="쉼표 [0] 2 2 4 2 4 8" xfId="7837"/>
    <cellStyle name="쉼표 [0] 2 2 4 2 4 8 2" xfId="7838"/>
    <cellStyle name="쉼표 [0] 2 2 4 2 4 9" xfId="7839"/>
    <cellStyle name="쉼표 [0] 2 2 4 2 4 9 2" xfId="7840"/>
    <cellStyle name="쉼표 [0] 2 2 4 2 5" xfId="647"/>
    <cellStyle name="쉼표 [0] 2 2 4 2 5 2" xfId="648"/>
    <cellStyle name="쉼표 [0] 2 2 4 2 5 2 2" xfId="7841"/>
    <cellStyle name="쉼표 [0] 2 2 4 2 5 2 2 2" xfId="7842"/>
    <cellStyle name="쉼표 [0] 2 2 4 2 5 3" xfId="7843"/>
    <cellStyle name="쉼표 [0] 2 2 4 2 5 3 2" xfId="7844"/>
    <cellStyle name="쉼표 [0] 2 2 4 2 5 4" xfId="7845"/>
    <cellStyle name="쉼표 [0] 2 2 4 2 5 4 2" xfId="7846"/>
    <cellStyle name="쉼표 [0] 2 2 4 2 5 5" xfId="7847"/>
    <cellStyle name="쉼표 [0] 2 2 4 2 6" xfId="649"/>
    <cellStyle name="쉼표 [0] 2 2 4 2 6 2" xfId="7848"/>
    <cellStyle name="쉼표 [0] 2 2 4 2 7" xfId="7849"/>
    <cellStyle name="쉼표 [0] 2 2 4 2 7 2" xfId="7850"/>
    <cellStyle name="쉼표 [0] 2 2 4 2 7 3" xfId="7851"/>
    <cellStyle name="쉼표 [0] 2 2 4 2 8" xfId="7852"/>
    <cellStyle name="쉼표 [0] 2 2 4 2 9" xfId="7853"/>
    <cellStyle name="쉼표 [0] 2 2 4 20" xfId="7854"/>
    <cellStyle name="쉼표 [0] 2 2 4 21" xfId="7855"/>
    <cellStyle name="쉼표 [0] 2 2 4 22" xfId="7856"/>
    <cellStyle name="쉼표 [0] 2 2 4 23" xfId="30314"/>
    <cellStyle name="쉼표 [0] 2 2 4 24" xfId="30990"/>
    <cellStyle name="쉼표 [0] 2 2 4 24 2" xfId="32341"/>
    <cellStyle name="쉼표 [0] 2 2 4 3" xfId="650"/>
    <cellStyle name="쉼표 [0] 2 2 4 3 2" xfId="651"/>
    <cellStyle name="쉼표 [0] 2 2 4 3 2 2" xfId="652"/>
    <cellStyle name="쉼표 [0] 2 2 4 3 3" xfId="653"/>
    <cellStyle name="쉼표 [0] 2 2 4 3 3 2" xfId="654"/>
    <cellStyle name="쉼표 [0] 2 2 4 3 3 2 2" xfId="655"/>
    <cellStyle name="쉼표 [0] 2 2 4 3 3 3" xfId="656"/>
    <cellStyle name="쉼표 [0] 2 2 4 3 4" xfId="657"/>
    <cellStyle name="쉼표 [0] 2 2 4 3 4 2" xfId="658"/>
    <cellStyle name="쉼표 [0] 2 2 4 3 5" xfId="659"/>
    <cellStyle name="쉼표 [0] 2 2 4 3 6" xfId="7857"/>
    <cellStyle name="쉼표 [0] 2 2 4 3 7" xfId="29503"/>
    <cellStyle name="쉼표 [0] 2 2 4 3 8" xfId="31571"/>
    <cellStyle name="쉼표 [0] 2 2 4 4" xfId="660"/>
    <cellStyle name="쉼표 [0] 2 2 4 4 2" xfId="661"/>
    <cellStyle name="쉼표 [0] 2 2 4 4 3" xfId="7858"/>
    <cellStyle name="쉼표 [0] 2 2 4 4 3 2" xfId="7859"/>
    <cellStyle name="쉼표 [0] 2 2 4 4 4" xfId="7860"/>
    <cellStyle name="쉼표 [0] 2 2 4 4 4 2" xfId="16534"/>
    <cellStyle name="쉼표 [0] 2 2 4 4 5" xfId="31570"/>
    <cellStyle name="쉼표 [0] 2 2 4 5" xfId="662"/>
    <cellStyle name="쉼표 [0] 2 2 4 5 10" xfId="7861"/>
    <cellStyle name="쉼표 [0] 2 2 4 5 11" xfId="7862"/>
    <cellStyle name="쉼표 [0] 2 2 4 5 2" xfId="663"/>
    <cellStyle name="쉼표 [0] 2 2 4 5 2 2" xfId="664"/>
    <cellStyle name="쉼표 [0] 2 2 4 5 2 3" xfId="7863"/>
    <cellStyle name="쉼표 [0] 2 2 4 5 3" xfId="665"/>
    <cellStyle name="쉼표 [0] 2 2 4 5 3 2" xfId="7864"/>
    <cellStyle name="쉼표 [0] 2 2 4 5 4" xfId="7865"/>
    <cellStyle name="쉼표 [0] 2 2 4 5 5" xfId="7866"/>
    <cellStyle name="쉼표 [0] 2 2 4 5 6" xfId="7867"/>
    <cellStyle name="쉼표 [0] 2 2 4 5 7" xfId="7868"/>
    <cellStyle name="쉼표 [0] 2 2 4 5 8" xfId="7869"/>
    <cellStyle name="쉼표 [0] 2 2 4 5 9" xfId="7870"/>
    <cellStyle name="쉼표 [0] 2 2 4 6" xfId="666"/>
    <cellStyle name="쉼표 [0] 2 2 4 6 2" xfId="667"/>
    <cellStyle name="쉼표 [0] 2 2 4 6 2 2" xfId="7871"/>
    <cellStyle name="쉼표 [0] 2 2 4 6 3" xfId="7872"/>
    <cellStyle name="쉼표 [0] 2 2 4 6 4" xfId="7873"/>
    <cellStyle name="쉼표 [0] 2 2 4 6 5" xfId="7874"/>
    <cellStyle name="쉼표 [0] 2 2 4 7" xfId="668"/>
    <cellStyle name="쉼표 [0] 2 2 4 7 2" xfId="7875"/>
    <cellStyle name="쉼표 [0] 2 2 4 8" xfId="7876"/>
    <cellStyle name="쉼표 [0] 2 2 4 8 2" xfId="7877"/>
    <cellStyle name="쉼표 [0] 2 2 4 9" xfId="7878"/>
    <cellStyle name="쉼표 [0] 2 2 40" xfId="7879"/>
    <cellStyle name="쉼표 [0] 2 2 40 2" xfId="7880"/>
    <cellStyle name="쉼표 [0] 2 2 41" xfId="7881"/>
    <cellStyle name="쉼표 [0] 2 2 41 2" xfId="7882"/>
    <cellStyle name="쉼표 [0] 2 2 42" xfId="7883"/>
    <cellStyle name="쉼표 [0] 2 2 42 2" xfId="7884"/>
    <cellStyle name="쉼표 [0] 2 2 43" xfId="7885"/>
    <cellStyle name="쉼표 [0] 2 2 43 2" xfId="7886"/>
    <cellStyle name="쉼표 [0] 2 2 44" xfId="7887"/>
    <cellStyle name="쉼표 [0] 2 2 44 2" xfId="7888"/>
    <cellStyle name="쉼표 [0] 2 2 45" xfId="7889"/>
    <cellStyle name="쉼표 [0] 2 2 45 2" xfId="7890"/>
    <cellStyle name="쉼표 [0] 2 2 46" xfId="7891"/>
    <cellStyle name="쉼표 [0] 2 2 46 2" xfId="7892"/>
    <cellStyle name="쉼표 [0] 2 2 47" xfId="7893"/>
    <cellStyle name="쉼표 [0] 2 2 47 2" xfId="7894"/>
    <cellStyle name="쉼표 [0] 2 2 48" xfId="7895"/>
    <cellStyle name="쉼표 [0] 2 2 48 2" xfId="7896"/>
    <cellStyle name="쉼표 [0] 2 2 49" xfId="7897"/>
    <cellStyle name="쉼표 [0] 2 2 49 2" xfId="7898"/>
    <cellStyle name="쉼표 [0] 2 2 5" xfId="669"/>
    <cellStyle name="쉼표 [0] 2 2 5 10" xfId="7899"/>
    <cellStyle name="쉼표 [0] 2 2 5 11" xfId="7900"/>
    <cellStyle name="쉼표 [0] 2 2 5 12" xfId="7901"/>
    <cellStyle name="쉼표 [0] 2 2 5 13" xfId="7902"/>
    <cellStyle name="쉼표 [0] 2 2 5 14" xfId="7903"/>
    <cellStyle name="쉼표 [0] 2 2 5 15" xfId="7904"/>
    <cellStyle name="쉼표 [0] 2 2 5 16" xfId="7905"/>
    <cellStyle name="쉼표 [0] 2 2 5 17" xfId="7906"/>
    <cellStyle name="쉼표 [0] 2 2 5 17 2" xfId="31569"/>
    <cellStyle name="쉼표 [0] 2 2 5 18" xfId="7907"/>
    <cellStyle name="쉼표 [0] 2 2 5 19" xfId="7908"/>
    <cellStyle name="쉼표 [0] 2 2 5 2" xfId="670"/>
    <cellStyle name="쉼표 [0] 2 2 5 2 10" xfId="7909"/>
    <cellStyle name="쉼표 [0] 2 2 5 2 11" xfId="7910"/>
    <cellStyle name="쉼표 [0] 2 2 5 2 12" xfId="7911"/>
    <cellStyle name="쉼표 [0] 2 2 5 2 12 2" xfId="16533"/>
    <cellStyle name="쉼표 [0] 2 2 5 2 13" xfId="29696"/>
    <cellStyle name="쉼표 [0] 2 2 5 2 14" xfId="31568"/>
    <cellStyle name="쉼표 [0] 2 2 5 2 2" xfId="671"/>
    <cellStyle name="쉼표 [0] 2 2 5 2 2 10" xfId="7912"/>
    <cellStyle name="쉼표 [0] 2 2 5 2 2 10 2" xfId="7913"/>
    <cellStyle name="쉼표 [0] 2 2 5 2 2 11" xfId="7914"/>
    <cellStyle name="쉼표 [0] 2 2 5 2 2 12" xfId="29813"/>
    <cellStyle name="쉼표 [0] 2 2 5 2 2 2" xfId="672"/>
    <cellStyle name="쉼표 [0] 2 2 5 2 2 2 2" xfId="673"/>
    <cellStyle name="쉼표 [0] 2 2 5 2 2 2 3" xfId="7915"/>
    <cellStyle name="쉼표 [0] 2 2 5 2 2 2 3 2" xfId="7916"/>
    <cellStyle name="쉼표 [0] 2 2 5 2 2 3" xfId="674"/>
    <cellStyle name="쉼표 [0] 2 2 5 2 2 3 2" xfId="675"/>
    <cellStyle name="쉼표 [0] 2 2 5 2 2 3 2 2" xfId="676"/>
    <cellStyle name="쉼표 [0] 2 2 5 2 2 3 3" xfId="677"/>
    <cellStyle name="쉼표 [0] 2 2 5 2 2 3 4" xfId="7917"/>
    <cellStyle name="쉼표 [0] 2 2 5 2 2 3 4 2" xfId="7918"/>
    <cellStyle name="쉼표 [0] 2 2 5 2 2 4" xfId="678"/>
    <cellStyle name="쉼표 [0] 2 2 5 2 2 4 2" xfId="679"/>
    <cellStyle name="쉼표 [0] 2 2 5 2 2 4 3" xfId="7919"/>
    <cellStyle name="쉼표 [0] 2 2 5 2 2 4 3 2" xfId="7920"/>
    <cellStyle name="쉼표 [0] 2 2 5 2 2 5" xfId="680"/>
    <cellStyle name="쉼표 [0] 2 2 5 2 2 5 2" xfId="7921"/>
    <cellStyle name="쉼표 [0] 2 2 5 2 2 5 2 2" xfId="7922"/>
    <cellStyle name="쉼표 [0] 2 2 5 2 2 6" xfId="7923"/>
    <cellStyle name="쉼표 [0] 2 2 5 2 2 6 2" xfId="7924"/>
    <cellStyle name="쉼표 [0] 2 2 5 2 2 7" xfId="7925"/>
    <cellStyle name="쉼표 [0] 2 2 5 2 2 7 2" xfId="7926"/>
    <cellStyle name="쉼표 [0] 2 2 5 2 2 8" xfId="7927"/>
    <cellStyle name="쉼표 [0] 2 2 5 2 2 8 2" xfId="7928"/>
    <cellStyle name="쉼표 [0] 2 2 5 2 2 9" xfId="7929"/>
    <cellStyle name="쉼표 [0] 2 2 5 2 2 9 2" xfId="7930"/>
    <cellStyle name="쉼표 [0] 2 2 5 2 3" xfId="681"/>
    <cellStyle name="쉼표 [0] 2 2 5 2 3 2" xfId="682"/>
    <cellStyle name="쉼표 [0] 2 2 5 2 3 3" xfId="7931"/>
    <cellStyle name="쉼표 [0] 2 2 5 2 3 3 2" xfId="7932"/>
    <cellStyle name="쉼표 [0] 2 2 5 2 4" xfId="683"/>
    <cellStyle name="쉼표 [0] 2 2 5 2 4 2" xfId="684"/>
    <cellStyle name="쉼표 [0] 2 2 5 2 4 2 2" xfId="685"/>
    <cellStyle name="쉼표 [0] 2 2 5 2 4 2 3" xfId="7933"/>
    <cellStyle name="쉼표 [0] 2 2 5 2 4 2 3 2" xfId="7934"/>
    <cellStyle name="쉼표 [0] 2 2 5 2 4 3" xfId="686"/>
    <cellStyle name="쉼표 [0] 2 2 5 2 4 3 2" xfId="7935"/>
    <cellStyle name="쉼표 [0] 2 2 5 2 4 3 2 2" xfId="7936"/>
    <cellStyle name="쉼표 [0] 2 2 5 2 4 4" xfId="7937"/>
    <cellStyle name="쉼표 [0] 2 2 5 2 4 4 2" xfId="7938"/>
    <cellStyle name="쉼표 [0] 2 2 5 2 4 5" xfId="7939"/>
    <cellStyle name="쉼표 [0] 2 2 5 2 5" xfId="687"/>
    <cellStyle name="쉼표 [0] 2 2 5 2 5 2" xfId="688"/>
    <cellStyle name="쉼표 [0] 2 2 5 2 5 3" xfId="7940"/>
    <cellStyle name="쉼표 [0] 2 2 5 2 6" xfId="689"/>
    <cellStyle name="쉼표 [0] 2 2 5 2 6 2" xfId="7941"/>
    <cellStyle name="쉼표 [0] 2 2 5 2 7" xfId="7942"/>
    <cellStyle name="쉼표 [0] 2 2 5 2 7 2" xfId="7943"/>
    <cellStyle name="쉼표 [0] 2 2 5 2 7 3" xfId="7944"/>
    <cellStyle name="쉼표 [0] 2 2 5 2 8" xfId="7945"/>
    <cellStyle name="쉼표 [0] 2 2 5 2 9" xfId="7946"/>
    <cellStyle name="쉼표 [0] 2 2 5 20" xfId="7947"/>
    <cellStyle name="쉼표 [0] 2 2 5 21" xfId="7948"/>
    <cellStyle name="쉼표 [0] 2 2 5 22" xfId="29920"/>
    <cellStyle name="쉼표 [0] 2 2 5 3" xfId="690"/>
    <cellStyle name="쉼표 [0] 2 2 5 3 2" xfId="691"/>
    <cellStyle name="쉼표 [0] 2 2 5 3 2 2" xfId="692"/>
    <cellStyle name="쉼표 [0] 2 2 5 3 3" xfId="693"/>
    <cellStyle name="쉼표 [0] 2 2 5 3 3 2" xfId="694"/>
    <cellStyle name="쉼표 [0] 2 2 5 3 3 2 2" xfId="695"/>
    <cellStyle name="쉼표 [0] 2 2 5 3 3 3" xfId="696"/>
    <cellStyle name="쉼표 [0] 2 2 5 3 4" xfId="697"/>
    <cellStyle name="쉼표 [0] 2 2 5 3 4 2" xfId="698"/>
    <cellStyle name="쉼표 [0] 2 2 5 3 5" xfId="699"/>
    <cellStyle name="쉼표 [0] 2 2 5 3 6" xfId="7949"/>
    <cellStyle name="쉼표 [0] 2 2 5 3 6 2" xfId="7950"/>
    <cellStyle name="쉼표 [0] 2 2 5 3 7" xfId="7951"/>
    <cellStyle name="쉼표 [0] 2 2 5 3 7 2" xfId="16532"/>
    <cellStyle name="쉼표 [0] 2 2 5 3 8" xfId="29618"/>
    <cellStyle name="쉼표 [0] 2 2 5 3 9" xfId="31567"/>
    <cellStyle name="쉼표 [0] 2 2 5 4" xfId="700"/>
    <cellStyle name="쉼표 [0] 2 2 5 4 10" xfId="7952"/>
    <cellStyle name="쉼표 [0] 2 2 5 4 11" xfId="7953"/>
    <cellStyle name="쉼표 [0] 2 2 5 4 2" xfId="701"/>
    <cellStyle name="쉼표 [0] 2 2 5 4 2 2" xfId="7954"/>
    <cellStyle name="쉼표 [0] 2 2 5 4 3" xfId="7955"/>
    <cellStyle name="쉼표 [0] 2 2 5 4 4" xfId="7956"/>
    <cellStyle name="쉼표 [0] 2 2 5 4 5" xfId="7957"/>
    <cellStyle name="쉼표 [0] 2 2 5 4 6" xfId="7958"/>
    <cellStyle name="쉼표 [0] 2 2 5 4 7" xfId="7959"/>
    <cellStyle name="쉼표 [0] 2 2 5 4 8" xfId="7960"/>
    <cellStyle name="쉼표 [0] 2 2 5 4 9" xfId="7961"/>
    <cellStyle name="쉼표 [0] 2 2 5 5" xfId="702"/>
    <cellStyle name="쉼표 [0] 2 2 5 5 2" xfId="703"/>
    <cellStyle name="쉼표 [0] 2 2 5 5 2 2" xfId="704"/>
    <cellStyle name="쉼표 [0] 2 2 5 5 2 3" xfId="7962"/>
    <cellStyle name="쉼표 [0] 2 2 5 5 3" xfId="705"/>
    <cellStyle name="쉼표 [0] 2 2 5 5 3 2" xfId="7963"/>
    <cellStyle name="쉼표 [0] 2 2 5 5 4" xfId="7964"/>
    <cellStyle name="쉼표 [0] 2 2 5 5 5" xfId="7965"/>
    <cellStyle name="쉼표 [0] 2 2 5 6" xfId="706"/>
    <cellStyle name="쉼표 [0] 2 2 5 6 2" xfId="707"/>
    <cellStyle name="쉼표 [0] 2 2 5 6 3" xfId="7966"/>
    <cellStyle name="쉼표 [0] 2 2 5 7" xfId="708"/>
    <cellStyle name="쉼표 [0] 2 2 5 7 2" xfId="7967"/>
    <cellStyle name="쉼표 [0] 2 2 5 8" xfId="7968"/>
    <cellStyle name="쉼표 [0] 2 2 5 8 2" xfId="7969"/>
    <cellStyle name="쉼표 [0] 2 2 5 9" xfId="7970"/>
    <cellStyle name="쉼표 [0] 2 2 50" xfId="7971"/>
    <cellStyle name="쉼표 [0] 2 2 50 2" xfId="16531"/>
    <cellStyle name="쉼표 [0] 2 2 51" xfId="7972"/>
    <cellStyle name="쉼표 [0] 2 2 52" xfId="30742"/>
    <cellStyle name="쉼표 [0] 2 2 53" xfId="30932"/>
    <cellStyle name="쉼표 [0] 2 2 53 2" xfId="32285"/>
    <cellStyle name="쉼표 [0] 2 2 6" xfId="709"/>
    <cellStyle name="쉼표 [0] 2 2 6 10" xfId="7973"/>
    <cellStyle name="쉼표 [0] 2 2 6 11" xfId="7974"/>
    <cellStyle name="쉼표 [0] 2 2 6 12" xfId="7975"/>
    <cellStyle name="쉼표 [0] 2 2 6 13" xfId="7976"/>
    <cellStyle name="쉼표 [0] 2 2 6 14" xfId="7977"/>
    <cellStyle name="쉼표 [0] 2 2 6 15" xfId="7978"/>
    <cellStyle name="쉼표 [0] 2 2 6 16" xfId="30058"/>
    <cellStyle name="쉼표 [0] 2 2 6 16 2" xfId="31566"/>
    <cellStyle name="쉼표 [0] 2 2 6 17" xfId="31565"/>
    <cellStyle name="쉼표 [0] 2 2 6 2" xfId="710"/>
    <cellStyle name="쉼표 [0] 2 2 6 2 10" xfId="7979"/>
    <cellStyle name="쉼표 [0] 2 2 6 2 11" xfId="7980"/>
    <cellStyle name="쉼표 [0] 2 2 6 2 12" xfId="29798"/>
    <cellStyle name="쉼표 [0] 2 2 6 2 2" xfId="711"/>
    <cellStyle name="쉼표 [0] 2 2 6 2 2 2" xfId="712"/>
    <cellStyle name="쉼표 [0] 2 2 6 2 2 3" xfId="7981"/>
    <cellStyle name="쉼표 [0] 2 2 6 2 3" xfId="713"/>
    <cellStyle name="쉼표 [0] 2 2 6 2 3 2" xfId="714"/>
    <cellStyle name="쉼표 [0] 2 2 6 2 3 2 2" xfId="715"/>
    <cellStyle name="쉼표 [0] 2 2 6 2 3 3" xfId="716"/>
    <cellStyle name="쉼표 [0] 2 2 6 2 3 4" xfId="7982"/>
    <cellStyle name="쉼표 [0] 2 2 6 2 4" xfId="717"/>
    <cellStyle name="쉼표 [0] 2 2 6 2 4 2" xfId="718"/>
    <cellStyle name="쉼표 [0] 2 2 6 2 4 3" xfId="7983"/>
    <cellStyle name="쉼표 [0] 2 2 6 2 5" xfId="719"/>
    <cellStyle name="쉼표 [0] 2 2 6 2 5 2" xfId="7984"/>
    <cellStyle name="쉼표 [0] 2 2 6 2 6" xfId="7985"/>
    <cellStyle name="쉼표 [0] 2 2 6 2 7" xfId="7986"/>
    <cellStyle name="쉼표 [0] 2 2 6 2 8" xfId="7987"/>
    <cellStyle name="쉼표 [0] 2 2 6 2 9" xfId="7988"/>
    <cellStyle name="쉼표 [0] 2 2 6 3" xfId="720"/>
    <cellStyle name="쉼표 [0] 2 2 6 3 10" xfId="7989"/>
    <cellStyle name="쉼표 [0] 2 2 6 3 11" xfId="7990"/>
    <cellStyle name="쉼표 [0] 2 2 6 3 2" xfId="721"/>
    <cellStyle name="쉼표 [0] 2 2 6 3 2 2" xfId="7991"/>
    <cellStyle name="쉼표 [0] 2 2 6 3 3" xfId="7992"/>
    <cellStyle name="쉼표 [0] 2 2 6 3 4" xfId="7993"/>
    <cellStyle name="쉼표 [0] 2 2 6 3 5" xfId="7994"/>
    <cellStyle name="쉼표 [0] 2 2 6 3 6" xfId="7995"/>
    <cellStyle name="쉼표 [0] 2 2 6 3 7" xfId="7996"/>
    <cellStyle name="쉼표 [0] 2 2 6 3 8" xfId="7997"/>
    <cellStyle name="쉼표 [0] 2 2 6 3 9" xfId="7998"/>
    <cellStyle name="쉼표 [0] 2 2 6 4" xfId="722"/>
    <cellStyle name="쉼표 [0] 2 2 6 4 2" xfId="723"/>
    <cellStyle name="쉼표 [0] 2 2 6 4 2 2" xfId="724"/>
    <cellStyle name="쉼표 [0] 2 2 6 4 2 3" xfId="7999"/>
    <cellStyle name="쉼표 [0] 2 2 6 4 3" xfId="725"/>
    <cellStyle name="쉼표 [0] 2 2 6 4 3 2" xfId="8000"/>
    <cellStyle name="쉼표 [0] 2 2 6 4 4" xfId="8001"/>
    <cellStyle name="쉼표 [0] 2 2 6 4 5" xfId="8002"/>
    <cellStyle name="쉼표 [0] 2 2 6 5" xfId="726"/>
    <cellStyle name="쉼표 [0] 2 2 6 5 2" xfId="727"/>
    <cellStyle name="쉼표 [0] 2 2 6 5 3" xfId="8003"/>
    <cellStyle name="쉼표 [0] 2 2 6 6" xfId="728"/>
    <cellStyle name="쉼표 [0] 2 2 6 6 2" xfId="8004"/>
    <cellStyle name="쉼표 [0] 2 2 6 7" xfId="8005"/>
    <cellStyle name="쉼표 [0] 2 2 6 7 2" xfId="8006"/>
    <cellStyle name="쉼표 [0] 2 2 6 8" xfId="8007"/>
    <cellStyle name="쉼표 [0] 2 2 6 9" xfId="8008"/>
    <cellStyle name="쉼표 [0] 2 2 7" xfId="729"/>
    <cellStyle name="쉼표 [0] 2 2 7 10" xfId="8009"/>
    <cellStyle name="쉼표 [0] 2 2 7 11" xfId="8010"/>
    <cellStyle name="쉼표 [0] 2 2 7 12" xfId="8011"/>
    <cellStyle name="쉼표 [0] 2 2 7 13" xfId="8012"/>
    <cellStyle name="쉼표 [0] 2 2 7 14" xfId="8013"/>
    <cellStyle name="쉼표 [0] 2 2 7 15" xfId="8014"/>
    <cellStyle name="쉼표 [0] 2 2 7 16" xfId="8015"/>
    <cellStyle name="쉼표 [0] 2 2 7 17" xfId="8016"/>
    <cellStyle name="쉼표 [0] 2 2 7 17 2" xfId="31564"/>
    <cellStyle name="쉼표 [0] 2 2 7 18" xfId="8017"/>
    <cellStyle name="쉼표 [0] 2 2 7 19" xfId="8018"/>
    <cellStyle name="쉼표 [0] 2 2 7 2" xfId="730"/>
    <cellStyle name="쉼표 [0] 2 2 7 2 2" xfId="731"/>
    <cellStyle name="쉼표 [0] 2 2 7 2 3" xfId="8019"/>
    <cellStyle name="쉼표 [0] 2 2 7 20" xfId="8020"/>
    <cellStyle name="쉼표 [0] 2 2 7 21" xfId="8021"/>
    <cellStyle name="쉼표 [0] 2 2 7 22" xfId="8022"/>
    <cellStyle name="쉼표 [0] 2 2 7 23" xfId="8023"/>
    <cellStyle name="쉼표 [0] 2 2 7 24" xfId="8024"/>
    <cellStyle name="쉼표 [0] 2 2 7 25" xfId="8025"/>
    <cellStyle name="쉼표 [0] 2 2 7 26" xfId="8026"/>
    <cellStyle name="쉼표 [0] 2 2 7 27" xfId="8027"/>
    <cellStyle name="쉼표 [0] 2 2 7 28" xfId="8028"/>
    <cellStyle name="쉼표 [0] 2 2 7 29" xfId="8029"/>
    <cellStyle name="쉼표 [0] 2 2 7 3" xfId="732"/>
    <cellStyle name="쉼표 [0] 2 2 7 3 2" xfId="733"/>
    <cellStyle name="쉼표 [0] 2 2 7 3 2 2" xfId="734"/>
    <cellStyle name="쉼표 [0] 2 2 7 3 3" xfId="735"/>
    <cellStyle name="쉼표 [0] 2 2 7 3 4" xfId="8030"/>
    <cellStyle name="쉼표 [0] 2 2 7 30" xfId="8031"/>
    <cellStyle name="쉼표 [0] 2 2 7 31" xfId="8032"/>
    <cellStyle name="쉼표 [0] 2 2 7 32" xfId="8033"/>
    <cellStyle name="쉼표 [0] 2 2 7 33" xfId="8034"/>
    <cellStyle name="쉼표 [0] 2 2 7 34" xfId="8035"/>
    <cellStyle name="쉼표 [0] 2 2 7 34 2" xfId="8036"/>
    <cellStyle name="쉼표 [0] 2 2 7 35" xfId="29601"/>
    <cellStyle name="쉼표 [0] 2 2 7 4" xfId="736"/>
    <cellStyle name="쉼표 [0] 2 2 7 4 2" xfId="737"/>
    <cellStyle name="쉼표 [0] 2 2 7 4 3" xfId="8037"/>
    <cellStyle name="쉼표 [0] 2 2 7 5" xfId="738"/>
    <cellStyle name="쉼표 [0] 2 2 7 5 2" xfId="8038"/>
    <cellStyle name="쉼표 [0] 2 2 7 6" xfId="8039"/>
    <cellStyle name="쉼표 [0] 2 2 7 7" xfId="8040"/>
    <cellStyle name="쉼표 [0] 2 2 7 8" xfId="8041"/>
    <cellStyle name="쉼표 [0] 2 2 7 9" xfId="8042"/>
    <cellStyle name="쉼표 [0] 2 2 8" xfId="739"/>
    <cellStyle name="쉼표 [0] 2 2 8 10" xfId="8043"/>
    <cellStyle name="쉼표 [0] 2 2 8 11" xfId="8044"/>
    <cellStyle name="쉼표 [0] 2 2 8 11 2" xfId="8045"/>
    <cellStyle name="쉼표 [0] 2 2 8 11 3" xfId="31563"/>
    <cellStyle name="쉼표 [0] 2 2 8 12" xfId="29823"/>
    <cellStyle name="쉼표 [0] 2 2 8 12 2" xfId="31562"/>
    <cellStyle name="쉼표 [0] 2 2 8 13" xfId="31561"/>
    <cellStyle name="쉼표 [0] 2 2 8 14" xfId="31560"/>
    <cellStyle name="쉼표 [0] 2 2 8 15" xfId="31559"/>
    <cellStyle name="쉼표 [0] 2 2 8 16" xfId="31558"/>
    <cellStyle name="쉼표 [0] 2 2 8 17" xfId="31557"/>
    <cellStyle name="쉼표 [0] 2 2 8 2" xfId="740"/>
    <cellStyle name="쉼표 [0] 2 2 8 2 2" xfId="8046"/>
    <cellStyle name="쉼표 [0] 2 2 8 3" xfId="8047"/>
    <cellStyle name="쉼표 [0] 2 2 8 4" xfId="8048"/>
    <cellStyle name="쉼표 [0] 2 2 8 5" xfId="8049"/>
    <cellStyle name="쉼표 [0] 2 2 8 6" xfId="8050"/>
    <cellStyle name="쉼표 [0] 2 2 8 7" xfId="8051"/>
    <cellStyle name="쉼표 [0] 2 2 8 8" xfId="8052"/>
    <cellStyle name="쉼표 [0] 2 2 8 9" xfId="8053"/>
    <cellStyle name="쉼표 [0] 2 2 9" xfId="741"/>
    <cellStyle name="쉼표 [0] 2 2 9 10" xfId="8054"/>
    <cellStyle name="쉼표 [0] 2 2 9 11" xfId="8055"/>
    <cellStyle name="쉼표 [0] 2 2 9 11 2" xfId="8056"/>
    <cellStyle name="쉼표 [0] 2 2 9 12" xfId="29832"/>
    <cellStyle name="쉼표 [0] 2 2 9 13" xfId="31991"/>
    <cellStyle name="쉼표 [0] 2 2 9 2" xfId="8057"/>
    <cellStyle name="쉼표 [0] 2 2 9 2 2" xfId="31992"/>
    <cellStyle name="쉼표 [0] 2 2 9 2 3" xfId="31993"/>
    <cellStyle name="쉼표 [0] 2 2 9 2 4" xfId="31556"/>
    <cellStyle name="쉼표 [0] 2 2 9 2 5" xfId="31555"/>
    <cellStyle name="쉼표 [0] 2 2 9 2 6" xfId="31554"/>
    <cellStyle name="쉼표 [0] 2 2 9 2 7" xfId="31553"/>
    <cellStyle name="쉼표 [0] 2 2 9 2 8" xfId="31552"/>
    <cellStyle name="쉼표 [0] 2 2 9 3" xfId="8058"/>
    <cellStyle name="쉼표 [0] 2 2 9 4" xfId="8059"/>
    <cellStyle name="쉼표 [0] 2 2 9 5" xfId="8060"/>
    <cellStyle name="쉼표 [0] 2 2 9 6" xfId="8061"/>
    <cellStyle name="쉼표 [0] 2 2 9 7" xfId="8062"/>
    <cellStyle name="쉼표 [0] 2 2 9 8" xfId="8063"/>
    <cellStyle name="쉼표 [0] 2 2 9 9" xfId="8064"/>
    <cellStyle name="쉼표 [0] 2 20" xfId="8065"/>
    <cellStyle name="쉼표 [0] 2 20 10" xfId="8066"/>
    <cellStyle name="쉼표 [0] 2 20 11" xfId="8067"/>
    <cellStyle name="쉼표 [0] 2 20 12" xfId="8068"/>
    <cellStyle name="쉼표 [0] 2 20 2" xfId="8069"/>
    <cellStyle name="쉼표 [0] 2 20 3" xfId="8070"/>
    <cellStyle name="쉼표 [0] 2 20 4" xfId="8071"/>
    <cellStyle name="쉼표 [0] 2 20 5" xfId="8072"/>
    <cellStyle name="쉼표 [0] 2 20 6" xfId="8073"/>
    <cellStyle name="쉼표 [0] 2 20 7" xfId="8074"/>
    <cellStyle name="쉼표 [0] 2 20 8" xfId="8075"/>
    <cellStyle name="쉼표 [0] 2 20 9" xfId="8076"/>
    <cellStyle name="쉼표 [0] 2 21" xfId="8077"/>
    <cellStyle name="쉼표 [0] 2 21 10" xfId="8078"/>
    <cellStyle name="쉼표 [0] 2 21 11" xfId="8079"/>
    <cellStyle name="쉼표 [0] 2 21 12" xfId="8080"/>
    <cellStyle name="쉼표 [0] 2 21 2" xfId="8081"/>
    <cellStyle name="쉼표 [0] 2 21 3" xfId="8082"/>
    <cellStyle name="쉼표 [0] 2 21 4" xfId="8083"/>
    <cellStyle name="쉼표 [0] 2 21 5" xfId="8084"/>
    <cellStyle name="쉼표 [0] 2 21 6" xfId="8085"/>
    <cellStyle name="쉼표 [0] 2 21 7" xfId="8086"/>
    <cellStyle name="쉼표 [0] 2 21 8" xfId="8087"/>
    <cellStyle name="쉼표 [0] 2 21 9" xfId="8088"/>
    <cellStyle name="쉼표 [0] 2 22" xfId="8089"/>
    <cellStyle name="쉼표 [0] 2 22 2" xfId="8090"/>
    <cellStyle name="쉼표 [0] 2 22 3" xfId="8091"/>
    <cellStyle name="쉼표 [0] 2 22 4" xfId="8092"/>
    <cellStyle name="쉼표 [0] 2 22 5" xfId="8093"/>
    <cellStyle name="쉼표 [0] 2 22 6" xfId="8094"/>
    <cellStyle name="쉼표 [0] 2 22 7" xfId="8095"/>
    <cellStyle name="쉼표 [0] 2 22 8" xfId="8096"/>
    <cellStyle name="쉼표 [0] 2 22 9" xfId="30492"/>
    <cellStyle name="쉼표 [0] 2 23" xfId="8097"/>
    <cellStyle name="쉼표 [0] 2 23 2" xfId="8098"/>
    <cellStyle name="쉼표 [0] 2 23 3" xfId="8099"/>
    <cellStyle name="쉼표 [0] 2 23 4" xfId="8100"/>
    <cellStyle name="쉼표 [0] 2 23 5" xfId="8101"/>
    <cellStyle name="쉼표 [0] 2 23 6" xfId="8102"/>
    <cellStyle name="쉼표 [0] 2 23 7" xfId="8103"/>
    <cellStyle name="쉼표 [0] 2 23 8" xfId="8104"/>
    <cellStyle name="쉼표 [0] 2 23 9" xfId="30493"/>
    <cellStyle name="쉼표 [0] 2 24" xfId="8105"/>
    <cellStyle name="쉼표 [0] 2 24 2" xfId="8106"/>
    <cellStyle name="쉼표 [0] 2 24 3" xfId="8107"/>
    <cellStyle name="쉼표 [0] 2 24 4" xfId="8108"/>
    <cellStyle name="쉼표 [0] 2 24 5" xfId="8109"/>
    <cellStyle name="쉼표 [0] 2 24 6" xfId="8110"/>
    <cellStyle name="쉼표 [0] 2 24 7" xfId="8111"/>
    <cellStyle name="쉼표 [0] 2 24 8" xfId="8112"/>
    <cellStyle name="쉼표 [0] 2 25" xfId="8113"/>
    <cellStyle name="쉼표 [0] 2 25 2" xfId="8114"/>
    <cellStyle name="쉼표 [0] 2 25 3" xfId="8115"/>
    <cellStyle name="쉼표 [0] 2 25 4" xfId="8116"/>
    <cellStyle name="쉼표 [0] 2 25 5" xfId="8117"/>
    <cellStyle name="쉼표 [0] 2 25 6" xfId="8118"/>
    <cellStyle name="쉼표 [0] 2 25 7" xfId="8119"/>
    <cellStyle name="쉼표 [0] 2 25 8" xfId="8120"/>
    <cellStyle name="쉼표 [0] 2 26" xfId="8121"/>
    <cellStyle name="쉼표 [0] 2 26 2" xfId="8122"/>
    <cellStyle name="쉼표 [0] 2 26 3" xfId="8123"/>
    <cellStyle name="쉼표 [0] 2 26 4" xfId="8124"/>
    <cellStyle name="쉼표 [0] 2 26 5" xfId="8125"/>
    <cellStyle name="쉼표 [0] 2 26 6" xfId="8126"/>
    <cellStyle name="쉼표 [0] 2 26 7" xfId="8127"/>
    <cellStyle name="쉼표 [0] 2 26 8" xfId="8128"/>
    <cellStyle name="쉼표 [0] 2 27" xfId="8129"/>
    <cellStyle name="쉼표 [0] 2 27 2" xfId="8130"/>
    <cellStyle name="쉼표 [0] 2 27 3" xfId="8131"/>
    <cellStyle name="쉼표 [0] 2 27 4" xfId="8132"/>
    <cellStyle name="쉼표 [0] 2 27 5" xfId="8133"/>
    <cellStyle name="쉼표 [0] 2 27 6" xfId="8134"/>
    <cellStyle name="쉼표 [0] 2 27 7" xfId="8135"/>
    <cellStyle name="쉼표 [0] 2 27 8" xfId="8136"/>
    <cellStyle name="쉼표 [0] 2 28" xfId="8137"/>
    <cellStyle name="쉼표 [0] 2 29" xfId="8138"/>
    <cellStyle name="쉼표 [0] 2 3" xfId="742"/>
    <cellStyle name="쉼표 [0] 2 3 10" xfId="743"/>
    <cellStyle name="쉼표 [0] 2 3 10 2" xfId="744"/>
    <cellStyle name="쉼표 [0] 2 3 10 3" xfId="8139"/>
    <cellStyle name="쉼표 [0] 2 3 11" xfId="745"/>
    <cellStyle name="쉼표 [0] 2 3 11 2" xfId="746"/>
    <cellStyle name="쉼표 [0] 2 3 11 3" xfId="8140"/>
    <cellStyle name="쉼표 [0] 2 3 12" xfId="747"/>
    <cellStyle name="쉼표 [0] 2 3 12 2" xfId="748"/>
    <cellStyle name="쉼표 [0] 2 3 12 2 2" xfId="8142"/>
    <cellStyle name="쉼표 [0] 2 3 12 2 3" xfId="8141"/>
    <cellStyle name="쉼표 [0] 2 3 12 3" xfId="749"/>
    <cellStyle name="쉼표 [0] 2 3 12 4" xfId="8143"/>
    <cellStyle name="쉼표 [0] 2 3 13" xfId="8144"/>
    <cellStyle name="쉼표 [0] 2 3 13 2" xfId="8145"/>
    <cellStyle name="쉼표 [0] 2 3 14" xfId="8146"/>
    <cellStyle name="쉼표 [0] 2 3 15" xfId="8147"/>
    <cellStyle name="쉼표 [0] 2 3 16" xfId="8148"/>
    <cellStyle name="쉼표 [0] 2 3 17" xfId="8149"/>
    <cellStyle name="쉼표 [0] 2 3 17 2" xfId="31551"/>
    <cellStyle name="쉼표 [0] 2 3 18" xfId="8150"/>
    <cellStyle name="쉼표 [0] 2 3 19" xfId="8151"/>
    <cellStyle name="쉼표 [0] 2 3 2" xfId="750"/>
    <cellStyle name="쉼표 [0] 2 3 2 10" xfId="8152"/>
    <cellStyle name="쉼표 [0] 2 3 2 11" xfId="8153"/>
    <cellStyle name="쉼표 [0] 2 3 2 12" xfId="8154"/>
    <cellStyle name="쉼표 [0] 2 3 2 13" xfId="8155"/>
    <cellStyle name="쉼표 [0] 2 3 2 14" xfId="8156"/>
    <cellStyle name="쉼표 [0] 2 3 2 15" xfId="8157"/>
    <cellStyle name="쉼표 [0] 2 3 2 16" xfId="8158"/>
    <cellStyle name="쉼표 [0] 2 3 2 17" xfId="8159"/>
    <cellStyle name="쉼표 [0] 2 3 2 18" xfId="8160"/>
    <cellStyle name="쉼표 [0] 2 3 2 19" xfId="31018"/>
    <cellStyle name="쉼표 [0] 2 3 2 19 2" xfId="32368"/>
    <cellStyle name="쉼표 [0] 2 3 2 2" xfId="751"/>
    <cellStyle name="쉼표 [0] 2 3 2 2 10" xfId="8161"/>
    <cellStyle name="쉼표 [0] 2 3 2 2 11" xfId="29624"/>
    <cellStyle name="쉼표 [0] 2 3 2 2 12" xfId="30940"/>
    <cellStyle name="쉼표 [0] 2 3 2 2 12 2" xfId="32293"/>
    <cellStyle name="쉼표 [0] 2 3 2 2 2" xfId="752"/>
    <cellStyle name="쉼표 [0] 2 3 2 2 2 2" xfId="753"/>
    <cellStyle name="쉼표 [0] 2 3 2 2 2 2 2" xfId="754"/>
    <cellStyle name="쉼표 [0] 2 3 2 2 2 2 2 2" xfId="755"/>
    <cellStyle name="쉼표 [0] 2 3 2 2 2 2 3" xfId="756"/>
    <cellStyle name="쉼표 [0] 2 3 2 2 2 2 3 2" xfId="757"/>
    <cellStyle name="쉼표 [0] 2 3 2 2 2 2 3 2 2" xfId="758"/>
    <cellStyle name="쉼표 [0] 2 3 2 2 2 2 3 3" xfId="759"/>
    <cellStyle name="쉼표 [0] 2 3 2 2 2 2 4" xfId="760"/>
    <cellStyle name="쉼표 [0] 2 3 2 2 2 2 4 2" xfId="761"/>
    <cellStyle name="쉼표 [0] 2 3 2 2 2 2 5" xfId="762"/>
    <cellStyle name="쉼표 [0] 2 3 2 2 2 2 6" xfId="30021"/>
    <cellStyle name="쉼표 [0] 2 3 2 2 2 3" xfId="763"/>
    <cellStyle name="쉼표 [0] 2 3 2 2 2 3 2" xfId="764"/>
    <cellStyle name="쉼표 [0] 2 3 2 2 2 4" xfId="765"/>
    <cellStyle name="쉼표 [0] 2 3 2 2 2 4 2" xfId="766"/>
    <cellStyle name="쉼표 [0] 2 3 2 2 2 4 2 2" xfId="767"/>
    <cellStyle name="쉼표 [0] 2 3 2 2 2 4 3" xfId="768"/>
    <cellStyle name="쉼표 [0] 2 3 2 2 2 5" xfId="769"/>
    <cellStyle name="쉼표 [0] 2 3 2 2 2 5 2" xfId="770"/>
    <cellStyle name="쉼표 [0] 2 3 2 2 2 6" xfId="771"/>
    <cellStyle name="쉼표 [0] 2 3 2 2 2 7" xfId="8162"/>
    <cellStyle name="쉼표 [0] 2 3 2 2 2 8" xfId="29684"/>
    <cellStyle name="쉼표 [0] 2 3 2 2 3" xfId="772"/>
    <cellStyle name="쉼표 [0] 2 3 2 2 3 2" xfId="773"/>
    <cellStyle name="쉼표 [0] 2 3 2 2 3 2 2" xfId="774"/>
    <cellStyle name="쉼표 [0] 2 3 2 2 3 3" xfId="775"/>
    <cellStyle name="쉼표 [0] 2 3 2 2 3 3 2" xfId="776"/>
    <cellStyle name="쉼표 [0] 2 3 2 2 3 3 2 2" xfId="777"/>
    <cellStyle name="쉼표 [0] 2 3 2 2 3 3 3" xfId="778"/>
    <cellStyle name="쉼표 [0] 2 3 2 2 3 4" xfId="779"/>
    <cellStyle name="쉼표 [0] 2 3 2 2 3 4 2" xfId="780"/>
    <cellStyle name="쉼표 [0] 2 3 2 2 3 5" xfId="781"/>
    <cellStyle name="쉼표 [0] 2 3 2 2 3 6" xfId="8163"/>
    <cellStyle name="쉼표 [0] 2 3 2 2 3 7" xfId="29490"/>
    <cellStyle name="쉼표 [0] 2 3 2 2 4" xfId="782"/>
    <cellStyle name="쉼표 [0] 2 3 2 2 4 2" xfId="783"/>
    <cellStyle name="쉼표 [0] 2 3 2 2 4 3" xfId="8164"/>
    <cellStyle name="쉼표 [0] 2 3 2 2 5" xfId="784"/>
    <cellStyle name="쉼표 [0] 2 3 2 2 5 2" xfId="785"/>
    <cellStyle name="쉼표 [0] 2 3 2 2 5 2 2" xfId="786"/>
    <cellStyle name="쉼표 [0] 2 3 2 2 5 3" xfId="787"/>
    <cellStyle name="쉼표 [0] 2 3 2 2 5 4" xfId="8165"/>
    <cellStyle name="쉼표 [0] 2 3 2 2 6" xfId="788"/>
    <cellStyle name="쉼표 [0] 2 3 2 2 6 2" xfId="789"/>
    <cellStyle name="쉼표 [0] 2 3 2 2 6 3" xfId="8166"/>
    <cellStyle name="쉼표 [0] 2 3 2 2 7" xfId="790"/>
    <cellStyle name="쉼표 [0] 2 3 2 2 7 2" xfId="8167"/>
    <cellStyle name="쉼표 [0] 2 3 2 2 8" xfId="8168"/>
    <cellStyle name="쉼표 [0] 2 3 2 2 9" xfId="8169"/>
    <cellStyle name="쉼표 [0] 2 3 2 3" xfId="791"/>
    <cellStyle name="쉼표 [0] 2 3 2 3 10" xfId="8170"/>
    <cellStyle name="쉼표 [0] 2 3 2 3 11" xfId="30682"/>
    <cellStyle name="쉼표 [0] 2 3 2 3 2" xfId="792"/>
    <cellStyle name="쉼표 [0] 2 3 2 3 2 2" xfId="8171"/>
    <cellStyle name="쉼표 [0] 2 3 2 3 3" xfId="8172"/>
    <cellStyle name="쉼표 [0] 2 3 2 3 4" xfId="8173"/>
    <cellStyle name="쉼표 [0] 2 3 2 3 5" xfId="8174"/>
    <cellStyle name="쉼표 [0] 2 3 2 3 6" xfId="8175"/>
    <cellStyle name="쉼표 [0] 2 3 2 3 7" xfId="8176"/>
    <cellStyle name="쉼표 [0] 2 3 2 3 8" xfId="8177"/>
    <cellStyle name="쉼표 [0] 2 3 2 3 9" xfId="8178"/>
    <cellStyle name="쉼표 [0] 2 3 2 4" xfId="793"/>
    <cellStyle name="쉼표 [0] 2 3 2 4 2" xfId="794"/>
    <cellStyle name="쉼표 [0] 2 3 2 4 2 2" xfId="795"/>
    <cellStyle name="쉼표 [0] 2 3 2 4 2 2 2" xfId="796"/>
    <cellStyle name="쉼표 [0] 2 3 2 4 2 3" xfId="797"/>
    <cellStyle name="쉼표 [0] 2 3 2 4 2 3 2" xfId="798"/>
    <cellStyle name="쉼표 [0] 2 3 2 4 2 3 2 2" xfId="799"/>
    <cellStyle name="쉼표 [0] 2 3 2 4 2 3 3" xfId="800"/>
    <cellStyle name="쉼표 [0] 2 3 2 4 2 4" xfId="801"/>
    <cellStyle name="쉼표 [0] 2 3 2 4 2 4 2" xfId="802"/>
    <cellStyle name="쉼표 [0] 2 3 2 4 2 5" xfId="803"/>
    <cellStyle name="쉼표 [0] 2 3 2 4 2 6" xfId="8179"/>
    <cellStyle name="쉼표 [0] 2 3 2 4 2 7" xfId="29502"/>
    <cellStyle name="쉼표 [0] 2 3 2 4 3" xfId="804"/>
    <cellStyle name="쉼표 [0] 2 3 2 4 3 2" xfId="805"/>
    <cellStyle name="쉼표 [0] 2 3 2 4 3 3" xfId="8180"/>
    <cellStyle name="쉼표 [0] 2 3 2 4 4" xfId="806"/>
    <cellStyle name="쉼표 [0] 2 3 2 4 4 2" xfId="807"/>
    <cellStyle name="쉼표 [0] 2 3 2 4 4 2 2" xfId="808"/>
    <cellStyle name="쉼표 [0] 2 3 2 4 4 3" xfId="809"/>
    <cellStyle name="쉼표 [0] 2 3 2 4 4 4" xfId="8181"/>
    <cellStyle name="쉼표 [0] 2 3 2 4 5" xfId="810"/>
    <cellStyle name="쉼표 [0] 2 3 2 4 5 2" xfId="811"/>
    <cellStyle name="쉼표 [0] 2 3 2 4 6" xfId="812"/>
    <cellStyle name="쉼표 [0] 2 3 2 4 7" xfId="29621"/>
    <cellStyle name="쉼표 [0] 2 3 2 5" xfId="813"/>
    <cellStyle name="쉼표 [0] 2 3 2 5 2" xfId="814"/>
    <cellStyle name="쉼표 [0] 2 3 2 5 2 2" xfId="815"/>
    <cellStyle name="쉼표 [0] 2 3 2 5 3" xfId="816"/>
    <cellStyle name="쉼표 [0] 2 3 2 5 3 2" xfId="817"/>
    <cellStyle name="쉼표 [0] 2 3 2 5 3 2 2" xfId="818"/>
    <cellStyle name="쉼표 [0] 2 3 2 5 3 3" xfId="819"/>
    <cellStyle name="쉼표 [0] 2 3 2 5 4" xfId="820"/>
    <cellStyle name="쉼표 [0] 2 3 2 5 4 2" xfId="821"/>
    <cellStyle name="쉼표 [0] 2 3 2 5 5" xfId="822"/>
    <cellStyle name="쉼표 [0] 2 3 2 5 6" xfId="29570"/>
    <cellStyle name="쉼표 [0] 2 3 2 6" xfId="823"/>
    <cellStyle name="쉼표 [0] 2 3 2 6 2" xfId="824"/>
    <cellStyle name="쉼표 [0] 2 3 2 6 2 2" xfId="825"/>
    <cellStyle name="쉼표 [0] 2 3 2 6 3" xfId="826"/>
    <cellStyle name="쉼표 [0] 2 3 2 6 4" xfId="8182"/>
    <cellStyle name="쉼표 [0] 2 3 2 6 5" xfId="29819"/>
    <cellStyle name="쉼표 [0] 2 3 2 7" xfId="827"/>
    <cellStyle name="쉼표 [0] 2 3 2 7 2" xfId="828"/>
    <cellStyle name="쉼표 [0] 2 3 2 7 3" xfId="8183"/>
    <cellStyle name="쉼표 [0] 2 3 2 8" xfId="829"/>
    <cellStyle name="쉼표 [0] 2 3 2 8 2" xfId="8184"/>
    <cellStyle name="쉼표 [0] 2 3 2 9" xfId="8185"/>
    <cellStyle name="쉼표 [0] 2 3 2 9 2" xfId="8186"/>
    <cellStyle name="쉼표 [0] 2 3 20" xfId="8187"/>
    <cellStyle name="쉼표 [0] 2 3 21" xfId="8188"/>
    <cellStyle name="쉼표 [0] 2 3 22" xfId="8189"/>
    <cellStyle name="쉼표 [0] 2 3 23" xfId="8190"/>
    <cellStyle name="쉼표 [0] 2 3 24" xfId="8191"/>
    <cellStyle name="쉼표 [0] 2 3 25" xfId="8192"/>
    <cellStyle name="쉼표 [0] 2 3 26" xfId="8193"/>
    <cellStyle name="쉼표 [0] 2 3 27" xfId="30899"/>
    <cellStyle name="쉼표 [0] 2 3 27 2" xfId="32253"/>
    <cellStyle name="쉼표 [0] 2 3 3" xfId="830"/>
    <cellStyle name="쉼표 [0] 2 3 3 10" xfId="8194"/>
    <cellStyle name="쉼표 [0] 2 3 3 11" xfId="8195"/>
    <cellStyle name="쉼표 [0] 2 3 3 12" xfId="8196"/>
    <cellStyle name="쉼표 [0] 2 3 3 13" xfId="8197"/>
    <cellStyle name="쉼표 [0] 2 3 3 14" xfId="8198"/>
    <cellStyle name="쉼표 [0] 2 3 3 15" xfId="8199"/>
    <cellStyle name="쉼표 [0] 2 3 3 16" xfId="8200"/>
    <cellStyle name="쉼표 [0] 2 3 3 17" xfId="8201"/>
    <cellStyle name="쉼표 [0] 2 3 3 18" xfId="8202"/>
    <cellStyle name="쉼표 [0] 2 3 3 19" xfId="8203"/>
    <cellStyle name="쉼표 [0] 2 3 3 2" xfId="831"/>
    <cellStyle name="쉼표 [0] 2 3 3 2 2" xfId="832"/>
    <cellStyle name="쉼표 [0] 2 3 3 2 2 2" xfId="833"/>
    <cellStyle name="쉼표 [0] 2 3 3 2 2 2 2" xfId="834"/>
    <cellStyle name="쉼표 [0] 2 3 3 2 2 3" xfId="835"/>
    <cellStyle name="쉼표 [0] 2 3 3 2 2 3 2" xfId="836"/>
    <cellStyle name="쉼표 [0] 2 3 3 2 2 3 2 2" xfId="837"/>
    <cellStyle name="쉼표 [0] 2 3 3 2 2 3 3" xfId="838"/>
    <cellStyle name="쉼표 [0] 2 3 3 2 2 4" xfId="839"/>
    <cellStyle name="쉼표 [0] 2 3 3 2 2 4 2" xfId="840"/>
    <cellStyle name="쉼표 [0] 2 3 3 2 2 5" xfId="841"/>
    <cellStyle name="쉼표 [0] 2 3 3 2 2 6" xfId="29837"/>
    <cellStyle name="쉼표 [0] 2 3 3 2 3" xfId="842"/>
    <cellStyle name="쉼표 [0] 2 3 3 2 3 2" xfId="843"/>
    <cellStyle name="쉼표 [0] 2 3 3 2 4" xfId="844"/>
    <cellStyle name="쉼표 [0] 2 3 3 2 4 2" xfId="845"/>
    <cellStyle name="쉼표 [0] 2 3 3 2 4 2 2" xfId="846"/>
    <cellStyle name="쉼표 [0] 2 3 3 2 4 3" xfId="847"/>
    <cellStyle name="쉼표 [0] 2 3 3 2 5" xfId="848"/>
    <cellStyle name="쉼표 [0] 2 3 3 2 5 2" xfId="849"/>
    <cellStyle name="쉼표 [0] 2 3 3 2 6" xfId="850"/>
    <cellStyle name="쉼표 [0] 2 3 3 2 7" xfId="29643"/>
    <cellStyle name="쉼표 [0] 2 3 3 20" xfId="29535"/>
    <cellStyle name="쉼표 [0] 2 3 3 21" xfId="31005"/>
    <cellStyle name="쉼표 [0] 2 3 3 21 2" xfId="32356"/>
    <cellStyle name="쉼표 [0] 2 3 3 3" xfId="851"/>
    <cellStyle name="쉼표 [0] 2 3 3 3 2" xfId="852"/>
    <cellStyle name="쉼표 [0] 2 3 3 3 2 2" xfId="853"/>
    <cellStyle name="쉼표 [0] 2 3 3 3 3" xfId="854"/>
    <cellStyle name="쉼표 [0] 2 3 3 3 3 2" xfId="855"/>
    <cellStyle name="쉼표 [0] 2 3 3 3 3 2 2" xfId="856"/>
    <cellStyle name="쉼표 [0] 2 3 3 3 3 3" xfId="857"/>
    <cellStyle name="쉼표 [0] 2 3 3 3 4" xfId="858"/>
    <cellStyle name="쉼표 [0] 2 3 3 3 4 2" xfId="859"/>
    <cellStyle name="쉼표 [0] 2 3 3 3 5" xfId="860"/>
    <cellStyle name="쉼표 [0] 2 3 3 3 6" xfId="29822"/>
    <cellStyle name="쉼표 [0] 2 3 3 4" xfId="861"/>
    <cellStyle name="쉼표 [0] 2 3 3 4 2" xfId="862"/>
    <cellStyle name="쉼표 [0] 2 3 3 5" xfId="863"/>
    <cellStyle name="쉼표 [0] 2 3 3 5 2" xfId="864"/>
    <cellStyle name="쉼표 [0] 2 3 3 5 2 2" xfId="865"/>
    <cellStyle name="쉼표 [0] 2 3 3 5 3" xfId="866"/>
    <cellStyle name="쉼표 [0] 2 3 3 6" xfId="867"/>
    <cellStyle name="쉼표 [0] 2 3 3 6 2" xfId="868"/>
    <cellStyle name="쉼표 [0] 2 3 3 6 3" xfId="8204"/>
    <cellStyle name="쉼표 [0] 2 3 3 7" xfId="869"/>
    <cellStyle name="쉼표 [0] 2 3 3 7 2" xfId="8205"/>
    <cellStyle name="쉼표 [0] 2 3 3 8" xfId="8206"/>
    <cellStyle name="쉼표 [0] 2 3 3 9" xfId="8207"/>
    <cellStyle name="쉼표 [0] 2 3 4" xfId="870"/>
    <cellStyle name="쉼표 [0] 2 3 4 2" xfId="871"/>
    <cellStyle name="쉼표 [0] 2 3 4 2 2" xfId="872"/>
    <cellStyle name="쉼표 [0] 2 3 4 2 2 2" xfId="873"/>
    <cellStyle name="쉼표 [0] 2 3 4 2 2 2 2" xfId="874"/>
    <cellStyle name="쉼표 [0] 2 3 4 2 2 3" xfId="875"/>
    <cellStyle name="쉼표 [0] 2 3 4 2 2 3 2" xfId="876"/>
    <cellStyle name="쉼표 [0] 2 3 4 2 2 3 2 2" xfId="877"/>
    <cellStyle name="쉼표 [0] 2 3 4 2 2 3 3" xfId="878"/>
    <cellStyle name="쉼표 [0] 2 3 4 2 2 4" xfId="879"/>
    <cellStyle name="쉼표 [0] 2 3 4 2 2 4 2" xfId="880"/>
    <cellStyle name="쉼표 [0] 2 3 4 2 2 5" xfId="881"/>
    <cellStyle name="쉼표 [0] 2 3 4 2 2 6" xfId="29765"/>
    <cellStyle name="쉼표 [0] 2 3 4 2 3" xfId="882"/>
    <cellStyle name="쉼표 [0] 2 3 4 2 3 2" xfId="883"/>
    <cellStyle name="쉼표 [0] 2 3 4 2 4" xfId="884"/>
    <cellStyle name="쉼표 [0] 2 3 4 2 4 2" xfId="885"/>
    <cellStyle name="쉼표 [0] 2 3 4 2 4 2 2" xfId="886"/>
    <cellStyle name="쉼표 [0] 2 3 4 2 4 3" xfId="887"/>
    <cellStyle name="쉼표 [0] 2 3 4 2 5" xfId="888"/>
    <cellStyle name="쉼표 [0] 2 3 4 2 5 2" xfId="889"/>
    <cellStyle name="쉼표 [0] 2 3 4 2 6" xfId="890"/>
    <cellStyle name="쉼표 [0] 2 3 4 2 7" xfId="8208"/>
    <cellStyle name="쉼표 [0] 2 3 4 2 8" xfId="29728"/>
    <cellStyle name="쉼표 [0] 2 3 4 3" xfId="891"/>
    <cellStyle name="쉼표 [0] 2 3 4 3 2" xfId="892"/>
    <cellStyle name="쉼표 [0] 2 3 4 3 2 2" xfId="893"/>
    <cellStyle name="쉼표 [0] 2 3 4 3 3" xfId="894"/>
    <cellStyle name="쉼표 [0] 2 3 4 3 3 2" xfId="895"/>
    <cellStyle name="쉼표 [0] 2 3 4 3 3 2 2" xfId="896"/>
    <cellStyle name="쉼표 [0] 2 3 4 3 3 3" xfId="897"/>
    <cellStyle name="쉼표 [0] 2 3 4 3 4" xfId="898"/>
    <cellStyle name="쉼표 [0] 2 3 4 3 4 2" xfId="899"/>
    <cellStyle name="쉼표 [0] 2 3 4 3 5" xfId="900"/>
    <cellStyle name="쉼표 [0] 2 3 4 3 6" xfId="8209"/>
    <cellStyle name="쉼표 [0] 2 3 4 3 7" xfId="29617"/>
    <cellStyle name="쉼표 [0] 2 3 4 4" xfId="901"/>
    <cellStyle name="쉼표 [0] 2 3 4 4 2" xfId="902"/>
    <cellStyle name="쉼표 [0] 2 3 4 4 3" xfId="8210"/>
    <cellStyle name="쉼표 [0] 2 3 4 5" xfId="903"/>
    <cellStyle name="쉼표 [0] 2 3 4 5 2" xfId="904"/>
    <cellStyle name="쉼표 [0] 2 3 4 5 2 2" xfId="905"/>
    <cellStyle name="쉼표 [0] 2 3 4 5 3" xfId="906"/>
    <cellStyle name="쉼표 [0] 2 3 4 6" xfId="907"/>
    <cellStyle name="쉼표 [0] 2 3 4 6 2" xfId="908"/>
    <cellStyle name="쉼표 [0] 2 3 4 7" xfId="909"/>
    <cellStyle name="쉼표 [0] 2 3 4 8" xfId="30014"/>
    <cellStyle name="쉼표 [0] 2 3 4 9" xfId="31550"/>
    <cellStyle name="쉼표 [0] 2 3 5" xfId="910"/>
    <cellStyle name="쉼표 [0] 2 3 5 2" xfId="911"/>
    <cellStyle name="쉼표 [0] 2 3 5 2 2" xfId="912"/>
    <cellStyle name="쉼표 [0] 2 3 5 2 2 2" xfId="913"/>
    <cellStyle name="쉼표 [0] 2 3 5 2 3" xfId="914"/>
    <cellStyle name="쉼표 [0] 2 3 5 2 3 2" xfId="915"/>
    <cellStyle name="쉼표 [0] 2 3 5 2 3 2 2" xfId="916"/>
    <cellStyle name="쉼표 [0] 2 3 5 2 3 3" xfId="917"/>
    <cellStyle name="쉼표 [0] 2 3 5 2 4" xfId="918"/>
    <cellStyle name="쉼표 [0] 2 3 5 2 4 2" xfId="919"/>
    <cellStyle name="쉼표 [0] 2 3 5 2 5" xfId="920"/>
    <cellStyle name="쉼표 [0] 2 3 5 2 6" xfId="8211"/>
    <cellStyle name="쉼표 [0] 2 3 5 2 7" xfId="29501"/>
    <cellStyle name="쉼표 [0] 2 3 5 3" xfId="921"/>
    <cellStyle name="쉼표 [0] 2 3 5 3 2" xfId="922"/>
    <cellStyle name="쉼표 [0] 2 3 5 3 3" xfId="8212"/>
    <cellStyle name="쉼표 [0] 2 3 5 4" xfId="923"/>
    <cellStyle name="쉼표 [0] 2 3 5 4 2" xfId="924"/>
    <cellStyle name="쉼표 [0] 2 3 5 4 2 2" xfId="925"/>
    <cellStyle name="쉼표 [0] 2 3 5 4 3" xfId="926"/>
    <cellStyle name="쉼표 [0] 2 3 5 4 4" xfId="8213"/>
    <cellStyle name="쉼표 [0] 2 3 5 5" xfId="927"/>
    <cellStyle name="쉼표 [0] 2 3 5 5 2" xfId="928"/>
    <cellStyle name="쉼표 [0] 2 3 5 5 3" xfId="8214"/>
    <cellStyle name="쉼표 [0] 2 3 5 6" xfId="929"/>
    <cellStyle name="쉼표 [0] 2 3 5 6 2" xfId="8215"/>
    <cellStyle name="쉼표 [0] 2 3 5 7" xfId="8216"/>
    <cellStyle name="쉼표 [0] 2 3 5 8" xfId="8217"/>
    <cellStyle name="쉼표 [0] 2 3 5 9" xfId="29573"/>
    <cellStyle name="쉼표 [0] 2 3 6" xfId="930"/>
    <cellStyle name="쉼표 [0] 2 3 6 2" xfId="931"/>
    <cellStyle name="쉼표 [0] 2 3 6 2 2" xfId="932"/>
    <cellStyle name="쉼표 [0] 2 3 6 2 3" xfId="8218"/>
    <cellStyle name="쉼표 [0] 2 3 6 3" xfId="933"/>
    <cellStyle name="쉼표 [0] 2 3 6 3 2" xfId="934"/>
    <cellStyle name="쉼표 [0] 2 3 6 3 2 2" xfId="935"/>
    <cellStyle name="쉼표 [0] 2 3 6 3 2 2 2" xfId="16528"/>
    <cellStyle name="쉼표 [0] 2 3 6 3 2 2 3" xfId="29430"/>
    <cellStyle name="쉼표 [0] 2 3 6 3 2 2 4" xfId="16558"/>
    <cellStyle name="쉼표 [0] 2 3 6 3 2 3" xfId="16529"/>
    <cellStyle name="쉼표 [0] 2 3 6 3 3" xfId="936"/>
    <cellStyle name="쉼표 [0] 2 3 6 3 3 2" xfId="16527"/>
    <cellStyle name="쉼표 [0] 2 3 6 3 3 3" xfId="29429"/>
    <cellStyle name="쉼표 [0] 2 3 6 3 3 4" xfId="16559"/>
    <cellStyle name="쉼표 [0] 2 3 6 3 4" xfId="16560"/>
    <cellStyle name="쉼표 [0] 2 3 6 3 4 2" xfId="16526"/>
    <cellStyle name="쉼표 [0] 2 3 6 3 5" xfId="16530"/>
    <cellStyle name="쉼표 [0] 2 3 6 4" xfId="937"/>
    <cellStyle name="쉼표 [0] 2 3 6 4 2" xfId="938"/>
    <cellStyle name="쉼표 [0] 2 3 6 4 2 2" xfId="16524"/>
    <cellStyle name="쉼표 [0] 2 3 6 4 2 3" xfId="29427"/>
    <cellStyle name="쉼표 [0] 2 3 6 4 2 4" xfId="16562"/>
    <cellStyle name="쉼표 [0] 2 3 6 4 3" xfId="16563"/>
    <cellStyle name="쉼표 [0] 2 3 6 4 3 2" xfId="16523"/>
    <cellStyle name="쉼표 [0] 2 3 6 4 4" xfId="16525"/>
    <cellStyle name="쉼표 [0] 2 3 6 4 5" xfId="29428"/>
    <cellStyle name="쉼표 [0] 2 3 6 4 6" xfId="16561"/>
    <cellStyle name="쉼표 [0] 2 3 6 5" xfId="939"/>
    <cellStyle name="쉼표 [0] 2 3 6 5 2" xfId="16522"/>
    <cellStyle name="쉼표 [0] 2 3 6 5 3" xfId="29426"/>
    <cellStyle name="쉼표 [0] 2 3 6 5 4" xfId="16564"/>
    <cellStyle name="쉼표 [0] 2 3 6 6" xfId="16565"/>
    <cellStyle name="쉼표 [0] 2 3 6 6 2" xfId="16521"/>
    <cellStyle name="쉼표 [0] 2 3 6 7" xfId="29732"/>
    <cellStyle name="쉼표 [0] 2 3 6 8" xfId="31549"/>
    <cellStyle name="쉼표 [0] 2 3 7" xfId="940"/>
    <cellStyle name="쉼표 [0] 2 3 7 10" xfId="31548"/>
    <cellStyle name="쉼표 [0] 2 3 7 2" xfId="941"/>
    <cellStyle name="쉼표 [0] 2 3 7 2 2" xfId="16568"/>
    <cellStyle name="쉼표 [0] 2 3 7 2 2 2" xfId="16518"/>
    <cellStyle name="쉼표 [0] 2 3 7 2 3" xfId="16519"/>
    <cellStyle name="쉼표 [0] 2 3 7 2 4" xfId="29424"/>
    <cellStyle name="쉼표 [0] 2 3 7 2 5" xfId="16567"/>
    <cellStyle name="쉼표 [0] 2 3 7 3" xfId="16569"/>
    <cellStyle name="쉼표 [0] 2 3 7 3 2" xfId="16517"/>
    <cellStyle name="쉼표 [0] 2 3 7 4" xfId="16570"/>
    <cellStyle name="쉼표 [0] 2 3 7 4 2" xfId="16516"/>
    <cellStyle name="쉼표 [0] 2 3 7 5" xfId="16571"/>
    <cellStyle name="쉼표 [0] 2 3 7 5 2" xfId="16515"/>
    <cellStyle name="쉼표 [0] 2 3 7 6" xfId="16520"/>
    <cellStyle name="쉼표 [0] 2 3 7 7" xfId="29425"/>
    <cellStyle name="쉼표 [0] 2 3 7 8" xfId="16566"/>
    <cellStyle name="쉼표 [0] 2 3 7 9" xfId="30683"/>
    <cellStyle name="쉼표 [0] 2 3 8" xfId="942"/>
    <cellStyle name="쉼표 [0] 2 3 8 2" xfId="16514"/>
    <cellStyle name="쉼표 [0] 2 3 8 3" xfId="29423"/>
    <cellStyle name="쉼표 [0] 2 3 8 4" xfId="16572"/>
    <cellStyle name="쉼표 [0] 2 3 9" xfId="943"/>
    <cellStyle name="쉼표 [0] 2 3 9 2" xfId="944"/>
    <cellStyle name="쉼표 [0] 2 3 9 2 2" xfId="945"/>
    <cellStyle name="쉼표 [0] 2 3 9 2 2 2" xfId="16511"/>
    <cellStyle name="쉼표 [0] 2 3 9 2 2 3" xfId="29420"/>
    <cellStyle name="쉼표 [0] 2 3 9 2 2 4" xfId="16575"/>
    <cellStyle name="쉼표 [0] 2 3 9 2 3" xfId="16512"/>
    <cellStyle name="쉼표 [0] 2 3 9 2 4" xfId="29421"/>
    <cellStyle name="쉼표 [0] 2 3 9 2 5" xfId="16574"/>
    <cellStyle name="쉼표 [0] 2 3 9 3" xfId="946"/>
    <cellStyle name="쉼표 [0] 2 3 9 3 2" xfId="16510"/>
    <cellStyle name="쉼표 [0] 2 3 9 3 3" xfId="29419"/>
    <cellStyle name="쉼표 [0] 2 3 9 3 4" xfId="16576"/>
    <cellStyle name="쉼표 [0] 2 3 9 4" xfId="16577"/>
    <cellStyle name="쉼표 [0] 2 3 9 4 2" xfId="16509"/>
    <cellStyle name="쉼표 [0] 2 3 9 5" xfId="16513"/>
    <cellStyle name="쉼표 [0] 2 3 9 6" xfId="29422"/>
    <cellStyle name="쉼표 [0] 2 3 9 7" xfId="16573"/>
    <cellStyle name="쉼표 [0] 2 3 9 8" xfId="29702"/>
    <cellStyle name="쉼표 [0] 2 3 9 9" xfId="31547"/>
    <cellStyle name="쉼표 [0] 2 30" xfId="16578"/>
    <cellStyle name="쉼표 [0] 2 30 2" xfId="16508"/>
    <cellStyle name="쉼표 [0] 2 31" xfId="16579"/>
    <cellStyle name="쉼표 [0] 2 31 2" xfId="16507"/>
    <cellStyle name="쉼표 [0] 2 32" xfId="16580"/>
    <cellStyle name="쉼표 [0] 2 32 2" xfId="16506"/>
    <cellStyle name="쉼표 [0] 2 33" xfId="16581"/>
    <cellStyle name="쉼표 [0] 2 33 2" xfId="16505"/>
    <cellStyle name="쉼표 [0] 2 34" xfId="16582"/>
    <cellStyle name="쉼표 [0] 2 34 2" xfId="16504"/>
    <cellStyle name="쉼표 [0] 2 35" xfId="16583"/>
    <cellStyle name="쉼표 [0] 2 35 2" xfId="16503"/>
    <cellStyle name="쉼표 [0] 2 36" xfId="16584"/>
    <cellStyle name="쉼표 [0] 2 36 2" xfId="16502"/>
    <cellStyle name="쉼표 [0] 2 37" xfId="16585"/>
    <cellStyle name="쉼표 [0] 2 37 2" xfId="16501"/>
    <cellStyle name="쉼표 [0] 2 38" xfId="16586"/>
    <cellStyle name="쉼표 [0] 2 38 2" xfId="16500"/>
    <cellStyle name="쉼표 [0] 2 39" xfId="16587"/>
    <cellStyle name="쉼표 [0] 2 39 2" xfId="16499"/>
    <cellStyle name="쉼표 [0] 2 4" xfId="947"/>
    <cellStyle name="쉼표 [0] 2 4 10" xfId="948"/>
    <cellStyle name="쉼표 [0] 2 4 10 2" xfId="16497"/>
    <cellStyle name="쉼표 [0] 2 4 10 3" xfId="29417"/>
    <cellStyle name="쉼표 [0] 2 4 10 4" xfId="16589"/>
    <cellStyle name="쉼표 [0] 2 4 10 5" xfId="31546"/>
    <cellStyle name="쉼표 [0] 2 4 11" xfId="949"/>
    <cellStyle name="쉼표 [0] 2 4 11 2" xfId="16496"/>
    <cellStyle name="쉼표 [0] 2 4 11 3" xfId="29416"/>
    <cellStyle name="쉼표 [0] 2 4 11 4" xfId="16590"/>
    <cellStyle name="쉼표 [0] 2 4 12" xfId="16498"/>
    <cellStyle name="쉼표 [0] 2 4 12 2" xfId="31545"/>
    <cellStyle name="쉼표 [0] 2 4 13" xfId="29418"/>
    <cellStyle name="쉼표 [0] 2 4 14" xfId="16588"/>
    <cellStyle name="쉼표 [0] 2 4 14 2" xfId="31544"/>
    <cellStyle name="쉼표 [0] 2 4 15" xfId="30909"/>
    <cellStyle name="쉼표 [0] 2 4 15 2" xfId="31543"/>
    <cellStyle name="쉼표 [0] 2 4 15 3" xfId="32263"/>
    <cellStyle name="쉼표 [0] 2 4 16" xfId="31542"/>
    <cellStyle name="쉼표 [0] 2 4 2" xfId="950"/>
    <cellStyle name="쉼표 [0] 2 4 2 10" xfId="29415"/>
    <cellStyle name="쉼표 [0] 2 4 2 11" xfId="16591"/>
    <cellStyle name="쉼표 [0] 2 4 2 12" xfId="29844"/>
    <cellStyle name="쉼표 [0] 2 4 2 13" xfId="30903"/>
    <cellStyle name="쉼표 [0] 2 4 2 13 2" xfId="32257"/>
    <cellStyle name="쉼표 [0] 2 4 2 2" xfId="951"/>
    <cellStyle name="쉼표 [0] 2 4 2 2 10" xfId="16592"/>
    <cellStyle name="쉼표 [0] 2 4 2 2 11" xfId="29770"/>
    <cellStyle name="쉼표 [0] 2 4 2 2 12" xfId="30890"/>
    <cellStyle name="쉼표 [0] 2 4 2 2 12 2" xfId="32244"/>
    <cellStyle name="쉼표 [0] 2 4 2 2 2" xfId="952"/>
    <cellStyle name="쉼표 [0] 2 4 2 2 2 2" xfId="953"/>
    <cellStyle name="쉼표 [0] 2 4 2 2 2 2 2" xfId="954"/>
    <cellStyle name="쉼표 [0] 2 4 2 2 2 2 2 2" xfId="16491"/>
    <cellStyle name="쉼표 [0] 2 4 2 2 2 2 2 3" xfId="29411"/>
    <cellStyle name="쉼표 [0] 2 4 2 2 2 2 2 4" xfId="16595"/>
    <cellStyle name="쉼표 [0] 2 4 2 2 2 2 3" xfId="16492"/>
    <cellStyle name="쉼표 [0] 2 4 2 2 2 2 4" xfId="29412"/>
    <cellStyle name="쉼표 [0] 2 4 2 2 2 2 5" xfId="16594"/>
    <cellStyle name="쉼표 [0] 2 4 2 2 2 3" xfId="955"/>
    <cellStyle name="쉼표 [0] 2 4 2 2 2 3 2" xfId="956"/>
    <cellStyle name="쉼표 [0] 2 4 2 2 2 3 2 2" xfId="957"/>
    <cellStyle name="쉼표 [0] 2 4 2 2 2 3 2 2 2" xfId="16488"/>
    <cellStyle name="쉼표 [0] 2 4 2 2 2 3 2 2 3" xfId="29408"/>
    <cellStyle name="쉼표 [0] 2 4 2 2 2 3 2 2 4" xfId="16598"/>
    <cellStyle name="쉼표 [0] 2 4 2 2 2 3 2 3" xfId="16489"/>
    <cellStyle name="쉼표 [0] 2 4 2 2 2 3 2 4" xfId="29409"/>
    <cellStyle name="쉼표 [0] 2 4 2 2 2 3 2 5" xfId="16597"/>
    <cellStyle name="쉼표 [0] 2 4 2 2 2 3 3" xfId="958"/>
    <cellStyle name="쉼표 [0] 2 4 2 2 2 3 3 2" xfId="16487"/>
    <cellStyle name="쉼표 [0] 2 4 2 2 2 3 3 3" xfId="29407"/>
    <cellStyle name="쉼표 [0] 2 4 2 2 2 3 3 4" xfId="16599"/>
    <cellStyle name="쉼표 [0] 2 4 2 2 2 3 4" xfId="16490"/>
    <cellStyle name="쉼표 [0] 2 4 2 2 2 3 5" xfId="29410"/>
    <cellStyle name="쉼표 [0] 2 4 2 2 2 3 6" xfId="16596"/>
    <cellStyle name="쉼표 [0] 2 4 2 2 2 4" xfId="959"/>
    <cellStyle name="쉼표 [0] 2 4 2 2 2 4 2" xfId="960"/>
    <cellStyle name="쉼표 [0] 2 4 2 2 2 4 2 2" xfId="16485"/>
    <cellStyle name="쉼표 [0] 2 4 2 2 2 4 2 3" xfId="29405"/>
    <cellStyle name="쉼표 [0] 2 4 2 2 2 4 2 4" xfId="16601"/>
    <cellStyle name="쉼표 [0] 2 4 2 2 2 4 3" xfId="16486"/>
    <cellStyle name="쉼표 [0] 2 4 2 2 2 4 4" xfId="29406"/>
    <cellStyle name="쉼표 [0] 2 4 2 2 2 4 5" xfId="16600"/>
    <cellStyle name="쉼표 [0] 2 4 2 2 2 5" xfId="961"/>
    <cellStyle name="쉼표 [0] 2 4 2 2 2 5 2" xfId="16484"/>
    <cellStyle name="쉼표 [0] 2 4 2 2 2 5 3" xfId="29404"/>
    <cellStyle name="쉼표 [0] 2 4 2 2 2 5 4" xfId="16602"/>
    <cellStyle name="쉼표 [0] 2 4 2 2 2 6" xfId="16493"/>
    <cellStyle name="쉼표 [0] 2 4 2 2 2 7" xfId="29413"/>
    <cellStyle name="쉼표 [0] 2 4 2 2 2 8" xfId="16593"/>
    <cellStyle name="쉼표 [0] 2 4 2 2 2 9" xfId="29840"/>
    <cellStyle name="쉼표 [0] 2 4 2 2 3" xfId="962"/>
    <cellStyle name="쉼표 [0] 2 4 2 2 3 2" xfId="963"/>
    <cellStyle name="쉼표 [0] 2 4 2 2 3 2 2" xfId="16482"/>
    <cellStyle name="쉼표 [0] 2 4 2 2 3 2 3" xfId="29402"/>
    <cellStyle name="쉼표 [0] 2 4 2 2 3 2 4" xfId="16604"/>
    <cellStyle name="쉼표 [0] 2 4 2 2 3 3" xfId="16483"/>
    <cellStyle name="쉼표 [0] 2 4 2 2 3 4" xfId="29403"/>
    <cellStyle name="쉼표 [0] 2 4 2 2 3 5" xfId="16603"/>
    <cellStyle name="쉼표 [0] 2 4 2 2 4" xfId="964"/>
    <cellStyle name="쉼표 [0] 2 4 2 2 4 2" xfId="965"/>
    <cellStyle name="쉼표 [0] 2 4 2 2 4 2 2" xfId="966"/>
    <cellStyle name="쉼표 [0] 2 4 2 2 4 2 2 2" xfId="16479"/>
    <cellStyle name="쉼표 [0] 2 4 2 2 4 2 2 3" xfId="29399"/>
    <cellStyle name="쉼표 [0] 2 4 2 2 4 2 2 4" xfId="16607"/>
    <cellStyle name="쉼표 [0] 2 4 2 2 4 2 3" xfId="16480"/>
    <cellStyle name="쉼표 [0] 2 4 2 2 4 2 4" xfId="29400"/>
    <cellStyle name="쉼표 [0] 2 4 2 2 4 2 5" xfId="16606"/>
    <cellStyle name="쉼표 [0] 2 4 2 2 4 3" xfId="967"/>
    <cellStyle name="쉼표 [0] 2 4 2 2 4 3 2" xfId="16478"/>
    <cellStyle name="쉼표 [0] 2 4 2 2 4 3 3" xfId="29398"/>
    <cellStyle name="쉼표 [0] 2 4 2 2 4 3 4" xfId="16608"/>
    <cellStyle name="쉼표 [0] 2 4 2 2 4 4" xfId="16481"/>
    <cellStyle name="쉼표 [0] 2 4 2 2 4 5" xfId="29401"/>
    <cellStyle name="쉼표 [0] 2 4 2 2 4 6" xfId="16605"/>
    <cellStyle name="쉼표 [0] 2 4 2 2 5" xfId="968"/>
    <cellStyle name="쉼표 [0] 2 4 2 2 5 2" xfId="969"/>
    <cellStyle name="쉼표 [0] 2 4 2 2 5 2 2" xfId="16476"/>
    <cellStyle name="쉼표 [0] 2 4 2 2 5 2 3" xfId="29396"/>
    <cellStyle name="쉼표 [0] 2 4 2 2 5 2 4" xfId="16610"/>
    <cellStyle name="쉼표 [0] 2 4 2 2 5 3" xfId="16477"/>
    <cellStyle name="쉼표 [0] 2 4 2 2 5 4" xfId="29397"/>
    <cellStyle name="쉼표 [0] 2 4 2 2 5 5" xfId="16609"/>
    <cellStyle name="쉼표 [0] 2 4 2 2 6" xfId="970"/>
    <cellStyle name="쉼표 [0] 2 4 2 2 6 2" xfId="16475"/>
    <cellStyle name="쉼표 [0] 2 4 2 2 6 3" xfId="29395"/>
    <cellStyle name="쉼표 [0] 2 4 2 2 6 4" xfId="16611"/>
    <cellStyle name="쉼표 [0] 2 4 2 2 7" xfId="16612"/>
    <cellStyle name="쉼표 [0] 2 4 2 2 7 2" xfId="16474"/>
    <cellStyle name="쉼표 [0] 2 4 2 2 8" xfId="16494"/>
    <cellStyle name="쉼표 [0] 2 4 2 2 9" xfId="29414"/>
    <cellStyle name="쉼표 [0] 2 4 2 3" xfId="971"/>
    <cellStyle name="쉼표 [0] 2 4 2 3 10" xfId="29746"/>
    <cellStyle name="쉼표 [0] 2 4 2 3 2" xfId="972"/>
    <cellStyle name="쉼표 [0] 2 4 2 3 2 2" xfId="973"/>
    <cellStyle name="쉼표 [0] 2 4 2 3 2 2 2" xfId="16471"/>
    <cellStyle name="쉼표 [0] 2 4 2 3 2 2 3" xfId="29392"/>
    <cellStyle name="쉼표 [0] 2 4 2 3 2 2 4" xfId="16615"/>
    <cellStyle name="쉼표 [0] 2 4 2 3 2 3" xfId="16472"/>
    <cellStyle name="쉼표 [0] 2 4 2 3 2 4" xfId="29393"/>
    <cellStyle name="쉼표 [0] 2 4 2 3 2 5" xfId="16614"/>
    <cellStyle name="쉼표 [0] 2 4 2 3 3" xfId="974"/>
    <cellStyle name="쉼표 [0] 2 4 2 3 3 2" xfId="975"/>
    <cellStyle name="쉼표 [0] 2 4 2 3 3 2 2" xfId="976"/>
    <cellStyle name="쉼표 [0] 2 4 2 3 3 2 2 2" xfId="16468"/>
    <cellStyle name="쉼표 [0] 2 4 2 3 3 2 2 3" xfId="29389"/>
    <cellStyle name="쉼표 [0] 2 4 2 3 3 2 2 4" xfId="16618"/>
    <cellStyle name="쉼표 [0] 2 4 2 3 3 2 3" xfId="16469"/>
    <cellStyle name="쉼표 [0] 2 4 2 3 3 2 4" xfId="29390"/>
    <cellStyle name="쉼표 [0] 2 4 2 3 3 2 5" xfId="16617"/>
    <cellStyle name="쉼표 [0] 2 4 2 3 3 3" xfId="977"/>
    <cellStyle name="쉼표 [0] 2 4 2 3 3 3 2" xfId="16467"/>
    <cellStyle name="쉼표 [0] 2 4 2 3 3 3 3" xfId="29388"/>
    <cellStyle name="쉼표 [0] 2 4 2 3 3 3 4" xfId="16619"/>
    <cellStyle name="쉼표 [0] 2 4 2 3 3 4" xfId="16470"/>
    <cellStyle name="쉼표 [0] 2 4 2 3 3 5" xfId="29391"/>
    <cellStyle name="쉼표 [0] 2 4 2 3 3 6" xfId="16616"/>
    <cellStyle name="쉼표 [0] 2 4 2 3 4" xfId="978"/>
    <cellStyle name="쉼표 [0] 2 4 2 3 4 2" xfId="979"/>
    <cellStyle name="쉼표 [0] 2 4 2 3 4 2 2" xfId="16465"/>
    <cellStyle name="쉼표 [0] 2 4 2 3 4 2 3" xfId="29386"/>
    <cellStyle name="쉼표 [0] 2 4 2 3 4 2 4" xfId="16621"/>
    <cellStyle name="쉼표 [0] 2 4 2 3 4 3" xfId="16466"/>
    <cellStyle name="쉼표 [0] 2 4 2 3 4 4" xfId="29387"/>
    <cellStyle name="쉼표 [0] 2 4 2 3 4 5" xfId="16620"/>
    <cellStyle name="쉼표 [0] 2 4 2 3 5" xfId="980"/>
    <cellStyle name="쉼표 [0] 2 4 2 3 5 2" xfId="16464"/>
    <cellStyle name="쉼표 [0] 2 4 2 3 5 3" xfId="29385"/>
    <cellStyle name="쉼표 [0] 2 4 2 3 5 4" xfId="16622"/>
    <cellStyle name="쉼표 [0] 2 4 2 3 6" xfId="16623"/>
    <cellStyle name="쉼표 [0] 2 4 2 3 6 2" xfId="16463"/>
    <cellStyle name="쉼표 [0] 2 4 2 3 7" xfId="16473"/>
    <cellStyle name="쉼표 [0] 2 4 2 3 8" xfId="29394"/>
    <cellStyle name="쉼표 [0] 2 4 2 3 9" xfId="16613"/>
    <cellStyle name="쉼표 [0] 2 4 2 4" xfId="981"/>
    <cellStyle name="쉼표 [0] 2 4 2 4 2" xfId="982"/>
    <cellStyle name="쉼표 [0] 2 4 2 4 2 2" xfId="16461"/>
    <cellStyle name="쉼표 [0] 2 4 2 4 2 3" xfId="29383"/>
    <cellStyle name="쉼표 [0] 2 4 2 4 2 4" xfId="16625"/>
    <cellStyle name="쉼표 [0] 2 4 2 4 3" xfId="16626"/>
    <cellStyle name="쉼표 [0] 2 4 2 4 3 2" xfId="16460"/>
    <cellStyle name="쉼표 [0] 2 4 2 4 4" xfId="16462"/>
    <cellStyle name="쉼표 [0] 2 4 2 4 5" xfId="29384"/>
    <cellStyle name="쉼표 [0] 2 4 2 4 6" xfId="16624"/>
    <cellStyle name="쉼표 [0] 2 4 2 4 7" xfId="29667"/>
    <cellStyle name="쉼표 [0] 2 4 2 5" xfId="983"/>
    <cellStyle name="쉼표 [0] 2 4 2 5 2" xfId="984"/>
    <cellStyle name="쉼표 [0] 2 4 2 5 2 2" xfId="985"/>
    <cellStyle name="쉼표 [0] 2 4 2 5 2 2 2" xfId="16457"/>
    <cellStyle name="쉼표 [0] 2 4 2 5 2 2 3" xfId="29380"/>
    <cellStyle name="쉼표 [0] 2 4 2 5 2 2 4" xfId="16629"/>
    <cellStyle name="쉼표 [0] 2 4 2 5 2 3" xfId="16458"/>
    <cellStyle name="쉼표 [0] 2 4 2 5 2 4" xfId="29381"/>
    <cellStyle name="쉼표 [0] 2 4 2 5 2 5" xfId="16628"/>
    <cellStyle name="쉼표 [0] 2 4 2 5 3" xfId="986"/>
    <cellStyle name="쉼표 [0] 2 4 2 5 3 2" xfId="16456"/>
    <cellStyle name="쉼표 [0] 2 4 2 5 3 3" xfId="29379"/>
    <cellStyle name="쉼표 [0] 2 4 2 5 3 4" xfId="16630"/>
    <cellStyle name="쉼표 [0] 2 4 2 5 4" xfId="16631"/>
    <cellStyle name="쉼표 [0] 2 4 2 5 4 2" xfId="16455"/>
    <cellStyle name="쉼표 [0] 2 4 2 5 5" xfId="16459"/>
    <cellStyle name="쉼표 [0] 2 4 2 5 6" xfId="29382"/>
    <cellStyle name="쉼표 [0] 2 4 2 5 7" xfId="16627"/>
    <cellStyle name="쉼표 [0] 2 4 2 6" xfId="987"/>
    <cellStyle name="쉼표 [0] 2 4 2 6 2" xfId="988"/>
    <cellStyle name="쉼표 [0] 2 4 2 6 2 2" xfId="16453"/>
    <cellStyle name="쉼표 [0] 2 4 2 6 2 3" xfId="29377"/>
    <cellStyle name="쉼표 [0] 2 4 2 6 2 4" xfId="16633"/>
    <cellStyle name="쉼표 [0] 2 4 2 6 3" xfId="16454"/>
    <cellStyle name="쉼표 [0] 2 4 2 6 4" xfId="29378"/>
    <cellStyle name="쉼표 [0] 2 4 2 6 5" xfId="16632"/>
    <cellStyle name="쉼표 [0] 2 4 2 7" xfId="989"/>
    <cellStyle name="쉼표 [0] 2 4 2 7 2" xfId="16452"/>
    <cellStyle name="쉼표 [0] 2 4 2 7 3" xfId="29376"/>
    <cellStyle name="쉼표 [0] 2 4 2 7 4" xfId="16634"/>
    <cellStyle name="쉼표 [0] 2 4 2 8" xfId="16635"/>
    <cellStyle name="쉼표 [0] 2 4 2 8 2" xfId="16451"/>
    <cellStyle name="쉼표 [0] 2 4 2 9" xfId="16495"/>
    <cellStyle name="쉼표 [0] 2 4 3" xfId="990"/>
    <cellStyle name="쉼표 [0] 2 4 3 2" xfId="16637"/>
    <cellStyle name="쉼표 [0] 2 4 3 2 2" xfId="16449"/>
    <cellStyle name="쉼표 [0] 2 4 3 3" xfId="16450"/>
    <cellStyle name="쉼표 [0] 2 4 3 4" xfId="29375"/>
    <cellStyle name="쉼표 [0] 2 4 3 5" xfId="16636"/>
    <cellStyle name="쉼표 [0] 2 4 3 6" xfId="29845"/>
    <cellStyle name="쉼표 [0] 2 4 3 7" xfId="31011"/>
    <cellStyle name="쉼표 [0] 2 4 3 7 2" xfId="32361"/>
    <cellStyle name="쉼표 [0] 2 4 3 8" xfId="31541"/>
    <cellStyle name="쉼표 [0] 2 4 4" xfId="991"/>
    <cellStyle name="쉼표 [0] 2 4 4 10" xfId="16638"/>
    <cellStyle name="쉼표 [0] 2 4 4 11" xfId="29846"/>
    <cellStyle name="쉼표 [0] 2 4 4 12" xfId="29511"/>
    <cellStyle name="쉼표 [0] 2 4 4 2" xfId="992"/>
    <cellStyle name="쉼표 [0] 2 4 4 2 2" xfId="993"/>
    <cellStyle name="쉼표 [0] 2 4 4 2 2 2" xfId="994"/>
    <cellStyle name="쉼표 [0] 2 4 4 2 2 2 2" xfId="16445"/>
    <cellStyle name="쉼표 [0] 2 4 4 2 2 2 3" xfId="29371"/>
    <cellStyle name="쉼표 [0] 2 4 4 2 2 2 4" xfId="16641"/>
    <cellStyle name="쉼표 [0] 2 4 4 2 2 3" xfId="16446"/>
    <cellStyle name="쉼표 [0] 2 4 4 2 2 4" xfId="29372"/>
    <cellStyle name="쉼표 [0] 2 4 4 2 2 5" xfId="16640"/>
    <cellStyle name="쉼표 [0] 2 4 4 2 3" xfId="995"/>
    <cellStyle name="쉼표 [0] 2 4 4 2 3 2" xfId="996"/>
    <cellStyle name="쉼표 [0] 2 4 4 2 3 2 2" xfId="997"/>
    <cellStyle name="쉼표 [0] 2 4 4 2 3 2 2 2" xfId="16442"/>
    <cellStyle name="쉼표 [0] 2 4 4 2 3 2 2 3" xfId="29368"/>
    <cellStyle name="쉼표 [0] 2 4 4 2 3 2 2 4" xfId="16644"/>
    <cellStyle name="쉼표 [0] 2 4 4 2 3 2 3" xfId="16443"/>
    <cellStyle name="쉼표 [0] 2 4 4 2 3 2 4" xfId="29369"/>
    <cellStyle name="쉼표 [0] 2 4 4 2 3 2 5" xfId="16643"/>
    <cellStyle name="쉼표 [0] 2 4 4 2 3 3" xfId="998"/>
    <cellStyle name="쉼표 [0] 2 4 4 2 3 3 2" xfId="16441"/>
    <cellStyle name="쉼표 [0] 2 4 4 2 3 3 3" xfId="29367"/>
    <cellStyle name="쉼표 [0] 2 4 4 2 3 3 4" xfId="16645"/>
    <cellStyle name="쉼표 [0] 2 4 4 2 3 4" xfId="16444"/>
    <cellStyle name="쉼표 [0] 2 4 4 2 3 5" xfId="29370"/>
    <cellStyle name="쉼표 [0] 2 4 4 2 3 6" xfId="16642"/>
    <cellStyle name="쉼표 [0] 2 4 4 2 4" xfId="999"/>
    <cellStyle name="쉼표 [0] 2 4 4 2 4 2" xfId="1000"/>
    <cellStyle name="쉼표 [0] 2 4 4 2 4 2 2" xfId="16439"/>
    <cellStyle name="쉼표 [0] 2 4 4 2 4 2 3" xfId="29365"/>
    <cellStyle name="쉼표 [0] 2 4 4 2 4 2 4" xfId="16647"/>
    <cellStyle name="쉼표 [0] 2 4 4 2 4 3" xfId="16440"/>
    <cellStyle name="쉼표 [0] 2 4 4 2 4 4" xfId="29366"/>
    <cellStyle name="쉼표 [0] 2 4 4 2 4 5" xfId="16646"/>
    <cellStyle name="쉼표 [0] 2 4 4 2 5" xfId="1001"/>
    <cellStyle name="쉼표 [0] 2 4 4 2 5 2" xfId="16438"/>
    <cellStyle name="쉼표 [0] 2 4 4 2 5 3" xfId="29364"/>
    <cellStyle name="쉼표 [0] 2 4 4 2 5 4" xfId="16648"/>
    <cellStyle name="쉼표 [0] 2 4 4 2 6" xfId="16447"/>
    <cellStyle name="쉼표 [0] 2 4 4 2 7" xfId="29373"/>
    <cellStyle name="쉼표 [0] 2 4 4 2 8" xfId="16639"/>
    <cellStyle name="쉼표 [0] 2 4 4 2 9" xfId="29561"/>
    <cellStyle name="쉼표 [0] 2 4 4 3" xfId="1002"/>
    <cellStyle name="쉼표 [0] 2 4 4 3 2" xfId="1003"/>
    <cellStyle name="쉼표 [0] 2 4 4 3 2 2" xfId="16436"/>
    <cellStyle name="쉼표 [0] 2 4 4 3 2 3" xfId="29362"/>
    <cellStyle name="쉼표 [0] 2 4 4 3 2 4" xfId="16650"/>
    <cellStyle name="쉼표 [0] 2 4 4 3 3" xfId="16437"/>
    <cellStyle name="쉼표 [0] 2 4 4 3 4" xfId="29363"/>
    <cellStyle name="쉼표 [0] 2 4 4 3 5" xfId="16649"/>
    <cellStyle name="쉼표 [0] 2 4 4 4" xfId="1004"/>
    <cellStyle name="쉼표 [0] 2 4 4 4 2" xfId="1005"/>
    <cellStyle name="쉼표 [0] 2 4 4 4 2 2" xfId="1006"/>
    <cellStyle name="쉼표 [0] 2 4 4 4 2 2 2" xfId="16433"/>
    <cellStyle name="쉼표 [0] 2 4 4 4 2 2 3" xfId="29359"/>
    <cellStyle name="쉼표 [0] 2 4 4 4 2 2 4" xfId="16653"/>
    <cellStyle name="쉼표 [0] 2 4 4 4 2 3" xfId="16434"/>
    <cellStyle name="쉼표 [0] 2 4 4 4 2 4" xfId="29360"/>
    <cellStyle name="쉼표 [0] 2 4 4 4 2 5" xfId="16652"/>
    <cellStyle name="쉼표 [0] 2 4 4 4 3" xfId="1007"/>
    <cellStyle name="쉼표 [0] 2 4 4 4 3 2" xfId="16432"/>
    <cellStyle name="쉼표 [0] 2 4 4 4 3 3" xfId="29358"/>
    <cellStyle name="쉼표 [0] 2 4 4 4 3 4" xfId="16654"/>
    <cellStyle name="쉼표 [0] 2 4 4 4 4" xfId="16435"/>
    <cellStyle name="쉼표 [0] 2 4 4 4 5" xfId="29361"/>
    <cellStyle name="쉼표 [0] 2 4 4 4 6" xfId="16651"/>
    <cellStyle name="쉼표 [0] 2 4 4 5" xfId="1008"/>
    <cellStyle name="쉼표 [0] 2 4 4 5 2" xfId="1009"/>
    <cellStyle name="쉼표 [0] 2 4 4 5 2 2" xfId="16430"/>
    <cellStyle name="쉼표 [0] 2 4 4 5 2 3" xfId="29356"/>
    <cellStyle name="쉼표 [0] 2 4 4 5 2 4" xfId="16656"/>
    <cellStyle name="쉼표 [0] 2 4 4 5 3" xfId="16431"/>
    <cellStyle name="쉼표 [0] 2 4 4 5 4" xfId="29357"/>
    <cellStyle name="쉼표 [0] 2 4 4 5 5" xfId="16655"/>
    <cellStyle name="쉼표 [0] 2 4 4 6" xfId="1010"/>
    <cellStyle name="쉼표 [0] 2 4 4 6 2" xfId="16429"/>
    <cellStyle name="쉼표 [0] 2 4 4 6 3" xfId="29355"/>
    <cellStyle name="쉼표 [0] 2 4 4 6 4" xfId="16657"/>
    <cellStyle name="쉼표 [0] 2 4 4 7" xfId="16658"/>
    <cellStyle name="쉼표 [0] 2 4 4 7 2" xfId="16428"/>
    <cellStyle name="쉼표 [0] 2 4 4 8" xfId="16448"/>
    <cellStyle name="쉼표 [0] 2 4 4 9" xfId="29374"/>
    <cellStyle name="쉼표 [0] 2 4 5" xfId="1011"/>
    <cellStyle name="쉼표 [0] 2 4 5 10" xfId="30494"/>
    <cellStyle name="쉼표 [0] 2 4 5 11" xfId="30289"/>
    <cellStyle name="쉼표 [0] 2 4 5 2" xfId="1012"/>
    <cellStyle name="쉼표 [0] 2 4 5 2 2" xfId="1013"/>
    <cellStyle name="쉼표 [0] 2 4 5 2 2 2" xfId="16425"/>
    <cellStyle name="쉼표 [0] 2 4 5 2 2 3" xfId="29352"/>
    <cellStyle name="쉼표 [0] 2 4 5 2 2 4" xfId="16661"/>
    <cellStyle name="쉼표 [0] 2 4 5 2 3" xfId="16426"/>
    <cellStyle name="쉼표 [0] 2 4 5 2 4" xfId="29353"/>
    <cellStyle name="쉼표 [0] 2 4 5 2 5" xfId="16660"/>
    <cellStyle name="쉼표 [0] 2 4 5 3" xfId="1014"/>
    <cellStyle name="쉼표 [0] 2 4 5 3 2" xfId="1015"/>
    <cellStyle name="쉼표 [0] 2 4 5 3 2 2" xfId="1016"/>
    <cellStyle name="쉼표 [0] 2 4 5 3 2 2 2" xfId="16422"/>
    <cellStyle name="쉼표 [0] 2 4 5 3 2 2 3" xfId="29349"/>
    <cellStyle name="쉼표 [0] 2 4 5 3 2 2 4" xfId="16664"/>
    <cellStyle name="쉼표 [0] 2 4 5 3 2 3" xfId="16423"/>
    <cellStyle name="쉼표 [0] 2 4 5 3 2 4" xfId="29350"/>
    <cellStyle name="쉼표 [0] 2 4 5 3 2 5" xfId="16663"/>
    <cellStyle name="쉼표 [0] 2 4 5 3 3" xfId="1017"/>
    <cellStyle name="쉼표 [0] 2 4 5 3 3 2" xfId="16421"/>
    <cellStyle name="쉼표 [0] 2 4 5 3 3 3" xfId="29348"/>
    <cellStyle name="쉼표 [0] 2 4 5 3 3 4" xfId="16665"/>
    <cellStyle name="쉼표 [0] 2 4 5 3 4" xfId="16424"/>
    <cellStyle name="쉼표 [0] 2 4 5 3 5" xfId="29351"/>
    <cellStyle name="쉼표 [0] 2 4 5 3 6" xfId="16662"/>
    <cellStyle name="쉼표 [0] 2 4 5 4" xfId="1018"/>
    <cellStyle name="쉼표 [0] 2 4 5 4 2" xfId="1019"/>
    <cellStyle name="쉼표 [0] 2 4 5 4 2 2" xfId="16419"/>
    <cellStyle name="쉼표 [0] 2 4 5 4 2 3" xfId="29346"/>
    <cellStyle name="쉼표 [0] 2 4 5 4 2 4" xfId="16667"/>
    <cellStyle name="쉼표 [0] 2 4 5 4 3" xfId="16420"/>
    <cellStyle name="쉼표 [0] 2 4 5 4 4" xfId="29347"/>
    <cellStyle name="쉼표 [0] 2 4 5 4 5" xfId="16666"/>
    <cellStyle name="쉼표 [0] 2 4 5 5" xfId="1020"/>
    <cellStyle name="쉼표 [0] 2 4 5 5 2" xfId="16418"/>
    <cellStyle name="쉼표 [0] 2 4 5 5 3" xfId="29345"/>
    <cellStyle name="쉼표 [0] 2 4 5 5 4" xfId="16668"/>
    <cellStyle name="쉼표 [0] 2 4 5 6" xfId="16669"/>
    <cellStyle name="쉼표 [0] 2 4 5 6 2" xfId="16417"/>
    <cellStyle name="쉼표 [0] 2 4 5 7" xfId="16427"/>
    <cellStyle name="쉼표 [0] 2 4 5 8" xfId="29354"/>
    <cellStyle name="쉼표 [0] 2 4 5 9" xfId="16659"/>
    <cellStyle name="쉼표 [0] 2 4 6" xfId="1021"/>
    <cellStyle name="쉼표 [0] 2 4 6 2" xfId="1022"/>
    <cellStyle name="쉼표 [0] 2 4 6 2 2" xfId="16415"/>
    <cellStyle name="쉼표 [0] 2 4 6 2 3" xfId="29343"/>
    <cellStyle name="쉼표 [0] 2 4 6 2 4" xfId="16671"/>
    <cellStyle name="쉼표 [0] 2 4 6 3" xfId="16672"/>
    <cellStyle name="쉼표 [0] 2 4 6 3 2" xfId="16414"/>
    <cellStyle name="쉼표 [0] 2 4 6 4" xfId="16416"/>
    <cellStyle name="쉼표 [0] 2 4 6 5" xfId="29344"/>
    <cellStyle name="쉼표 [0] 2 4 6 6" xfId="16670"/>
    <cellStyle name="쉼표 [0] 2 4 6 7" xfId="29745"/>
    <cellStyle name="쉼표 [0] 2 4 7" xfId="1023"/>
    <cellStyle name="쉼표 [0] 2 4 7 2" xfId="1024"/>
    <cellStyle name="쉼표 [0] 2 4 7 2 2" xfId="16412"/>
    <cellStyle name="쉼표 [0] 2 4 7 2 3" xfId="29341"/>
    <cellStyle name="쉼표 [0] 2 4 7 2 4" xfId="16674"/>
    <cellStyle name="쉼표 [0] 2 4 7 3" xfId="16675"/>
    <cellStyle name="쉼표 [0] 2 4 7 3 2" xfId="16411"/>
    <cellStyle name="쉼표 [0] 2 4 7 4" xfId="16413"/>
    <cellStyle name="쉼표 [0] 2 4 7 5" xfId="29342"/>
    <cellStyle name="쉼표 [0] 2 4 7 6" xfId="16673"/>
    <cellStyle name="쉼표 [0] 2 4 7 7" xfId="29806"/>
    <cellStyle name="쉼표 [0] 2 4 7 8" xfId="31540"/>
    <cellStyle name="쉼표 [0] 2 4 8" xfId="1025"/>
    <cellStyle name="쉼표 [0] 2 4 8 2" xfId="1026"/>
    <cellStyle name="쉼표 [0] 2 4 8 2 2" xfId="1027"/>
    <cellStyle name="쉼표 [0] 2 4 8 2 2 2" xfId="16408"/>
    <cellStyle name="쉼표 [0] 2 4 8 2 2 3" xfId="29338"/>
    <cellStyle name="쉼표 [0] 2 4 8 2 2 4" xfId="16678"/>
    <cellStyle name="쉼표 [0] 2 4 8 2 3" xfId="16409"/>
    <cellStyle name="쉼표 [0] 2 4 8 2 4" xfId="29339"/>
    <cellStyle name="쉼표 [0] 2 4 8 2 5" xfId="16677"/>
    <cellStyle name="쉼표 [0] 2 4 8 3" xfId="1028"/>
    <cellStyle name="쉼표 [0] 2 4 8 3 2" xfId="16407"/>
    <cellStyle name="쉼표 [0] 2 4 8 3 3" xfId="29337"/>
    <cellStyle name="쉼표 [0] 2 4 8 3 4" xfId="16679"/>
    <cellStyle name="쉼표 [0] 2 4 8 4" xfId="16410"/>
    <cellStyle name="쉼표 [0] 2 4 8 5" xfId="29340"/>
    <cellStyle name="쉼표 [0] 2 4 8 6" xfId="16676"/>
    <cellStyle name="쉼표 [0] 2 4 8 7" xfId="30057"/>
    <cellStyle name="쉼표 [0] 2 4 9" xfId="1029"/>
    <cellStyle name="쉼표 [0] 2 4 9 2" xfId="1030"/>
    <cellStyle name="쉼표 [0] 2 4 9 2 2" xfId="16405"/>
    <cellStyle name="쉼표 [0] 2 4 9 2 3" xfId="29335"/>
    <cellStyle name="쉼표 [0] 2 4 9 2 4" xfId="16681"/>
    <cellStyle name="쉼표 [0] 2 4 9 3" xfId="16406"/>
    <cellStyle name="쉼표 [0] 2 4 9 4" xfId="29336"/>
    <cellStyle name="쉼표 [0] 2 4 9 5" xfId="16680"/>
    <cellStyle name="쉼표 [0] 2 40" xfId="16682"/>
    <cellStyle name="쉼표 [0] 2 40 2" xfId="16404"/>
    <cellStyle name="쉼표 [0] 2 41" xfId="16683"/>
    <cellStyle name="쉼표 [0] 2 41 2" xfId="16403"/>
    <cellStyle name="쉼표 [0] 2 42" xfId="16684"/>
    <cellStyle name="쉼표 [0] 2 42 2" xfId="16402"/>
    <cellStyle name="쉼표 [0] 2 43" xfId="16685"/>
    <cellStyle name="쉼표 [0] 2 43 2" xfId="16401"/>
    <cellStyle name="쉼표 [0] 2 44" xfId="16686"/>
    <cellStyle name="쉼표 [0] 2 44 2" xfId="16400"/>
    <cellStyle name="쉼표 [0] 2 45" xfId="16687"/>
    <cellStyle name="쉼표 [0] 2 45 2" xfId="16399"/>
    <cellStyle name="쉼표 [0] 2 46" xfId="16688"/>
    <cellStyle name="쉼표 [0] 2 46 2" xfId="16398"/>
    <cellStyle name="쉼표 [0] 2 47" xfId="16689"/>
    <cellStyle name="쉼표 [0] 2 47 2" xfId="16397"/>
    <cellStyle name="쉼표 [0] 2 48" xfId="16690"/>
    <cellStyle name="쉼표 [0] 2 48 2" xfId="16396"/>
    <cellStyle name="쉼표 [0] 2 49" xfId="16691"/>
    <cellStyle name="쉼표 [0] 2 49 2" xfId="16395"/>
    <cellStyle name="쉼표 [0] 2 5" xfId="1031"/>
    <cellStyle name="쉼표 [0] 2 5 10" xfId="16394"/>
    <cellStyle name="쉼표 [0] 2 5 10 2" xfId="31539"/>
    <cellStyle name="쉼표 [0] 2 5 11" xfId="29334"/>
    <cellStyle name="쉼표 [0] 2 5 12" xfId="16692"/>
    <cellStyle name="쉼표 [0] 2 5 12 2" xfId="31538"/>
    <cellStyle name="쉼표 [0] 2 5 13" xfId="29847"/>
    <cellStyle name="쉼표 [0] 2 5 13 2" xfId="31537"/>
    <cellStyle name="쉼표 [0] 2 5 14" xfId="30910"/>
    <cellStyle name="쉼표 [0] 2 5 14 2" xfId="31941"/>
    <cellStyle name="쉼표 [0] 2 5 14 3" xfId="32264"/>
    <cellStyle name="쉼표 [0] 2 5 15" xfId="31536"/>
    <cellStyle name="쉼표 [0] 2 5 16" xfId="31535"/>
    <cellStyle name="쉼표 [0] 2 5 17" xfId="31534"/>
    <cellStyle name="쉼표 [0] 2 5 18" xfId="31533"/>
    <cellStyle name="쉼표 [0] 2 5 2" xfId="1032"/>
    <cellStyle name="쉼표 [0] 2 5 2 2" xfId="1033"/>
    <cellStyle name="쉼표 [0] 2 5 2 2 2" xfId="16392"/>
    <cellStyle name="쉼표 [0] 2 5 2 2 3" xfId="29332"/>
    <cellStyle name="쉼표 [0] 2 5 2 2 4" xfId="16694"/>
    <cellStyle name="쉼표 [0] 2 5 2 3" xfId="16393"/>
    <cellStyle name="쉼표 [0] 2 5 2 3 2" xfId="31531"/>
    <cellStyle name="쉼표 [0] 2 5 2 4" xfId="29333"/>
    <cellStyle name="쉼표 [0] 2 5 2 5" xfId="16693"/>
    <cellStyle name="쉼표 [0] 2 5 2 6" xfId="29500"/>
    <cellStyle name="쉼표 [0] 2 5 2 7" xfId="30950"/>
    <cellStyle name="쉼표 [0] 2 5 2 7 2" xfId="32303"/>
    <cellStyle name="쉼표 [0] 2 5 2 8" xfId="31532"/>
    <cellStyle name="쉼표 [0] 2 5 3" xfId="1034"/>
    <cellStyle name="쉼표 [0] 2 5 3 10" xfId="29600"/>
    <cellStyle name="쉼표 [0] 2 5 3 11" xfId="31530"/>
    <cellStyle name="쉼표 [0] 2 5 3 2" xfId="1035"/>
    <cellStyle name="쉼표 [0] 2 5 3 2 2" xfId="1036"/>
    <cellStyle name="쉼표 [0] 2 5 3 2 2 2" xfId="1037"/>
    <cellStyle name="쉼표 [0] 2 5 3 2 2 2 2" xfId="16388"/>
    <cellStyle name="쉼표 [0] 2 5 3 2 2 2 3" xfId="29328"/>
    <cellStyle name="쉼표 [0] 2 5 3 2 2 2 4" xfId="16698"/>
    <cellStyle name="쉼표 [0] 2 5 3 2 2 3" xfId="16389"/>
    <cellStyle name="쉼표 [0] 2 5 3 2 2 4" xfId="29329"/>
    <cellStyle name="쉼표 [0] 2 5 3 2 2 5" xfId="16697"/>
    <cellStyle name="쉼표 [0] 2 5 3 2 3" xfId="1038"/>
    <cellStyle name="쉼표 [0] 2 5 3 2 3 2" xfId="1039"/>
    <cellStyle name="쉼표 [0] 2 5 3 2 3 2 2" xfId="1040"/>
    <cellStyle name="쉼표 [0] 2 5 3 2 3 2 2 2" xfId="16385"/>
    <cellStyle name="쉼표 [0] 2 5 3 2 3 2 2 3" xfId="29325"/>
    <cellStyle name="쉼표 [0] 2 5 3 2 3 2 2 4" xfId="16701"/>
    <cellStyle name="쉼표 [0] 2 5 3 2 3 2 3" xfId="16386"/>
    <cellStyle name="쉼표 [0] 2 5 3 2 3 2 4" xfId="29326"/>
    <cellStyle name="쉼표 [0] 2 5 3 2 3 2 5" xfId="16700"/>
    <cellStyle name="쉼표 [0] 2 5 3 2 3 3" xfId="1041"/>
    <cellStyle name="쉼표 [0] 2 5 3 2 3 3 2" xfId="16384"/>
    <cellStyle name="쉼표 [0] 2 5 3 2 3 3 3" xfId="29324"/>
    <cellStyle name="쉼표 [0] 2 5 3 2 3 3 4" xfId="16702"/>
    <cellStyle name="쉼표 [0] 2 5 3 2 3 4" xfId="16387"/>
    <cellStyle name="쉼표 [0] 2 5 3 2 3 5" xfId="29327"/>
    <cellStyle name="쉼표 [0] 2 5 3 2 3 6" xfId="16699"/>
    <cellStyle name="쉼표 [0] 2 5 3 2 4" xfId="1042"/>
    <cellStyle name="쉼표 [0] 2 5 3 2 4 2" xfId="1043"/>
    <cellStyle name="쉼표 [0] 2 5 3 2 4 2 2" xfId="16382"/>
    <cellStyle name="쉼표 [0] 2 5 3 2 4 2 3" xfId="29322"/>
    <cellStyle name="쉼표 [0] 2 5 3 2 4 2 4" xfId="16704"/>
    <cellStyle name="쉼표 [0] 2 5 3 2 4 3" xfId="16383"/>
    <cellStyle name="쉼표 [0] 2 5 3 2 4 4" xfId="29323"/>
    <cellStyle name="쉼표 [0] 2 5 3 2 4 5" xfId="16703"/>
    <cellStyle name="쉼표 [0] 2 5 3 2 5" xfId="1044"/>
    <cellStyle name="쉼표 [0] 2 5 3 2 5 2" xfId="16381"/>
    <cellStyle name="쉼표 [0] 2 5 3 2 5 3" xfId="29321"/>
    <cellStyle name="쉼표 [0] 2 5 3 2 5 4" xfId="16705"/>
    <cellStyle name="쉼표 [0] 2 5 3 2 6" xfId="16390"/>
    <cellStyle name="쉼표 [0] 2 5 3 2 7" xfId="29330"/>
    <cellStyle name="쉼표 [0] 2 5 3 2 8" xfId="16696"/>
    <cellStyle name="쉼표 [0] 2 5 3 2 9" xfId="29721"/>
    <cellStyle name="쉼표 [0] 2 5 3 3" xfId="1045"/>
    <cellStyle name="쉼표 [0] 2 5 3 3 2" xfId="1046"/>
    <cellStyle name="쉼표 [0] 2 5 3 3 2 2" xfId="16379"/>
    <cellStyle name="쉼표 [0] 2 5 3 3 2 3" xfId="29319"/>
    <cellStyle name="쉼표 [0] 2 5 3 3 2 4" xfId="16707"/>
    <cellStyle name="쉼표 [0] 2 5 3 3 3" xfId="16380"/>
    <cellStyle name="쉼표 [0] 2 5 3 3 4" xfId="29320"/>
    <cellStyle name="쉼표 [0] 2 5 3 3 5" xfId="16706"/>
    <cellStyle name="쉼표 [0] 2 5 3 4" xfId="1047"/>
    <cellStyle name="쉼표 [0] 2 5 3 4 2" xfId="1048"/>
    <cellStyle name="쉼표 [0] 2 5 3 4 2 2" xfId="1049"/>
    <cellStyle name="쉼표 [0] 2 5 3 4 2 2 2" xfId="16376"/>
    <cellStyle name="쉼표 [0] 2 5 3 4 2 2 3" xfId="29316"/>
    <cellStyle name="쉼표 [0] 2 5 3 4 2 2 4" xfId="16710"/>
    <cellStyle name="쉼표 [0] 2 5 3 4 2 3" xfId="16377"/>
    <cellStyle name="쉼표 [0] 2 5 3 4 2 4" xfId="29317"/>
    <cellStyle name="쉼표 [0] 2 5 3 4 2 5" xfId="16709"/>
    <cellStyle name="쉼표 [0] 2 5 3 4 3" xfId="1050"/>
    <cellStyle name="쉼표 [0] 2 5 3 4 3 2" xfId="16375"/>
    <cellStyle name="쉼표 [0] 2 5 3 4 3 3" xfId="29315"/>
    <cellStyle name="쉼표 [0] 2 5 3 4 3 4" xfId="16711"/>
    <cellStyle name="쉼표 [0] 2 5 3 4 4" xfId="16378"/>
    <cellStyle name="쉼표 [0] 2 5 3 4 5" xfId="29318"/>
    <cellStyle name="쉼표 [0] 2 5 3 4 6" xfId="16708"/>
    <cellStyle name="쉼표 [0] 2 5 3 5" xfId="1051"/>
    <cellStyle name="쉼표 [0] 2 5 3 5 2" xfId="1052"/>
    <cellStyle name="쉼표 [0] 2 5 3 5 2 2" xfId="16373"/>
    <cellStyle name="쉼표 [0] 2 5 3 5 2 3" xfId="29313"/>
    <cellStyle name="쉼표 [0] 2 5 3 5 2 4" xfId="16713"/>
    <cellStyle name="쉼표 [0] 2 5 3 5 3" xfId="16374"/>
    <cellStyle name="쉼표 [0] 2 5 3 5 4" xfId="29314"/>
    <cellStyle name="쉼표 [0] 2 5 3 5 5" xfId="16712"/>
    <cellStyle name="쉼표 [0] 2 5 3 6" xfId="1053"/>
    <cellStyle name="쉼표 [0] 2 5 3 6 2" xfId="16372"/>
    <cellStyle name="쉼표 [0] 2 5 3 6 3" xfId="29312"/>
    <cellStyle name="쉼표 [0] 2 5 3 6 4" xfId="16714"/>
    <cellStyle name="쉼표 [0] 2 5 3 7" xfId="16391"/>
    <cellStyle name="쉼표 [0] 2 5 3 8" xfId="29331"/>
    <cellStyle name="쉼표 [0] 2 5 3 9" xfId="16695"/>
    <cellStyle name="쉼표 [0] 2 5 4" xfId="1054"/>
    <cellStyle name="쉼표 [0] 2 5 4 10" xfId="31529"/>
    <cellStyle name="쉼표 [0] 2 5 4 2" xfId="1055"/>
    <cellStyle name="쉼표 [0] 2 5 4 2 2" xfId="1056"/>
    <cellStyle name="쉼표 [0] 2 5 4 2 2 2" xfId="16369"/>
    <cellStyle name="쉼표 [0] 2 5 4 2 2 3" xfId="29309"/>
    <cellStyle name="쉼표 [0] 2 5 4 2 2 4" xfId="16717"/>
    <cellStyle name="쉼표 [0] 2 5 4 2 3" xfId="16370"/>
    <cellStyle name="쉼표 [0] 2 5 4 2 4" xfId="29310"/>
    <cellStyle name="쉼표 [0] 2 5 4 2 5" xfId="16716"/>
    <cellStyle name="쉼표 [0] 2 5 4 3" xfId="1057"/>
    <cellStyle name="쉼표 [0] 2 5 4 3 2" xfId="1058"/>
    <cellStyle name="쉼표 [0] 2 5 4 3 2 2" xfId="1059"/>
    <cellStyle name="쉼표 [0] 2 5 4 3 2 2 2" xfId="16366"/>
    <cellStyle name="쉼표 [0] 2 5 4 3 2 2 3" xfId="29306"/>
    <cellStyle name="쉼표 [0] 2 5 4 3 2 2 4" xfId="16720"/>
    <cellStyle name="쉼표 [0] 2 5 4 3 2 3" xfId="16367"/>
    <cellStyle name="쉼표 [0] 2 5 4 3 2 4" xfId="29307"/>
    <cellStyle name="쉼표 [0] 2 5 4 3 2 5" xfId="16719"/>
    <cellStyle name="쉼표 [0] 2 5 4 3 3" xfId="1060"/>
    <cellStyle name="쉼표 [0] 2 5 4 3 3 2" xfId="16365"/>
    <cellStyle name="쉼표 [0] 2 5 4 3 3 3" xfId="29305"/>
    <cellStyle name="쉼표 [0] 2 5 4 3 3 4" xfId="16721"/>
    <cellStyle name="쉼표 [0] 2 5 4 3 4" xfId="16368"/>
    <cellStyle name="쉼표 [0] 2 5 4 3 5" xfId="29308"/>
    <cellStyle name="쉼표 [0] 2 5 4 3 6" xfId="16718"/>
    <cellStyle name="쉼표 [0] 2 5 4 4" xfId="1061"/>
    <cellStyle name="쉼표 [0] 2 5 4 4 2" xfId="1062"/>
    <cellStyle name="쉼표 [0] 2 5 4 4 2 2" xfId="16363"/>
    <cellStyle name="쉼표 [0] 2 5 4 4 2 3" xfId="29303"/>
    <cellStyle name="쉼표 [0] 2 5 4 4 2 4" xfId="16723"/>
    <cellStyle name="쉼표 [0] 2 5 4 4 3" xfId="16364"/>
    <cellStyle name="쉼표 [0] 2 5 4 4 4" xfId="29304"/>
    <cellStyle name="쉼표 [0] 2 5 4 4 5" xfId="16722"/>
    <cellStyle name="쉼표 [0] 2 5 4 5" xfId="1063"/>
    <cellStyle name="쉼표 [0] 2 5 4 5 2" xfId="16362"/>
    <cellStyle name="쉼표 [0] 2 5 4 5 3" xfId="29302"/>
    <cellStyle name="쉼표 [0] 2 5 4 5 4" xfId="16724"/>
    <cellStyle name="쉼표 [0] 2 5 4 6" xfId="16371"/>
    <cellStyle name="쉼표 [0] 2 5 4 7" xfId="29311"/>
    <cellStyle name="쉼표 [0] 2 5 4 8" xfId="16715"/>
    <cellStyle name="쉼표 [0] 2 5 4 9" xfId="29814"/>
    <cellStyle name="쉼표 [0] 2 5 5" xfId="1064"/>
    <cellStyle name="쉼표 [0] 2 5 5 2" xfId="1065"/>
    <cellStyle name="쉼표 [0] 2 5 5 2 2" xfId="1066"/>
    <cellStyle name="쉼표 [0] 2 5 5 2 2 2" xfId="16359"/>
    <cellStyle name="쉼표 [0] 2 5 5 2 2 3" xfId="29299"/>
    <cellStyle name="쉼표 [0] 2 5 5 2 2 4" xfId="16727"/>
    <cellStyle name="쉼표 [0] 2 5 5 2 3" xfId="16360"/>
    <cellStyle name="쉼표 [0] 2 5 5 2 4" xfId="29300"/>
    <cellStyle name="쉼표 [0] 2 5 5 2 5" xfId="16726"/>
    <cellStyle name="쉼표 [0] 2 5 5 3" xfId="1067"/>
    <cellStyle name="쉼표 [0] 2 5 5 3 2" xfId="16358"/>
    <cellStyle name="쉼표 [0] 2 5 5 3 3" xfId="29298"/>
    <cellStyle name="쉼표 [0] 2 5 5 3 4" xfId="16728"/>
    <cellStyle name="쉼표 [0] 2 5 5 4" xfId="16361"/>
    <cellStyle name="쉼표 [0] 2 5 5 5" xfId="29301"/>
    <cellStyle name="쉼표 [0] 2 5 5 6" xfId="16725"/>
    <cellStyle name="쉼표 [0] 2 5 5 7" xfId="29642"/>
    <cellStyle name="쉼표 [0] 2 5 6" xfId="1068"/>
    <cellStyle name="쉼표 [0] 2 5 6 2" xfId="1069"/>
    <cellStyle name="쉼표 [0] 2 5 6 2 2" xfId="16356"/>
    <cellStyle name="쉼표 [0] 2 5 6 2 3" xfId="29296"/>
    <cellStyle name="쉼표 [0] 2 5 6 2 4" xfId="16730"/>
    <cellStyle name="쉼표 [0] 2 5 6 3" xfId="16357"/>
    <cellStyle name="쉼표 [0] 2 5 6 4" xfId="29297"/>
    <cellStyle name="쉼표 [0] 2 5 6 5" xfId="16729"/>
    <cellStyle name="쉼표 [0] 2 5 6 6" xfId="29512"/>
    <cellStyle name="쉼표 [0] 2 5 7" xfId="1070"/>
    <cellStyle name="쉼표 [0] 2 5 7 2" xfId="16355"/>
    <cellStyle name="쉼표 [0] 2 5 7 3" xfId="29295"/>
    <cellStyle name="쉼표 [0] 2 5 7 4" xfId="16731"/>
    <cellStyle name="쉼표 [0] 2 5 8" xfId="16732"/>
    <cellStyle name="쉼표 [0] 2 5 8 2" xfId="16354"/>
    <cellStyle name="쉼표 [0] 2 5 8 3" xfId="31528"/>
    <cellStyle name="쉼표 [0] 2 5 9" xfId="16733"/>
    <cellStyle name="쉼표 [0] 2 5 9 2" xfId="16353"/>
    <cellStyle name="쉼표 [0] 2 5 9 3" xfId="31527"/>
    <cellStyle name="쉼표 [0] 2 50" xfId="16734"/>
    <cellStyle name="쉼표 [0] 2 50 2" xfId="16352"/>
    <cellStyle name="쉼표 [0] 2 51" xfId="16735"/>
    <cellStyle name="쉼표 [0] 2 51 2" xfId="16351"/>
    <cellStyle name="쉼표 [0] 2 52" xfId="16736"/>
    <cellStyle name="쉼표 [0] 2 52 2" xfId="16350"/>
    <cellStyle name="쉼표 [0] 2 53" xfId="16737"/>
    <cellStyle name="쉼표 [0] 2 53 2" xfId="16349"/>
    <cellStyle name="쉼표 [0] 2 54" xfId="16738"/>
    <cellStyle name="쉼표 [0] 2 54 2" xfId="16348"/>
    <cellStyle name="쉼표 [0] 2 55" xfId="16739"/>
    <cellStyle name="쉼표 [0] 2 55 2" xfId="16347"/>
    <cellStyle name="쉼표 [0] 2 56" xfId="16740"/>
    <cellStyle name="쉼표 [0] 2 56 2" xfId="16346"/>
    <cellStyle name="쉼표 [0] 2 57" xfId="16741"/>
    <cellStyle name="쉼표 [0] 2 57 2" xfId="16345"/>
    <cellStyle name="쉼표 [0] 2 58" xfId="16742"/>
    <cellStyle name="쉼표 [0] 2 58 2" xfId="16344"/>
    <cellStyle name="쉼표 [0] 2 59" xfId="16743"/>
    <cellStyle name="쉼표 [0] 2 59 2" xfId="16343"/>
    <cellStyle name="쉼표 [0] 2 6" xfId="1071"/>
    <cellStyle name="쉼표 [0] 2 6 10" xfId="16745"/>
    <cellStyle name="쉼표 [0] 2 6 10 2" xfId="16746"/>
    <cellStyle name="쉼표 [0] 2 6 10 2 2" xfId="16340"/>
    <cellStyle name="쉼표 [0] 2 6 10 3" xfId="16341"/>
    <cellStyle name="쉼표 [0] 2 6 10 4" xfId="31526"/>
    <cellStyle name="쉼표 [0] 2 6 11" xfId="16747"/>
    <cellStyle name="쉼표 [0] 2 6 11 2" xfId="16748"/>
    <cellStyle name="쉼표 [0] 2 6 11 2 2" xfId="16338"/>
    <cellStyle name="쉼표 [0] 2 6 11 3" xfId="16339"/>
    <cellStyle name="쉼표 [0] 2 6 11 4" xfId="31525"/>
    <cellStyle name="쉼표 [0] 2 6 12" xfId="16749"/>
    <cellStyle name="쉼표 [0] 2 6 12 2" xfId="16750"/>
    <cellStyle name="쉼표 [0] 2 6 12 2 2" xfId="16336"/>
    <cellStyle name="쉼표 [0] 2 6 12 3" xfId="16337"/>
    <cellStyle name="쉼표 [0] 2 6 12 4" xfId="31524"/>
    <cellStyle name="쉼표 [0] 2 6 13" xfId="16751"/>
    <cellStyle name="쉼표 [0] 2 6 13 2" xfId="16752"/>
    <cellStyle name="쉼표 [0] 2 6 13 2 2" xfId="16334"/>
    <cellStyle name="쉼표 [0] 2 6 13 3" xfId="16335"/>
    <cellStyle name="쉼표 [0] 2 6 13 4" xfId="31523"/>
    <cellStyle name="쉼표 [0] 2 6 14" xfId="16753"/>
    <cellStyle name="쉼표 [0] 2 6 14 2" xfId="16754"/>
    <cellStyle name="쉼표 [0] 2 6 14 2 2" xfId="16332"/>
    <cellStyle name="쉼표 [0] 2 6 14 3" xfId="16333"/>
    <cellStyle name="쉼표 [0] 2 6 14 4" xfId="31522"/>
    <cellStyle name="쉼표 [0] 2 6 15" xfId="16755"/>
    <cellStyle name="쉼표 [0] 2 6 15 2" xfId="16756"/>
    <cellStyle name="쉼표 [0] 2 6 15 2 2" xfId="16330"/>
    <cellStyle name="쉼표 [0] 2 6 15 3" xfId="16331"/>
    <cellStyle name="쉼표 [0] 2 6 15 4" xfId="31521"/>
    <cellStyle name="쉼표 [0] 2 6 16" xfId="16757"/>
    <cellStyle name="쉼표 [0] 2 6 16 2" xfId="16758"/>
    <cellStyle name="쉼표 [0] 2 6 16 2 2" xfId="16328"/>
    <cellStyle name="쉼표 [0] 2 6 16 3" xfId="16329"/>
    <cellStyle name="쉼표 [0] 2 6 16 4" xfId="31520"/>
    <cellStyle name="쉼표 [0] 2 6 17" xfId="16759"/>
    <cellStyle name="쉼표 [0] 2 6 17 2" xfId="16760"/>
    <cellStyle name="쉼표 [0] 2 6 17 2 2" xfId="16326"/>
    <cellStyle name="쉼표 [0] 2 6 17 3" xfId="16327"/>
    <cellStyle name="쉼표 [0] 2 6 17 4" xfId="31519"/>
    <cellStyle name="쉼표 [0] 2 6 18" xfId="16761"/>
    <cellStyle name="쉼표 [0] 2 6 18 2" xfId="16762"/>
    <cellStyle name="쉼표 [0] 2 6 18 2 2" xfId="16324"/>
    <cellStyle name="쉼표 [0] 2 6 18 3" xfId="16325"/>
    <cellStyle name="쉼표 [0] 2 6 18 4" xfId="31518"/>
    <cellStyle name="쉼표 [0] 2 6 19" xfId="16763"/>
    <cellStyle name="쉼표 [0] 2 6 19 2" xfId="16764"/>
    <cellStyle name="쉼표 [0] 2 6 19 2 2" xfId="16322"/>
    <cellStyle name="쉼표 [0] 2 6 19 3" xfId="16323"/>
    <cellStyle name="쉼표 [0] 2 6 19 4" xfId="31517"/>
    <cellStyle name="쉼표 [0] 2 6 2" xfId="1072"/>
    <cellStyle name="쉼표 [0] 2 6 2 10" xfId="16766"/>
    <cellStyle name="쉼표 [0] 2 6 2 10 2" xfId="16320"/>
    <cellStyle name="쉼표 [0] 2 6 2 11" xfId="16767"/>
    <cellStyle name="쉼표 [0] 2 6 2 11 2" xfId="16319"/>
    <cellStyle name="쉼표 [0] 2 6 2 12" xfId="16768"/>
    <cellStyle name="쉼표 [0] 2 6 2 12 2" xfId="16318"/>
    <cellStyle name="쉼표 [0] 2 6 2 13" xfId="16769"/>
    <cellStyle name="쉼표 [0] 2 6 2 13 2" xfId="16317"/>
    <cellStyle name="쉼표 [0] 2 6 2 14" xfId="16770"/>
    <cellStyle name="쉼표 [0] 2 6 2 14 2" xfId="16316"/>
    <cellStyle name="쉼표 [0] 2 6 2 15" xfId="16771"/>
    <cellStyle name="쉼표 [0] 2 6 2 15 2" xfId="16315"/>
    <cellStyle name="쉼표 [0] 2 6 2 16" xfId="16772"/>
    <cellStyle name="쉼표 [0] 2 6 2 16 2" xfId="16314"/>
    <cellStyle name="쉼표 [0] 2 6 2 17" xfId="16773"/>
    <cellStyle name="쉼표 [0] 2 6 2 17 2" xfId="16313"/>
    <cellStyle name="쉼표 [0] 2 6 2 18" xfId="16774"/>
    <cellStyle name="쉼표 [0] 2 6 2 18 2" xfId="16312"/>
    <cellStyle name="쉼표 [0] 2 6 2 19" xfId="16775"/>
    <cellStyle name="쉼표 [0] 2 6 2 19 2" xfId="16311"/>
    <cellStyle name="쉼표 [0] 2 6 2 2" xfId="16776"/>
    <cellStyle name="쉼표 [0] 2 6 2 2 10" xfId="16777"/>
    <cellStyle name="쉼표 [0] 2 6 2 2 10 2" xfId="16778"/>
    <cellStyle name="쉼표 [0] 2 6 2 2 10 2 2" xfId="16308"/>
    <cellStyle name="쉼표 [0] 2 6 2 2 10 3" xfId="16309"/>
    <cellStyle name="쉼표 [0] 2 6 2 2 11" xfId="16779"/>
    <cellStyle name="쉼표 [0] 2 6 2 2 11 2" xfId="16780"/>
    <cellStyle name="쉼표 [0] 2 6 2 2 11 2 2" xfId="16306"/>
    <cellStyle name="쉼표 [0] 2 6 2 2 11 3" xfId="16307"/>
    <cellStyle name="쉼표 [0] 2 6 2 2 12" xfId="16781"/>
    <cellStyle name="쉼표 [0] 2 6 2 2 12 2" xfId="16782"/>
    <cellStyle name="쉼표 [0] 2 6 2 2 12 2 2" xfId="16304"/>
    <cellStyle name="쉼표 [0] 2 6 2 2 12 3" xfId="16305"/>
    <cellStyle name="쉼표 [0] 2 6 2 2 13" xfId="16783"/>
    <cellStyle name="쉼표 [0] 2 6 2 2 13 2" xfId="16784"/>
    <cellStyle name="쉼표 [0] 2 6 2 2 13 2 2" xfId="16302"/>
    <cellStyle name="쉼표 [0] 2 6 2 2 13 3" xfId="16303"/>
    <cellStyle name="쉼표 [0] 2 6 2 2 14" xfId="16785"/>
    <cellStyle name="쉼표 [0] 2 6 2 2 14 2" xfId="16786"/>
    <cellStyle name="쉼표 [0] 2 6 2 2 14 2 2" xfId="16300"/>
    <cellStyle name="쉼표 [0] 2 6 2 2 14 3" xfId="16301"/>
    <cellStyle name="쉼표 [0] 2 6 2 2 15" xfId="16787"/>
    <cellStyle name="쉼표 [0] 2 6 2 2 15 2" xfId="16788"/>
    <cellStyle name="쉼표 [0] 2 6 2 2 15 2 2" xfId="16298"/>
    <cellStyle name="쉼표 [0] 2 6 2 2 15 3" xfId="16299"/>
    <cellStyle name="쉼표 [0] 2 6 2 2 16" xfId="16789"/>
    <cellStyle name="쉼표 [0] 2 6 2 2 16 2" xfId="16790"/>
    <cellStyle name="쉼표 [0] 2 6 2 2 16 2 2" xfId="16296"/>
    <cellStyle name="쉼표 [0] 2 6 2 2 16 3" xfId="16297"/>
    <cellStyle name="쉼표 [0] 2 6 2 2 17" xfId="16791"/>
    <cellStyle name="쉼표 [0] 2 6 2 2 17 2" xfId="16792"/>
    <cellStyle name="쉼표 [0] 2 6 2 2 17 2 2" xfId="16294"/>
    <cellStyle name="쉼표 [0] 2 6 2 2 17 3" xfId="16295"/>
    <cellStyle name="쉼표 [0] 2 6 2 2 18" xfId="16793"/>
    <cellStyle name="쉼표 [0] 2 6 2 2 18 2" xfId="16794"/>
    <cellStyle name="쉼표 [0] 2 6 2 2 18 2 2" xfId="16292"/>
    <cellStyle name="쉼표 [0] 2 6 2 2 18 3" xfId="16293"/>
    <cellStyle name="쉼표 [0] 2 6 2 2 19" xfId="16795"/>
    <cellStyle name="쉼표 [0] 2 6 2 2 19 2" xfId="16796"/>
    <cellStyle name="쉼표 [0] 2 6 2 2 19 2 2" xfId="16290"/>
    <cellStyle name="쉼표 [0] 2 6 2 2 19 3" xfId="16291"/>
    <cellStyle name="쉼표 [0] 2 6 2 2 2" xfId="16797"/>
    <cellStyle name="쉼표 [0] 2 6 2 2 2 10" xfId="16798"/>
    <cellStyle name="쉼표 [0] 2 6 2 2 2 10 2" xfId="16288"/>
    <cellStyle name="쉼표 [0] 2 6 2 2 2 11" xfId="16799"/>
    <cellStyle name="쉼표 [0] 2 6 2 2 2 11 2" xfId="16287"/>
    <cellStyle name="쉼표 [0] 2 6 2 2 2 12" xfId="16800"/>
    <cellStyle name="쉼표 [0] 2 6 2 2 2 12 2" xfId="16286"/>
    <cellStyle name="쉼표 [0] 2 6 2 2 2 13" xfId="16801"/>
    <cellStyle name="쉼표 [0] 2 6 2 2 2 13 2" xfId="16285"/>
    <cellStyle name="쉼표 [0] 2 6 2 2 2 14" xfId="16802"/>
    <cellStyle name="쉼표 [0] 2 6 2 2 2 14 2" xfId="16284"/>
    <cellStyle name="쉼표 [0] 2 6 2 2 2 15" xfId="16803"/>
    <cellStyle name="쉼표 [0] 2 6 2 2 2 15 2" xfId="16283"/>
    <cellStyle name="쉼표 [0] 2 6 2 2 2 16" xfId="16804"/>
    <cellStyle name="쉼표 [0] 2 6 2 2 2 16 2" xfId="16282"/>
    <cellStyle name="쉼표 [0] 2 6 2 2 2 17" xfId="16805"/>
    <cellStyle name="쉼표 [0] 2 6 2 2 2 17 2" xfId="16281"/>
    <cellStyle name="쉼표 [0] 2 6 2 2 2 18" xfId="16806"/>
    <cellStyle name="쉼표 [0] 2 6 2 2 2 18 2" xfId="16280"/>
    <cellStyle name="쉼표 [0] 2 6 2 2 2 19" xfId="16807"/>
    <cellStyle name="쉼표 [0] 2 6 2 2 2 19 2" xfId="16279"/>
    <cellStyle name="쉼표 [0] 2 6 2 2 2 2" xfId="16808"/>
    <cellStyle name="쉼표 [0] 2 6 2 2 2 2 2" xfId="16278"/>
    <cellStyle name="쉼표 [0] 2 6 2 2 2 20" xfId="16809"/>
    <cellStyle name="쉼표 [0] 2 6 2 2 2 20 2" xfId="16277"/>
    <cellStyle name="쉼표 [0] 2 6 2 2 2 21" xfId="16810"/>
    <cellStyle name="쉼표 [0] 2 6 2 2 2 21 2" xfId="16276"/>
    <cellStyle name="쉼표 [0] 2 6 2 2 2 22" xfId="16811"/>
    <cellStyle name="쉼표 [0] 2 6 2 2 2 22 2" xfId="16275"/>
    <cellStyle name="쉼표 [0] 2 6 2 2 2 23" xfId="16812"/>
    <cellStyle name="쉼표 [0] 2 6 2 2 2 23 2" xfId="16274"/>
    <cellStyle name="쉼표 [0] 2 6 2 2 2 24" xfId="16813"/>
    <cellStyle name="쉼표 [0] 2 6 2 2 2 24 2" xfId="16273"/>
    <cellStyle name="쉼표 [0] 2 6 2 2 2 25" xfId="16814"/>
    <cellStyle name="쉼표 [0] 2 6 2 2 2 25 2" xfId="16272"/>
    <cellStyle name="쉼표 [0] 2 6 2 2 2 26" xfId="16815"/>
    <cellStyle name="쉼표 [0] 2 6 2 2 2 26 2" xfId="16271"/>
    <cellStyle name="쉼표 [0] 2 6 2 2 2 27" xfId="16816"/>
    <cellStyle name="쉼표 [0] 2 6 2 2 2 27 2" xfId="16270"/>
    <cellStyle name="쉼표 [0] 2 6 2 2 2 28" xfId="16817"/>
    <cellStyle name="쉼표 [0] 2 6 2 2 2 28 2" xfId="16269"/>
    <cellStyle name="쉼표 [0] 2 6 2 2 2 29" xfId="16818"/>
    <cellStyle name="쉼표 [0] 2 6 2 2 2 29 2" xfId="16268"/>
    <cellStyle name="쉼표 [0] 2 6 2 2 2 3" xfId="16819"/>
    <cellStyle name="쉼표 [0] 2 6 2 2 2 3 2" xfId="16267"/>
    <cellStyle name="쉼표 [0] 2 6 2 2 2 30" xfId="16820"/>
    <cellStyle name="쉼표 [0] 2 6 2 2 2 30 2" xfId="16266"/>
    <cellStyle name="쉼표 [0] 2 6 2 2 2 31" xfId="16821"/>
    <cellStyle name="쉼표 [0] 2 6 2 2 2 31 2" xfId="16265"/>
    <cellStyle name="쉼표 [0] 2 6 2 2 2 32" xfId="16822"/>
    <cellStyle name="쉼표 [0] 2 6 2 2 2 32 2" xfId="16264"/>
    <cellStyle name="쉼표 [0] 2 6 2 2 2 33" xfId="16823"/>
    <cellStyle name="쉼표 [0] 2 6 2 2 2 33 2" xfId="16263"/>
    <cellStyle name="쉼표 [0] 2 6 2 2 2 34" xfId="16824"/>
    <cellStyle name="쉼표 [0] 2 6 2 2 2 34 2" xfId="16262"/>
    <cellStyle name="쉼표 [0] 2 6 2 2 2 35" xfId="16825"/>
    <cellStyle name="쉼표 [0] 2 6 2 2 2 35 2" xfId="16261"/>
    <cellStyle name="쉼표 [0] 2 6 2 2 2 36" xfId="16826"/>
    <cellStyle name="쉼표 [0] 2 6 2 2 2 36 2" xfId="16260"/>
    <cellStyle name="쉼표 [0] 2 6 2 2 2 37" xfId="16827"/>
    <cellStyle name="쉼표 [0] 2 6 2 2 2 37 2" xfId="16259"/>
    <cellStyle name="쉼표 [0] 2 6 2 2 2 38" xfId="16828"/>
    <cellStyle name="쉼표 [0] 2 6 2 2 2 38 2" xfId="16258"/>
    <cellStyle name="쉼표 [0] 2 6 2 2 2 39" xfId="16829"/>
    <cellStyle name="쉼표 [0] 2 6 2 2 2 39 2" xfId="16257"/>
    <cellStyle name="쉼표 [0] 2 6 2 2 2 4" xfId="16830"/>
    <cellStyle name="쉼표 [0] 2 6 2 2 2 4 2" xfId="16256"/>
    <cellStyle name="쉼표 [0] 2 6 2 2 2 40" xfId="16831"/>
    <cellStyle name="쉼표 [0] 2 6 2 2 2 40 2" xfId="16255"/>
    <cellStyle name="쉼표 [0] 2 6 2 2 2 41" xfId="16832"/>
    <cellStyle name="쉼표 [0] 2 6 2 2 2 41 2" xfId="16254"/>
    <cellStyle name="쉼표 [0] 2 6 2 2 2 42" xfId="16833"/>
    <cellStyle name="쉼표 [0] 2 6 2 2 2 42 2" xfId="16834"/>
    <cellStyle name="쉼표 [0] 2 6 2 2 2 42 2 2" xfId="16252"/>
    <cellStyle name="쉼표 [0] 2 6 2 2 2 42 3" xfId="16253"/>
    <cellStyle name="쉼표 [0] 2 6 2 2 2 43" xfId="16289"/>
    <cellStyle name="쉼표 [0] 2 6 2 2 2 5" xfId="16835"/>
    <cellStyle name="쉼표 [0] 2 6 2 2 2 5 2" xfId="16251"/>
    <cellStyle name="쉼표 [0] 2 6 2 2 2 6" xfId="16836"/>
    <cellStyle name="쉼표 [0] 2 6 2 2 2 6 2" xfId="16250"/>
    <cellStyle name="쉼표 [0] 2 6 2 2 2 7" xfId="16837"/>
    <cellStyle name="쉼표 [0] 2 6 2 2 2 7 2" xfId="16249"/>
    <cellStyle name="쉼표 [0] 2 6 2 2 2 8" xfId="16838"/>
    <cellStyle name="쉼표 [0] 2 6 2 2 2 8 2" xfId="16248"/>
    <cellStyle name="쉼표 [0] 2 6 2 2 2 9" xfId="16839"/>
    <cellStyle name="쉼표 [0] 2 6 2 2 2 9 2" xfId="16247"/>
    <cellStyle name="쉼표 [0] 2 6 2 2 20" xfId="16840"/>
    <cellStyle name="쉼표 [0] 2 6 2 2 20 2" xfId="16841"/>
    <cellStyle name="쉼표 [0] 2 6 2 2 20 2 2" xfId="16245"/>
    <cellStyle name="쉼표 [0] 2 6 2 2 20 3" xfId="16246"/>
    <cellStyle name="쉼표 [0] 2 6 2 2 21" xfId="16842"/>
    <cellStyle name="쉼표 [0] 2 6 2 2 21 2" xfId="16843"/>
    <cellStyle name="쉼표 [0] 2 6 2 2 21 2 2" xfId="16243"/>
    <cellStyle name="쉼표 [0] 2 6 2 2 21 3" xfId="16244"/>
    <cellStyle name="쉼표 [0] 2 6 2 2 22" xfId="16844"/>
    <cellStyle name="쉼표 [0] 2 6 2 2 22 2" xfId="16845"/>
    <cellStyle name="쉼표 [0] 2 6 2 2 22 2 2" xfId="16241"/>
    <cellStyle name="쉼표 [0] 2 6 2 2 22 3" xfId="16242"/>
    <cellStyle name="쉼표 [0] 2 6 2 2 23" xfId="16846"/>
    <cellStyle name="쉼표 [0] 2 6 2 2 23 2" xfId="16847"/>
    <cellStyle name="쉼표 [0] 2 6 2 2 23 2 2" xfId="16239"/>
    <cellStyle name="쉼표 [0] 2 6 2 2 23 3" xfId="16240"/>
    <cellStyle name="쉼표 [0] 2 6 2 2 24" xfId="16848"/>
    <cellStyle name="쉼표 [0] 2 6 2 2 24 2" xfId="16849"/>
    <cellStyle name="쉼표 [0] 2 6 2 2 24 2 2" xfId="16237"/>
    <cellStyle name="쉼표 [0] 2 6 2 2 24 3" xfId="16238"/>
    <cellStyle name="쉼표 [0] 2 6 2 2 25" xfId="16850"/>
    <cellStyle name="쉼표 [0] 2 6 2 2 25 2" xfId="16851"/>
    <cellStyle name="쉼표 [0] 2 6 2 2 25 2 2" xfId="16235"/>
    <cellStyle name="쉼표 [0] 2 6 2 2 25 3" xfId="16236"/>
    <cellStyle name="쉼표 [0] 2 6 2 2 26" xfId="16852"/>
    <cellStyle name="쉼표 [0] 2 6 2 2 26 2" xfId="16853"/>
    <cellStyle name="쉼표 [0] 2 6 2 2 26 2 2" xfId="16233"/>
    <cellStyle name="쉼표 [0] 2 6 2 2 26 3" xfId="16234"/>
    <cellStyle name="쉼표 [0] 2 6 2 2 27" xfId="16854"/>
    <cellStyle name="쉼표 [0] 2 6 2 2 27 2" xfId="16855"/>
    <cellStyle name="쉼표 [0] 2 6 2 2 27 2 2" xfId="16231"/>
    <cellStyle name="쉼표 [0] 2 6 2 2 27 3" xfId="16232"/>
    <cellStyle name="쉼표 [0] 2 6 2 2 28" xfId="16856"/>
    <cellStyle name="쉼표 [0] 2 6 2 2 28 2" xfId="16857"/>
    <cellStyle name="쉼표 [0] 2 6 2 2 28 2 2" xfId="16229"/>
    <cellStyle name="쉼표 [0] 2 6 2 2 28 3" xfId="16230"/>
    <cellStyle name="쉼표 [0] 2 6 2 2 29" xfId="16858"/>
    <cellStyle name="쉼표 [0] 2 6 2 2 29 2" xfId="16859"/>
    <cellStyle name="쉼표 [0] 2 6 2 2 29 2 2" xfId="16227"/>
    <cellStyle name="쉼표 [0] 2 6 2 2 29 3" xfId="16228"/>
    <cellStyle name="쉼표 [0] 2 6 2 2 3" xfId="16860"/>
    <cellStyle name="쉼표 [0] 2 6 2 2 3 2" xfId="16226"/>
    <cellStyle name="쉼표 [0] 2 6 2 2 30" xfId="16861"/>
    <cellStyle name="쉼표 [0] 2 6 2 2 30 2" xfId="16862"/>
    <cellStyle name="쉼표 [0] 2 6 2 2 30 2 2" xfId="16224"/>
    <cellStyle name="쉼표 [0] 2 6 2 2 30 3" xfId="16225"/>
    <cellStyle name="쉼표 [0] 2 6 2 2 31" xfId="16863"/>
    <cellStyle name="쉼표 [0] 2 6 2 2 31 2" xfId="16864"/>
    <cellStyle name="쉼표 [0] 2 6 2 2 31 2 2" xfId="16222"/>
    <cellStyle name="쉼표 [0] 2 6 2 2 31 3" xfId="16223"/>
    <cellStyle name="쉼표 [0] 2 6 2 2 32" xfId="16865"/>
    <cellStyle name="쉼표 [0] 2 6 2 2 32 2" xfId="16866"/>
    <cellStyle name="쉼표 [0] 2 6 2 2 32 2 2" xfId="16220"/>
    <cellStyle name="쉼표 [0] 2 6 2 2 32 3" xfId="16221"/>
    <cellStyle name="쉼표 [0] 2 6 2 2 33" xfId="16867"/>
    <cellStyle name="쉼표 [0] 2 6 2 2 33 2" xfId="16868"/>
    <cellStyle name="쉼표 [0] 2 6 2 2 33 2 2" xfId="16218"/>
    <cellStyle name="쉼표 [0] 2 6 2 2 33 3" xfId="16219"/>
    <cellStyle name="쉼표 [0] 2 6 2 2 34" xfId="16869"/>
    <cellStyle name="쉼표 [0] 2 6 2 2 34 2" xfId="16870"/>
    <cellStyle name="쉼표 [0] 2 6 2 2 34 2 2" xfId="16216"/>
    <cellStyle name="쉼표 [0] 2 6 2 2 34 3" xfId="16217"/>
    <cellStyle name="쉼표 [0] 2 6 2 2 35" xfId="16871"/>
    <cellStyle name="쉼표 [0] 2 6 2 2 35 2" xfId="16872"/>
    <cellStyle name="쉼표 [0] 2 6 2 2 35 2 2" xfId="16214"/>
    <cellStyle name="쉼표 [0] 2 6 2 2 35 3" xfId="16215"/>
    <cellStyle name="쉼표 [0] 2 6 2 2 36" xfId="16873"/>
    <cellStyle name="쉼표 [0] 2 6 2 2 36 2" xfId="16874"/>
    <cellStyle name="쉼표 [0] 2 6 2 2 36 2 2" xfId="16212"/>
    <cellStyle name="쉼표 [0] 2 6 2 2 36 3" xfId="16213"/>
    <cellStyle name="쉼표 [0] 2 6 2 2 37" xfId="16875"/>
    <cellStyle name="쉼표 [0] 2 6 2 2 37 2" xfId="16876"/>
    <cellStyle name="쉼표 [0] 2 6 2 2 37 2 2" xfId="16210"/>
    <cellStyle name="쉼표 [0] 2 6 2 2 37 3" xfId="16211"/>
    <cellStyle name="쉼표 [0] 2 6 2 2 38" xfId="16877"/>
    <cellStyle name="쉼표 [0] 2 6 2 2 38 2" xfId="16878"/>
    <cellStyle name="쉼표 [0] 2 6 2 2 38 2 2" xfId="16208"/>
    <cellStyle name="쉼표 [0] 2 6 2 2 38 3" xfId="16209"/>
    <cellStyle name="쉼표 [0] 2 6 2 2 39" xfId="16879"/>
    <cellStyle name="쉼표 [0] 2 6 2 2 39 2" xfId="16880"/>
    <cellStyle name="쉼표 [0] 2 6 2 2 39 2 2" xfId="16206"/>
    <cellStyle name="쉼표 [0] 2 6 2 2 39 3" xfId="16207"/>
    <cellStyle name="쉼표 [0] 2 6 2 2 4" xfId="16881"/>
    <cellStyle name="쉼표 [0] 2 6 2 2 4 2" xfId="16882"/>
    <cellStyle name="쉼표 [0] 2 6 2 2 4 2 2" xfId="16204"/>
    <cellStyle name="쉼표 [0] 2 6 2 2 4 3" xfId="16205"/>
    <cellStyle name="쉼표 [0] 2 6 2 2 40" xfId="16883"/>
    <cellStyle name="쉼표 [0] 2 6 2 2 40 2" xfId="16884"/>
    <cellStyle name="쉼표 [0] 2 6 2 2 40 2 2" xfId="16202"/>
    <cellStyle name="쉼표 [0] 2 6 2 2 40 3" xfId="16203"/>
    <cellStyle name="쉼표 [0] 2 6 2 2 41" xfId="16885"/>
    <cellStyle name="쉼표 [0] 2 6 2 2 41 2" xfId="16886"/>
    <cellStyle name="쉼표 [0] 2 6 2 2 41 2 2" xfId="16200"/>
    <cellStyle name="쉼표 [0] 2 6 2 2 41 3" xfId="16201"/>
    <cellStyle name="쉼표 [0] 2 6 2 2 42" xfId="16887"/>
    <cellStyle name="쉼표 [0] 2 6 2 2 42 2" xfId="16888"/>
    <cellStyle name="쉼표 [0] 2 6 2 2 42 2 2" xfId="16198"/>
    <cellStyle name="쉼표 [0] 2 6 2 2 42 3" xfId="16199"/>
    <cellStyle name="쉼표 [0] 2 6 2 2 43" xfId="16889"/>
    <cellStyle name="쉼표 [0] 2 6 2 2 43 2" xfId="16197"/>
    <cellStyle name="쉼표 [0] 2 6 2 2 44" xfId="16890"/>
    <cellStyle name="쉼표 [0] 2 6 2 2 44 2" xfId="16196"/>
    <cellStyle name="쉼표 [0] 2 6 2 2 45" xfId="16310"/>
    <cellStyle name="쉼표 [0] 2 6 2 2 5" xfId="16891"/>
    <cellStyle name="쉼표 [0] 2 6 2 2 5 2" xfId="16892"/>
    <cellStyle name="쉼표 [0] 2 6 2 2 5 2 2" xfId="16194"/>
    <cellStyle name="쉼표 [0] 2 6 2 2 5 3" xfId="16195"/>
    <cellStyle name="쉼표 [0] 2 6 2 2 6" xfId="16893"/>
    <cellStyle name="쉼표 [0] 2 6 2 2 6 2" xfId="16894"/>
    <cellStyle name="쉼표 [0] 2 6 2 2 6 2 2" xfId="16192"/>
    <cellStyle name="쉼표 [0] 2 6 2 2 6 3" xfId="16193"/>
    <cellStyle name="쉼표 [0] 2 6 2 2 7" xfId="16895"/>
    <cellStyle name="쉼표 [0] 2 6 2 2 7 2" xfId="16896"/>
    <cellStyle name="쉼표 [0] 2 6 2 2 7 2 2" xfId="16190"/>
    <cellStyle name="쉼표 [0] 2 6 2 2 7 3" xfId="16191"/>
    <cellStyle name="쉼표 [0] 2 6 2 2 8" xfId="16897"/>
    <cellStyle name="쉼표 [0] 2 6 2 2 8 2" xfId="16898"/>
    <cellStyle name="쉼표 [0] 2 6 2 2 8 2 2" xfId="16188"/>
    <cellStyle name="쉼표 [0] 2 6 2 2 8 3" xfId="16189"/>
    <cellStyle name="쉼표 [0] 2 6 2 2 9" xfId="16899"/>
    <cellStyle name="쉼표 [0] 2 6 2 2 9 2" xfId="16900"/>
    <cellStyle name="쉼표 [0] 2 6 2 2 9 2 2" xfId="16186"/>
    <cellStyle name="쉼표 [0] 2 6 2 2 9 3" xfId="16187"/>
    <cellStyle name="쉼표 [0] 2 6 2 20" xfId="16901"/>
    <cellStyle name="쉼표 [0] 2 6 2 20 2" xfId="16185"/>
    <cellStyle name="쉼표 [0] 2 6 2 21" xfId="16902"/>
    <cellStyle name="쉼표 [0] 2 6 2 21 2" xfId="16184"/>
    <cellStyle name="쉼표 [0] 2 6 2 22" xfId="16903"/>
    <cellStyle name="쉼표 [0] 2 6 2 22 2" xfId="16183"/>
    <cellStyle name="쉼표 [0] 2 6 2 23" xfId="16904"/>
    <cellStyle name="쉼표 [0] 2 6 2 23 2" xfId="16182"/>
    <cellStyle name="쉼표 [0] 2 6 2 24" xfId="16905"/>
    <cellStyle name="쉼표 [0] 2 6 2 24 2" xfId="16181"/>
    <cellStyle name="쉼표 [0] 2 6 2 25" xfId="16906"/>
    <cellStyle name="쉼표 [0] 2 6 2 25 2" xfId="16180"/>
    <cellStyle name="쉼표 [0] 2 6 2 26" xfId="16907"/>
    <cellStyle name="쉼표 [0] 2 6 2 26 2" xfId="16179"/>
    <cellStyle name="쉼표 [0] 2 6 2 27" xfId="16908"/>
    <cellStyle name="쉼표 [0] 2 6 2 27 2" xfId="16178"/>
    <cellStyle name="쉼표 [0] 2 6 2 28" xfId="16909"/>
    <cellStyle name="쉼표 [0] 2 6 2 28 2" xfId="16177"/>
    <cellStyle name="쉼표 [0] 2 6 2 29" xfId="16910"/>
    <cellStyle name="쉼표 [0] 2 6 2 29 2" xfId="16176"/>
    <cellStyle name="쉼표 [0] 2 6 2 3" xfId="16911"/>
    <cellStyle name="쉼표 [0] 2 6 2 3 2" xfId="16175"/>
    <cellStyle name="쉼표 [0] 2 6 2 30" xfId="16912"/>
    <cellStyle name="쉼표 [0] 2 6 2 30 2" xfId="16174"/>
    <cellStyle name="쉼표 [0] 2 6 2 31" xfId="16913"/>
    <cellStyle name="쉼표 [0] 2 6 2 31 2" xfId="16173"/>
    <cellStyle name="쉼표 [0] 2 6 2 32" xfId="16914"/>
    <cellStyle name="쉼표 [0] 2 6 2 32 2" xfId="16172"/>
    <cellStyle name="쉼표 [0] 2 6 2 33" xfId="16915"/>
    <cellStyle name="쉼표 [0] 2 6 2 33 2" xfId="16171"/>
    <cellStyle name="쉼표 [0] 2 6 2 34" xfId="16916"/>
    <cellStyle name="쉼표 [0] 2 6 2 34 2" xfId="16170"/>
    <cellStyle name="쉼표 [0] 2 6 2 35" xfId="16917"/>
    <cellStyle name="쉼표 [0] 2 6 2 35 2" xfId="16169"/>
    <cellStyle name="쉼표 [0] 2 6 2 36" xfId="16918"/>
    <cellStyle name="쉼표 [0] 2 6 2 36 2" xfId="16168"/>
    <cellStyle name="쉼표 [0] 2 6 2 37" xfId="16919"/>
    <cellStyle name="쉼표 [0] 2 6 2 37 2" xfId="16167"/>
    <cellStyle name="쉼표 [0] 2 6 2 38" xfId="16920"/>
    <cellStyle name="쉼표 [0] 2 6 2 38 2" xfId="16166"/>
    <cellStyle name="쉼표 [0] 2 6 2 39" xfId="16921"/>
    <cellStyle name="쉼표 [0] 2 6 2 39 2" xfId="16165"/>
    <cellStyle name="쉼표 [0] 2 6 2 4" xfId="16922"/>
    <cellStyle name="쉼표 [0] 2 6 2 4 2" xfId="16923"/>
    <cellStyle name="쉼표 [0] 2 6 2 4 2 2" xfId="16163"/>
    <cellStyle name="쉼표 [0] 2 6 2 4 3" xfId="16924"/>
    <cellStyle name="쉼표 [0] 2 6 2 4 3 2" xfId="16162"/>
    <cellStyle name="쉼표 [0] 2 6 2 4 4" xfId="16164"/>
    <cellStyle name="쉼표 [0] 2 6 2 40" xfId="16925"/>
    <cellStyle name="쉼표 [0] 2 6 2 40 2" xfId="16161"/>
    <cellStyle name="쉼표 [0] 2 6 2 41" xfId="16926"/>
    <cellStyle name="쉼표 [0] 2 6 2 41 2" xfId="16160"/>
    <cellStyle name="쉼표 [0] 2 6 2 42" xfId="16927"/>
    <cellStyle name="쉼표 [0] 2 6 2 42 2" xfId="16159"/>
    <cellStyle name="쉼표 [0] 2 6 2 43" xfId="16928"/>
    <cellStyle name="쉼표 [0] 2 6 2 43 2" xfId="16158"/>
    <cellStyle name="쉼표 [0] 2 6 2 44" xfId="16321"/>
    <cellStyle name="쉼표 [0] 2 6 2 45" xfId="29293"/>
    <cellStyle name="쉼표 [0] 2 6 2 46" xfId="16765"/>
    <cellStyle name="쉼표 [0] 2 6 2 5" xfId="16929"/>
    <cellStyle name="쉼표 [0] 2 6 2 5 2" xfId="16157"/>
    <cellStyle name="쉼표 [0] 2 6 2 6" xfId="16930"/>
    <cellStyle name="쉼표 [0] 2 6 2 6 2" xfId="16156"/>
    <cellStyle name="쉼표 [0] 2 6 2 7" xfId="16931"/>
    <cellStyle name="쉼표 [0] 2 6 2 7 2" xfId="16155"/>
    <cellStyle name="쉼표 [0] 2 6 2 8" xfId="16932"/>
    <cellStyle name="쉼표 [0] 2 6 2 8 2" xfId="16154"/>
    <cellStyle name="쉼표 [0] 2 6 2 9" xfId="16933"/>
    <cellStyle name="쉼표 [0] 2 6 2 9 2" xfId="16153"/>
    <cellStyle name="쉼표 [0] 2 6 20" xfId="16934"/>
    <cellStyle name="쉼표 [0] 2 6 20 2" xfId="16935"/>
    <cellStyle name="쉼표 [0] 2 6 20 2 2" xfId="16151"/>
    <cellStyle name="쉼표 [0] 2 6 20 3" xfId="16152"/>
    <cellStyle name="쉼표 [0] 2 6 21" xfId="16936"/>
    <cellStyle name="쉼표 [0] 2 6 21 2" xfId="16937"/>
    <cellStyle name="쉼표 [0] 2 6 21 2 2" xfId="16149"/>
    <cellStyle name="쉼표 [0] 2 6 21 3" xfId="16150"/>
    <cellStyle name="쉼표 [0] 2 6 22" xfId="16938"/>
    <cellStyle name="쉼표 [0] 2 6 22 2" xfId="16939"/>
    <cellStyle name="쉼표 [0] 2 6 22 2 2" xfId="16147"/>
    <cellStyle name="쉼표 [0] 2 6 22 3" xfId="16148"/>
    <cellStyle name="쉼표 [0] 2 6 23" xfId="16940"/>
    <cellStyle name="쉼표 [0] 2 6 23 2" xfId="16941"/>
    <cellStyle name="쉼표 [0] 2 6 23 2 2" xfId="16145"/>
    <cellStyle name="쉼표 [0] 2 6 23 3" xfId="16146"/>
    <cellStyle name="쉼표 [0] 2 6 24" xfId="16942"/>
    <cellStyle name="쉼표 [0] 2 6 24 2" xfId="16943"/>
    <cellStyle name="쉼표 [0] 2 6 24 2 2" xfId="16143"/>
    <cellStyle name="쉼표 [0] 2 6 24 3" xfId="16144"/>
    <cellStyle name="쉼표 [0] 2 6 25" xfId="16944"/>
    <cellStyle name="쉼표 [0] 2 6 25 2" xfId="16945"/>
    <cellStyle name="쉼표 [0] 2 6 25 2 2" xfId="16141"/>
    <cellStyle name="쉼표 [0] 2 6 25 3" xfId="16142"/>
    <cellStyle name="쉼표 [0] 2 6 26" xfId="16946"/>
    <cellStyle name="쉼표 [0] 2 6 26 2" xfId="16947"/>
    <cellStyle name="쉼표 [0] 2 6 26 2 2" xfId="16139"/>
    <cellStyle name="쉼표 [0] 2 6 26 3" xfId="16140"/>
    <cellStyle name="쉼표 [0] 2 6 27" xfId="16948"/>
    <cellStyle name="쉼표 [0] 2 6 27 2" xfId="16949"/>
    <cellStyle name="쉼표 [0] 2 6 27 2 2" xfId="16137"/>
    <cellStyle name="쉼표 [0] 2 6 27 3" xfId="16138"/>
    <cellStyle name="쉼표 [0] 2 6 28" xfId="16950"/>
    <cellStyle name="쉼표 [0] 2 6 28 2" xfId="16951"/>
    <cellStyle name="쉼표 [0] 2 6 28 2 2" xfId="16135"/>
    <cellStyle name="쉼표 [0] 2 6 28 3" xfId="16136"/>
    <cellStyle name="쉼표 [0] 2 6 29" xfId="16952"/>
    <cellStyle name="쉼표 [0] 2 6 29 2" xfId="16953"/>
    <cellStyle name="쉼표 [0] 2 6 29 2 2" xfId="16133"/>
    <cellStyle name="쉼표 [0] 2 6 29 3" xfId="16134"/>
    <cellStyle name="쉼표 [0] 2 6 3" xfId="16954"/>
    <cellStyle name="쉼표 [0] 2 6 3 2" xfId="16132"/>
    <cellStyle name="쉼표 [0] 2 6 3 3" xfId="31516"/>
    <cellStyle name="쉼표 [0] 2 6 30" xfId="16955"/>
    <cellStyle name="쉼표 [0] 2 6 30 2" xfId="16956"/>
    <cellStyle name="쉼표 [0] 2 6 30 2 2" xfId="16130"/>
    <cellStyle name="쉼표 [0] 2 6 30 3" xfId="16131"/>
    <cellStyle name="쉼표 [0] 2 6 31" xfId="16957"/>
    <cellStyle name="쉼표 [0] 2 6 31 2" xfId="16958"/>
    <cellStyle name="쉼표 [0] 2 6 31 2 2" xfId="16128"/>
    <cellStyle name="쉼표 [0] 2 6 31 3" xfId="16129"/>
    <cellStyle name="쉼표 [0] 2 6 32" xfId="16959"/>
    <cellStyle name="쉼표 [0] 2 6 32 2" xfId="16960"/>
    <cellStyle name="쉼표 [0] 2 6 32 2 2" xfId="16126"/>
    <cellStyle name="쉼표 [0] 2 6 32 3" xfId="16127"/>
    <cellStyle name="쉼표 [0] 2 6 33" xfId="16961"/>
    <cellStyle name="쉼표 [0] 2 6 33 2" xfId="16962"/>
    <cellStyle name="쉼표 [0] 2 6 33 2 2" xfId="16124"/>
    <cellStyle name="쉼표 [0] 2 6 33 3" xfId="16125"/>
    <cellStyle name="쉼표 [0] 2 6 34" xfId="16963"/>
    <cellStyle name="쉼표 [0] 2 6 34 2" xfId="16964"/>
    <cellStyle name="쉼표 [0] 2 6 34 2 2" xfId="16122"/>
    <cellStyle name="쉼표 [0] 2 6 34 3" xfId="16123"/>
    <cellStyle name="쉼표 [0] 2 6 35" xfId="16965"/>
    <cellStyle name="쉼표 [0] 2 6 35 2" xfId="16966"/>
    <cellStyle name="쉼표 [0] 2 6 35 2 2" xfId="16120"/>
    <cellStyle name="쉼표 [0] 2 6 35 3" xfId="16121"/>
    <cellStyle name="쉼표 [0] 2 6 36" xfId="16967"/>
    <cellStyle name="쉼표 [0] 2 6 36 2" xfId="16968"/>
    <cellStyle name="쉼표 [0] 2 6 36 2 2" xfId="16118"/>
    <cellStyle name="쉼표 [0] 2 6 36 3" xfId="16119"/>
    <cellStyle name="쉼표 [0] 2 6 37" xfId="16969"/>
    <cellStyle name="쉼표 [0] 2 6 37 2" xfId="16970"/>
    <cellStyle name="쉼표 [0] 2 6 37 2 2" xfId="16116"/>
    <cellStyle name="쉼표 [0] 2 6 37 3" xfId="16117"/>
    <cellStyle name="쉼표 [0] 2 6 38" xfId="16971"/>
    <cellStyle name="쉼표 [0] 2 6 38 2" xfId="16972"/>
    <cellStyle name="쉼표 [0] 2 6 38 2 2" xfId="16114"/>
    <cellStyle name="쉼표 [0] 2 6 38 3" xfId="16115"/>
    <cellStyle name="쉼표 [0] 2 6 39" xfId="16973"/>
    <cellStyle name="쉼표 [0] 2 6 39 2" xfId="16974"/>
    <cellStyle name="쉼표 [0] 2 6 39 2 2" xfId="16112"/>
    <cellStyle name="쉼표 [0] 2 6 39 3" xfId="16113"/>
    <cellStyle name="쉼표 [0] 2 6 4" xfId="16975"/>
    <cellStyle name="쉼표 [0] 2 6 4 2" xfId="16976"/>
    <cellStyle name="쉼표 [0] 2 6 4 2 2" xfId="16977"/>
    <cellStyle name="쉼표 [0] 2 6 4 2 2 2" xfId="16109"/>
    <cellStyle name="쉼표 [0] 2 6 4 2 3" xfId="16978"/>
    <cellStyle name="쉼표 [0] 2 6 4 2 3 2" xfId="16108"/>
    <cellStyle name="쉼표 [0] 2 6 4 2 4" xfId="16110"/>
    <cellStyle name="쉼표 [0] 2 6 4 3" xfId="16979"/>
    <cellStyle name="쉼표 [0] 2 6 4 3 2" xfId="16980"/>
    <cellStyle name="쉼표 [0] 2 6 4 3 2 2" xfId="16106"/>
    <cellStyle name="쉼표 [0] 2 6 4 3 3" xfId="16981"/>
    <cellStyle name="쉼표 [0] 2 6 4 3 3 2" xfId="16105"/>
    <cellStyle name="쉼표 [0] 2 6 4 3 4" xfId="16107"/>
    <cellStyle name="쉼표 [0] 2 6 4 4" xfId="16111"/>
    <cellStyle name="쉼표 [0] 2 6 4 5" xfId="31515"/>
    <cellStyle name="쉼표 [0] 2 6 40" xfId="16982"/>
    <cellStyle name="쉼표 [0] 2 6 40 2" xfId="16983"/>
    <cellStyle name="쉼표 [0] 2 6 40 2 2" xfId="16103"/>
    <cellStyle name="쉼표 [0] 2 6 40 3" xfId="16104"/>
    <cellStyle name="쉼표 [0] 2 6 41" xfId="16984"/>
    <cellStyle name="쉼표 [0] 2 6 41 2" xfId="16985"/>
    <cellStyle name="쉼표 [0] 2 6 41 2 2" xfId="16101"/>
    <cellStyle name="쉼표 [0] 2 6 41 3" xfId="16102"/>
    <cellStyle name="쉼표 [0] 2 6 42" xfId="16986"/>
    <cellStyle name="쉼표 [0] 2 6 42 2" xfId="16987"/>
    <cellStyle name="쉼표 [0] 2 6 42 2 2" xfId="16099"/>
    <cellStyle name="쉼표 [0] 2 6 42 3" xfId="16100"/>
    <cellStyle name="쉼표 [0] 2 6 43" xfId="16988"/>
    <cellStyle name="쉼표 [0] 2 6 43 2" xfId="16989"/>
    <cellStyle name="쉼표 [0] 2 6 43 2 2" xfId="16097"/>
    <cellStyle name="쉼표 [0] 2 6 43 3" xfId="16098"/>
    <cellStyle name="쉼표 [0] 2 6 44" xfId="16990"/>
    <cellStyle name="쉼표 [0] 2 6 44 2" xfId="16991"/>
    <cellStyle name="쉼표 [0] 2 6 44 2 2" xfId="16095"/>
    <cellStyle name="쉼표 [0] 2 6 44 3" xfId="16096"/>
    <cellStyle name="쉼표 [0] 2 6 45" xfId="16992"/>
    <cellStyle name="쉼표 [0] 2 6 45 2" xfId="16094"/>
    <cellStyle name="쉼표 [0] 2 6 46" xfId="16993"/>
    <cellStyle name="쉼표 [0] 2 6 46 2" xfId="16093"/>
    <cellStyle name="쉼표 [0] 2 6 47" xfId="16342"/>
    <cellStyle name="쉼표 [0] 2 6 48" xfId="29294"/>
    <cellStyle name="쉼표 [0] 2 6 49" xfId="16744"/>
    <cellStyle name="쉼표 [0] 2 6 5" xfId="16994"/>
    <cellStyle name="쉼표 [0] 2 6 5 2" xfId="16092"/>
    <cellStyle name="쉼표 [0] 2 6 5 3" xfId="31514"/>
    <cellStyle name="쉼표 [0] 2 6 50" xfId="29848"/>
    <cellStyle name="쉼표 [0] 2 6 51" xfId="29729"/>
    <cellStyle name="쉼표 [0] 2 6 52" xfId="30958"/>
    <cellStyle name="쉼표 [0] 2 6 6" xfId="16995"/>
    <cellStyle name="쉼표 [0] 2 6 6 2" xfId="16996"/>
    <cellStyle name="쉼표 [0] 2 6 6 2 2" xfId="16090"/>
    <cellStyle name="쉼표 [0] 2 6 6 3" xfId="16091"/>
    <cellStyle name="쉼표 [0] 2 6 6 4" xfId="31513"/>
    <cellStyle name="쉼표 [0] 2 6 7" xfId="16997"/>
    <cellStyle name="쉼표 [0] 2 6 7 2" xfId="16998"/>
    <cellStyle name="쉼표 [0] 2 6 7 2 2" xfId="16088"/>
    <cellStyle name="쉼표 [0] 2 6 7 3" xfId="16089"/>
    <cellStyle name="쉼표 [0] 2 6 7 4" xfId="31512"/>
    <cellStyle name="쉼표 [0] 2 6 8" xfId="16999"/>
    <cellStyle name="쉼표 [0] 2 6 8 2" xfId="17000"/>
    <cellStyle name="쉼표 [0] 2 6 8 2 2" xfId="16086"/>
    <cellStyle name="쉼표 [0] 2 6 8 3" xfId="16087"/>
    <cellStyle name="쉼표 [0] 2 6 8 4" xfId="31511"/>
    <cellStyle name="쉼표 [0] 2 6 9" xfId="17001"/>
    <cellStyle name="쉼표 [0] 2 6 9 2" xfId="17002"/>
    <cellStyle name="쉼표 [0] 2 6 9 2 2" xfId="16084"/>
    <cellStyle name="쉼표 [0] 2 6 9 3" xfId="16085"/>
    <cellStyle name="쉼표 [0] 2 6 9 4" xfId="31510"/>
    <cellStyle name="쉼표 [0] 2 60" xfId="17003"/>
    <cellStyle name="쉼표 [0] 2 60 2" xfId="16083"/>
    <cellStyle name="쉼표 [0] 2 61" xfId="17004"/>
    <cellStyle name="쉼표 [0] 2 61 2" xfId="16082"/>
    <cellStyle name="쉼표 [0] 2 62" xfId="17005"/>
    <cellStyle name="쉼표 [0] 2 62 2" xfId="16081"/>
    <cellStyle name="쉼표 [0] 2 63" xfId="17006"/>
    <cellStyle name="쉼표 [0] 2 63 2" xfId="16080"/>
    <cellStyle name="쉼표 [0] 2 64" xfId="17007"/>
    <cellStyle name="쉼표 [0] 2 64 2" xfId="16079"/>
    <cellStyle name="쉼표 [0] 2 65" xfId="17008"/>
    <cellStyle name="쉼표 [0] 2 65 2" xfId="16078"/>
    <cellStyle name="쉼표 [0] 2 66" xfId="17009"/>
    <cellStyle name="쉼표 [0] 2 66 2" xfId="16077"/>
    <cellStyle name="쉼표 [0] 2 67" xfId="17010"/>
    <cellStyle name="쉼표 [0] 2 67 2" xfId="16076"/>
    <cellStyle name="쉼표 [0] 2 68" xfId="17011"/>
    <cellStyle name="쉼표 [0] 2 68 2" xfId="16075"/>
    <cellStyle name="쉼표 [0] 2 69" xfId="17012"/>
    <cellStyle name="쉼표 [0] 2 69 2" xfId="16074"/>
    <cellStyle name="쉼표 [0] 2 7" xfId="1073"/>
    <cellStyle name="쉼표 [0] 2 7 10" xfId="17014"/>
    <cellStyle name="쉼표 [0] 2 7 11" xfId="17015"/>
    <cellStyle name="쉼표 [0] 2 7 12" xfId="17016"/>
    <cellStyle name="쉼표 [0] 2 7 13" xfId="17017"/>
    <cellStyle name="쉼표 [0] 2 7 13 2" xfId="16072"/>
    <cellStyle name="쉼표 [0] 2 7 14" xfId="17018"/>
    <cellStyle name="쉼표 [0] 2 7 14 2" xfId="16071"/>
    <cellStyle name="쉼표 [0] 2 7 15" xfId="16073"/>
    <cellStyle name="쉼표 [0] 2 7 16" xfId="29292"/>
    <cellStyle name="쉼표 [0] 2 7 17" xfId="17013"/>
    <cellStyle name="쉼표 [0] 2 7 18" xfId="29849"/>
    <cellStyle name="쉼표 [0] 2 7 19" xfId="30438"/>
    <cellStyle name="쉼표 [0] 2 7 2" xfId="1074"/>
    <cellStyle name="쉼표 [0] 2 7 2 10" xfId="29291"/>
    <cellStyle name="쉼표 [0] 2 7 2 11" xfId="17019"/>
    <cellStyle name="쉼표 [0] 2 7 2 12" xfId="29908"/>
    <cellStyle name="쉼표 [0] 2 7 2 2" xfId="1075"/>
    <cellStyle name="쉼표 [0] 2 7 2 2 10" xfId="17020"/>
    <cellStyle name="쉼표 [0] 2 7 2 2 11" xfId="29902"/>
    <cellStyle name="쉼표 [0] 2 7 2 2 2" xfId="1076"/>
    <cellStyle name="쉼표 [0] 2 7 2 2 2 2" xfId="1077"/>
    <cellStyle name="쉼표 [0] 2 7 2 2 2 2 2" xfId="17023"/>
    <cellStyle name="쉼표 [0] 2 7 2 2 2 2 2 2" xfId="16066"/>
    <cellStyle name="쉼표 [0] 2 7 2 2 2 2 3" xfId="16067"/>
    <cellStyle name="쉼표 [0] 2 7 2 2 2 2 4" xfId="29288"/>
    <cellStyle name="쉼표 [0] 2 7 2 2 2 2 5" xfId="17022"/>
    <cellStyle name="쉼표 [0] 2 7 2 2 2 3" xfId="17024"/>
    <cellStyle name="쉼표 [0] 2 7 2 2 2 3 2" xfId="16065"/>
    <cellStyle name="쉼표 [0] 2 7 2 2 2 4" xfId="16068"/>
    <cellStyle name="쉼표 [0] 2 7 2 2 2 5" xfId="29289"/>
    <cellStyle name="쉼표 [0] 2 7 2 2 2 6" xfId="17021"/>
    <cellStyle name="쉼표 [0] 2 7 2 2 3" xfId="1078"/>
    <cellStyle name="쉼표 [0] 2 7 2 2 3 2" xfId="1079"/>
    <cellStyle name="쉼표 [0] 2 7 2 2 3 2 2" xfId="1080"/>
    <cellStyle name="쉼표 [0] 2 7 2 2 3 2 2 2" xfId="17028"/>
    <cellStyle name="쉼표 [0] 2 7 2 2 3 2 2 2 2" xfId="16061"/>
    <cellStyle name="쉼표 [0] 2 7 2 2 3 2 2 3" xfId="16062"/>
    <cellStyle name="쉼표 [0] 2 7 2 2 3 2 2 4" xfId="29285"/>
    <cellStyle name="쉼표 [0] 2 7 2 2 3 2 2 5" xfId="17027"/>
    <cellStyle name="쉼표 [0] 2 7 2 2 3 2 3" xfId="17029"/>
    <cellStyle name="쉼표 [0] 2 7 2 2 3 2 3 2" xfId="16060"/>
    <cellStyle name="쉼표 [0] 2 7 2 2 3 2 4" xfId="16063"/>
    <cellStyle name="쉼표 [0] 2 7 2 2 3 2 5" xfId="29286"/>
    <cellStyle name="쉼표 [0] 2 7 2 2 3 2 6" xfId="17026"/>
    <cellStyle name="쉼표 [0] 2 7 2 2 3 3" xfId="1081"/>
    <cellStyle name="쉼표 [0] 2 7 2 2 3 3 2" xfId="17031"/>
    <cellStyle name="쉼표 [0] 2 7 2 2 3 3 2 2" xfId="16058"/>
    <cellStyle name="쉼표 [0] 2 7 2 2 3 3 3" xfId="16059"/>
    <cellStyle name="쉼표 [0] 2 7 2 2 3 3 4" xfId="29284"/>
    <cellStyle name="쉼표 [0] 2 7 2 2 3 3 5" xfId="17030"/>
    <cellStyle name="쉼표 [0] 2 7 2 2 3 4" xfId="17032"/>
    <cellStyle name="쉼표 [0] 2 7 2 2 3 4 2" xfId="16057"/>
    <cellStyle name="쉼표 [0] 2 7 2 2 3 5" xfId="16064"/>
    <cellStyle name="쉼표 [0] 2 7 2 2 3 6" xfId="29287"/>
    <cellStyle name="쉼표 [0] 2 7 2 2 3 7" xfId="17025"/>
    <cellStyle name="쉼표 [0] 2 7 2 2 4" xfId="1082"/>
    <cellStyle name="쉼표 [0] 2 7 2 2 4 2" xfId="1083"/>
    <cellStyle name="쉼표 [0] 2 7 2 2 4 2 2" xfId="17035"/>
    <cellStyle name="쉼표 [0] 2 7 2 2 4 2 2 2" xfId="16054"/>
    <cellStyle name="쉼표 [0] 2 7 2 2 4 2 3" xfId="16055"/>
    <cellStyle name="쉼표 [0] 2 7 2 2 4 2 4" xfId="29282"/>
    <cellStyle name="쉼표 [0] 2 7 2 2 4 2 5" xfId="17034"/>
    <cellStyle name="쉼표 [0] 2 7 2 2 4 3" xfId="17036"/>
    <cellStyle name="쉼표 [0] 2 7 2 2 4 3 2" xfId="16053"/>
    <cellStyle name="쉼표 [0] 2 7 2 2 4 4" xfId="16056"/>
    <cellStyle name="쉼표 [0] 2 7 2 2 4 5" xfId="29283"/>
    <cellStyle name="쉼표 [0] 2 7 2 2 4 6" xfId="17033"/>
    <cellStyle name="쉼표 [0] 2 7 2 2 5" xfId="1084"/>
    <cellStyle name="쉼표 [0] 2 7 2 2 5 2" xfId="17038"/>
    <cellStyle name="쉼표 [0] 2 7 2 2 5 2 2" xfId="16051"/>
    <cellStyle name="쉼표 [0] 2 7 2 2 5 3" xfId="16052"/>
    <cellStyle name="쉼표 [0] 2 7 2 2 5 4" xfId="29281"/>
    <cellStyle name="쉼표 [0] 2 7 2 2 5 5" xfId="17037"/>
    <cellStyle name="쉼표 [0] 2 7 2 2 6" xfId="17039"/>
    <cellStyle name="쉼표 [0] 2 7 2 2 6 2" xfId="17040"/>
    <cellStyle name="쉼표 [0] 2 7 2 2 6 2 2" xfId="16049"/>
    <cellStyle name="쉼표 [0] 2 7 2 2 6 3" xfId="16050"/>
    <cellStyle name="쉼표 [0] 2 7 2 2 7" xfId="17041"/>
    <cellStyle name="쉼표 [0] 2 7 2 2 7 2" xfId="16048"/>
    <cellStyle name="쉼표 [0] 2 7 2 2 8" xfId="16069"/>
    <cellStyle name="쉼표 [0] 2 7 2 2 9" xfId="29290"/>
    <cellStyle name="쉼표 [0] 2 7 2 3" xfId="1085"/>
    <cellStyle name="쉼표 [0] 2 7 2 3 2" xfId="1086"/>
    <cellStyle name="쉼표 [0] 2 7 2 3 2 2" xfId="17044"/>
    <cellStyle name="쉼표 [0] 2 7 2 3 2 2 2" xfId="16045"/>
    <cellStyle name="쉼표 [0] 2 7 2 3 2 3" xfId="16046"/>
    <cellStyle name="쉼표 [0] 2 7 2 3 2 4" xfId="29279"/>
    <cellStyle name="쉼표 [0] 2 7 2 3 2 5" xfId="17043"/>
    <cellStyle name="쉼표 [0] 2 7 2 3 3" xfId="17045"/>
    <cellStyle name="쉼표 [0] 2 7 2 3 3 2" xfId="17046"/>
    <cellStyle name="쉼표 [0] 2 7 2 3 3 2 2" xfId="16043"/>
    <cellStyle name="쉼표 [0] 2 7 2 3 3 3" xfId="16044"/>
    <cellStyle name="쉼표 [0] 2 7 2 3 4" xfId="17047"/>
    <cellStyle name="쉼표 [0] 2 7 2 3 4 2" xfId="16042"/>
    <cellStyle name="쉼표 [0] 2 7 2 3 5" xfId="16047"/>
    <cellStyle name="쉼표 [0] 2 7 2 3 6" xfId="29280"/>
    <cellStyle name="쉼표 [0] 2 7 2 3 7" xfId="17042"/>
    <cellStyle name="쉼표 [0] 2 7 2 4" xfId="1087"/>
    <cellStyle name="쉼표 [0] 2 7 2 4 2" xfId="1088"/>
    <cellStyle name="쉼표 [0] 2 7 2 4 2 2" xfId="1089"/>
    <cellStyle name="쉼표 [0] 2 7 2 4 2 2 2" xfId="17051"/>
    <cellStyle name="쉼표 [0] 2 7 2 4 2 2 2 2" xfId="16038"/>
    <cellStyle name="쉼표 [0] 2 7 2 4 2 2 3" xfId="16039"/>
    <cellStyle name="쉼표 [0] 2 7 2 4 2 2 4" xfId="29276"/>
    <cellStyle name="쉼표 [0] 2 7 2 4 2 2 5" xfId="17050"/>
    <cellStyle name="쉼표 [0] 2 7 2 4 2 3" xfId="17052"/>
    <cellStyle name="쉼표 [0] 2 7 2 4 2 3 2" xfId="16037"/>
    <cellStyle name="쉼표 [0] 2 7 2 4 2 4" xfId="16040"/>
    <cellStyle name="쉼표 [0] 2 7 2 4 2 5" xfId="29277"/>
    <cellStyle name="쉼표 [0] 2 7 2 4 2 6" xfId="17049"/>
    <cellStyle name="쉼표 [0] 2 7 2 4 3" xfId="1090"/>
    <cellStyle name="쉼표 [0] 2 7 2 4 3 2" xfId="17054"/>
    <cellStyle name="쉼표 [0] 2 7 2 4 3 2 2" xfId="16035"/>
    <cellStyle name="쉼표 [0] 2 7 2 4 3 3" xfId="16036"/>
    <cellStyle name="쉼표 [0] 2 7 2 4 3 4" xfId="29275"/>
    <cellStyle name="쉼표 [0] 2 7 2 4 3 5" xfId="17053"/>
    <cellStyle name="쉼표 [0] 2 7 2 4 4" xfId="17055"/>
    <cellStyle name="쉼표 [0] 2 7 2 4 4 2" xfId="17056"/>
    <cellStyle name="쉼표 [0] 2 7 2 4 4 2 2" xfId="16033"/>
    <cellStyle name="쉼표 [0] 2 7 2 4 4 3" xfId="16034"/>
    <cellStyle name="쉼표 [0] 2 7 2 4 5" xfId="17057"/>
    <cellStyle name="쉼표 [0] 2 7 2 4 5 2" xfId="16032"/>
    <cellStyle name="쉼표 [0] 2 7 2 4 6" xfId="16041"/>
    <cellStyle name="쉼표 [0] 2 7 2 4 7" xfId="29278"/>
    <cellStyle name="쉼표 [0] 2 7 2 4 8" xfId="17048"/>
    <cellStyle name="쉼표 [0] 2 7 2 5" xfId="1091"/>
    <cellStyle name="쉼표 [0] 2 7 2 5 2" xfId="1092"/>
    <cellStyle name="쉼표 [0] 2 7 2 5 2 2" xfId="17060"/>
    <cellStyle name="쉼표 [0] 2 7 2 5 2 2 2" xfId="16029"/>
    <cellStyle name="쉼표 [0] 2 7 2 5 2 3" xfId="16030"/>
    <cellStyle name="쉼표 [0] 2 7 2 5 2 4" xfId="29273"/>
    <cellStyle name="쉼표 [0] 2 7 2 5 2 5" xfId="17059"/>
    <cellStyle name="쉼표 [0] 2 7 2 5 3" xfId="17061"/>
    <cellStyle name="쉼표 [0] 2 7 2 5 3 2" xfId="16028"/>
    <cellStyle name="쉼표 [0] 2 7 2 5 4" xfId="16031"/>
    <cellStyle name="쉼표 [0] 2 7 2 5 5" xfId="29274"/>
    <cellStyle name="쉼표 [0] 2 7 2 5 6" xfId="17058"/>
    <cellStyle name="쉼표 [0] 2 7 2 6" xfId="1093"/>
    <cellStyle name="쉼표 [0] 2 7 2 6 2" xfId="17063"/>
    <cellStyle name="쉼표 [0] 2 7 2 6 2 2" xfId="16026"/>
    <cellStyle name="쉼표 [0] 2 7 2 6 3" xfId="16027"/>
    <cellStyle name="쉼표 [0] 2 7 2 6 4" xfId="29272"/>
    <cellStyle name="쉼표 [0] 2 7 2 6 5" xfId="17062"/>
    <cellStyle name="쉼표 [0] 2 7 2 7" xfId="17064"/>
    <cellStyle name="쉼표 [0] 2 7 2 8" xfId="17065"/>
    <cellStyle name="쉼표 [0] 2 7 2 8 2" xfId="16025"/>
    <cellStyle name="쉼표 [0] 2 7 2 9" xfId="16070"/>
    <cellStyle name="쉼표 [0] 2 7 20" xfId="30989"/>
    <cellStyle name="쉼표 [0] 2 7 20 2" xfId="32340"/>
    <cellStyle name="쉼표 [0] 2 7 3" xfId="1094"/>
    <cellStyle name="쉼표 [0] 2 7 3 10" xfId="17066"/>
    <cellStyle name="쉼표 [0] 2 7 3 11" xfId="30091"/>
    <cellStyle name="쉼표 [0] 2 7 3 2" xfId="1095"/>
    <cellStyle name="쉼표 [0] 2 7 3 2 2" xfId="1096"/>
    <cellStyle name="쉼표 [0] 2 7 3 2 2 2" xfId="17069"/>
    <cellStyle name="쉼표 [0] 2 7 3 2 2 2 2" xfId="16021"/>
    <cellStyle name="쉼표 [0] 2 7 3 2 2 3" xfId="16022"/>
    <cellStyle name="쉼표 [0] 2 7 3 2 2 4" xfId="29269"/>
    <cellStyle name="쉼표 [0] 2 7 3 2 2 5" xfId="17068"/>
    <cellStyle name="쉼표 [0] 2 7 3 2 3" xfId="17070"/>
    <cellStyle name="쉼표 [0] 2 7 3 2 3 2" xfId="17071"/>
    <cellStyle name="쉼표 [0] 2 7 3 2 3 2 2" xfId="16019"/>
    <cellStyle name="쉼표 [0] 2 7 3 2 3 3" xfId="16020"/>
    <cellStyle name="쉼표 [0] 2 7 3 2 4" xfId="17072"/>
    <cellStyle name="쉼표 [0] 2 7 3 2 4 2" xfId="16018"/>
    <cellStyle name="쉼표 [0] 2 7 3 2 5" xfId="16023"/>
    <cellStyle name="쉼표 [0] 2 7 3 2 6" xfId="29270"/>
    <cellStyle name="쉼표 [0] 2 7 3 2 7" xfId="17067"/>
    <cellStyle name="쉼표 [0] 2 7 3 3" xfId="1097"/>
    <cellStyle name="쉼표 [0] 2 7 3 3 2" xfId="1098"/>
    <cellStyle name="쉼표 [0] 2 7 3 3 2 2" xfId="1099"/>
    <cellStyle name="쉼표 [0] 2 7 3 3 2 2 2" xfId="17076"/>
    <cellStyle name="쉼표 [0] 2 7 3 3 2 2 2 2" xfId="16014"/>
    <cellStyle name="쉼표 [0] 2 7 3 3 2 2 3" xfId="16015"/>
    <cellStyle name="쉼표 [0] 2 7 3 3 2 2 4" xfId="29266"/>
    <cellStyle name="쉼표 [0] 2 7 3 3 2 2 5" xfId="17075"/>
    <cellStyle name="쉼표 [0] 2 7 3 3 2 3" xfId="17077"/>
    <cellStyle name="쉼표 [0] 2 7 3 3 2 3 2" xfId="16013"/>
    <cellStyle name="쉼표 [0] 2 7 3 3 2 4" xfId="16016"/>
    <cellStyle name="쉼표 [0] 2 7 3 3 2 5" xfId="29267"/>
    <cellStyle name="쉼표 [0] 2 7 3 3 2 6" xfId="17074"/>
    <cellStyle name="쉼표 [0] 2 7 3 3 3" xfId="1100"/>
    <cellStyle name="쉼표 [0] 2 7 3 3 3 2" xfId="17079"/>
    <cellStyle name="쉼표 [0] 2 7 3 3 3 2 2" xfId="16011"/>
    <cellStyle name="쉼표 [0] 2 7 3 3 3 3" xfId="16012"/>
    <cellStyle name="쉼표 [0] 2 7 3 3 3 4" xfId="29265"/>
    <cellStyle name="쉼표 [0] 2 7 3 3 3 5" xfId="17078"/>
    <cellStyle name="쉼표 [0] 2 7 3 3 4" xfId="17080"/>
    <cellStyle name="쉼표 [0] 2 7 3 3 4 2" xfId="17081"/>
    <cellStyle name="쉼표 [0] 2 7 3 3 4 2 2" xfId="16009"/>
    <cellStyle name="쉼표 [0] 2 7 3 3 4 3" xfId="16010"/>
    <cellStyle name="쉼표 [0] 2 7 3 3 5" xfId="17082"/>
    <cellStyle name="쉼표 [0] 2 7 3 3 5 2" xfId="16008"/>
    <cellStyle name="쉼표 [0] 2 7 3 3 6" xfId="16017"/>
    <cellStyle name="쉼표 [0] 2 7 3 3 7" xfId="29268"/>
    <cellStyle name="쉼표 [0] 2 7 3 3 8" xfId="17073"/>
    <cellStyle name="쉼표 [0] 2 7 3 4" xfId="1101"/>
    <cellStyle name="쉼표 [0] 2 7 3 4 2" xfId="1102"/>
    <cellStyle name="쉼표 [0] 2 7 3 4 2 2" xfId="17085"/>
    <cellStyle name="쉼표 [0] 2 7 3 4 2 2 2" xfId="16005"/>
    <cellStyle name="쉼표 [0] 2 7 3 4 2 3" xfId="16006"/>
    <cellStyle name="쉼표 [0] 2 7 3 4 2 4" xfId="29263"/>
    <cellStyle name="쉼표 [0] 2 7 3 4 2 5" xfId="17084"/>
    <cellStyle name="쉼표 [0] 2 7 3 4 3" xfId="17086"/>
    <cellStyle name="쉼표 [0] 2 7 3 4 3 2" xfId="17087"/>
    <cellStyle name="쉼표 [0] 2 7 3 4 3 2 2" xfId="16003"/>
    <cellStyle name="쉼표 [0] 2 7 3 4 3 3" xfId="16004"/>
    <cellStyle name="쉼표 [0] 2 7 3 4 4" xfId="17088"/>
    <cellStyle name="쉼표 [0] 2 7 3 4 4 2" xfId="16002"/>
    <cellStyle name="쉼표 [0] 2 7 3 4 5" xfId="16007"/>
    <cellStyle name="쉼표 [0] 2 7 3 4 6" xfId="29264"/>
    <cellStyle name="쉼표 [0] 2 7 3 4 7" xfId="17083"/>
    <cellStyle name="쉼표 [0] 2 7 3 5" xfId="1103"/>
    <cellStyle name="쉼표 [0] 2 7 3 5 2" xfId="17090"/>
    <cellStyle name="쉼표 [0] 2 7 3 5 2 2" xfId="16000"/>
    <cellStyle name="쉼표 [0] 2 7 3 5 3" xfId="16001"/>
    <cellStyle name="쉼표 [0] 2 7 3 5 4" xfId="29262"/>
    <cellStyle name="쉼표 [0] 2 7 3 5 5" xfId="17089"/>
    <cellStyle name="쉼표 [0] 2 7 3 6" xfId="17091"/>
    <cellStyle name="쉼표 [0] 2 7 3 7" xfId="17092"/>
    <cellStyle name="쉼표 [0] 2 7 3 7 2" xfId="15999"/>
    <cellStyle name="쉼표 [0] 2 7 3 8" xfId="16024"/>
    <cellStyle name="쉼표 [0] 2 7 3 9" xfId="29271"/>
    <cellStyle name="쉼표 [0] 2 7 4" xfId="1104"/>
    <cellStyle name="쉼표 [0] 2 7 4 2" xfId="1105"/>
    <cellStyle name="쉼표 [0] 2 7 4 2 2" xfId="17095"/>
    <cellStyle name="쉼표 [0] 2 7 4 2 2 2" xfId="17096"/>
    <cellStyle name="쉼표 [0] 2 7 4 2 2 2 2" xfId="15995"/>
    <cellStyle name="쉼표 [0] 2 7 4 2 2 3" xfId="15996"/>
    <cellStyle name="쉼표 [0] 2 7 4 2 3" xfId="17097"/>
    <cellStyle name="쉼표 [0] 2 7 4 2 3 2" xfId="15994"/>
    <cellStyle name="쉼표 [0] 2 7 4 2 4" xfId="15997"/>
    <cellStyle name="쉼표 [0] 2 7 4 2 5" xfId="29260"/>
    <cellStyle name="쉼표 [0] 2 7 4 2 6" xfId="17094"/>
    <cellStyle name="쉼표 [0] 2 7 4 3" xfId="17098"/>
    <cellStyle name="쉼표 [0] 2 7 4 3 2" xfId="17099"/>
    <cellStyle name="쉼표 [0] 2 7 4 3 2 2" xfId="15992"/>
    <cellStyle name="쉼표 [0] 2 7 4 3 3" xfId="15993"/>
    <cellStyle name="쉼표 [0] 2 7 4 4" xfId="17100"/>
    <cellStyle name="쉼표 [0] 2 7 4 4 2" xfId="17101"/>
    <cellStyle name="쉼표 [0] 2 7 4 4 2 2" xfId="15990"/>
    <cellStyle name="쉼표 [0] 2 7 4 4 3" xfId="15991"/>
    <cellStyle name="쉼표 [0] 2 7 4 5" xfId="17102"/>
    <cellStyle name="쉼표 [0] 2 7 4 6" xfId="17103"/>
    <cellStyle name="쉼표 [0] 2 7 4 6 2" xfId="15989"/>
    <cellStyle name="쉼표 [0] 2 7 4 7" xfId="15998"/>
    <cellStyle name="쉼표 [0] 2 7 4 8" xfId="29261"/>
    <cellStyle name="쉼표 [0] 2 7 4 9" xfId="17093"/>
    <cellStyle name="쉼표 [0] 2 7 5" xfId="1106"/>
    <cellStyle name="쉼표 [0] 2 7 5 2" xfId="1107"/>
    <cellStyle name="쉼표 [0] 2 7 5 2 2" xfId="1108"/>
    <cellStyle name="쉼표 [0] 2 7 5 2 2 2" xfId="17107"/>
    <cellStyle name="쉼표 [0] 2 7 5 2 2 2 2" xfId="15985"/>
    <cellStyle name="쉼표 [0] 2 7 5 2 2 3" xfId="15986"/>
    <cellStyle name="쉼표 [0] 2 7 5 2 2 4" xfId="29257"/>
    <cellStyle name="쉼표 [0] 2 7 5 2 2 5" xfId="17106"/>
    <cellStyle name="쉼표 [0] 2 7 5 2 3" xfId="17108"/>
    <cellStyle name="쉼표 [0] 2 7 5 2 3 2" xfId="15984"/>
    <cellStyle name="쉼표 [0] 2 7 5 2 4" xfId="15987"/>
    <cellStyle name="쉼표 [0] 2 7 5 2 5" xfId="29258"/>
    <cellStyle name="쉼표 [0] 2 7 5 2 6" xfId="17105"/>
    <cellStyle name="쉼표 [0] 2 7 5 3" xfId="1109"/>
    <cellStyle name="쉼표 [0] 2 7 5 3 2" xfId="17110"/>
    <cellStyle name="쉼표 [0] 2 7 5 3 2 2" xfId="15982"/>
    <cellStyle name="쉼표 [0] 2 7 5 3 3" xfId="15983"/>
    <cellStyle name="쉼표 [0] 2 7 5 3 4" xfId="29256"/>
    <cellStyle name="쉼표 [0] 2 7 5 3 5" xfId="17109"/>
    <cellStyle name="쉼표 [0] 2 7 5 4" xfId="17111"/>
    <cellStyle name="쉼표 [0] 2 7 5 5" xfId="17112"/>
    <cellStyle name="쉼표 [0] 2 7 5 5 2" xfId="15981"/>
    <cellStyle name="쉼표 [0] 2 7 5 6" xfId="15988"/>
    <cellStyle name="쉼표 [0] 2 7 5 7" xfId="29259"/>
    <cellStyle name="쉼표 [0] 2 7 5 8" xfId="17104"/>
    <cellStyle name="쉼표 [0] 2 7 6" xfId="1110"/>
    <cellStyle name="쉼표 [0] 2 7 6 2" xfId="1111"/>
    <cellStyle name="쉼표 [0] 2 7 6 2 2" xfId="17115"/>
    <cellStyle name="쉼표 [0] 2 7 6 2 2 2" xfId="15978"/>
    <cellStyle name="쉼표 [0] 2 7 6 2 3" xfId="15979"/>
    <cellStyle name="쉼표 [0] 2 7 6 2 4" xfId="29254"/>
    <cellStyle name="쉼표 [0] 2 7 6 2 5" xfId="17114"/>
    <cellStyle name="쉼표 [0] 2 7 6 3" xfId="17116"/>
    <cellStyle name="쉼표 [0] 2 7 6 4" xfId="17117"/>
    <cellStyle name="쉼표 [0] 2 7 6 4 2" xfId="15977"/>
    <cellStyle name="쉼표 [0] 2 7 6 5" xfId="15980"/>
    <cellStyle name="쉼표 [0] 2 7 6 6" xfId="29255"/>
    <cellStyle name="쉼표 [0] 2 7 6 7" xfId="17113"/>
    <cellStyle name="쉼표 [0] 2 7 7" xfId="1112"/>
    <cellStyle name="쉼표 [0] 2 7 7 2" xfId="17119"/>
    <cellStyle name="쉼표 [0] 2 7 7 3" xfId="17120"/>
    <cellStyle name="쉼표 [0] 2 7 7 3 2" xfId="15975"/>
    <cellStyle name="쉼표 [0] 2 7 7 4" xfId="15976"/>
    <cellStyle name="쉼표 [0] 2 7 7 5" xfId="29253"/>
    <cellStyle name="쉼표 [0] 2 7 7 6" xfId="17118"/>
    <cellStyle name="쉼표 [0] 2 7 8" xfId="17121"/>
    <cellStyle name="쉼표 [0] 2 7 8 2" xfId="17122"/>
    <cellStyle name="쉼표 [0] 2 7 8 3" xfId="17123"/>
    <cellStyle name="쉼표 [0] 2 7 8 3 2" xfId="15973"/>
    <cellStyle name="쉼표 [0] 2 7 8 4" xfId="15974"/>
    <cellStyle name="쉼표 [0] 2 7 9" xfId="17124"/>
    <cellStyle name="쉼표 [0] 2 70" xfId="17125"/>
    <cellStyle name="쉼표 [0] 2 70 2" xfId="17126"/>
    <cellStyle name="쉼표 [0] 2 70 2 2" xfId="15971"/>
    <cellStyle name="쉼표 [0] 2 70 3" xfId="15972"/>
    <cellStyle name="쉼표 [0] 2 71" xfId="17127"/>
    <cellStyle name="쉼표 [0] 2 71 2" xfId="17128"/>
    <cellStyle name="쉼표 [0] 2 71 2 2" xfId="15969"/>
    <cellStyle name="쉼표 [0] 2 71 3" xfId="15970"/>
    <cellStyle name="쉼표 [0] 2 72" xfId="17129"/>
    <cellStyle name="쉼표 [0] 2 72 2" xfId="17130"/>
    <cellStyle name="쉼표 [0] 2 72 2 2" xfId="15967"/>
    <cellStyle name="쉼표 [0] 2 72 3" xfId="15968"/>
    <cellStyle name="쉼표 [0] 2 73" xfId="17131"/>
    <cellStyle name="쉼표 [0] 2 73 2" xfId="17132"/>
    <cellStyle name="쉼표 [0] 2 73 2 2" xfId="15965"/>
    <cellStyle name="쉼표 [0] 2 73 3" xfId="15966"/>
    <cellStyle name="쉼표 [0] 2 74" xfId="17133"/>
    <cellStyle name="쉼표 [0] 2 74 2" xfId="17134"/>
    <cellStyle name="쉼표 [0] 2 74 2 2" xfId="15963"/>
    <cellStyle name="쉼표 [0] 2 74 3" xfId="15964"/>
    <cellStyle name="쉼표 [0] 2 75" xfId="17135"/>
    <cellStyle name="쉼표 [0] 2 75 2" xfId="17136"/>
    <cellStyle name="쉼표 [0] 2 75 2 2" xfId="15961"/>
    <cellStyle name="쉼표 [0] 2 75 3" xfId="15962"/>
    <cellStyle name="쉼표 [0] 2 76" xfId="17137"/>
    <cellStyle name="쉼표 [0] 2 76 2" xfId="17138"/>
    <cellStyle name="쉼표 [0] 2 76 2 2" xfId="15959"/>
    <cellStyle name="쉼표 [0] 2 76 3" xfId="15960"/>
    <cellStyle name="쉼표 [0] 2 77" xfId="17139"/>
    <cellStyle name="쉼표 [0] 2 77 2" xfId="17140"/>
    <cellStyle name="쉼표 [0] 2 77 2 2" xfId="15957"/>
    <cellStyle name="쉼표 [0] 2 77 3" xfId="15958"/>
    <cellStyle name="쉼표 [0] 2 78" xfId="17141"/>
    <cellStyle name="쉼표 [0] 2 78 2" xfId="17142"/>
    <cellStyle name="쉼표 [0] 2 78 2 2" xfId="15955"/>
    <cellStyle name="쉼표 [0] 2 78 3" xfId="15956"/>
    <cellStyle name="쉼표 [0] 2 79" xfId="17143"/>
    <cellStyle name="쉼표 [0] 2 79 2" xfId="17144"/>
    <cellStyle name="쉼표 [0] 2 79 2 2" xfId="15953"/>
    <cellStyle name="쉼표 [0] 2 79 3" xfId="15954"/>
    <cellStyle name="쉼표 [0] 2 8" xfId="1113"/>
    <cellStyle name="쉼표 [0] 2 8 10" xfId="17146"/>
    <cellStyle name="쉼표 [0] 2 8 11" xfId="17147"/>
    <cellStyle name="쉼표 [0] 2 8 12" xfId="17148"/>
    <cellStyle name="쉼표 [0] 2 8 13" xfId="17149"/>
    <cellStyle name="쉼표 [0] 2 8 14" xfId="17150"/>
    <cellStyle name="쉼표 [0] 2 8 14 2" xfId="17151"/>
    <cellStyle name="쉼표 [0] 2 8 14 2 2" xfId="15950"/>
    <cellStyle name="쉼표 [0] 2 8 14 3" xfId="15951"/>
    <cellStyle name="쉼표 [0] 2 8 15" xfId="17152"/>
    <cellStyle name="쉼표 [0] 2 8 15 2" xfId="17153"/>
    <cellStyle name="쉼표 [0] 2 8 15 2 2" xfId="15948"/>
    <cellStyle name="쉼표 [0] 2 8 15 3" xfId="15949"/>
    <cellStyle name="쉼표 [0] 2 8 16" xfId="17154"/>
    <cellStyle name="쉼표 [0] 2 8 16 2" xfId="17155"/>
    <cellStyle name="쉼표 [0] 2 8 16 2 2" xfId="15946"/>
    <cellStyle name="쉼표 [0] 2 8 16 3" xfId="15947"/>
    <cellStyle name="쉼표 [0] 2 8 17" xfId="17156"/>
    <cellStyle name="쉼표 [0] 2 8 17 2" xfId="17157"/>
    <cellStyle name="쉼표 [0] 2 8 17 2 2" xfId="15944"/>
    <cellStyle name="쉼표 [0] 2 8 17 3" xfId="15945"/>
    <cellStyle name="쉼표 [0] 2 8 18" xfId="17158"/>
    <cellStyle name="쉼표 [0] 2 8 18 2" xfId="17159"/>
    <cellStyle name="쉼표 [0] 2 8 18 2 2" xfId="15942"/>
    <cellStyle name="쉼표 [0] 2 8 18 3" xfId="15943"/>
    <cellStyle name="쉼표 [0] 2 8 19" xfId="17160"/>
    <cellStyle name="쉼표 [0] 2 8 19 2" xfId="17161"/>
    <cellStyle name="쉼표 [0] 2 8 19 2 2" xfId="15940"/>
    <cellStyle name="쉼표 [0] 2 8 19 3" xfId="15941"/>
    <cellStyle name="쉼표 [0] 2 8 2" xfId="1114"/>
    <cellStyle name="쉼표 [0] 2 8 2 10" xfId="17163"/>
    <cellStyle name="쉼표 [0] 2 8 2 10 2" xfId="17164"/>
    <cellStyle name="쉼표 [0] 2 8 2 10 2 2" xfId="15937"/>
    <cellStyle name="쉼표 [0] 2 8 2 10 3" xfId="15938"/>
    <cellStyle name="쉼표 [0] 2 8 2 11" xfId="17165"/>
    <cellStyle name="쉼표 [0] 2 8 2 11 2" xfId="17166"/>
    <cellStyle name="쉼표 [0] 2 8 2 11 2 2" xfId="15935"/>
    <cellStyle name="쉼표 [0] 2 8 2 11 3" xfId="15936"/>
    <cellStyle name="쉼표 [0] 2 8 2 12" xfId="17167"/>
    <cellStyle name="쉼표 [0] 2 8 2 12 2" xfId="17168"/>
    <cellStyle name="쉼표 [0] 2 8 2 12 2 2" xfId="15933"/>
    <cellStyle name="쉼표 [0] 2 8 2 12 3" xfId="15934"/>
    <cellStyle name="쉼표 [0] 2 8 2 13" xfId="17169"/>
    <cellStyle name="쉼표 [0] 2 8 2 13 2" xfId="17170"/>
    <cellStyle name="쉼표 [0] 2 8 2 13 2 2" xfId="15931"/>
    <cellStyle name="쉼표 [0] 2 8 2 13 3" xfId="15932"/>
    <cellStyle name="쉼표 [0] 2 8 2 14" xfId="17171"/>
    <cellStyle name="쉼표 [0] 2 8 2 14 2" xfId="17172"/>
    <cellStyle name="쉼표 [0] 2 8 2 14 2 2" xfId="15929"/>
    <cellStyle name="쉼표 [0] 2 8 2 14 3" xfId="15930"/>
    <cellStyle name="쉼표 [0] 2 8 2 15" xfId="17173"/>
    <cellStyle name="쉼표 [0] 2 8 2 15 2" xfId="17174"/>
    <cellStyle name="쉼표 [0] 2 8 2 15 2 2" xfId="15927"/>
    <cellStyle name="쉼표 [0] 2 8 2 15 3" xfId="15928"/>
    <cellStyle name="쉼표 [0] 2 8 2 16" xfId="17175"/>
    <cellStyle name="쉼표 [0] 2 8 2 16 2" xfId="17176"/>
    <cellStyle name="쉼표 [0] 2 8 2 16 2 2" xfId="15925"/>
    <cellStyle name="쉼표 [0] 2 8 2 16 3" xfId="15926"/>
    <cellStyle name="쉼표 [0] 2 8 2 17" xfId="17177"/>
    <cellStyle name="쉼표 [0] 2 8 2 17 2" xfId="17178"/>
    <cellStyle name="쉼표 [0] 2 8 2 17 2 2" xfId="15923"/>
    <cellStyle name="쉼표 [0] 2 8 2 17 3" xfId="15924"/>
    <cellStyle name="쉼표 [0] 2 8 2 18" xfId="17179"/>
    <cellStyle name="쉼표 [0] 2 8 2 18 2" xfId="17180"/>
    <cellStyle name="쉼표 [0] 2 8 2 18 2 2" xfId="15921"/>
    <cellStyle name="쉼표 [0] 2 8 2 18 3" xfId="15922"/>
    <cellStyle name="쉼표 [0] 2 8 2 19" xfId="17181"/>
    <cellStyle name="쉼표 [0] 2 8 2 19 2" xfId="17182"/>
    <cellStyle name="쉼표 [0] 2 8 2 19 2 2" xfId="15919"/>
    <cellStyle name="쉼표 [0] 2 8 2 19 3" xfId="15920"/>
    <cellStyle name="쉼표 [0] 2 8 2 2" xfId="1115"/>
    <cellStyle name="쉼표 [0] 2 8 2 2 10" xfId="17184"/>
    <cellStyle name="쉼표 [0] 2 8 2 2 10 2" xfId="17185"/>
    <cellStyle name="쉼표 [0] 2 8 2 2 10 2 2" xfId="15916"/>
    <cellStyle name="쉼표 [0] 2 8 2 2 10 3" xfId="15917"/>
    <cellStyle name="쉼표 [0] 2 8 2 2 11" xfId="17186"/>
    <cellStyle name="쉼표 [0] 2 8 2 2 11 2" xfId="17187"/>
    <cellStyle name="쉼표 [0] 2 8 2 2 11 2 2" xfId="15914"/>
    <cellStyle name="쉼표 [0] 2 8 2 2 11 3" xfId="15915"/>
    <cellStyle name="쉼표 [0] 2 8 2 2 12" xfId="17188"/>
    <cellStyle name="쉼표 [0] 2 8 2 2 12 2" xfId="17189"/>
    <cellStyle name="쉼표 [0] 2 8 2 2 12 2 2" xfId="15912"/>
    <cellStyle name="쉼표 [0] 2 8 2 2 12 3" xfId="15913"/>
    <cellStyle name="쉼표 [0] 2 8 2 2 13" xfId="17190"/>
    <cellStyle name="쉼표 [0] 2 8 2 2 13 2" xfId="17191"/>
    <cellStyle name="쉼표 [0] 2 8 2 2 13 2 2" xfId="15910"/>
    <cellStyle name="쉼표 [0] 2 8 2 2 13 3" xfId="15911"/>
    <cellStyle name="쉼표 [0] 2 8 2 2 14" xfId="17192"/>
    <cellStyle name="쉼표 [0] 2 8 2 2 14 2" xfId="17193"/>
    <cellStyle name="쉼표 [0] 2 8 2 2 14 2 2" xfId="15908"/>
    <cellStyle name="쉼표 [0] 2 8 2 2 14 3" xfId="15909"/>
    <cellStyle name="쉼표 [0] 2 8 2 2 15" xfId="17194"/>
    <cellStyle name="쉼표 [0] 2 8 2 2 15 2" xfId="17195"/>
    <cellStyle name="쉼표 [0] 2 8 2 2 15 2 2" xfId="15906"/>
    <cellStyle name="쉼표 [0] 2 8 2 2 15 3" xfId="15907"/>
    <cellStyle name="쉼표 [0] 2 8 2 2 16" xfId="17196"/>
    <cellStyle name="쉼표 [0] 2 8 2 2 16 2" xfId="17197"/>
    <cellStyle name="쉼표 [0] 2 8 2 2 16 2 2" xfId="15904"/>
    <cellStyle name="쉼표 [0] 2 8 2 2 16 3" xfId="15905"/>
    <cellStyle name="쉼표 [0] 2 8 2 2 17" xfId="17198"/>
    <cellStyle name="쉼표 [0] 2 8 2 2 17 2" xfId="17199"/>
    <cellStyle name="쉼표 [0] 2 8 2 2 17 2 2" xfId="15902"/>
    <cellStyle name="쉼표 [0] 2 8 2 2 17 3" xfId="15903"/>
    <cellStyle name="쉼표 [0] 2 8 2 2 18" xfId="17200"/>
    <cellStyle name="쉼표 [0] 2 8 2 2 18 2" xfId="17201"/>
    <cellStyle name="쉼표 [0] 2 8 2 2 18 2 2" xfId="15900"/>
    <cellStyle name="쉼표 [0] 2 8 2 2 18 3" xfId="15901"/>
    <cellStyle name="쉼표 [0] 2 8 2 2 19" xfId="17202"/>
    <cellStyle name="쉼표 [0] 2 8 2 2 19 2" xfId="17203"/>
    <cellStyle name="쉼표 [0] 2 8 2 2 19 2 2" xfId="15898"/>
    <cellStyle name="쉼표 [0] 2 8 2 2 19 3" xfId="15899"/>
    <cellStyle name="쉼표 [0] 2 8 2 2 2" xfId="1116"/>
    <cellStyle name="쉼표 [0] 2 8 2 2 2 2" xfId="17205"/>
    <cellStyle name="쉼표 [0] 2 8 2 2 2 2 2" xfId="17206"/>
    <cellStyle name="쉼표 [0] 2 8 2 2 2 2 2 2" xfId="15895"/>
    <cellStyle name="쉼표 [0] 2 8 2 2 2 2 3" xfId="15896"/>
    <cellStyle name="쉼표 [0] 2 8 2 2 2 3" xfId="17207"/>
    <cellStyle name="쉼표 [0] 2 8 2 2 2 3 2" xfId="15894"/>
    <cellStyle name="쉼표 [0] 2 8 2 2 2 4" xfId="15897"/>
    <cellStyle name="쉼표 [0] 2 8 2 2 2 5" xfId="29249"/>
    <cellStyle name="쉼표 [0] 2 8 2 2 2 6" xfId="17204"/>
    <cellStyle name="쉼표 [0] 2 8 2 2 20" xfId="17208"/>
    <cellStyle name="쉼표 [0] 2 8 2 2 20 2" xfId="17209"/>
    <cellStyle name="쉼표 [0] 2 8 2 2 20 2 2" xfId="15892"/>
    <cellStyle name="쉼표 [0] 2 8 2 2 20 3" xfId="15893"/>
    <cellStyle name="쉼표 [0] 2 8 2 2 21" xfId="17210"/>
    <cellStyle name="쉼표 [0] 2 8 2 2 21 2" xfId="17211"/>
    <cellStyle name="쉼표 [0] 2 8 2 2 21 2 2" xfId="15890"/>
    <cellStyle name="쉼표 [0] 2 8 2 2 21 3" xfId="15891"/>
    <cellStyle name="쉼표 [0] 2 8 2 2 22" xfId="17212"/>
    <cellStyle name="쉼표 [0] 2 8 2 2 22 2" xfId="17213"/>
    <cellStyle name="쉼표 [0] 2 8 2 2 22 2 2" xfId="15888"/>
    <cellStyle name="쉼표 [0] 2 8 2 2 22 3" xfId="15889"/>
    <cellStyle name="쉼표 [0] 2 8 2 2 23" xfId="17214"/>
    <cellStyle name="쉼표 [0] 2 8 2 2 23 2" xfId="17215"/>
    <cellStyle name="쉼표 [0] 2 8 2 2 23 2 2" xfId="15886"/>
    <cellStyle name="쉼표 [0] 2 8 2 2 23 3" xfId="15887"/>
    <cellStyle name="쉼표 [0] 2 8 2 2 24" xfId="17216"/>
    <cellStyle name="쉼표 [0] 2 8 2 2 24 2" xfId="17217"/>
    <cellStyle name="쉼표 [0] 2 8 2 2 24 2 2" xfId="15884"/>
    <cellStyle name="쉼표 [0] 2 8 2 2 24 3" xfId="15885"/>
    <cellStyle name="쉼표 [0] 2 8 2 2 25" xfId="17218"/>
    <cellStyle name="쉼표 [0] 2 8 2 2 25 2" xfId="17219"/>
    <cellStyle name="쉼표 [0] 2 8 2 2 25 2 2" xfId="15882"/>
    <cellStyle name="쉼표 [0] 2 8 2 2 25 3" xfId="15883"/>
    <cellStyle name="쉼표 [0] 2 8 2 2 26" xfId="17220"/>
    <cellStyle name="쉼표 [0] 2 8 2 2 26 2" xfId="17221"/>
    <cellStyle name="쉼표 [0] 2 8 2 2 26 2 2" xfId="15880"/>
    <cellStyle name="쉼표 [0] 2 8 2 2 26 3" xfId="15881"/>
    <cellStyle name="쉼표 [0] 2 8 2 2 27" xfId="17222"/>
    <cellStyle name="쉼표 [0] 2 8 2 2 27 2" xfId="17223"/>
    <cellStyle name="쉼표 [0] 2 8 2 2 27 2 2" xfId="15878"/>
    <cellStyle name="쉼표 [0] 2 8 2 2 27 3" xfId="15879"/>
    <cellStyle name="쉼표 [0] 2 8 2 2 28" xfId="17224"/>
    <cellStyle name="쉼표 [0] 2 8 2 2 28 2" xfId="17225"/>
    <cellStyle name="쉼표 [0] 2 8 2 2 28 2 2" xfId="15876"/>
    <cellStyle name="쉼표 [0] 2 8 2 2 28 3" xfId="15877"/>
    <cellStyle name="쉼표 [0] 2 8 2 2 29" xfId="17226"/>
    <cellStyle name="쉼표 [0] 2 8 2 2 29 2" xfId="17227"/>
    <cellStyle name="쉼표 [0] 2 8 2 2 29 2 2" xfId="15874"/>
    <cellStyle name="쉼표 [0] 2 8 2 2 29 3" xfId="15875"/>
    <cellStyle name="쉼표 [0] 2 8 2 2 3" xfId="17228"/>
    <cellStyle name="쉼표 [0] 2 8 2 2 3 2" xfId="17229"/>
    <cellStyle name="쉼표 [0] 2 8 2 2 3 2 2" xfId="15872"/>
    <cellStyle name="쉼표 [0] 2 8 2 2 3 3" xfId="15873"/>
    <cellStyle name="쉼표 [0] 2 8 2 2 30" xfId="17230"/>
    <cellStyle name="쉼표 [0] 2 8 2 2 30 2" xfId="17231"/>
    <cellStyle name="쉼표 [0] 2 8 2 2 30 2 2" xfId="15870"/>
    <cellStyle name="쉼표 [0] 2 8 2 2 30 3" xfId="15871"/>
    <cellStyle name="쉼표 [0] 2 8 2 2 31" xfId="17232"/>
    <cellStyle name="쉼표 [0] 2 8 2 2 31 2" xfId="17233"/>
    <cellStyle name="쉼표 [0] 2 8 2 2 31 2 2" xfId="15868"/>
    <cellStyle name="쉼표 [0] 2 8 2 2 31 3" xfId="15869"/>
    <cellStyle name="쉼표 [0] 2 8 2 2 32" xfId="17234"/>
    <cellStyle name="쉼표 [0] 2 8 2 2 32 2" xfId="17235"/>
    <cellStyle name="쉼표 [0] 2 8 2 2 32 2 2" xfId="15866"/>
    <cellStyle name="쉼표 [0] 2 8 2 2 32 3" xfId="15867"/>
    <cellStyle name="쉼표 [0] 2 8 2 2 33" xfId="17236"/>
    <cellStyle name="쉼표 [0] 2 8 2 2 33 2" xfId="17237"/>
    <cellStyle name="쉼표 [0] 2 8 2 2 33 2 2" xfId="15864"/>
    <cellStyle name="쉼표 [0] 2 8 2 2 33 3" xfId="15865"/>
    <cellStyle name="쉼표 [0] 2 8 2 2 34" xfId="17238"/>
    <cellStyle name="쉼표 [0] 2 8 2 2 34 2" xfId="17239"/>
    <cellStyle name="쉼표 [0] 2 8 2 2 34 2 2" xfId="15862"/>
    <cellStyle name="쉼표 [0] 2 8 2 2 34 3" xfId="15863"/>
    <cellStyle name="쉼표 [0] 2 8 2 2 35" xfId="17240"/>
    <cellStyle name="쉼표 [0] 2 8 2 2 35 2" xfId="17241"/>
    <cellStyle name="쉼표 [0] 2 8 2 2 35 2 2" xfId="15860"/>
    <cellStyle name="쉼표 [0] 2 8 2 2 35 3" xfId="15861"/>
    <cellStyle name="쉼표 [0] 2 8 2 2 36" xfId="17242"/>
    <cellStyle name="쉼표 [0] 2 8 2 2 36 2" xfId="17243"/>
    <cellStyle name="쉼표 [0] 2 8 2 2 36 2 2" xfId="15858"/>
    <cellStyle name="쉼표 [0] 2 8 2 2 36 3" xfId="15859"/>
    <cellStyle name="쉼표 [0] 2 8 2 2 37" xfId="17244"/>
    <cellStyle name="쉼표 [0] 2 8 2 2 37 2" xfId="17245"/>
    <cellStyle name="쉼표 [0] 2 8 2 2 37 2 2" xfId="15856"/>
    <cellStyle name="쉼표 [0] 2 8 2 2 37 3" xfId="15857"/>
    <cellStyle name="쉼표 [0] 2 8 2 2 38" xfId="17246"/>
    <cellStyle name="쉼표 [0] 2 8 2 2 38 2" xfId="17247"/>
    <cellStyle name="쉼표 [0] 2 8 2 2 38 2 2" xfId="15854"/>
    <cellStyle name="쉼표 [0] 2 8 2 2 38 3" xfId="15855"/>
    <cellStyle name="쉼표 [0] 2 8 2 2 39" xfId="17248"/>
    <cellStyle name="쉼표 [0] 2 8 2 2 39 2" xfId="17249"/>
    <cellStyle name="쉼표 [0] 2 8 2 2 39 2 2" xfId="15852"/>
    <cellStyle name="쉼표 [0] 2 8 2 2 39 3" xfId="15853"/>
    <cellStyle name="쉼표 [0] 2 8 2 2 4" xfId="17250"/>
    <cellStyle name="쉼표 [0] 2 8 2 2 4 2" xfId="17251"/>
    <cellStyle name="쉼표 [0] 2 8 2 2 4 2 2" xfId="15850"/>
    <cellStyle name="쉼표 [0] 2 8 2 2 4 3" xfId="15851"/>
    <cellStyle name="쉼표 [0] 2 8 2 2 40" xfId="17252"/>
    <cellStyle name="쉼표 [0] 2 8 2 2 40 2" xfId="17253"/>
    <cellStyle name="쉼표 [0] 2 8 2 2 40 2 2" xfId="15848"/>
    <cellStyle name="쉼표 [0] 2 8 2 2 40 3" xfId="15849"/>
    <cellStyle name="쉼표 [0] 2 8 2 2 41" xfId="17254"/>
    <cellStyle name="쉼표 [0] 2 8 2 2 41 2" xfId="17255"/>
    <cellStyle name="쉼표 [0] 2 8 2 2 41 2 2" xfId="15846"/>
    <cellStyle name="쉼표 [0] 2 8 2 2 41 3" xfId="15847"/>
    <cellStyle name="쉼표 [0] 2 8 2 2 42" xfId="17256"/>
    <cellStyle name="쉼표 [0] 2 8 2 2 42 2" xfId="17257"/>
    <cellStyle name="쉼표 [0] 2 8 2 2 42 2 2" xfId="15844"/>
    <cellStyle name="쉼표 [0] 2 8 2 2 42 3" xfId="15845"/>
    <cellStyle name="쉼표 [0] 2 8 2 2 43" xfId="17258"/>
    <cellStyle name="쉼표 [0] 2 8 2 2 43 2" xfId="15843"/>
    <cellStyle name="쉼표 [0] 2 8 2 2 44" xfId="17259"/>
    <cellStyle name="쉼표 [0] 2 8 2 2 44 2" xfId="15842"/>
    <cellStyle name="쉼표 [0] 2 8 2 2 45" xfId="15918"/>
    <cellStyle name="쉼표 [0] 2 8 2 2 46" xfId="29250"/>
    <cellStyle name="쉼표 [0] 2 8 2 2 47" xfId="17183"/>
    <cellStyle name="쉼표 [0] 2 8 2 2 5" xfId="17260"/>
    <cellStyle name="쉼표 [0] 2 8 2 2 5 2" xfId="17261"/>
    <cellStyle name="쉼표 [0] 2 8 2 2 5 2 2" xfId="15840"/>
    <cellStyle name="쉼표 [0] 2 8 2 2 5 3" xfId="15841"/>
    <cellStyle name="쉼표 [0] 2 8 2 2 6" xfId="17262"/>
    <cellStyle name="쉼표 [0] 2 8 2 2 6 2" xfId="17263"/>
    <cellStyle name="쉼표 [0] 2 8 2 2 6 2 2" xfId="15838"/>
    <cellStyle name="쉼표 [0] 2 8 2 2 6 3" xfId="15839"/>
    <cellStyle name="쉼표 [0] 2 8 2 2 7" xfId="17264"/>
    <cellStyle name="쉼표 [0] 2 8 2 2 7 2" xfId="17265"/>
    <cellStyle name="쉼표 [0] 2 8 2 2 7 2 2" xfId="15836"/>
    <cellStyle name="쉼표 [0] 2 8 2 2 7 3" xfId="15837"/>
    <cellStyle name="쉼표 [0] 2 8 2 2 8" xfId="17266"/>
    <cellStyle name="쉼표 [0] 2 8 2 2 8 2" xfId="17267"/>
    <cellStyle name="쉼표 [0] 2 8 2 2 8 2 2" xfId="15834"/>
    <cellStyle name="쉼표 [0] 2 8 2 2 8 3" xfId="15835"/>
    <cellStyle name="쉼표 [0] 2 8 2 2 9" xfId="17268"/>
    <cellStyle name="쉼표 [0] 2 8 2 2 9 2" xfId="17269"/>
    <cellStyle name="쉼표 [0] 2 8 2 2 9 2 2" xfId="15832"/>
    <cellStyle name="쉼표 [0] 2 8 2 2 9 3" xfId="15833"/>
    <cellStyle name="쉼표 [0] 2 8 2 20" xfId="17270"/>
    <cellStyle name="쉼표 [0] 2 8 2 20 2" xfId="17271"/>
    <cellStyle name="쉼표 [0] 2 8 2 20 2 2" xfId="15830"/>
    <cellStyle name="쉼표 [0] 2 8 2 20 3" xfId="15831"/>
    <cellStyle name="쉼표 [0] 2 8 2 21" xfId="17272"/>
    <cellStyle name="쉼표 [0] 2 8 2 21 2" xfId="17273"/>
    <cellStyle name="쉼표 [0] 2 8 2 21 2 2" xfId="15828"/>
    <cellStyle name="쉼표 [0] 2 8 2 21 3" xfId="15829"/>
    <cellStyle name="쉼표 [0] 2 8 2 22" xfId="17274"/>
    <cellStyle name="쉼표 [0] 2 8 2 22 2" xfId="17275"/>
    <cellStyle name="쉼표 [0] 2 8 2 22 2 2" xfId="15826"/>
    <cellStyle name="쉼표 [0] 2 8 2 22 3" xfId="15827"/>
    <cellStyle name="쉼표 [0] 2 8 2 23" xfId="17276"/>
    <cellStyle name="쉼표 [0] 2 8 2 23 2" xfId="17277"/>
    <cellStyle name="쉼표 [0] 2 8 2 23 2 2" xfId="15824"/>
    <cellStyle name="쉼표 [0] 2 8 2 23 3" xfId="15825"/>
    <cellStyle name="쉼표 [0] 2 8 2 24" xfId="17278"/>
    <cellStyle name="쉼표 [0] 2 8 2 24 2" xfId="17279"/>
    <cellStyle name="쉼표 [0] 2 8 2 24 2 2" xfId="15822"/>
    <cellStyle name="쉼표 [0] 2 8 2 24 3" xfId="15823"/>
    <cellStyle name="쉼표 [0] 2 8 2 25" xfId="17280"/>
    <cellStyle name="쉼표 [0] 2 8 2 25 2" xfId="17281"/>
    <cellStyle name="쉼표 [0] 2 8 2 25 2 2" xfId="15820"/>
    <cellStyle name="쉼표 [0] 2 8 2 25 3" xfId="15821"/>
    <cellStyle name="쉼표 [0] 2 8 2 26" xfId="17282"/>
    <cellStyle name="쉼표 [0] 2 8 2 26 2" xfId="17283"/>
    <cellStyle name="쉼표 [0] 2 8 2 26 2 2" xfId="15818"/>
    <cellStyle name="쉼표 [0] 2 8 2 26 3" xfId="15819"/>
    <cellStyle name="쉼표 [0] 2 8 2 27" xfId="17284"/>
    <cellStyle name="쉼표 [0] 2 8 2 27 2" xfId="17285"/>
    <cellStyle name="쉼표 [0] 2 8 2 27 2 2" xfId="15816"/>
    <cellStyle name="쉼표 [0] 2 8 2 27 3" xfId="15817"/>
    <cellStyle name="쉼표 [0] 2 8 2 28" xfId="17286"/>
    <cellStyle name="쉼표 [0] 2 8 2 28 2" xfId="17287"/>
    <cellStyle name="쉼표 [0] 2 8 2 28 2 2" xfId="15814"/>
    <cellStyle name="쉼표 [0] 2 8 2 28 3" xfId="15815"/>
    <cellStyle name="쉼표 [0] 2 8 2 29" xfId="17288"/>
    <cellStyle name="쉼표 [0] 2 8 2 29 2" xfId="17289"/>
    <cellStyle name="쉼표 [0] 2 8 2 29 2 2" xfId="15812"/>
    <cellStyle name="쉼표 [0] 2 8 2 29 3" xfId="15813"/>
    <cellStyle name="쉼표 [0] 2 8 2 3" xfId="1117"/>
    <cellStyle name="쉼표 [0] 2 8 2 3 2" xfId="1118"/>
    <cellStyle name="쉼표 [0] 2 8 2 3 2 2" xfId="1119"/>
    <cellStyle name="쉼표 [0] 2 8 2 3 2 2 2" xfId="17293"/>
    <cellStyle name="쉼표 [0] 2 8 2 3 2 2 2 2" xfId="15808"/>
    <cellStyle name="쉼표 [0] 2 8 2 3 2 2 3" xfId="15809"/>
    <cellStyle name="쉼표 [0] 2 8 2 3 2 2 4" xfId="29246"/>
    <cellStyle name="쉼표 [0] 2 8 2 3 2 2 5" xfId="17292"/>
    <cellStyle name="쉼표 [0] 2 8 2 3 2 3" xfId="17294"/>
    <cellStyle name="쉼표 [0] 2 8 2 3 2 3 2" xfId="15807"/>
    <cellStyle name="쉼표 [0] 2 8 2 3 2 4" xfId="15810"/>
    <cellStyle name="쉼표 [0] 2 8 2 3 2 5" xfId="29247"/>
    <cellStyle name="쉼표 [0] 2 8 2 3 2 6" xfId="17291"/>
    <cellStyle name="쉼표 [0] 2 8 2 3 3" xfId="1120"/>
    <cellStyle name="쉼표 [0] 2 8 2 3 3 2" xfId="17296"/>
    <cellStyle name="쉼표 [0] 2 8 2 3 3 2 2" xfId="15805"/>
    <cellStyle name="쉼표 [0] 2 8 2 3 3 3" xfId="15806"/>
    <cellStyle name="쉼표 [0] 2 8 2 3 3 4" xfId="29245"/>
    <cellStyle name="쉼표 [0] 2 8 2 3 3 5" xfId="17295"/>
    <cellStyle name="쉼표 [0] 2 8 2 3 4" xfId="17297"/>
    <cellStyle name="쉼표 [0] 2 8 2 3 4 2" xfId="17298"/>
    <cellStyle name="쉼표 [0] 2 8 2 3 4 2 2" xfId="15803"/>
    <cellStyle name="쉼표 [0] 2 8 2 3 4 3" xfId="15804"/>
    <cellStyle name="쉼표 [0] 2 8 2 3 5" xfId="17299"/>
    <cellStyle name="쉼표 [0] 2 8 2 3 5 2" xfId="15802"/>
    <cellStyle name="쉼표 [0] 2 8 2 3 6" xfId="17300"/>
    <cellStyle name="쉼표 [0] 2 8 2 3 6 2" xfId="15801"/>
    <cellStyle name="쉼표 [0] 2 8 2 3 7" xfId="15811"/>
    <cellStyle name="쉼표 [0] 2 8 2 3 8" xfId="29248"/>
    <cellStyle name="쉼표 [0] 2 8 2 3 9" xfId="17290"/>
    <cellStyle name="쉼표 [0] 2 8 2 30" xfId="17301"/>
    <cellStyle name="쉼표 [0] 2 8 2 30 2" xfId="17302"/>
    <cellStyle name="쉼표 [0] 2 8 2 30 2 2" xfId="15799"/>
    <cellStyle name="쉼표 [0] 2 8 2 30 3" xfId="15800"/>
    <cellStyle name="쉼표 [0] 2 8 2 31" xfId="17303"/>
    <cellStyle name="쉼표 [0] 2 8 2 31 2" xfId="17304"/>
    <cellStyle name="쉼표 [0] 2 8 2 31 2 2" xfId="15797"/>
    <cellStyle name="쉼표 [0] 2 8 2 31 3" xfId="15798"/>
    <cellStyle name="쉼표 [0] 2 8 2 32" xfId="17305"/>
    <cellStyle name="쉼표 [0] 2 8 2 32 2" xfId="17306"/>
    <cellStyle name="쉼표 [0] 2 8 2 32 2 2" xfId="15795"/>
    <cellStyle name="쉼표 [0] 2 8 2 32 3" xfId="15796"/>
    <cellStyle name="쉼표 [0] 2 8 2 33" xfId="17307"/>
    <cellStyle name="쉼표 [0] 2 8 2 33 2" xfId="17308"/>
    <cellStyle name="쉼표 [0] 2 8 2 33 2 2" xfId="15793"/>
    <cellStyle name="쉼표 [0] 2 8 2 33 3" xfId="15794"/>
    <cellStyle name="쉼표 [0] 2 8 2 34" xfId="17309"/>
    <cellStyle name="쉼표 [0] 2 8 2 34 2" xfId="17310"/>
    <cellStyle name="쉼표 [0] 2 8 2 34 2 2" xfId="15791"/>
    <cellStyle name="쉼표 [0] 2 8 2 34 3" xfId="15792"/>
    <cellStyle name="쉼표 [0] 2 8 2 35" xfId="17311"/>
    <cellStyle name="쉼표 [0] 2 8 2 35 2" xfId="17312"/>
    <cellStyle name="쉼표 [0] 2 8 2 35 2 2" xfId="15789"/>
    <cellStyle name="쉼표 [0] 2 8 2 35 3" xfId="15790"/>
    <cellStyle name="쉼표 [0] 2 8 2 36" xfId="17313"/>
    <cellStyle name="쉼표 [0] 2 8 2 36 2" xfId="17314"/>
    <cellStyle name="쉼표 [0] 2 8 2 36 2 2" xfId="15787"/>
    <cellStyle name="쉼표 [0] 2 8 2 36 3" xfId="15788"/>
    <cellStyle name="쉼표 [0] 2 8 2 37" xfId="17315"/>
    <cellStyle name="쉼표 [0] 2 8 2 37 2" xfId="17316"/>
    <cellStyle name="쉼표 [0] 2 8 2 37 2 2" xfId="15785"/>
    <cellStyle name="쉼표 [0] 2 8 2 37 3" xfId="15786"/>
    <cellStyle name="쉼표 [0] 2 8 2 38" xfId="17317"/>
    <cellStyle name="쉼표 [0] 2 8 2 38 2" xfId="17318"/>
    <cellStyle name="쉼표 [0] 2 8 2 38 2 2" xfId="15783"/>
    <cellStyle name="쉼표 [0] 2 8 2 38 3" xfId="15784"/>
    <cellStyle name="쉼표 [0] 2 8 2 39" xfId="17319"/>
    <cellStyle name="쉼표 [0] 2 8 2 39 2" xfId="17320"/>
    <cellStyle name="쉼표 [0] 2 8 2 39 2 2" xfId="15781"/>
    <cellStyle name="쉼표 [0] 2 8 2 39 3" xfId="15782"/>
    <cellStyle name="쉼표 [0] 2 8 2 4" xfId="1121"/>
    <cellStyle name="쉼표 [0] 2 8 2 4 2" xfId="1122"/>
    <cellStyle name="쉼표 [0] 2 8 2 4 2 2" xfId="17323"/>
    <cellStyle name="쉼표 [0] 2 8 2 4 2 2 2" xfId="15778"/>
    <cellStyle name="쉼표 [0] 2 8 2 4 2 3" xfId="15779"/>
    <cellStyle name="쉼표 [0] 2 8 2 4 2 4" xfId="29243"/>
    <cellStyle name="쉼표 [0] 2 8 2 4 2 5" xfId="17322"/>
    <cellStyle name="쉼표 [0] 2 8 2 4 3" xfId="17324"/>
    <cellStyle name="쉼표 [0] 2 8 2 4 3 2" xfId="17325"/>
    <cellStyle name="쉼표 [0] 2 8 2 4 3 2 2" xfId="15776"/>
    <cellStyle name="쉼표 [0] 2 8 2 4 3 3" xfId="15777"/>
    <cellStyle name="쉼표 [0] 2 8 2 4 4" xfId="17326"/>
    <cellStyle name="쉼표 [0] 2 8 2 4 4 2" xfId="15775"/>
    <cellStyle name="쉼표 [0] 2 8 2 4 5" xfId="15780"/>
    <cellStyle name="쉼표 [0] 2 8 2 4 6" xfId="29244"/>
    <cellStyle name="쉼표 [0] 2 8 2 4 7" xfId="17321"/>
    <cellStyle name="쉼표 [0] 2 8 2 40" xfId="17327"/>
    <cellStyle name="쉼표 [0] 2 8 2 40 2" xfId="17328"/>
    <cellStyle name="쉼표 [0] 2 8 2 40 2 2" xfId="15773"/>
    <cellStyle name="쉼표 [0] 2 8 2 40 3" xfId="15774"/>
    <cellStyle name="쉼표 [0] 2 8 2 41" xfId="17329"/>
    <cellStyle name="쉼표 [0] 2 8 2 41 2" xfId="17330"/>
    <cellStyle name="쉼표 [0] 2 8 2 41 2 2" xfId="15771"/>
    <cellStyle name="쉼표 [0] 2 8 2 41 3" xfId="15772"/>
    <cellStyle name="쉼표 [0] 2 8 2 42" xfId="17331"/>
    <cellStyle name="쉼표 [0] 2 8 2 42 2" xfId="17332"/>
    <cellStyle name="쉼표 [0] 2 8 2 42 2 2" xfId="15769"/>
    <cellStyle name="쉼표 [0] 2 8 2 42 3" xfId="15770"/>
    <cellStyle name="쉼표 [0] 2 8 2 43" xfId="17333"/>
    <cellStyle name="쉼표 [0] 2 8 2 43 2" xfId="15768"/>
    <cellStyle name="쉼표 [0] 2 8 2 44" xfId="17334"/>
    <cellStyle name="쉼표 [0] 2 8 2 44 2" xfId="15767"/>
    <cellStyle name="쉼표 [0] 2 8 2 45" xfId="15939"/>
    <cellStyle name="쉼표 [0] 2 8 2 46" xfId="29251"/>
    <cellStyle name="쉼표 [0] 2 8 2 47" xfId="17162"/>
    <cellStyle name="쉼표 [0] 2 8 2 48" xfId="30333"/>
    <cellStyle name="쉼표 [0] 2 8 2 5" xfId="1123"/>
    <cellStyle name="쉼표 [0] 2 8 2 5 2" xfId="17336"/>
    <cellStyle name="쉼표 [0] 2 8 2 5 2 2" xfId="17337"/>
    <cellStyle name="쉼표 [0] 2 8 2 5 2 2 2" xfId="15764"/>
    <cellStyle name="쉼표 [0] 2 8 2 5 2 3" xfId="15765"/>
    <cellStyle name="쉼표 [0] 2 8 2 5 3" xfId="17338"/>
    <cellStyle name="쉼표 [0] 2 8 2 5 3 2" xfId="15763"/>
    <cellStyle name="쉼표 [0] 2 8 2 5 4" xfId="15766"/>
    <cellStyle name="쉼표 [0] 2 8 2 5 5" xfId="29242"/>
    <cellStyle name="쉼표 [0] 2 8 2 5 6" xfId="17335"/>
    <cellStyle name="쉼표 [0] 2 8 2 6" xfId="17339"/>
    <cellStyle name="쉼표 [0] 2 8 2 6 2" xfId="17340"/>
    <cellStyle name="쉼표 [0] 2 8 2 6 2 2" xfId="15761"/>
    <cellStyle name="쉼표 [0] 2 8 2 6 3" xfId="15762"/>
    <cellStyle name="쉼표 [0] 2 8 2 7" xfId="17341"/>
    <cellStyle name="쉼표 [0] 2 8 2 7 2" xfId="17342"/>
    <cellStyle name="쉼표 [0] 2 8 2 7 2 2" xfId="15759"/>
    <cellStyle name="쉼표 [0] 2 8 2 7 3" xfId="15760"/>
    <cellStyle name="쉼표 [0] 2 8 2 8" xfId="17343"/>
    <cellStyle name="쉼표 [0] 2 8 2 8 2" xfId="17344"/>
    <cellStyle name="쉼표 [0] 2 8 2 8 2 2" xfId="15757"/>
    <cellStyle name="쉼표 [0] 2 8 2 8 3" xfId="15758"/>
    <cellStyle name="쉼표 [0] 2 8 2 9" xfId="17345"/>
    <cellStyle name="쉼표 [0] 2 8 2 9 2" xfId="17346"/>
    <cellStyle name="쉼표 [0] 2 8 2 9 2 2" xfId="15755"/>
    <cellStyle name="쉼표 [0] 2 8 2 9 3" xfId="15756"/>
    <cellStyle name="쉼표 [0] 2 8 20" xfId="17347"/>
    <cellStyle name="쉼표 [0] 2 8 20 2" xfId="17348"/>
    <cellStyle name="쉼표 [0] 2 8 20 2 2" xfId="15753"/>
    <cellStyle name="쉼표 [0] 2 8 20 3" xfId="15754"/>
    <cellStyle name="쉼표 [0] 2 8 21" xfId="17349"/>
    <cellStyle name="쉼표 [0] 2 8 21 2" xfId="17350"/>
    <cellStyle name="쉼표 [0] 2 8 21 2 2" xfId="15751"/>
    <cellStyle name="쉼표 [0] 2 8 21 3" xfId="15752"/>
    <cellStyle name="쉼표 [0] 2 8 22" xfId="17351"/>
    <cellStyle name="쉼표 [0] 2 8 22 2" xfId="17352"/>
    <cellStyle name="쉼표 [0] 2 8 22 2 2" xfId="15749"/>
    <cellStyle name="쉼표 [0] 2 8 22 3" xfId="15750"/>
    <cellStyle name="쉼표 [0] 2 8 23" xfId="17353"/>
    <cellStyle name="쉼표 [0] 2 8 23 2" xfId="17354"/>
    <cellStyle name="쉼표 [0] 2 8 23 2 2" xfId="15747"/>
    <cellStyle name="쉼표 [0] 2 8 23 3" xfId="15748"/>
    <cellStyle name="쉼표 [0] 2 8 24" xfId="17355"/>
    <cellStyle name="쉼표 [0] 2 8 24 2" xfId="17356"/>
    <cellStyle name="쉼표 [0] 2 8 24 2 2" xfId="15745"/>
    <cellStyle name="쉼표 [0] 2 8 24 3" xfId="15746"/>
    <cellStyle name="쉼표 [0] 2 8 25" xfId="17357"/>
    <cellStyle name="쉼표 [0] 2 8 25 2" xfId="17358"/>
    <cellStyle name="쉼표 [0] 2 8 25 2 2" xfId="15743"/>
    <cellStyle name="쉼표 [0] 2 8 25 3" xfId="15744"/>
    <cellStyle name="쉼표 [0] 2 8 26" xfId="17359"/>
    <cellStyle name="쉼표 [0] 2 8 26 2" xfId="17360"/>
    <cellStyle name="쉼표 [0] 2 8 26 2 2" xfId="15741"/>
    <cellStyle name="쉼표 [0] 2 8 26 3" xfId="15742"/>
    <cellStyle name="쉼표 [0] 2 8 27" xfId="17361"/>
    <cellStyle name="쉼표 [0] 2 8 27 2" xfId="17362"/>
    <cellStyle name="쉼표 [0] 2 8 27 2 2" xfId="15739"/>
    <cellStyle name="쉼표 [0] 2 8 27 3" xfId="15740"/>
    <cellStyle name="쉼표 [0] 2 8 28" xfId="17363"/>
    <cellStyle name="쉼표 [0] 2 8 28 2" xfId="17364"/>
    <cellStyle name="쉼표 [0] 2 8 28 2 2" xfId="15737"/>
    <cellStyle name="쉼표 [0] 2 8 28 3" xfId="15738"/>
    <cellStyle name="쉼표 [0] 2 8 29" xfId="17365"/>
    <cellStyle name="쉼표 [0] 2 8 29 2" xfId="17366"/>
    <cellStyle name="쉼표 [0] 2 8 29 2 2" xfId="15735"/>
    <cellStyle name="쉼표 [0] 2 8 29 3" xfId="15736"/>
    <cellStyle name="쉼표 [0] 2 8 3" xfId="1124"/>
    <cellStyle name="쉼표 [0] 2 8 3 2" xfId="1125"/>
    <cellStyle name="쉼표 [0] 2 8 3 2 2" xfId="17369"/>
    <cellStyle name="쉼표 [0] 2 8 3 2 2 2" xfId="15732"/>
    <cellStyle name="쉼표 [0] 2 8 3 2 3" xfId="15733"/>
    <cellStyle name="쉼표 [0] 2 8 3 2 4" xfId="29240"/>
    <cellStyle name="쉼표 [0] 2 8 3 2 5" xfId="17368"/>
    <cellStyle name="쉼표 [0] 2 8 3 3" xfId="17370"/>
    <cellStyle name="쉼표 [0] 2 8 3 3 2" xfId="17371"/>
    <cellStyle name="쉼표 [0] 2 8 3 3 2 2" xfId="15730"/>
    <cellStyle name="쉼표 [0] 2 8 3 3 3" xfId="15731"/>
    <cellStyle name="쉼표 [0] 2 8 3 4" xfId="17372"/>
    <cellStyle name="쉼표 [0] 2 8 3 4 2" xfId="15729"/>
    <cellStyle name="쉼표 [0] 2 8 3 5" xfId="17373"/>
    <cellStyle name="쉼표 [0] 2 8 3 5 2" xfId="15728"/>
    <cellStyle name="쉼표 [0] 2 8 3 6" xfId="15734"/>
    <cellStyle name="쉼표 [0] 2 8 3 7" xfId="29241"/>
    <cellStyle name="쉼표 [0] 2 8 3 8" xfId="17367"/>
    <cellStyle name="쉼표 [0] 2 8 30" xfId="17374"/>
    <cellStyle name="쉼표 [0] 2 8 30 2" xfId="17375"/>
    <cellStyle name="쉼표 [0] 2 8 30 2 2" xfId="15726"/>
    <cellStyle name="쉼표 [0] 2 8 30 3" xfId="15727"/>
    <cellStyle name="쉼표 [0] 2 8 31" xfId="17376"/>
    <cellStyle name="쉼표 [0] 2 8 31 2" xfId="17377"/>
    <cellStyle name="쉼표 [0] 2 8 31 2 2" xfId="15724"/>
    <cellStyle name="쉼표 [0] 2 8 31 3" xfId="15725"/>
    <cellStyle name="쉼표 [0] 2 8 32" xfId="17378"/>
    <cellStyle name="쉼표 [0] 2 8 32 2" xfId="17379"/>
    <cellStyle name="쉼표 [0] 2 8 32 2 2" xfId="15722"/>
    <cellStyle name="쉼표 [0] 2 8 32 3" xfId="15723"/>
    <cellStyle name="쉼표 [0] 2 8 33" xfId="17380"/>
    <cellStyle name="쉼표 [0] 2 8 33 2" xfId="17381"/>
    <cellStyle name="쉼표 [0] 2 8 33 2 2" xfId="15720"/>
    <cellStyle name="쉼표 [0] 2 8 33 3" xfId="15721"/>
    <cellStyle name="쉼표 [0] 2 8 34" xfId="17382"/>
    <cellStyle name="쉼표 [0] 2 8 34 2" xfId="17383"/>
    <cellStyle name="쉼표 [0] 2 8 34 2 2" xfId="15718"/>
    <cellStyle name="쉼표 [0] 2 8 34 3" xfId="15719"/>
    <cellStyle name="쉼표 [0] 2 8 35" xfId="17384"/>
    <cellStyle name="쉼표 [0] 2 8 35 2" xfId="17385"/>
    <cellStyle name="쉼표 [0] 2 8 35 2 2" xfId="15716"/>
    <cellStyle name="쉼표 [0] 2 8 35 3" xfId="15717"/>
    <cellStyle name="쉼표 [0] 2 8 36" xfId="17386"/>
    <cellStyle name="쉼표 [0] 2 8 36 2" xfId="17387"/>
    <cellStyle name="쉼표 [0] 2 8 36 2 2" xfId="15714"/>
    <cellStyle name="쉼표 [0] 2 8 36 3" xfId="15715"/>
    <cellStyle name="쉼표 [0] 2 8 37" xfId="17388"/>
    <cellStyle name="쉼표 [0] 2 8 37 2" xfId="17389"/>
    <cellStyle name="쉼표 [0] 2 8 37 2 2" xfId="15712"/>
    <cellStyle name="쉼표 [0] 2 8 37 3" xfId="15713"/>
    <cellStyle name="쉼표 [0] 2 8 38" xfId="17390"/>
    <cellStyle name="쉼표 [0] 2 8 38 2" xfId="17391"/>
    <cellStyle name="쉼표 [0] 2 8 38 2 2" xfId="15710"/>
    <cellStyle name="쉼표 [0] 2 8 38 3" xfId="15711"/>
    <cellStyle name="쉼표 [0] 2 8 39" xfId="17392"/>
    <cellStyle name="쉼표 [0] 2 8 39 2" xfId="17393"/>
    <cellStyle name="쉼표 [0] 2 8 39 2 2" xfId="15708"/>
    <cellStyle name="쉼표 [0] 2 8 39 3" xfId="15709"/>
    <cellStyle name="쉼표 [0] 2 8 4" xfId="1126"/>
    <cellStyle name="쉼표 [0] 2 8 4 2" xfId="1127"/>
    <cellStyle name="쉼표 [0] 2 8 4 2 2" xfId="1128"/>
    <cellStyle name="쉼표 [0] 2 8 4 2 2 2" xfId="17397"/>
    <cellStyle name="쉼표 [0] 2 8 4 2 2 2 2" xfId="15704"/>
    <cellStyle name="쉼표 [0] 2 8 4 2 2 3" xfId="15705"/>
    <cellStyle name="쉼표 [0] 2 8 4 2 2 4" xfId="29237"/>
    <cellStyle name="쉼표 [0] 2 8 4 2 2 5" xfId="17396"/>
    <cellStyle name="쉼표 [0] 2 8 4 2 3" xfId="17398"/>
    <cellStyle name="쉼표 [0] 2 8 4 2 3 2" xfId="15703"/>
    <cellStyle name="쉼표 [0] 2 8 4 2 4" xfId="15706"/>
    <cellStyle name="쉼표 [0] 2 8 4 2 5" xfId="29238"/>
    <cellStyle name="쉼표 [0] 2 8 4 2 6" xfId="17395"/>
    <cellStyle name="쉼표 [0] 2 8 4 3" xfId="1129"/>
    <cellStyle name="쉼표 [0] 2 8 4 3 2" xfId="17400"/>
    <cellStyle name="쉼표 [0] 2 8 4 3 2 2" xfId="15701"/>
    <cellStyle name="쉼표 [0] 2 8 4 3 3" xfId="15702"/>
    <cellStyle name="쉼표 [0] 2 8 4 3 4" xfId="29236"/>
    <cellStyle name="쉼표 [0] 2 8 4 3 5" xfId="17399"/>
    <cellStyle name="쉼표 [0] 2 8 4 4" xfId="17401"/>
    <cellStyle name="쉼표 [0] 2 8 4 4 2" xfId="17402"/>
    <cellStyle name="쉼표 [0] 2 8 4 4 2 2" xfId="15699"/>
    <cellStyle name="쉼표 [0] 2 8 4 4 3" xfId="15700"/>
    <cellStyle name="쉼표 [0] 2 8 4 5" xfId="17403"/>
    <cellStyle name="쉼표 [0] 2 8 4 5 2" xfId="15698"/>
    <cellStyle name="쉼표 [0] 2 8 4 6" xfId="17404"/>
    <cellStyle name="쉼표 [0] 2 8 4 6 2" xfId="15697"/>
    <cellStyle name="쉼표 [0] 2 8 4 7" xfId="15707"/>
    <cellStyle name="쉼표 [0] 2 8 4 8" xfId="29239"/>
    <cellStyle name="쉼표 [0] 2 8 4 9" xfId="17394"/>
    <cellStyle name="쉼표 [0] 2 8 40" xfId="17405"/>
    <cellStyle name="쉼표 [0] 2 8 40 2" xfId="17406"/>
    <cellStyle name="쉼표 [0] 2 8 40 2 2" xfId="15695"/>
    <cellStyle name="쉼표 [0] 2 8 40 3" xfId="15696"/>
    <cellStyle name="쉼표 [0] 2 8 41" xfId="17407"/>
    <cellStyle name="쉼표 [0] 2 8 41 2" xfId="17408"/>
    <cellStyle name="쉼표 [0] 2 8 41 2 2" xfId="15693"/>
    <cellStyle name="쉼표 [0] 2 8 41 3" xfId="15694"/>
    <cellStyle name="쉼표 [0] 2 8 42" xfId="17409"/>
    <cellStyle name="쉼표 [0] 2 8 42 2" xfId="17410"/>
    <cellStyle name="쉼표 [0] 2 8 42 2 2" xfId="15691"/>
    <cellStyle name="쉼표 [0] 2 8 42 3" xfId="15692"/>
    <cellStyle name="쉼표 [0] 2 8 43" xfId="17411"/>
    <cellStyle name="쉼표 [0] 2 8 43 2" xfId="17412"/>
    <cellStyle name="쉼표 [0] 2 8 43 2 2" xfId="15689"/>
    <cellStyle name="쉼표 [0] 2 8 43 3" xfId="15690"/>
    <cellStyle name="쉼표 [0] 2 8 44" xfId="17413"/>
    <cellStyle name="쉼표 [0] 2 8 44 2" xfId="17414"/>
    <cellStyle name="쉼표 [0] 2 8 44 2 2" xfId="15687"/>
    <cellStyle name="쉼표 [0] 2 8 44 3" xfId="15688"/>
    <cellStyle name="쉼표 [0] 2 8 45" xfId="17415"/>
    <cellStyle name="쉼표 [0] 2 8 45 2" xfId="17416"/>
    <cellStyle name="쉼표 [0] 2 8 45 2 2" xfId="15685"/>
    <cellStyle name="쉼표 [0] 2 8 45 3" xfId="15686"/>
    <cellStyle name="쉼표 [0] 2 8 46" xfId="17417"/>
    <cellStyle name="쉼표 [0] 2 8 46 2" xfId="17418"/>
    <cellStyle name="쉼표 [0] 2 8 46 2 2" xfId="15683"/>
    <cellStyle name="쉼표 [0] 2 8 46 3" xfId="15684"/>
    <cellStyle name="쉼표 [0] 2 8 47" xfId="17419"/>
    <cellStyle name="쉼표 [0] 2 8 47 2" xfId="17420"/>
    <cellStyle name="쉼표 [0] 2 8 47 2 2" xfId="15681"/>
    <cellStyle name="쉼표 [0] 2 8 47 3" xfId="15682"/>
    <cellStyle name="쉼표 [0] 2 8 48" xfId="17421"/>
    <cellStyle name="쉼표 [0] 2 8 49" xfId="17422"/>
    <cellStyle name="쉼표 [0] 2 8 5" xfId="1130"/>
    <cellStyle name="쉼표 [0] 2 8 5 2" xfId="1131"/>
    <cellStyle name="쉼표 [0] 2 8 5 2 2" xfId="17425"/>
    <cellStyle name="쉼표 [0] 2 8 5 2 2 2" xfId="15678"/>
    <cellStyle name="쉼표 [0] 2 8 5 2 3" xfId="15679"/>
    <cellStyle name="쉼표 [0] 2 8 5 2 4" xfId="29234"/>
    <cellStyle name="쉼표 [0] 2 8 5 2 5" xfId="17424"/>
    <cellStyle name="쉼표 [0] 2 8 5 3" xfId="17426"/>
    <cellStyle name="쉼표 [0] 2 8 5 3 2" xfId="17427"/>
    <cellStyle name="쉼표 [0] 2 8 5 3 2 2" xfId="15676"/>
    <cellStyle name="쉼표 [0] 2 8 5 3 3" xfId="15677"/>
    <cellStyle name="쉼표 [0] 2 8 5 4" xfId="17428"/>
    <cellStyle name="쉼표 [0] 2 8 5 4 2" xfId="15675"/>
    <cellStyle name="쉼표 [0] 2 8 5 5" xfId="15680"/>
    <cellStyle name="쉼표 [0] 2 8 5 6" xfId="29235"/>
    <cellStyle name="쉼표 [0] 2 8 5 7" xfId="17423"/>
    <cellStyle name="쉼표 [0] 2 8 50" xfId="17429"/>
    <cellStyle name="쉼표 [0] 2 8 51" xfId="17430"/>
    <cellStyle name="쉼표 [0] 2 8 52" xfId="17431"/>
    <cellStyle name="쉼표 [0] 2 8 53" xfId="17432"/>
    <cellStyle name="쉼표 [0] 2 8 54" xfId="17433"/>
    <cellStyle name="쉼표 [0] 2 8 55" xfId="17434"/>
    <cellStyle name="쉼표 [0] 2 8 55 2" xfId="15674"/>
    <cellStyle name="쉼표 [0] 2 8 56" xfId="17435"/>
    <cellStyle name="쉼표 [0] 2 8 56 2" xfId="15673"/>
    <cellStyle name="쉼표 [0] 2 8 57" xfId="17436"/>
    <cellStyle name="쉼표 [0] 2 8 58" xfId="15952"/>
    <cellStyle name="쉼표 [0] 2 8 59" xfId="29252"/>
    <cellStyle name="쉼표 [0] 2 8 6" xfId="1132"/>
    <cellStyle name="쉼표 [0] 2 8 6 2" xfId="17438"/>
    <cellStyle name="쉼표 [0] 2 8 6 2 2" xfId="17439"/>
    <cellStyle name="쉼표 [0] 2 8 6 2 2 2" xfId="15670"/>
    <cellStyle name="쉼표 [0] 2 8 6 2 3" xfId="15671"/>
    <cellStyle name="쉼표 [0] 2 8 6 3" xfId="17440"/>
    <cellStyle name="쉼표 [0] 2 8 6 3 2" xfId="15669"/>
    <cellStyle name="쉼표 [0] 2 8 6 4" xfId="15672"/>
    <cellStyle name="쉼표 [0] 2 8 6 5" xfId="29233"/>
    <cellStyle name="쉼표 [0] 2 8 6 6" xfId="17437"/>
    <cellStyle name="쉼표 [0] 2 8 60" xfId="17145"/>
    <cellStyle name="쉼표 [0] 2 8 61" xfId="29850"/>
    <cellStyle name="쉼표 [0] 2 8 62" xfId="29499"/>
    <cellStyle name="쉼표 [0] 2 8 7" xfId="17441"/>
    <cellStyle name="쉼표 [0] 2 8 7 2" xfId="17442"/>
    <cellStyle name="쉼표 [0] 2 8 7 2 2" xfId="15667"/>
    <cellStyle name="쉼표 [0] 2 8 7 3" xfId="15668"/>
    <cellStyle name="쉼표 [0] 2 8 8" xfId="17443"/>
    <cellStyle name="쉼표 [0] 2 8 8 2" xfId="17444"/>
    <cellStyle name="쉼표 [0] 2 8 8 2 2" xfId="15665"/>
    <cellStyle name="쉼표 [0] 2 8 8 3" xfId="15666"/>
    <cellStyle name="쉼표 [0] 2 8 9" xfId="17445"/>
    <cellStyle name="쉼표 [0] 2 8 9 2" xfId="17446"/>
    <cellStyle name="쉼표 [0] 2 8 9 2 2" xfId="15663"/>
    <cellStyle name="쉼표 [0] 2 8 9 3" xfId="15664"/>
    <cellStyle name="쉼표 [0] 2 80" xfId="17447"/>
    <cellStyle name="쉼표 [0] 2 80 2" xfId="17448"/>
    <cellStyle name="쉼표 [0] 2 80 2 2" xfId="15661"/>
    <cellStyle name="쉼표 [0] 2 80 3" xfId="15662"/>
    <cellStyle name="쉼표 [0] 2 81" xfId="17449"/>
    <cellStyle name="쉼표 [0] 2 81 2" xfId="17450"/>
    <cellStyle name="쉼표 [0] 2 81 2 2" xfId="15659"/>
    <cellStyle name="쉼표 [0] 2 81 3" xfId="15660"/>
    <cellStyle name="쉼표 [0] 2 82" xfId="17451"/>
    <cellStyle name="쉼표 [0] 2 82 2" xfId="17452"/>
    <cellStyle name="쉼표 [0] 2 82 2 2" xfId="15657"/>
    <cellStyle name="쉼표 [0] 2 82 3" xfId="15658"/>
    <cellStyle name="쉼표 [0] 2 83" xfId="17453"/>
    <cellStyle name="쉼표 [0] 2 83 2" xfId="17454"/>
    <cellStyle name="쉼표 [0] 2 83 2 2" xfId="15655"/>
    <cellStyle name="쉼표 [0] 2 83 3" xfId="15656"/>
    <cellStyle name="쉼표 [0] 2 84" xfId="17455"/>
    <cellStyle name="쉼표 [0] 2 84 2" xfId="17456"/>
    <cellStyle name="쉼표 [0] 2 84 2 2" xfId="15653"/>
    <cellStyle name="쉼표 [0] 2 84 3" xfId="15654"/>
    <cellStyle name="쉼표 [0] 2 85" xfId="17457"/>
    <cellStyle name="쉼표 [0] 2 85 2" xfId="17458"/>
    <cellStyle name="쉼표 [0] 2 85 2 2" xfId="15651"/>
    <cellStyle name="쉼표 [0] 2 85 3" xfId="15652"/>
    <cellStyle name="쉼표 [0] 2 86" xfId="17459"/>
    <cellStyle name="쉼표 [0] 2 86 2" xfId="17460"/>
    <cellStyle name="쉼표 [0] 2 86 2 2" xfId="15649"/>
    <cellStyle name="쉼표 [0] 2 86 3" xfId="15650"/>
    <cellStyle name="쉼표 [0] 2 87" xfId="17461"/>
    <cellStyle name="쉼표 [0] 2 87 2" xfId="17462"/>
    <cellStyle name="쉼표 [0] 2 87 2 2" xfId="15647"/>
    <cellStyle name="쉼표 [0] 2 87 3" xfId="15648"/>
    <cellStyle name="쉼표 [0] 2 88" xfId="30704"/>
    <cellStyle name="쉼표 [0] 2 89" xfId="30740"/>
    <cellStyle name="쉼표 [0] 2 9" xfId="1133"/>
    <cellStyle name="쉼표 [0] 2 9 10" xfId="17464"/>
    <cellStyle name="쉼표 [0] 2 9 11" xfId="17465"/>
    <cellStyle name="쉼표 [0] 2 9 12" xfId="17466"/>
    <cellStyle name="쉼표 [0] 2 9 13" xfId="17467"/>
    <cellStyle name="쉼표 [0] 2 9 13 2" xfId="17468"/>
    <cellStyle name="쉼표 [0] 2 9 13 2 2" xfId="15644"/>
    <cellStyle name="쉼표 [0] 2 9 13 3" xfId="15645"/>
    <cellStyle name="쉼표 [0] 2 9 14" xfId="17469"/>
    <cellStyle name="쉼표 [0] 2 9 14 2" xfId="17470"/>
    <cellStyle name="쉼표 [0] 2 9 14 2 2" xfId="15642"/>
    <cellStyle name="쉼표 [0] 2 9 14 3" xfId="15643"/>
    <cellStyle name="쉼표 [0] 2 9 15" xfId="17471"/>
    <cellStyle name="쉼표 [0] 2 9 15 2" xfId="17472"/>
    <cellStyle name="쉼표 [0] 2 9 15 2 2" xfId="15640"/>
    <cellStyle name="쉼표 [0] 2 9 15 3" xfId="15641"/>
    <cellStyle name="쉼표 [0] 2 9 16" xfId="17473"/>
    <cellStyle name="쉼표 [0] 2 9 16 2" xfId="17474"/>
    <cellStyle name="쉼표 [0] 2 9 16 2 2" xfId="15638"/>
    <cellStyle name="쉼표 [0] 2 9 16 3" xfId="15639"/>
    <cellStyle name="쉼표 [0] 2 9 17" xfId="17475"/>
    <cellStyle name="쉼표 [0] 2 9 17 2" xfId="17476"/>
    <cellStyle name="쉼표 [0] 2 9 17 2 2" xfId="15636"/>
    <cellStyle name="쉼표 [0] 2 9 17 3" xfId="15637"/>
    <cellStyle name="쉼표 [0] 2 9 18" xfId="17477"/>
    <cellStyle name="쉼표 [0] 2 9 18 2" xfId="17478"/>
    <cellStyle name="쉼표 [0] 2 9 18 2 2" xfId="15634"/>
    <cellStyle name="쉼표 [0] 2 9 18 3" xfId="15635"/>
    <cellStyle name="쉼표 [0] 2 9 19" xfId="17479"/>
    <cellStyle name="쉼표 [0] 2 9 19 2" xfId="17480"/>
    <cellStyle name="쉼표 [0] 2 9 19 2 2" xfId="15632"/>
    <cellStyle name="쉼표 [0] 2 9 19 3" xfId="15633"/>
    <cellStyle name="쉼표 [0] 2 9 2" xfId="1134"/>
    <cellStyle name="쉼표 [0] 2 9 2 10" xfId="17482"/>
    <cellStyle name="쉼표 [0] 2 9 2 10 2" xfId="17483"/>
    <cellStyle name="쉼표 [0] 2 9 2 10 2 2" xfId="15629"/>
    <cellStyle name="쉼표 [0] 2 9 2 10 3" xfId="15630"/>
    <cellStyle name="쉼표 [0] 2 9 2 11" xfId="17484"/>
    <cellStyle name="쉼표 [0] 2 9 2 11 2" xfId="17485"/>
    <cellStyle name="쉼표 [0] 2 9 2 11 2 2" xfId="15627"/>
    <cellStyle name="쉼표 [0] 2 9 2 11 3" xfId="15628"/>
    <cellStyle name="쉼표 [0] 2 9 2 12" xfId="17486"/>
    <cellStyle name="쉼표 [0] 2 9 2 12 2" xfId="17487"/>
    <cellStyle name="쉼표 [0] 2 9 2 12 2 2" xfId="15625"/>
    <cellStyle name="쉼표 [0] 2 9 2 12 3" xfId="15626"/>
    <cellStyle name="쉼표 [0] 2 9 2 13" xfId="17488"/>
    <cellStyle name="쉼표 [0] 2 9 2 13 2" xfId="17489"/>
    <cellStyle name="쉼표 [0] 2 9 2 13 2 2" xfId="15623"/>
    <cellStyle name="쉼표 [0] 2 9 2 13 3" xfId="15624"/>
    <cellStyle name="쉼표 [0] 2 9 2 14" xfId="17490"/>
    <cellStyle name="쉼표 [0] 2 9 2 14 2" xfId="17491"/>
    <cellStyle name="쉼표 [0] 2 9 2 14 2 2" xfId="15621"/>
    <cellStyle name="쉼표 [0] 2 9 2 14 3" xfId="15622"/>
    <cellStyle name="쉼표 [0] 2 9 2 15" xfId="17492"/>
    <cellStyle name="쉼표 [0] 2 9 2 15 2" xfId="17493"/>
    <cellStyle name="쉼표 [0] 2 9 2 15 2 2" xfId="15619"/>
    <cellStyle name="쉼표 [0] 2 9 2 15 3" xfId="15620"/>
    <cellStyle name="쉼표 [0] 2 9 2 16" xfId="17494"/>
    <cellStyle name="쉼표 [0] 2 9 2 16 2" xfId="17495"/>
    <cellStyle name="쉼표 [0] 2 9 2 16 2 2" xfId="15617"/>
    <cellStyle name="쉼표 [0] 2 9 2 16 3" xfId="15618"/>
    <cellStyle name="쉼표 [0] 2 9 2 17" xfId="17496"/>
    <cellStyle name="쉼표 [0] 2 9 2 17 2" xfId="17497"/>
    <cellStyle name="쉼표 [0] 2 9 2 17 2 2" xfId="15615"/>
    <cellStyle name="쉼표 [0] 2 9 2 17 3" xfId="15616"/>
    <cellStyle name="쉼표 [0] 2 9 2 18" xfId="17498"/>
    <cellStyle name="쉼표 [0] 2 9 2 18 2" xfId="17499"/>
    <cellStyle name="쉼표 [0] 2 9 2 18 2 2" xfId="15613"/>
    <cellStyle name="쉼표 [0] 2 9 2 18 3" xfId="15614"/>
    <cellStyle name="쉼표 [0] 2 9 2 19" xfId="17500"/>
    <cellStyle name="쉼표 [0] 2 9 2 19 2" xfId="17501"/>
    <cellStyle name="쉼표 [0] 2 9 2 19 2 2" xfId="15611"/>
    <cellStyle name="쉼표 [0] 2 9 2 19 3" xfId="15612"/>
    <cellStyle name="쉼표 [0] 2 9 2 2" xfId="1135"/>
    <cellStyle name="쉼표 [0] 2 9 2 2 2" xfId="17503"/>
    <cellStyle name="쉼표 [0] 2 9 2 2 2 2" xfId="17504"/>
    <cellStyle name="쉼표 [0] 2 9 2 2 2 2 2" xfId="15608"/>
    <cellStyle name="쉼표 [0] 2 9 2 2 2 3" xfId="15609"/>
    <cellStyle name="쉼표 [0] 2 9 2 2 3" xfId="17505"/>
    <cellStyle name="쉼표 [0] 2 9 2 2 3 2" xfId="15607"/>
    <cellStyle name="쉼표 [0] 2 9 2 2 4" xfId="15610"/>
    <cellStyle name="쉼표 [0] 2 9 2 2 5" xfId="29230"/>
    <cellStyle name="쉼표 [0] 2 9 2 2 6" xfId="17502"/>
    <cellStyle name="쉼표 [0] 2 9 2 20" xfId="17506"/>
    <cellStyle name="쉼표 [0] 2 9 2 20 2" xfId="17507"/>
    <cellStyle name="쉼표 [0] 2 9 2 20 2 2" xfId="15605"/>
    <cellStyle name="쉼표 [0] 2 9 2 20 3" xfId="15606"/>
    <cellStyle name="쉼표 [0] 2 9 2 21" xfId="17508"/>
    <cellStyle name="쉼표 [0] 2 9 2 21 2" xfId="17509"/>
    <cellStyle name="쉼표 [0] 2 9 2 21 2 2" xfId="15603"/>
    <cellStyle name="쉼표 [0] 2 9 2 21 3" xfId="15604"/>
    <cellStyle name="쉼표 [0] 2 9 2 22" xfId="17510"/>
    <cellStyle name="쉼표 [0] 2 9 2 22 2" xfId="17511"/>
    <cellStyle name="쉼표 [0] 2 9 2 22 2 2" xfId="15601"/>
    <cellStyle name="쉼표 [0] 2 9 2 22 3" xfId="15602"/>
    <cellStyle name="쉼표 [0] 2 9 2 23" xfId="17512"/>
    <cellStyle name="쉼표 [0] 2 9 2 23 2" xfId="17513"/>
    <cellStyle name="쉼표 [0] 2 9 2 23 2 2" xfId="15599"/>
    <cellStyle name="쉼표 [0] 2 9 2 23 3" xfId="15600"/>
    <cellStyle name="쉼표 [0] 2 9 2 24" xfId="17514"/>
    <cellStyle name="쉼표 [0] 2 9 2 24 2" xfId="17515"/>
    <cellStyle name="쉼표 [0] 2 9 2 24 2 2" xfId="15597"/>
    <cellStyle name="쉼표 [0] 2 9 2 24 3" xfId="15598"/>
    <cellStyle name="쉼표 [0] 2 9 2 25" xfId="17516"/>
    <cellStyle name="쉼표 [0] 2 9 2 25 2" xfId="17517"/>
    <cellStyle name="쉼표 [0] 2 9 2 25 2 2" xfId="15595"/>
    <cellStyle name="쉼표 [0] 2 9 2 25 3" xfId="15596"/>
    <cellStyle name="쉼표 [0] 2 9 2 26" xfId="17518"/>
    <cellStyle name="쉼표 [0] 2 9 2 26 2" xfId="17519"/>
    <cellStyle name="쉼표 [0] 2 9 2 26 2 2" xfId="15593"/>
    <cellStyle name="쉼표 [0] 2 9 2 26 3" xfId="15594"/>
    <cellStyle name="쉼표 [0] 2 9 2 27" xfId="17520"/>
    <cellStyle name="쉼표 [0] 2 9 2 27 2" xfId="17521"/>
    <cellStyle name="쉼표 [0] 2 9 2 27 2 2" xfId="15591"/>
    <cellStyle name="쉼표 [0] 2 9 2 27 3" xfId="15592"/>
    <cellStyle name="쉼표 [0] 2 9 2 28" xfId="17522"/>
    <cellStyle name="쉼표 [0] 2 9 2 28 2" xfId="17523"/>
    <cellStyle name="쉼표 [0] 2 9 2 28 2 2" xfId="15589"/>
    <cellStyle name="쉼표 [0] 2 9 2 28 3" xfId="15590"/>
    <cellStyle name="쉼표 [0] 2 9 2 29" xfId="17524"/>
    <cellStyle name="쉼표 [0] 2 9 2 29 2" xfId="17525"/>
    <cellStyle name="쉼표 [0] 2 9 2 29 2 2" xfId="15587"/>
    <cellStyle name="쉼표 [0] 2 9 2 29 3" xfId="15588"/>
    <cellStyle name="쉼표 [0] 2 9 2 3" xfId="17526"/>
    <cellStyle name="쉼표 [0] 2 9 2 3 2" xfId="17527"/>
    <cellStyle name="쉼표 [0] 2 9 2 3 2 2" xfId="15585"/>
    <cellStyle name="쉼표 [0] 2 9 2 3 3" xfId="15586"/>
    <cellStyle name="쉼표 [0] 2 9 2 30" xfId="17528"/>
    <cellStyle name="쉼표 [0] 2 9 2 30 2" xfId="17529"/>
    <cellStyle name="쉼표 [0] 2 9 2 30 2 2" xfId="15583"/>
    <cellStyle name="쉼표 [0] 2 9 2 30 3" xfId="15584"/>
    <cellStyle name="쉼표 [0] 2 9 2 31" xfId="17530"/>
    <cellStyle name="쉼표 [0] 2 9 2 31 2" xfId="17531"/>
    <cellStyle name="쉼표 [0] 2 9 2 31 2 2" xfId="15581"/>
    <cellStyle name="쉼표 [0] 2 9 2 31 3" xfId="15582"/>
    <cellStyle name="쉼표 [0] 2 9 2 32" xfId="17532"/>
    <cellStyle name="쉼표 [0] 2 9 2 32 2" xfId="17533"/>
    <cellStyle name="쉼표 [0] 2 9 2 32 2 2" xfId="15579"/>
    <cellStyle name="쉼표 [0] 2 9 2 32 3" xfId="15580"/>
    <cellStyle name="쉼표 [0] 2 9 2 33" xfId="17534"/>
    <cellStyle name="쉼표 [0] 2 9 2 33 2" xfId="17535"/>
    <cellStyle name="쉼표 [0] 2 9 2 33 2 2" xfId="15577"/>
    <cellStyle name="쉼표 [0] 2 9 2 33 3" xfId="15578"/>
    <cellStyle name="쉼표 [0] 2 9 2 34" xfId="17536"/>
    <cellStyle name="쉼표 [0] 2 9 2 34 2" xfId="17537"/>
    <cellStyle name="쉼표 [0] 2 9 2 34 2 2" xfId="15575"/>
    <cellStyle name="쉼표 [0] 2 9 2 34 3" xfId="15576"/>
    <cellStyle name="쉼표 [0] 2 9 2 35" xfId="17538"/>
    <cellStyle name="쉼표 [0] 2 9 2 35 2" xfId="17539"/>
    <cellStyle name="쉼표 [0] 2 9 2 35 2 2" xfId="15573"/>
    <cellStyle name="쉼표 [0] 2 9 2 35 3" xfId="15574"/>
    <cellStyle name="쉼표 [0] 2 9 2 36" xfId="17540"/>
    <cellStyle name="쉼표 [0] 2 9 2 36 2" xfId="17541"/>
    <cellStyle name="쉼표 [0] 2 9 2 36 2 2" xfId="15571"/>
    <cellStyle name="쉼표 [0] 2 9 2 36 3" xfId="15572"/>
    <cellStyle name="쉼표 [0] 2 9 2 37" xfId="17542"/>
    <cellStyle name="쉼표 [0] 2 9 2 37 2" xfId="17543"/>
    <cellStyle name="쉼표 [0] 2 9 2 37 2 2" xfId="15569"/>
    <cellStyle name="쉼표 [0] 2 9 2 37 3" xfId="15570"/>
    <cellStyle name="쉼표 [0] 2 9 2 38" xfId="17544"/>
    <cellStyle name="쉼표 [0] 2 9 2 38 2" xfId="17545"/>
    <cellStyle name="쉼표 [0] 2 9 2 38 2 2" xfId="15567"/>
    <cellStyle name="쉼표 [0] 2 9 2 38 3" xfId="15568"/>
    <cellStyle name="쉼표 [0] 2 9 2 39" xfId="17546"/>
    <cellStyle name="쉼표 [0] 2 9 2 39 2" xfId="17547"/>
    <cellStyle name="쉼표 [0] 2 9 2 39 2 2" xfId="15565"/>
    <cellStyle name="쉼표 [0] 2 9 2 39 3" xfId="15566"/>
    <cellStyle name="쉼표 [0] 2 9 2 4" xfId="17548"/>
    <cellStyle name="쉼표 [0] 2 9 2 4 2" xfId="17549"/>
    <cellStyle name="쉼표 [0] 2 9 2 4 2 2" xfId="15563"/>
    <cellStyle name="쉼표 [0] 2 9 2 4 3" xfId="15564"/>
    <cellStyle name="쉼표 [0] 2 9 2 40" xfId="17550"/>
    <cellStyle name="쉼표 [0] 2 9 2 40 2" xfId="17551"/>
    <cellStyle name="쉼표 [0] 2 9 2 40 2 2" xfId="15561"/>
    <cellStyle name="쉼표 [0] 2 9 2 40 3" xfId="15562"/>
    <cellStyle name="쉼표 [0] 2 9 2 41" xfId="17552"/>
    <cellStyle name="쉼표 [0] 2 9 2 41 2" xfId="17553"/>
    <cellStyle name="쉼표 [0] 2 9 2 41 2 2" xfId="15559"/>
    <cellStyle name="쉼표 [0] 2 9 2 41 3" xfId="15560"/>
    <cellStyle name="쉼표 [0] 2 9 2 42" xfId="17554"/>
    <cellStyle name="쉼표 [0] 2 9 2 42 2" xfId="17555"/>
    <cellStyle name="쉼표 [0] 2 9 2 42 2 2" xfId="15557"/>
    <cellStyle name="쉼표 [0] 2 9 2 42 3" xfId="15558"/>
    <cellStyle name="쉼표 [0] 2 9 2 43" xfId="17556"/>
    <cellStyle name="쉼표 [0] 2 9 2 43 2" xfId="15556"/>
    <cellStyle name="쉼표 [0] 2 9 2 44" xfId="17557"/>
    <cellStyle name="쉼표 [0] 2 9 2 44 2" xfId="15555"/>
    <cellStyle name="쉼표 [0] 2 9 2 45" xfId="15631"/>
    <cellStyle name="쉼표 [0] 2 9 2 46" xfId="29231"/>
    <cellStyle name="쉼표 [0] 2 9 2 47" xfId="17481"/>
    <cellStyle name="쉼표 [0] 2 9 2 5" xfId="17558"/>
    <cellStyle name="쉼표 [0] 2 9 2 5 2" xfId="17559"/>
    <cellStyle name="쉼표 [0] 2 9 2 5 2 2" xfId="15553"/>
    <cellStyle name="쉼표 [0] 2 9 2 5 3" xfId="15554"/>
    <cellStyle name="쉼표 [0] 2 9 2 6" xfId="17560"/>
    <cellStyle name="쉼표 [0] 2 9 2 6 2" xfId="17561"/>
    <cellStyle name="쉼표 [0] 2 9 2 6 2 2" xfId="15551"/>
    <cellStyle name="쉼표 [0] 2 9 2 6 3" xfId="15552"/>
    <cellStyle name="쉼표 [0] 2 9 2 7" xfId="17562"/>
    <cellStyle name="쉼표 [0] 2 9 2 7 2" xfId="17563"/>
    <cellStyle name="쉼표 [0] 2 9 2 7 2 2" xfId="15549"/>
    <cellStyle name="쉼표 [0] 2 9 2 7 3" xfId="15550"/>
    <cellStyle name="쉼표 [0] 2 9 2 8" xfId="17564"/>
    <cellStyle name="쉼표 [0] 2 9 2 8 2" xfId="17565"/>
    <cellStyle name="쉼표 [0] 2 9 2 8 2 2" xfId="15547"/>
    <cellStyle name="쉼표 [0] 2 9 2 8 3" xfId="15548"/>
    <cellStyle name="쉼표 [0] 2 9 2 9" xfId="17566"/>
    <cellStyle name="쉼표 [0] 2 9 2 9 2" xfId="17567"/>
    <cellStyle name="쉼표 [0] 2 9 2 9 2 2" xfId="15545"/>
    <cellStyle name="쉼표 [0] 2 9 2 9 3" xfId="15546"/>
    <cellStyle name="쉼표 [0] 2 9 20" xfId="17568"/>
    <cellStyle name="쉼표 [0] 2 9 20 2" xfId="17569"/>
    <cellStyle name="쉼표 [0] 2 9 20 2 2" xfId="15543"/>
    <cellStyle name="쉼표 [0] 2 9 20 3" xfId="15544"/>
    <cellStyle name="쉼표 [0] 2 9 21" xfId="17570"/>
    <cellStyle name="쉼표 [0] 2 9 21 2" xfId="17571"/>
    <cellStyle name="쉼표 [0] 2 9 21 2 2" xfId="15541"/>
    <cellStyle name="쉼표 [0] 2 9 21 3" xfId="15542"/>
    <cellStyle name="쉼표 [0] 2 9 22" xfId="17572"/>
    <cellStyle name="쉼표 [0] 2 9 22 2" xfId="17573"/>
    <cellStyle name="쉼표 [0] 2 9 22 2 2" xfId="15539"/>
    <cellStyle name="쉼표 [0] 2 9 22 3" xfId="15540"/>
    <cellStyle name="쉼표 [0] 2 9 23" xfId="17574"/>
    <cellStyle name="쉼표 [0] 2 9 23 2" xfId="17575"/>
    <cellStyle name="쉼표 [0] 2 9 23 2 2" xfId="15537"/>
    <cellStyle name="쉼표 [0] 2 9 23 3" xfId="15538"/>
    <cellStyle name="쉼표 [0] 2 9 24" xfId="17576"/>
    <cellStyle name="쉼표 [0] 2 9 24 2" xfId="17577"/>
    <cellStyle name="쉼표 [0] 2 9 24 2 2" xfId="15535"/>
    <cellStyle name="쉼표 [0] 2 9 24 3" xfId="15536"/>
    <cellStyle name="쉼표 [0] 2 9 25" xfId="17578"/>
    <cellStyle name="쉼표 [0] 2 9 25 2" xfId="17579"/>
    <cellStyle name="쉼표 [0] 2 9 25 2 2" xfId="15533"/>
    <cellStyle name="쉼표 [0] 2 9 25 3" xfId="15534"/>
    <cellStyle name="쉼표 [0] 2 9 26" xfId="17580"/>
    <cellStyle name="쉼표 [0] 2 9 26 2" xfId="17581"/>
    <cellStyle name="쉼표 [0] 2 9 26 2 2" xfId="15531"/>
    <cellStyle name="쉼표 [0] 2 9 26 3" xfId="15532"/>
    <cellStyle name="쉼표 [0] 2 9 27" xfId="17582"/>
    <cellStyle name="쉼표 [0] 2 9 27 2" xfId="17583"/>
    <cellStyle name="쉼표 [0] 2 9 27 2 2" xfId="15529"/>
    <cellStyle name="쉼표 [0] 2 9 27 3" xfId="15530"/>
    <cellStyle name="쉼표 [0] 2 9 28" xfId="17584"/>
    <cellStyle name="쉼표 [0] 2 9 28 2" xfId="17585"/>
    <cellStyle name="쉼표 [0] 2 9 28 2 2" xfId="15527"/>
    <cellStyle name="쉼표 [0] 2 9 28 3" xfId="15528"/>
    <cellStyle name="쉼표 [0] 2 9 29" xfId="17586"/>
    <cellStyle name="쉼표 [0] 2 9 29 2" xfId="17587"/>
    <cellStyle name="쉼표 [0] 2 9 29 2 2" xfId="15525"/>
    <cellStyle name="쉼표 [0] 2 9 29 3" xfId="15526"/>
    <cellStyle name="쉼표 [0] 2 9 3" xfId="1136"/>
    <cellStyle name="쉼표 [0] 2 9 3 2" xfId="1137"/>
    <cellStyle name="쉼표 [0] 2 9 3 2 2" xfId="1138"/>
    <cellStyle name="쉼표 [0] 2 9 3 2 2 2" xfId="17591"/>
    <cellStyle name="쉼표 [0] 2 9 3 2 2 2 2" xfId="15521"/>
    <cellStyle name="쉼표 [0] 2 9 3 2 2 3" xfId="15522"/>
    <cellStyle name="쉼표 [0] 2 9 3 2 2 4" xfId="29227"/>
    <cellStyle name="쉼표 [0] 2 9 3 2 2 5" xfId="17590"/>
    <cellStyle name="쉼표 [0] 2 9 3 2 3" xfId="17592"/>
    <cellStyle name="쉼표 [0] 2 9 3 2 3 2" xfId="15520"/>
    <cellStyle name="쉼표 [0] 2 9 3 2 4" xfId="15523"/>
    <cellStyle name="쉼표 [0] 2 9 3 2 5" xfId="29228"/>
    <cellStyle name="쉼표 [0] 2 9 3 2 6" xfId="17589"/>
    <cellStyle name="쉼표 [0] 2 9 3 3" xfId="1139"/>
    <cellStyle name="쉼표 [0] 2 9 3 3 2" xfId="17594"/>
    <cellStyle name="쉼표 [0] 2 9 3 3 2 2" xfId="15518"/>
    <cellStyle name="쉼표 [0] 2 9 3 3 3" xfId="15519"/>
    <cellStyle name="쉼표 [0] 2 9 3 3 4" xfId="29226"/>
    <cellStyle name="쉼표 [0] 2 9 3 3 5" xfId="17593"/>
    <cellStyle name="쉼표 [0] 2 9 3 4" xfId="17595"/>
    <cellStyle name="쉼표 [0] 2 9 3 4 2" xfId="17596"/>
    <cellStyle name="쉼표 [0] 2 9 3 4 2 2" xfId="15516"/>
    <cellStyle name="쉼표 [0] 2 9 3 4 3" xfId="15517"/>
    <cellStyle name="쉼표 [0] 2 9 3 5" xfId="17597"/>
    <cellStyle name="쉼표 [0] 2 9 3 5 2" xfId="15515"/>
    <cellStyle name="쉼표 [0] 2 9 3 6" xfId="17598"/>
    <cellStyle name="쉼표 [0] 2 9 3 6 2" xfId="15514"/>
    <cellStyle name="쉼표 [0] 2 9 3 7" xfId="15524"/>
    <cellStyle name="쉼표 [0] 2 9 3 8" xfId="29229"/>
    <cellStyle name="쉼표 [0] 2 9 3 9" xfId="17588"/>
    <cellStyle name="쉼표 [0] 2 9 30" xfId="17599"/>
    <cellStyle name="쉼표 [0] 2 9 30 2" xfId="17600"/>
    <cellStyle name="쉼표 [0] 2 9 30 2 2" xfId="15512"/>
    <cellStyle name="쉼표 [0] 2 9 30 3" xfId="15513"/>
    <cellStyle name="쉼표 [0] 2 9 31" xfId="17601"/>
    <cellStyle name="쉼표 [0] 2 9 31 2" xfId="17602"/>
    <cellStyle name="쉼표 [0] 2 9 31 2 2" xfId="15510"/>
    <cellStyle name="쉼표 [0] 2 9 31 3" xfId="15511"/>
    <cellStyle name="쉼표 [0] 2 9 32" xfId="17603"/>
    <cellStyle name="쉼표 [0] 2 9 32 2" xfId="17604"/>
    <cellStyle name="쉼표 [0] 2 9 32 2 2" xfId="15508"/>
    <cellStyle name="쉼표 [0] 2 9 32 3" xfId="15509"/>
    <cellStyle name="쉼표 [0] 2 9 33" xfId="17605"/>
    <cellStyle name="쉼표 [0] 2 9 33 2" xfId="17606"/>
    <cellStyle name="쉼표 [0] 2 9 33 2 2" xfId="15506"/>
    <cellStyle name="쉼표 [0] 2 9 33 3" xfId="15507"/>
    <cellStyle name="쉼표 [0] 2 9 34" xfId="17607"/>
    <cellStyle name="쉼표 [0] 2 9 34 2" xfId="17608"/>
    <cellStyle name="쉼표 [0] 2 9 34 2 2" xfId="15504"/>
    <cellStyle name="쉼표 [0] 2 9 34 3" xfId="15505"/>
    <cellStyle name="쉼표 [0] 2 9 35" xfId="17609"/>
    <cellStyle name="쉼표 [0] 2 9 35 2" xfId="17610"/>
    <cellStyle name="쉼표 [0] 2 9 35 2 2" xfId="15502"/>
    <cellStyle name="쉼표 [0] 2 9 35 3" xfId="15503"/>
    <cellStyle name="쉼표 [0] 2 9 36" xfId="17611"/>
    <cellStyle name="쉼표 [0] 2 9 36 2" xfId="17612"/>
    <cellStyle name="쉼표 [0] 2 9 36 2 2" xfId="15500"/>
    <cellStyle name="쉼표 [0] 2 9 36 3" xfId="15501"/>
    <cellStyle name="쉼표 [0] 2 9 37" xfId="17613"/>
    <cellStyle name="쉼표 [0] 2 9 37 2" xfId="17614"/>
    <cellStyle name="쉼표 [0] 2 9 37 2 2" xfId="15498"/>
    <cellStyle name="쉼표 [0] 2 9 37 3" xfId="15499"/>
    <cellStyle name="쉼표 [0] 2 9 38" xfId="17615"/>
    <cellStyle name="쉼표 [0] 2 9 38 2" xfId="17616"/>
    <cellStyle name="쉼표 [0] 2 9 38 2 2" xfId="15496"/>
    <cellStyle name="쉼표 [0] 2 9 38 3" xfId="15497"/>
    <cellStyle name="쉼표 [0] 2 9 39" xfId="17617"/>
    <cellStyle name="쉼표 [0] 2 9 39 2" xfId="17618"/>
    <cellStyle name="쉼표 [0] 2 9 39 2 2" xfId="15494"/>
    <cellStyle name="쉼표 [0] 2 9 39 3" xfId="15495"/>
    <cellStyle name="쉼표 [0] 2 9 4" xfId="1140"/>
    <cellStyle name="쉼표 [0] 2 9 4 2" xfId="1141"/>
    <cellStyle name="쉼표 [0] 2 9 4 2 2" xfId="17621"/>
    <cellStyle name="쉼표 [0] 2 9 4 2 2 2" xfId="15491"/>
    <cellStyle name="쉼표 [0] 2 9 4 2 3" xfId="15492"/>
    <cellStyle name="쉼표 [0] 2 9 4 2 4" xfId="29224"/>
    <cellStyle name="쉼표 [0] 2 9 4 2 5" xfId="17620"/>
    <cellStyle name="쉼표 [0] 2 9 4 3" xfId="17622"/>
    <cellStyle name="쉼표 [0] 2 9 4 3 2" xfId="17623"/>
    <cellStyle name="쉼표 [0] 2 9 4 3 2 2" xfId="15489"/>
    <cellStyle name="쉼표 [0] 2 9 4 3 3" xfId="15490"/>
    <cellStyle name="쉼표 [0] 2 9 4 4" xfId="17624"/>
    <cellStyle name="쉼표 [0] 2 9 4 4 2" xfId="15488"/>
    <cellStyle name="쉼표 [0] 2 9 4 5" xfId="15493"/>
    <cellStyle name="쉼표 [0] 2 9 4 6" xfId="29225"/>
    <cellStyle name="쉼표 [0] 2 9 4 7" xfId="17619"/>
    <cellStyle name="쉼표 [0] 2 9 40" xfId="17625"/>
    <cellStyle name="쉼표 [0] 2 9 40 2" xfId="17626"/>
    <cellStyle name="쉼표 [0] 2 9 40 2 2" xfId="15486"/>
    <cellStyle name="쉼표 [0] 2 9 40 3" xfId="15487"/>
    <cellStyle name="쉼표 [0] 2 9 41" xfId="17627"/>
    <cellStyle name="쉼표 [0] 2 9 41 2" xfId="17628"/>
    <cellStyle name="쉼표 [0] 2 9 41 2 2" xfId="15484"/>
    <cellStyle name="쉼표 [0] 2 9 41 3" xfId="15485"/>
    <cellStyle name="쉼표 [0] 2 9 42" xfId="17629"/>
    <cellStyle name="쉼표 [0] 2 9 42 2" xfId="17630"/>
    <cellStyle name="쉼표 [0] 2 9 42 2 2" xfId="15482"/>
    <cellStyle name="쉼표 [0] 2 9 42 3" xfId="15483"/>
    <cellStyle name="쉼표 [0] 2 9 43" xfId="17631"/>
    <cellStyle name="쉼표 [0] 2 9 43 2" xfId="17632"/>
    <cellStyle name="쉼표 [0] 2 9 43 2 2" xfId="15480"/>
    <cellStyle name="쉼표 [0] 2 9 43 3" xfId="15481"/>
    <cellStyle name="쉼표 [0] 2 9 44" xfId="17633"/>
    <cellStyle name="쉼표 [0] 2 9 44 2" xfId="17634"/>
    <cellStyle name="쉼표 [0] 2 9 44 2 2" xfId="15478"/>
    <cellStyle name="쉼표 [0] 2 9 44 3" xfId="15479"/>
    <cellStyle name="쉼표 [0] 2 9 45" xfId="17635"/>
    <cellStyle name="쉼표 [0] 2 9 45 2" xfId="17636"/>
    <cellStyle name="쉼표 [0] 2 9 45 2 2" xfId="15476"/>
    <cellStyle name="쉼표 [0] 2 9 45 3" xfId="15477"/>
    <cellStyle name="쉼표 [0] 2 9 46" xfId="17637"/>
    <cellStyle name="쉼표 [0] 2 9 46 2" xfId="17638"/>
    <cellStyle name="쉼표 [0] 2 9 46 2 2" xfId="15474"/>
    <cellStyle name="쉼표 [0] 2 9 46 3" xfId="15475"/>
    <cellStyle name="쉼표 [0] 2 9 47" xfId="17639"/>
    <cellStyle name="쉼표 [0] 2 9 48" xfId="17640"/>
    <cellStyle name="쉼표 [0] 2 9 49" xfId="17641"/>
    <cellStyle name="쉼표 [0] 2 9 5" xfId="1142"/>
    <cellStyle name="쉼표 [0] 2 9 5 2" xfId="17643"/>
    <cellStyle name="쉼표 [0] 2 9 5 2 2" xfId="17644"/>
    <cellStyle name="쉼표 [0] 2 9 5 2 2 2" xfId="15471"/>
    <cellStyle name="쉼표 [0] 2 9 5 2 3" xfId="15472"/>
    <cellStyle name="쉼표 [0] 2 9 5 3" xfId="17645"/>
    <cellStyle name="쉼표 [0] 2 9 5 3 2" xfId="15470"/>
    <cellStyle name="쉼표 [0] 2 9 5 4" xfId="15473"/>
    <cellStyle name="쉼표 [0] 2 9 5 5" xfId="29223"/>
    <cellStyle name="쉼표 [0] 2 9 5 6" xfId="17642"/>
    <cellStyle name="쉼표 [0] 2 9 50" xfId="17646"/>
    <cellStyle name="쉼표 [0] 2 9 51" xfId="17647"/>
    <cellStyle name="쉼표 [0] 2 9 52" xfId="17648"/>
    <cellStyle name="쉼표 [0] 2 9 53" xfId="17649"/>
    <cellStyle name="쉼표 [0] 2 9 54" xfId="17650"/>
    <cellStyle name="쉼표 [0] 2 9 54 2" xfId="15469"/>
    <cellStyle name="쉼표 [0] 2 9 55" xfId="17651"/>
    <cellStyle name="쉼표 [0] 2 9 55 2" xfId="15468"/>
    <cellStyle name="쉼표 [0] 2 9 56" xfId="17652"/>
    <cellStyle name="쉼표 [0] 2 9 57" xfId="15646"/>
    <cellStyle name="쉼표 [0] 2 9 58" xfId="29232"/>
    <cellStyle name="쉼표 [0] 2 9 59" xfId="17463"/>
    <cellStyle name="쉼표 [0] 2 9 6" xfId="17653"/>
    <cellStyle name="쉼표 [0] 2 9 6 2" xfId="17654"/>
    <cellStyle name="쉼표 [0] 2 9 6 2 2" xfId="15466"/>
    <cellStyle name="쉼표 [0] 2 9 6 3" xfId="15467"/>
    <cellStyle name="쉼표 [0] 2 9 60" xfId="29851"/>
    <cellStyle name="쉼표 [0] 2 9 61" xfId="29469"/>
    <cellStyle name="쉼표 [0] 2 9 7" xfId="17655"/>
    <cellStyle name="쉼표 [0] 2 9 7 2" xfId="17656"/>
    <cellStyle name="쉼표 [0] 2 9 7 2 2" xfId="15464"/>
    <cellStyle name="쉼표 [0] 2 9 7 3" xfId="15465"/>
    <cellStyle name="쉼표 [0] 2 9 8" xfId="17657"/>
    <cellStyle name="쉼표 [0] 2 9 8 2" xfId="17658"/>
    <cellStyle name="쉼표 [0] 2 9 8 2 2" xfId="15462"/>
    <cellStyle name="쉼표 [0] 2 9 8 3" xfId="15463"/>
    <cellStyle name="쉼표 [0] 2 9 9" xfId="17659"/>
    <cellStyle name="쉼표 [0] 2 90" xfId="30972"/>
    <cellStyle name="쉼표 [0] 2 90 2" xfId="32324"/>
    <cellStyle name="쉼표 [0] 20" xfId="1143"/>
    <cellStyle name="쉼표 [0] 20 2" xfId="17661"/>
    <cellStyle name="쉼표 [0] 20 2 2" xfId="17662"/>
    <cellStyle name="쉼표 [0] 20 2 2 2" xfId="15459"/>
    <cellStyle name="쉼표 [0] 20 2 3" xfId="15460"/>
    <cellStyle name="쉼표 [0] 20 3" xfId="17663"/>
    <cellStyle name="쉼표 [0] 20 3 2" xfId="15458"/>
    <cellStyle name="쉼표 [0] 20 4" xfId="15461"/>
    <cellStyle name="쉼표 [0] 20 5" xfId="29222"/>
    <cellStyle name="쉼표 [0] 20 6" xfId="17660"/>
    <cellStyle name="쉼표 [0] 20 7" xfId="29831"/>
    <cellStyle name="쉼표 [0] 21" xfId="1144"/>
    <cellStyle name="쉼표 [0] 21 10" xfId="17665"/>
    <cellStyle name="쉼표 [0] 21 10 2" xfId="15456"/>
    <cellStyle name="쉼표 [0] 21 11" xfId="15457"/>
    <cellStyle name="쉼표 [0] 21 12" xfId="17664"/>
    <cellStyle name="쉼표 [0] 21 13" xfId="29544"/>
    <cellStyle name="쉼표 [0] 21 2" xfId="1145"/>
    <cellStyle name="쉼표 [0] 21 2 2" xfId="17667"/>
    <cellStyle name="쉼표 [0] 21 2 2 2" xfId="17668"/>
    <cellStyle name="쉼표 [0] 21 2 2 2 2" xfId="15453"/>
    <cellStyle name="쉼표 [0] 21 2 2 3" xfId="15454"/>
    <cellStyle name="쉼표 [0] 21 2 3" xfId="17669"/>
    <cellStyle name="쉼표 [0] 21 2 3 2" xfId="15452"/>
    <cellStyle name="쉼표 [0] 21 2 4" xfId="15455"/>
    <cellStyle name="쉼표 [0] 21 2 5" xfId="17666"/>
    <cellStyle name="쉼표 [0] 21 3" xfId="1146"/>
    <cellStyle name="쉼표 [0] 21 3 2" xfId="17671"/>
    <cellStyle name="쉼표 [0] 21 3 2 2" xfId="17672"/>
    <cellStyle name="쉼표 [0] 21 3 2 2 2" xfId="15449"/>
    <cellStyle name="쉼표 [0] 21 3 2 3" xfId="15450"/>
    <cellStyle name="쉼표 [0] 21 3 3" xfId="17673"/>
    <cellStyle name="쉼표 [0] 21 3 3 2" xfId="15448"/>
    <cellStyle name="쉼표 [0] 21 3 4" xfId="15451"/>
    <cellStyle name="쉼표 [0] 21 3 5" xfId="17670"/>
    <cellStyle name="쉼표 [0] 21 4" xfId="17674"/>
    <cellStyle name="쉼표 [0] 21 4 2" xfId="17675"/>
    <cellStyle name="쉼표 [0] 21 4 2 2" xfId="15446"/>
    <cellStyle name="쉼표 [0] 21 4 3" xfId="15447"/>
    <cellStyle name="쉼표 [0] 21 5" xfId="17676"/>
    <cellStyle name="쉼표 [0] 21 5 2" xfId="17677"/>
    <cellStyle name="쉼표 [0] 21 5 2 2" xfId="15444"/>
    <cellStyle name="쉼표 [0] 21 5 3" xfId="15445"/>
    <cellStyle name="쉼표 [0] 21 6" xfId="17678"/>
    <cellStyle name="쉼표 [0] 21 6 2" xfId="17679"/>
    <cellStyle name="쉼표 [0] 21 6 2 2" xfId="15442"/>
    <cellStyle name="쉼표 [0] 21 6 3" xfId="15443"/>
    <cellStyle name="쉼표 [0] 21 7" xfId="17680"/>
    <cellStyle name="쉼표 [0] 21 7 2" xfId="17681"/>
    <cellStyle name="쉼표 [0] 21 7 2 2" xfId="15440"/>
    <cellStyle name="쉼표 [0] 21 7 3" xfId="15441"/>
    <cellStyle name="쉼표 [0] 21 8" xfId="17682"/>
    <cellStyle name="쉼표 [0] 21 8 2" xfId="17683"/>
    <cellStyle name="쉼표 [0] 21 8 2 2" xfId="15438"/>
    <cellStyle name="쉼표 [0] 21 8 3" xfId="15439"/>
    <cellStyle name="쉼표 [0] 21 9" xfId="17684"/>
    <cellStyle name="쉼표 [0] 21 9 2" xfId="17685"/>
    <cellStyle name="쉼표 [0] 21 9 2 2" xfId="15436"/>
    <cellStyle name="쉼표 [0] 21 9 3" xfId="15437"/>
    <cellStyle name="쉼표 [0] 22" xfId="1147"/>
    <cellStyle name="쉼표 [0] 22 10" xfId="17687"/>
    <cellStyle name="쉼표 [0] 22 10 2" xfId="15434"/>
    <cellStyle name="쉼표 [0] 22 11" xfId="15435"/>
    <cellStyle name="쉼표 [0] 22 12" xfId="17686"/>
    <cellStyle name="쉼표 [0] 22 13" xfId="29464"/>
    <cellStyle name="쉼표 [0] 22 14" xfId="32386"/>
    <cellStyle name="쉼표 [0] 22 2" xfId="1148"/>
    <cellStyle name="쉼표 [0] 22 2 2" xfId="17689"/>
    <cellStyle name="쉼표 [0] 22 2 2 2" xfId="17690"/>
    <cellStyle name="쉼표 [0] 22 2 2 2 2" xfId="15431"/>
    <cellStyle name="쉼표 [0] 22 2 2 3" xfId="15432"/>
    <cellStyle name="쉼표 [0] 22 2 3" xfId="17691"/>
    <cellStyle name="쉼표 [0] 22 2 3 2" xfId="15430"/>
    <cellStyle name="쉼표 [0] 22 2 4" xfId="15433"/>
    <cellStyle name="쉼표 [0] 22 2 5" xfId="17688"/>
    <cellStyle name="쉼표 [0] 22 3" xfId="1149"/>
    <cellStyle name="쉼표 [0] 22 3 2" xfId="17693"/>
    <cellStyle name="쉼표 [0] 22 3 2 2" xfId="17694"/>
    <cellStyle name="쉼표 [0] 22 3 2 2 2" xfId="15427"/>
    <cellStyle name="쉼표 [0] 22 3 2 3" xfId="15428"/>
    <cellStyle name="쉼표 [0] 22 3 3" xfId="17695"/>
    <cellStyle name="쉼표 [0] 22 3 3 2" xfId="15426"/>
    <cellStyle name="쉼표 [0] 22 3 4" xfId="15429"/>
    <cellStyle name="쉼표 [0] 22 3 5" xfId="17692"/>
    <cellStyle name="쉼표 [0] 22 4" xfId="17696"/>
    <cellStyle name="쉼표 [0] 22 4 2" xfId="17697"/>
    <cellStyle name="쉼표 [0] 22 4 2 2" xfId="15424"/>
    <cellStyle name="쉼표 [0] 22 4 3" xfId="15425"/>
    <cellStyle name="쉼표 [0] 22 5" xfId="17698"/>
    <cellStyle name="쉼표 [0] 22 5 2" xfId="17699"/>
    <cellStyle name="쉼표 [0] 22 5 2 2" xfId="15422"/>
    <cellStyle name="쉼표 [0] 22 5 3" xfId="15423"/>
    <cellStyle name="쉼표 [0] 22 6" xfId="17700"/>
    <cellStyle name="쉼표 [0] 22 6 2" xfId="17701"/>
    <cellStyle name="쉼표 [0] 22 6 2 2" xfId="15420"/>
    <cellStyle name="쉼표 [0] 22 6 3" xfId="15421"/>
    <cellStyle name="쉼표 [0] 22 7" xfId="17702"/>
    <cellStyle name="쉼표 [0] 22 7 2" xfId="17703"/>
    <cellStyle name="쉼표 [0] 22 7 2 2" xfId="15418"/>
    <cellStyle name="쉼표 [0] 22 7 3" xfId="15419"/>
    <cellStyle name="쉼표 [0] 22 8" xfId="17704"/>
    <cellStyle name="쉼표 [0] 22 8 2" xfId="17705"/>
    <cellStyle name="쉼표 [0] 22 8 2 2" xfId="15416"/>
    <cellStyle name="쉼표 [0] 22 8 3" xfId="15417"/>
    <cellStyle name="쉼표 [0] 22 9" xfId="17706"/>
    <cellStyle name="쉼표 [0] 22 9 2" xfId="17707"/>
    <cellStyle name="쉼표 [0] 22 9 2 2" xfId="15414"/>
    <cellStyle name="쉼표 [0] 22 9 3" xfId="15415"/>
    <cellStyle name="쉼표 [0] 23" xfId="1150"/>
    <cellStyle name="쉼표 [0] 23 2" xfId="17709"/>
    <cellStyle name="쉼표 [0] 23 2 2" xfId="17710"/>
    <cellStyle name="쉼표 [0] 23 2 2 2" xfId="15411"/>
    <cellStyle name="쉼표 [0] 23 2 3" xfId="15412"/>
    <cellStyle name="쉼표 [0] 23 3" xfId="17711"/>
    <cellStyle name="쉼표 [0] 23 3 2" xfId="15410"/>
    <cellStyle name="쉼표 [0] 23 4" xfId="15413"/>
    <cellStyle name="쉼표 [0] 23 5" xfId="17708"/>
    <cellStyle name="쉼표 [0] 23 6" xfId="29431"/>
    <cellStyle name="쉼표 [0] 23 7" xfId="29648"/>
    <cellStyle name="쉼표 [0] 24" xfId="17712"/>
    <cellStyle name="쉼표 [0] 24 2" xfId="17713"/>
    <cellStyle name="쉼표 [0] 24 2 2" xfId="15408"/>
    <cellStyle name="쉼표 [0] 24 3" xfId="15409"/>
    <cellStyle name="쉼표 [0] 24 4" xfId="29620"/>
    <cellStyle name="쉼표 [0] 24 5" xfId="32385"/>
    <cellStyle name="쉼표 [0] 25" xfId="17714"/>
    <cellStyle name="쉼표 [0] 25 2" xfId="17715"/>
    <cellStyle name="쉼표 [0] 25 2 2" xfId="15406"/>
    <cellStyle name="쉼표 [0] 25 3" xfId="15407"/>
    <cellStyle name="쉼표 [0] 25 4" xfId="29744"/>
    <cellStyle name="쉼표 [0] 26" xfId="17716"/>
    <cellStyle name="쉼표 [0] 26 2" xfId="17717"/>
    <cellStyle name="쉼표 [0] 26 2 2" xfId="15404"/>
    <cellStyle name="쉼표 [0] 26 3" xfId="15405"/>
    <cellStyle name="쉼표 [0] 26 4" xfId="29599"/>
    <cellStyle name="쉼표 [0] 27" xfId="17718"/>
    <cellStyle name="쉼표 [0] 27 2" xfId="17719"/>
    <cellStyle name="쉼표 [0] 27 2 2" xfId="15402"/>
    <cellStyle name="쉼표 [0] 27 3" xfId="15403"/>
    <cellStyle name="쉼표 [0] 27 4" xfId="29830"/>
    <cellStyle name="쉼표 [0] 28" xfId="17720"/>
    <cellStyle name="쉼표 [0] 28 2" xfId="17721"/>
    <cellStyle name="쉼표 [0] 28 2 2" xfId="15400"/>
    <cellStyle name="쉼표 [0] 28 3" xfId="15401"/>
    <cellStyle name="쉼표 [0] 28 4" xfId="29560"/>
    <cellStyle name="쉼표 [0] 29" xfId="17722"/>
    <cellStyle name="쉼표 [0] 29 2" xfId="17723"/>
    <cellStyle name="쉼표 [0] 29 2 2" xfId="15398"/>
    <cellStyle name="쉼표 [0] 29 3" xfId="15399"/>
    <cellStyle name="쉼표 [0] 29 4" xfId="29475"/>
    <cellStyle name="쉼표 [0] 3" xfId="1151"/>
    <cellStyle name="쉼표 [0] 3 10" xfId="1152"/>
    <cellStyle name="쉼표 [0] 3 10 2" xfId="17726"/>
    <cellStyle name="쉼표 [0] 3 10 2 2" xfId="17727"/>
    <cellStyle name="쉼표 [0] 3 10 2 2 2" xfId="15394"/>
    <cellStyle name="쉼표 [0] 3 10 2 3" xfId="15395"/>
    <cellStyle name="쉼표 [0] 3 10 3" xfId="17728"/>
    <cellStyle name="쉼표 [0] 3 10 3 2" xfId="15393"/>
    <cellStyle name="쉼표 [0] 3 10 4" xfId="15396"/>
    <cellStyle name="쉼표 [0] 3 10 5" xfId="17725"/>
    <cellStyle name="쉼표 [0] 3 10 6" xfId="29432"/>
    <cellStyle name="쉼표 [0] 3 100" xfId="29221"/>
    <cellStyle name="쉼표 [0] 3 101" xfId="17724"/>
    <cellStyle name="쉼표 [0] 3 11" xfId="1153"/>
    <cellStyle name="쉼표 [0] 3 11 2" xfId="17730"/>
    <cellStyle name="쉼표 [0] 3 11 2 2" xfId="17731"/>
    <cellStyle name="쉼표 [0] 3 11 2 2 2" xfId="15390"/>
    <cellStyle name="쉼표 [0] 3 11 2 3" xfId="15391"/>
    <cellStyle name="쉼표 [0] 3 11 3" xfId="17732"/>
    <cellStyle name="쉼표 [0] 3 11 3 2" xfId="15389"/>
    <cellStyle name="쉼표 [0] 3 11 4" xfId="15392"/>
    <cellStyle name="쉼표 [0] 3 11 5" xfId="17729"/>
    <cellStyle name="쉼표 [0] 3 11 6" xfId="29433"/>
    <cellStyle name="쉼표 [0] 3 11 7" xfId="31994"/>
    <cellStyle name="쉼표 [0] 3 12" xfId="17733"/>
    <cellStyle name="쉼표 [0] 3 12 2" xfId="17734"/>
    <cellStyle name="쉼표 [0] 3 12 2 2" xfId="15387"/>
    <cellStyle name="쉼표 [0] 3 12 3" xfId="15388"/>
    <cellStyle name="쉼표 [0] 3 12 4" xfId="29435"/>
    <cellStyle name="쉼표 [0] 3 12 5" xfId="31940"/>
    <cellStyle name="쉼표 [0] 3 13" xfId="17735"/>
    <cellStyle name="쉼표 [0] 3 13 2" xfId="17736"/>
    <cellStyle name="쉼표 [0] 3 13 2 2" xfId="15385"/>
    <cellStyle name="쉼표 [0] 3 13 3" xfId="15386"/>
    <cellStyle name="쉼표 [0] 3 13 4" xfId="31939"/>
    <cellStyle name="쉼표 [0] 3 14" xfId="17737"/>
    <cellStyle name="쉼표 [0] 3 14 2" xfId="17738"/>
    <cellStyle name="쉼표 [0] 3 14 2 2" xfId="15383"/>
    <cellStyle name="쉼표 [0] 3 14 3" xfId="15384"/>
    <cellStyle name="쉼표 [0] 3 14 4" xfId="31938"/>
    <cellStyle name="쉼표 [0] 3 15" xfId="17739"/>
    <cellStyle name="쉼표 [0] 3 15 2" xfId="17740"/>
    <cellStyle name="쉼표 [0] 3 15 2 2" xfId="15381"/>
    <cellStyle name="쉼표 [0] 3 15 3" xfId="15382"/>
    <cellStyle name="쉼표 [0] 3 15 4" xfId="31937"/>
    <cellStyle name="쉼표 [0] 3 16" xfId="17741"/>
    <cellStyle name="쉼표 [0] 3 16 2" xfId="17742"/>
    <cellStyle name="쉼표 [0] 3 16 2 2" xfId="15379"/>
    <cellStyle name="쉼표 [0] 3 16 3" xfId="15380"/>
    <cellStyle name="쉼표 [0] 3 16 4" xfId="31936"/>
    <cellStyle name="쉼표 [0] 3 17" xfId="17743"/>
    <cellStyle name="쉼표 [0] 3 17 2" xfId="17744"/>
    <cellStyle name="쉼표 [0] 3 17 2 2" xfId="15377"/>
    <cellStyle name="쉼표 [0] 3 17 3" xfId="15378"/>
    <cellStyle name="쉼표 [0] 3 17 4" xfId="31935"/>
    <cellStyle name="쉼표 [0] 3 18" xfId="17745"/>
    <cellStyle name="쉼표 [0] 3 18 2" xfId="17746"/>
    <cellStyle name="쉼표 [0] 3 18 2 2" xfId="15375"/>
    <cellStyle name="쉼표 [0] 3 18 3" xfId="15376"/>
    <cellStyle name="쉼표 [0] 3 18 4" xfId="31934"/>
    <cellStyle name="쉼표 [0] 3 19" xfId="17747"/>
    <cellStyle name="쉼표 [0] 3 19 2" xfId="17748"/>
    <cellStyle name="쉼표 [0] 3 19 2 2" xfId="15373"/>
    <cellStyle name="쉼표 [0] 3 19 3" xfId="15374"/>
    <cellStyle name="쉼표 [0] 3 19 4" xfId="31509"/>
    <cellStyle name="쉼표 [0] 3 2" xfId="1154"/>
    <cellStyle name="쉼표 [0] 3 2 10" xfId="17750"/>
    <cellStyle name="쉼표 [0] 3 2 10 2" xfId="17751"/>
    <cellStyle name="쉼표 [0] 3 2 10 2 2" xfId="15370"/>
    <cellStyle name="쉼표 [0] 3 2 10 3" xfId="15371"/>
    <cellStyle name="쉼표 [0] 3 2 11" xfId="17752"/>
    <cellStyle name="쉼표 [0] 3 2 11 2" xfId="17753"/>
    <cellStyle name="쉼표 [0] 3 2 11 2 2" xfId="15368"/>
    <cellStyle name="쉼표 [0] 3 2 11 3" xfId="15369"/>
    <cellStyle name="쉼표 [0] 3 2 12" xfId="17754"/>
    <cellStyle name="쉼표 [0] 3 2 12 2" xfId="17755"/>
    <cellStyle name="쉼표 [0] 3 2 12 2 2" xfId="15366"/>
    <cellStyle name="쉼표 [0] 3 2 12 3" xfId="15367"/>
    <cellStyle name="쉼표 [0] 3 2 13" xfId="17756"/>
    <cellStyle name="쉼표 [0] 3 2 13 2" xfId="17757"/>
    <cellStyle name="쉼표 [0] 3 2 13 2 2" xfId="15364"/>
    <cellStyle name="쉼표 [0] 3 2 13 3" xfId="15365"/>
    <cellStyle name="쉼표 [0] 3 2 14" xfId="17758"/>
    <cellStyle name="쉼표 [0] 3 2 14 2" xfId="17759"/>
    <cellStyle name="쉼표 [0] 3 2 14 2 2" xfId="15362"/>
    <cellStyle name="쉼표 [0] 3 2 14 3" xfId="15363"/>
    <cellStyle name="쉼표 [0] 3 2 15" xfId="17760"/>
    <cellStyle name="쉼표 [0] 3 2 15 2" xfId="17761"/>
    <cellStyle name="쉼표 [0] 3 2 15 2 2" xfId="15360"/>
    <cellStyle name="쉼표 [0] 3 2 15 3" xfId="15361"/>
    <cellStyle name="쉼표 [0] 3 2 16" xfId="17762"/>
    <cellStyle name="쉼표 [0] 3 2 16 2" xfId="17763"/>
    <cellStyle name="쉼표 [0] 3 2 16 2 2" xfId="15358"/>
    <cellStyle name="쉼표 [0] 3 2 16 3" xfId="15359"/>
    <cellStyle name="쉼표 [0] 3 2 17" xfId="17764"/>
    <cellStyle name="쉼표 [0] 3 2 17 2" xfId="17765"/>
    <cellStyle name="쉼표 [0] 3 2 17 2 2" xfId="15356"/>
    <cellStyle name="쉼표 [0] 3 2 17 3" xfId="15357"/>
    <cellStyle name="쉼표 [0] 3 2 18" xfId="17766"/>
    <cellStyle name="쉼표 [0] 3 2 18 2" xfId="17767"/>
    <cellStyle name="쉼표 [0] 3 2 18 2 2" xfId="15354"/>
    <cellStyle name="쉼표 [0] 3 2 18 3" xfId="15355"/>
    <cellStyle name="쉼표 [0] 3 2 19" xfId="17768"/>
    <cellStyle name="쉼표 [0] 3 2 19 2" xfId="17769"/>
    <cellStyle name="쉼표 [0] 3 2 19 2 2" xfId="15352"/>
    <cellStyle name="쉼표 [0] 3 2 19 3" xfId="15353"/>
    <cellStyle name="쉼표 [0] 3 2 2" xfId="1155"/>
    <cellStyle name="쉼표 [0] 3 2 2 10" xfId="17771"/>
    <cellStyle name="쉼표 [0] 3 2 2 10 2" xfId="17772"/>
    <cellStyle name="쉼표 [0] 3 2 2 10 2 2" xfId="15349"/>
    <cellStyle name="쉼표 [0] 3 2 2 10 3" xfId="15350"/>
    <cellStyle name="쉼표 [0] 3 2 2 11" xfId="17773"/>
    <cellStyle name="쉼표 [0] 3 2 2 11 2" xfId="17774"/>
    <cellStyle name="쉼표 [0] 3 2 2 11 2 2" xfId="15347"/>
    <cellStyle name="쉼표 [0] 3 2 2 11 3" xfId="15348"/>
    <cellStyle name="쉼표 [0] 3 2 2 12" xfId="17775"/>
    <cellStyle name="쉼표 [0] 3 2 2 12 2" xfId="17776"/>
    <cellStyle name="쉼표 [0] 3 2 2 12 2 2" xfId="15345"/>
    <cellStyle name="쉼표 [0] 3 2 2 12 3" xfId="15346"/>
    <cellStyle name="쉼표 [0] 3 2 2 13" xfId="17777"/>
    <cellStyle name="쉼표 [0] 3 2 2 13 2" xfId="17778"/>
    <cellStyle name="쉼표 [0] 3 2 2 13 2 2" xfId="15343"/>
    <cellStyle name="쉼표 [0] 3 2 2 13 3" xfId="15344"/>
    <cellStyle name="쉼표 [0] 3 2 2 14" xfId="17779"/>
    <cellStyle name="쉼표 [0] 3 2 2 14 2" xfId="17780"/>
    <cellStyle name="쉼표 [0] 3 2 2 14 2 2" xfId="15341"/>
    <cellStyle name="쉼표 [0] 3 2 2 14 3" xfId="15342"/>
    <cellStyle name="쉼표 [0] 3 2 2 15" xfId="17781"/>
    <cellStyle name="쉼표 [0] 3 2 2 15 2" xfId="17782"/>
    <cellStyle name="쉼표 [0] 3 2 2 15 2 2" xfId="15339"/>
    <cellStyle name="쉼표 [0] 3 2 2 15 3" xfId="15340"/>
    <cellStyle name="쉼표 [0] 3 2 2 16" xfId="17783"/>
    <cellStyle name="쉼표 [0] 3 2 2 16 2" xfId="17784"/>
    <cellStyle name="쉼표 [0] 3 2 2 16 2 2" xfId="15337"/>
    <cellStyle name="쉼표 [0] 3 2 2 16 3" xfId="15338"/>
    <cellStyle name="쉼표 [0] 3 2 2 17" xfId="17785"/>
    <cellStyle name="쉼표 [0] 3 2 2 17 2" xfId="17786"/>
    <cellStyle name="쉼표 [0] 3 2 2 17 2 2" xfId="15335"/>
    <cellStyle name="쉼표 [0] 3 2 2 17 3" xfId="15336"/>
    <cellStyle name="쉼표 [0] 3 2 2 18" xfId="17787"/>
    <cellStyle name="쉼표 [0] 3 2 2 18 2" xfId="17788"/>
    <cellStyle name="쉼표 [0] 3 2 2 18 2 2" xfId="15333"/>
    <cellStyle name="쉼표 [0] 3 2 2 18 3" xfId="15334"/>
    <cellStyle name="쉼표 [0] 3 2 2 19" xfId="17789"/>
    <cellStyle name="쉼표 [0] 3 2 2 19 2" xfId="17790"/>
    <cellStyle name="쉼표 [0] 3 2 2 19 2 2" xfId="15331"/>
    <cellStyle name="쉼표 [0] 3 2 2 19 3" xfId="15332"/>
    <cellStyle name="쉼표 [0] 3 2 2 2" xfId="17791"/>
    <cellStyle name="쉼표 [0] 3 2 2 2 10" xfId="17792"/>
    <cellStyle name="쉼표 [0] 3 2 2 2 10 2" xfId="17793"/>
    <cellStyle name="쉼표 [0] 3 2 2 2 10 2 2" xfId="15328"/>
    <cellStyle name="쉼표 [0] 3 2 2 2 10 3" xfId="15329"/>
    <cellStyle name="쉼표 [0] 3 2 2 2 11" xfId="17794"/>
    <cellStyle name="쉼표 [0] 3 2 2 2 11 2" xfId="17795"/>
    <cellStyle name="쉼표 [0] 3 2 2 2 11 2 2" xfId="15326"/>
    <cellStyle name="쉼표 [0] 3 2 2 2 11 3" xfId="15327"/>
    <cellStyle name="쉼표 [0] 3 2 2 2 12" xfId="17796"/>
    <cellStyle name="쉼표 [0] 3 2 2 2 12 2" xfId="17797"/>
    <cellStyle name="쉼표 [0] 3 2 2 2 12 2 2" xfId="15324"/>
    <cellStyle name="쉼표 [0] 3 2 2 2 12 3" xfId="15325"/>
    <cellStyle name="쉼표 [0] 3 2 2 2 13" xfId="17798"/>
    <cellStyle name="쉼표 [0] 3 2 2 2 13 2" xfId="17799"/>
    <cellStyle name="쉼표 [0] 3 2 2 2 13 2 2" xfId="15322"/>
    <cellStyle name="쉼표 [0] 3 2 2 2 13 3" xfId="15323"/>
    <cellStyle name="쉼표 [0] 3 2 2 2 14" xfId="17800"/>
    <cellStyle name="쉼표 [0] 3 2 2 2 14 2" xfId="17801"/>
    <cellStyle name="쉼표 [0] 3 2 2 2 14 2 2" xfId="15320"/>
    <cellStyle name="쉼표 [0] 3 2 2 2 14 3" xfId="15321"/>
    <cellStyle name="쉼표 [0] 3 2 2 2 15" xfId="17802"/>
    <cellStyle name="쉼표 [0] 3 2 2 2 15 2" xfId="17803"/>
    <cellStyle name="쉼표 [0] 3 2 2 2 15 2 2" xfId="15318"/>
    <cellStyle name="쉼표 [0] 3 2 2 2 15 3" xfId="15319"/>
    <cellStyle name="쉼표 [0] 3 2 2 2 16" xfId="17804"/>
    <cellStyle name="쉼표 [0] 3 2 2 2 16 2" xfId="17805"/>
    <cellStyle name="쉼표 [0] 3 2 2 2 16 2 2" xfId="15316"/>
    <cellStyle name="쉼표 [0] 3 2 2 2 16 3" xfId="15317"/>
    <cellStyle name="쉼표 [0] 3 2 2 2 17" xfId="17806"/>
    <cellStyle name="쉼표 [0] 3 2 2 2 17 2" xfId="17807"/>
    <cellStyle name="쉼표 [0] 3 2 2 2 17 2 2" xfId="15314"/>
    <cellStyle name="쉼표 [0] 3 2 2 2 17 3" xfId="15315"/>
    <cellStyle name="쉼표 [0] 3 2 2 2 18" xfId="17808"/>
    <cellStyle name="쉼표 [0] 3 2 2 2 18 2" xfId="17809"/>
    <cellStyle name="쉼표 [0] 3 2 2 2 18 2 2" xfId="15312"/>
    <cellStyle name="쉼표 [0] 3 2 2 2 18 3" xfId="15313"/>
    <cellStyle name="쉼표 [0] 3 2 2 2 19" xfId="17810"/>
    <cellStyle name="쉼표 [0] 3 2 2 2 19 2" xfId="17811"/>
    <cellStyle name="쉼표 [0] 3 2 2 2 19 2 2" xfId="15310"/>
    <cellStyle name="쉼표 [0] 3 2 2 2 19 3" xfId="15311"/>
    <cellStyle name="쉼표 [0] 3 2 2 2 2" xfId="17812"/>
    <cellStyle name="쉼표 [0] 3 2 2 2 2 10" xfId="17813"/>
    <cellStyle name="쉼표 [0] 3 2 2 2 2 10 2" xfId="17814"/>
    <cellStyle name="쉼표 [0] 3 2 2 2 2 10 2 2" xfId="15307"/>
    <cellStyle name="쉼표 [0] 3 2 2 2 2 10 3" xfId="15308"/>
    <cellStyle name="쉼표 [0] 3 2 2 2 2 11" xfId="17815"/>
    <cellStyle name="쉼표 [0] 3 2 2 2 2 11 2" xfId="17816"/>
    <cellStyle name="쉼표 [0] 3 2 2 2 2 11 2 2" xfId="15305"/>
    <cellStyle name="쉼표 [0] 3 2 2 2 2 11 3" xfId="15306"/>
    <cellStyle name="쉼표 [0] 3 2 2 2 2 12" xfId="17817"/>
    <cellStyle name="쉼표 [0] 3 2 2 2 2 12 2" xfId="17818"/>
    <cellStyle name="쉼표 [0] 3 2 2 2 2 12 2 2" xfId="15303"/>
    <cellStyle name="쉼표 [0] 3 2 2 2 2 12 3" xfId="15304"/>
    <cellStyle name="쉼표 [0] 3 2 2 2 2 13" xfId="17819"/>
    <cellStyle name="쉼표 [0] 3 2 2 2 2 13 2" xfId="15302"/>
    <cellStyle name="쉼표 [0] 3 2 2 2 2 14" xfId="17820"/>
    <cellStyle name="쉼표 [0] 3 2 2 2 2 14 2" xfId="15301"/>
    <cellStyle name="쉼표 [0] 3 2 2 2 2 15" xfId="15309"/>
    <cellStyle name="쉼표 [0] 3 2 2 2 2 16" xfId="29854"/>
    <cellStyle name="쉼표 [0] 3 2 2 2 2 2" xfId="17821"/>
    <cellStyle name="쉼표 [0] 3 2 2 2 2 2 2" xfId="17822"/>
    <cellStyle name="쉼표 [0] 3 2 2 2 2 2 2 2" xfId="15299"/>
    <cellStyle name="쉼표 [0] 3 2 2 2 2 2 3" xfId="15300"/>
    <cellStyle name="쉼표 [0] 3 2 2 2 2 3" xfId="17823"/>
    <cellStyle name="쉼표 [0] 3 2 2 2 2 3 2" xfId="17824"/>
    <cellStyle name="쉼표 [0] 3 2 2 2 2 3 2 2" xfId="15297"/>
    <cellStyle name="쉼표 [0] 3 2 2 2 2 3 3" xfId="15298"/>
    <cellStyle name="쉼표 [0] 3 2 2 2 2 4" xfId="17825"/>
    <cellStyle name="쉼표 [0] 3 2 2 2 2 4 2" xfId="17826"/>
    <cellStyle name="쉼표 [0] 3 2 2 2 2 4 2 2" xfId="15295"/>
    <cellStyle name="쉼표 [0] 3 2 2 2 2 4 3" xfId="15296"/>
    <cellStyle name="쉼표 [0] 3 2 2 2 2 5" xfId="17827"/>
    <cellStyle name="쉼표 [0] 3 2 2 2 2 5 2" xfId="17828"/>
    <cellStyle name="쉼표 [0] 3 2 2 2 2 5 2 2" xfId="15293"/>
    <cellStyle name="쉼표 [0] 3 2 2 2 2 5 3" xfId="15294"/>
    <cellStyle name="쉼표 [0] 3 2 2 2 2 6" xfId="17829"/>
    <cellStyle name="쉼표 [0] 3 2 2 2 2 6 2" xfId="17830"/>
    <cellStyle name="쉼표 [0] 3 2 2 2 2 6 2 2" xfId="15291"/>
    <cellStyle name="쉼표 [0] 3 2 2 2 2 6 3" xfId="15292"/>
    <cellStyle name="쉼표 [0] 3 2 2 2 2 7" xfId="17831"/>
    <cellStyle name="쉼표 [0] 3 2 2 2 2 7 2" xfId="17832"/>
    <cellStyle name="쉼표 [0] 3 2 2 2 2 7 2 2" xfId="15289"/>
    <cellStyle name="쉼표 [0] 3 2 2 2 2 7 3" xfId="15290"/>
    <cellStyle name="쉼표 [0] 3 2 2 2 2 8" xfId="17833"/>
    <cellStyle name="쉼표 [0] 3 2 2 2 2 8 2" xfId="17834"/>
    <cellStyle name="쉼표 [0] 3 2 2 2 2 8 2 2" xfId="15287"/>
    <cellStyle name="쉼표 [0] 3 2 2 2 2 8 3" xfId="15288"/>
    <cellStyle name="쉼표 [0] 3 2 2 2 2 9" xfId="17835"/>
    <cellStyle name="쉼표 [0] 3 2 2 2 2 9 2" xfId="17836"/>
    <cellStyle name="쉼표 [0] 3 2 2 2 2 9 2 2" xfId="15285"/>
    <cellStyle name="쉼표 [0] 3 2 2 2 2 9 3" xfId="15286"/>
    <cellStyle name="쉼표 [0] 3 2 2 2 20" xfId="17837"/>
    <cellStyle name="쉼표 [0] 3 2 2 2 20 2" xfId="17838"/>
    <cellStyle name="쉼표 [0] 3 2 2 2 20 2 2" xfId="15283"/>
    <cellStyle name="쉼표 [0] 3 2 2 2 20 3" xfId="15284"/>
    <cellStyle name="쉼표 [0] 3 2 2 2 21" xfId="17839"/>
    <cellStyle name="쉼표 [0] 3 2 2 2 21 2" xfId="17840"/>
    <cellStyle name="쉼표 [0] 3 2 2 2 21 2 2" xfId="15281"/>
    <cellStyle name="쉼표 [0] 3 2 2 2 21 3" xfId="15282"/>
    <cellStyle name="쉼표 [0] 3 2 2 2 22" xfId="17841"/>
    <cellStyle name="쉼표 [0] 3 2 2 2 22 2" xfId="15280"/>
    <cellStyle name="쉼표 [0] 3 2 2 2 23" xfId="17842"/>
    <cellStyle name="쉼표 [0] 3 2 2 2 23 2" xfId="15279"/>
    <cellStyle name="쉼표 [0] 3 2 2 2 24" xfId="15330"/>
    <cellStyle name="쉼표 [0] 3 2 2 2 25" xfId="29853"/>
    <cellStyle name="쉼표 [0] 3 2 2 2 3" xfId="17843"/>
    <cellStyle name="쉼표 [0] 3 2 2 2 3 2" xfId="17844"/>
    <cellStyle name="쉼표 [0] 3 2 2 2 3 2 2" xfId="15277"/>
    <cellStyle name="쉼표 [0] 3 2 2 2 3 3" xfId="17845"/>
    <cellStyle name="쉼표 [0] 3 2 2 2 3 3 2" xfId="15276"/>
    <cellStyle name="쉼표 [0] 3 2 2 2 3 4" xfId="15278"/>
    <cellStyle name="쉼표 [0] 3 2 2 2 3 5" xfId="29855"/>
    <cellStyle name="쉼표 [0] 3 2 2 2 4" xfId="17846"/>
    <cellStyle name="쉼표 [0] 3 2 2 2 4 2" xfId="17847"/>
    <cellStyle name="쉼표 [0] 3 2 2 2 4 2 2" xfId="15274"/>
    <cellStyle name="쉼표 [0] 3 2 2 2 4 3" xfId="17848"/>
    <cellStyle name="쉼표 [0] 3 2 2 2 4 3 2" xfId="15273"/>
    <cellStyle name="쉼표 [0] 3 2 2 2 4 4" xfId="15275"/>
    <cellStyle name="쉼표 [0] 3 2 2 2 4 5" xfId="29856"/>
    <cellStyle name="쉼표 [0] 3 2 2 2 5" xfId="17849"/>
    <cellStyle name="쉼표 [0] 3 2 2 2 5 2" xfId="17850"/>
    <cellStyle name="쉼표 [0] 3 2 2 2 5 2 2" xfId="15271"/>
    <cellStyle name="쉼표 [0] 3 2 2 2 5 3" xfId="15272"/>
    <cellStyle name="쉼표 [0] 3 2 2 2 6" xfId="17851"/>
    <cellStyle name="쉼표 [0] 3 2 2 2 6 2" xfId="17852"/>
    <cellStyle name="쉼표 [0] 3 2 2 2 6 2 2" xfId="15269"/>
    <cellStyle name="쉼표 [0] 3 2 2 2 6 3" xfId="15270"/>
    <cellStyle name="쉼표 [0] 3 2 2 2 7" xfId="17853"/>
    <cellStyle name="쉼표 [0] 3 2 2 2 7 2" xfId="17854"/>
    <cellStyle name="쉼표 [0] 3 2 2 2 7 2 2" xfId="15267"/>
    <cellStyle name="쉼표 [0] 3 2 2 2 7 3" xfId="15268"/>
    <cellStyle name="쉼표 [0] 3 2 2 2 8" xfId="17855"/>
    <cellStyle name="쉼표 [0] 3 2 2 2 8 2" xfId="17856"/>
    <cellStyle name="쉼표 [0] 3 2 2 2 8 2 2" xfId="15265"/>
    <cellStyle name="쉼표 [0] 3 2 2 2 8 3" xfId="15266"/>
    <cellStyle name="쉼표 [0] 3 2 2 2 9" xfId="17857"/>
    <cellStyle name="쉼표 [0] 3 2 2 2 9 2" xfId="17858"/>
    <cellStyle name="쉼표 [0] 3 2 2 2 9 2 2" xfId="15263"/>
    <cellStyle name="쉼표 [0] 3 2 2 2 9 3" xfId="15264"/>
    <cellStyle name="쉼표 [0] 3 2 2 20" xfId="17859"/>
    <cellStyle name="쉼표 [0] 3 2 2 20 2" xfId="17860"/>
    <cellStyle name="쉼표 [0] 3 2 2 20 2 2" xfId="15261"/>
    <cellStyle name="쉼표 [0] 3 2 2 20 3" xfId="15262"/>
    <cellStyle name="쉼표 [0] 3 2 2 21" xfId="17861"/>
    <cellStyle name="쉼표 [0] 3 2 2 21 2" xfId="17862"/>
    <cellStyle name="쉼표 [0] 3 2 2 21 2 2" xfId="15259"/>
    <cellStyle name="쉼표 [0] 3 2 2 21 3" xfId="15260"/>
    <cellStyle name="쉼표 [0] 3 2 2 22" xfId="17863"/>
    <cellStyle name="쉼표 [0] 3 2 2 22 2" xfId="17864"/>
    <cellStyle name="쉼표 [0] 3 2 2 22 2 2" xfId="15257"/>
    <cellStyle name="쉼표 [0] 3 2 2 22 3" xfId="15258"/>
    <cellStyle name="쉼표 [0] 3 2 2 23" xfId="17865"/>
    <cellStyle name="쉼표 [0] 3 2 2 23 2" xfId="17866"/>
    <cellStyle name="쉼표 [0] 3 2 2 23 2 2" xfId="15255"/>
    <cellStyle name="쉼표 [0] 3 2 2 23 3" xfId="15256"/>
    <cellStyle name="쉼표 [0] 3 2 2 24" xfId="17867"/>
    <cellStyle name="쉼표 [0] 3 2 2 24 2" xfId="17868"/>
    <cellStyle name="쉼표 [0] 3 2 2 24 2 2" xfId="15253"/>
    <cellStyle name="쉼표 [0] 3 2 2 24 3" xfId="15254"/>
    <cellStyle name="쉼표 [0] 3 2 2 25" xfId="17869"/>
    <cellStyle name="쉼표 [0] 3 2 2 25 2" xfId="17870"/>
    <cellStyle name="쉼표 [0] 3 2 2 25 2 2" xfId="15251"/>
    <cellStyle name="쉼표 [0] 3 2 2 25 3" xfId="15252"/>
    <cellStyle name="쉼표 [0] 3 2 2 26" xfId="17871"/>
    <cellStyle name="쉼표 [0] 3 2 2 26 2" xfId="15250"/>
    <cellStyle name="쉼표 [0] 3 2 2 27" xfId="17872"/>
    <cellStyle name="쉼표 [0] 3 2 2 27 2" xfId="15249"/>
    <cellStyle name="쉼표 [0] 3 2 2 28" xfId="17873"/>
    <cellStyle name="쉼표 [0] 3 2 2 28 2" xfId="15248"/>
    <cellStyle name="쉼표 [0] 3 2 2 29" xfId="15351"/>
    <cellStyle name="쉼표 [0] 3 2 2 3" xfId="17874"/>
    <cellStyle name="쉼표 [0] 3 2 2 3 10" xfId="15247"/>
    <cellStyle name="쉼표 [0] 3 2 2 3 11" xfId="29857"/>
    <cellStyle name="쉼표 [0] 3 2 2 3 2" xfId="17875"/>
    <cellStyle name="쉼표 [0] 3 2 2 3 2 2" xfId="17876"/>
    <cellStyle name="쉼표 [0] 3 2 2 3 2 2 2" xfId="15245"/>
    <cellStyle name="쉼표 [0] 3 2 2 3 2 3" xfId="15246"/>
    <cellStyle name="쉼표 [0] 3 2 2 3 3" xfId="17877"/>
    <cellStyle name="쉼표 [0] 3 2 2 3 3 2" xfId="17878"/>
    <cellStyle name="쉼표 [0] 3 2 2 3 3 2 2" xfId="15243"/>
    <cellStyle name="쉼표 [0] 3 2 2 3 3 3" xfId="15244"/>
    <cellStyle name="쉼표 [0] 3 2 2 3 4" xfId="17879"/>
    <cellStyle name="쉼표 [0] 3 2 2 3 4 2" xfId="17880"/>
    <cellStyle name="쉼표 [0] 3 2 2 3 4 2 2" xfId="15241"/>
    <cellStyle name="쉼표 [0] 3 2 2 3 4 3" xfId="15242"/>
    <cellStyle name="쉼표 [0] 3 2 2 3 5" xfId="17881"/>
    <cellStyle name="쉼표 [0] 3 2 2 3 5 2" xfId="17882"/>
    <cellStyle name="쉼표 [0] 3 2 2 3 5 2 2" xfId="15239"/>
    <cellStyle name="쉼표 [0] 3 2 2 3 5 3" xfId="15240"/>
    <cellStyle name="쉼표 [0] 3 2 2 3 6" xfId="17883"/>
    <cellStyle name="쉼표 [0] 3 2 2 3 6 2" xfId="17884"/>
    <cellStyle name="쉼표 [0] 3 2 2 3 6 2 2" xfId="15237"/>
    <cellStyle name="쉼표 [0] 3 2 2 3 6 3" xfId="15238"/>
    <cellStyle name="쉼표 [0] 3 2 2 3 7" xfId="17885"/>
    <cellStyle name="쉼표 [0] 3 2 2 3 7 2" xfId="17886"/>
    <cellStyle name="쉼표 [0] 3 2 2 3 7 2 2" xfId="15235"/>
    <cellStyle name="쉼표 [0] 3 2 2 3 7 3" xfId="15236"/>
    <cellStyle name="쉼표 [0] 3 2 2 3 8" xfId="17887"/>
    <cellStyle name="쉼표 [0] 3 2 2 3 8 2" xfId="15234"/>
    <cellStyle name="쉼표 [0] 3 2 2 3 9" xfId="17888"/>
    <cellStyle name="쉼표 [0] 3 2 2 3 9 2" xfId="15233"/>
    <cellStyle name="쉼표 [0] 3 2 2 30" xfId="29219"/>
    <cellStyle name="쉼표 [0] 3 2 2 31" xfId="17770"/>
    <cellStyle name="쉼표 [0] 3 2 2 32" xfId="29683"/>
    <cellStyle name="쉼표 [0] 3 2 2 4" xfId="17889"/>
    <cellStyle name="쉼표 [0] 3 2 2 4 2" xfId="17890"/>
    <cellStyle name="쉼표 [0] 3 2 2 4 2 2" xfId="15231"/>
    <cellStyle name="쉼표 [0] 3 2 2 4 3" xfId="17891"/>
    <cellStyle name="쉼표 [0] 3 2 2 4 3 2" xfId="15230"/>
    <cellStyle name="쉼표 [0] 3 2 2 4 4" xfId="15232"/>
    <cellStyle name="쉼표 [0] 3 2 2 4 5" xfId="29858"/>
    <cellStyle name="쉼표 [0] 3 2 2 5" xfId="17892"/>
    <cellStyle name="쉼표 [0] 3 2 2 5 2" xfId="17893"/>
    <cellStyle name="쉼표 [0] 3 2 2 5 2 2" xfId="17894"/>
    <cellStyle name="쉼표 [0] 3 2 2 5 2 2 2" xfId="15227"/>
    <cellStyle name="쉼표 [0] 3 2 2 5 2 3" xfId="15228"/>
    <cellStyle name="쉼표 [0] 3 2 2 5 3" xfId="17895"/>
    <cellStyle name="쉼표 [0] 3 2 2 5 3 2" xfId="17896"/>
    <cellStyle name="쉼표 [0] 3 2 2 5 3 2 2" xfId="15225"/>
    <cellStyle name="쉼표 [0] 3 2 2 5 3 3" xfId="15226"/>
    <cellStyle name="쉼표 [0] 3 2 2 5 4" xfId="17897"/>
    <cellStyle name="쉼표 [0] 3 2 2 5 4 2" xfId="17898"/>
    <cellStyle name="쉼표 [0] 3 2 2 5 4 2 2" xfId="15223"/>
    <cellStyle name="쉼표 [0] 3 2 2 5 4 3" xfId="15224"/>
    <cellStyle name="쉼표 [0] 3 2 2 5 5" xfId="17899"/>
    <cellStyle name="쉼표 [0] 3 2 2 5 5 2" xfId="15222"/>
    <cellStyle name="쉼표 [0] 3 2 2 5 6" xfId="15229"/>
    <cellStyle name="쉼표 [0] 3 2 2 6" xfId="17900"/>
    <cellStyle name="쉼표 [0] 3 2 2 6 2" xfId="17901"/>
    <cellStyle name="쉼표 [0] 3 2 2 6 2 2" xfId="17902"/>
    <cellStyle name="쉼표 [0] 3 2 2 6 2 2 2" xfId="15219"/>
    <cellStyle name="쉼표 [0] 3 2 2 6 2 3" xfId="15220"/>
    <cellStyle name="쉼표 [0] 3 2 2 6 3" xfId="17903"/>
    <cellStyle name="쉼표 [0] 3 2 2 6 3 2" xfId="17904"/>
    <cellStyle name="쉼표 [0] 3 2 2 6 3 2 2" xfId="15217"/>
    <cellStyle name="쉼표 [0] 3 2 2 6 3 3" xfId="15218"/>
    <cellStyle name="쉼표 [0] 3 2 2 6 4" xfId="17905"/>
    <cellStyle name="쉼표 [0] 3 2 2 6 4 2" xfId="17906"/>
    <cellStyle name="쉼표 [0] 3 2 2 6 4 2 2" xfId="15215"/>
    <cellStyle name="쉼표 [0] 3 2 2 6 4 3" xfId="15216"/>
    <cellStyle name="쉼표 [0] 3 2 2 6 5" xfId="17907"/>
    <cellStyle name="쉼표 [0] 3 2 2 6 5 2" xfId="15214"/>
    <cellStyle name="쉼표 [0] 3 2 2 6 6" xfId="15221"/>
    <cellStyle name="쉼표 [0] 3 2 2 7" xfId="17908"/>
    <cellStyle name="쉼표 [0] 3 2 2 7 2" xfId="17909"/>
    <cellStyle name="쉼표 [0] 3 2 2 7 2 2" xfId="17910"/>
    <cellStyle name="쉼표 [0] 3 2 2 7 2 2 2" xfId="15211"/>
    <cellStyle name="쉼표 [0] 3 2 2 7 2 3" xfId="15212"/>
    <cellStyle name="쉼표 [0] 3 2 2 7 3" xfId="17911"/>
    <cellStyle name="쉼표 [0] 3 2 2 7 3 2" xfId="17912"/>
    <cellStyle name="쉼표 [0] 3 2 2 7 3 2 2" xfId="15209"/>
    <cellStyle name="쉼표 [0] 3 2 2 7 3 3" xfId="15210"/>
    <cellStyle name="쉼표 [0] 3 2 2 7 4" xfId="17913"/>
    <cellStyle name="쉼표 [0] 3 2 2 7 4 2" xfId="17914"/>
    <cellStyle name="쉼표 [0] 3 2 2 7 4 2 2" xfId="15207"/>
    <cellStyle name="쉼표 [0] 3 2 2 7 4 3" xfId="15208"/>
    <cellStyle name="쉼표 [0] 3 2 2 7 5" xfId="17915"/>
    <cellStyle name="쉼표 [0] 3 2 2 7 5 2" xfId="15206"/>
    <cellStyle name="쉼표 [0] 3 2 2 7 6" xfId="15213"/>
    <cellStyle name="쉼표 [0] 3 2 2 8" xfId="17916"/>
    <cellStyle name="쉼표 [0] 3 2 2 8 2" xfId="17917"/>
    <cellStyle name="쉼표 [0] 3 2 2 8 2 2" xfId="15204"/>
    <cellStyle name="쉼표 [0] 3 2 2 8 3" xfId="15205"/>
    <cellStyle name="쉼표 [0] 3 2 2 9" xfId="17918"/>
    <cellStyle name="쉼표 [0] 3 2 2 9 2" xfId="17919"/>
    <cellStyle name="쉼표 [0] 3 2 2 9 2 2" xfId="15202"/>
    <cellStyle name="쉼표 [0] 3 2 2 9 3" xfId="15203"/>
    <cellStyle name="쉼표 [0] 3 2 20" xfId="17920"/>
    <cellStyle name="쉼표 [0] 3 2 20 2" xfId="17921"/>
    <cellStyle name="쉼표 [0] 3 2 20 2 2" xfId="15200"/>
    <cellStyle name="쉼표 [0] 3 2 20 3" xfId="15201"/>
    <cellStyle name="쉼표 [0] 3 2 21" xfId="17922"/>
    <cellStyle name="쉼표 [0] 3 2 21 2" xfId="17923"/>
    <cellStyle name="쉼표 [0] 3 2 21 2 2" xfId="15198"/>
    <cellStyle name="쉼표 [0] 3 2 21 3" xfId="15199"/>
    <cellStyle name="쉼표 [0] 3 2 22" xfId="17924"/>
    <cellStyle name="쉼표 [0] 3 2 22 2" xfId="17925"/>
    <cellStyle name="쉼표 [0] 3 2 22 2 2" xfId="15196"/>
    <cellStyle name="쉼표 [0] 3 2 22 3" xfId="15197"/>
    <cellStyle name="쉼표 [0] 3 2 23" xfId="17926"/>
    <cellStyle name="쉼표 [0] 3 2 23 2" xfId="17927"/>
    <cellStyle name="쉼표 [0] 3 2 23 2 2" xfId="15194"/>
    <cellStyle name="쉼표 [0] 3 2 23 3" xfId="15195"/>
    <cellStyle name="쉼표 [0] 3 2 24" xfId="17928"/>
    <cellStyle name="쉼표 [0] 3 2 24 2" xfId="17929"/>
    <cellStyle name="쉼표 [0] 3 2 24 2 2" xfId="15192"/>
    <cellStyle name="쉼표 [0] 3 2 24 3" xfId="15193"/>
    <cellStyle name="쉼표 [0] 3 2 25" xfId="17930"/>
    <cellStyle name="쉼표 [0] 3 2 25 2" xfId="17931"/>
    <cellStyle name="쉼표 [0] 3 2 25 2 2" xfId="15190"/>
    <cellStyle name="쉼표 [0] 3 2 25 3" xfId="15191"/>
    <cellStyle name="쉼표 [0] 3 2 26" xfId="17932"/>
    <cellStyle name="쉼표 [0] 3 2 26 2" xfId="15189"/>
    <cellStyle name="쉼표 [0] 3 2 27" xfId="17933"/>
    <cellStyle name="쉼표 [0] 3 2 27 2" xfId="15188"/>
    <cellStyle name="쉼표 [0] 3 2 28" xfId="15372"/>
    <cellStyle name="쉼표 [0] 3 2 29" xfId="29220"/>
    <cellStyle name="쉼표 [0] 3 2 3" xfId="17934"/>
    <cellStyle name="쉼표 [0] 3 2 3 10" xfId="17935"/>
    <cellStyle name="쉼표 [0] 3 2 3 10 2" xfId="17936"/>
    <cellStyle name="쉼표 [0] 3 2 3 10 2 2" xfId="15185"/>
    <cellStyle name="쉼표 [0] 3 2 3 10 3" xfId="15186"/>
    <cellStyle name="쉼표 [0] 3 2 3 11" xfId="17937"/>
    <cellStyle name="쉼표 [0] 3 2 3 11 2" xfId="17938"/>
    <cellStyle name="쉼표 [0] 3 2 3 11 2 2" xfId="15183"/>
    <cellStyle name="쉼표 [0] 3 2 3 11 3" xfId="15184"/>
    <cellStyle name="쉼표 [0] 3 2 3 12" xfId="17939"/>
    <cellStyle name="쉼표 [0] 3 2 3 12 2" xfId="17940"/>
    <cellStyle name="쉼표 [0] 3 2 3 12 2 2" xfId="15181"/>
    <cellStyle name="쉼표 [0] 3 2 3 12 3" xfId="15182"/>
    <cellStyle name="쉼표 [0] 3 2 3 13" xfId="17941"/>
    <cellStyle name="쉼표 [0] 3 2 3 13 2" xfId="17942"/>
    <cellStyle name="쉼표 [0] 3 2 3 13 2 2" xfId="15179"/>
    <cellStyle name="쉼표 [0] 3 2 3 13 3" xfId="15180"/>
    <cellStyle name="쉼표 [0] 3 2 3 14" xfId="17943"/>
    <cellStyle name="쉼표 [0] 3 2 3 14 2" xfId="17944"/>
    <cellStyle name="쉼표 [0] 3 2 3 14 2 2" xfId="15177"/>
    <cellStyle name="쉼표 [0] 3 2 3 14 3" xfId="15178"/>
    <cellStyle name="쉼표 [0] 3 2 3 15" xfId="17945"/>
    <cellStyle name="쉼표 [0] 3 2 3 15 2" xfId="17946"/>
    <cellStyle name="쉼표 [0] 3 2 3 15 2 2" xfId="15175"/>
    <cellStyle name="쉼표 [0] 3 2 3 15 3" xfId="15176"/>
    <cellStyle name="쉼표 [0] 3 2 3 16" xfId="17947"/>
    <cellStyle name="쉼표 [0] 3 2 3 16 2" xfId="17948"/>
    <cellStyle name="쉼표 [0] 3 2 3 16 2 2" xfId="15173"/>
    <cellStyle name="쉼표 [0] 3 2 3 16 3" xfId="15174"/>
    <cellStyle name="쉼표 [0] 3 2 3 17" xfId="17949"/>
    <cellStyle name="쉼표 [0] 3 2 3 17 2" xfId="17950"/>
    <cellStyle name="쉼표 [0] 3 2 3 17 2 2" xfId="15171"/>
    <cellStyle name="쉼표 [0] 3 2 3 17 3" xfId="15172"/>
    <cellStyle name="쉼표 [0] 3 2 3 18" xfId="17951"/>
    <cellStyle name="쉼표 [0] 3 2 3 18 2" xfId="17952"/>
    <cellStyle name="쉼표 [0] 3 2 3 18 2 2" xfId="15169"/>
    <cellStyle name="쉼표 [0] 3 2 3 18 3" xfId="15170"/>
    <cellStyle name="쉼표 [0] 3 2 3 19" xfId="17953"/>
    <cellStyle name="쉼표 [0] 3 2 3 19 2" xfId="17954"/>
    <cellStyle name="쉼표 [0] 3 2 3 19 2 2" xfId="15167"/>
    <cellStyle name="쉼표 [0] 3 2 3 19 3" xfId="15168"/>
    <cellStyle name="쉼표 [0] 3 2 3 2" xfId="17955"/>
    <cellStyle name="쉼표 [0] 3 2 3 2 2" xfId="17956"/>
    <cellStyle name="쉼표 [0] 3 2 3 2 2 2" xfId="15165"/>
    <cellStyle name="쉼표 [0] 3 2 3 2 3" xfId="15166"/>
    <cellStyle name="쉼표 [0] 3 2 3 20" xfId="17957"/>
    <cellStyle name="쉼표 [0] 3 2 3 20 2" xfId="17958"/>
    <cellStyle name="쉼표 [0] 3 2 3 20 2 2" xfId="15163"/>
    <cellStyle name="쉼표 [0] 3 2 3 20 3" xfId="15164"/>
    <cellStyle name="쉼표 [0] 3 2 3 21" xfId="17959"/>
    <cellStyle name="쉼표 [0] 3 2 3 21 2" xfId="17960"/>
    <cellStyle name="쉼표 [0] 3 2 3 21 2 2" xfId="15161"/>
    <cellStyle name="쉼표 [0] 3 2 3 21 3" xfId="15162"/>
    <cellStyle name="쉼표 [0] 3 2 3 22" xfId="17961"/>
    <cellStyle name="쉼표 [0] 3 2 3 22 2" xfId="17962"/>
    <cellStyle name="쉼표 [0] 3 2 3 22 2 2" xfId="15159"/>
    <cellStyle name="쉼표 [0] 3 2 3 22 3" xfId="15160"/>
    <cellStyle name="쉼표 [0] 3 2 3 23" xfId="17963"/>
    <cellStyle name="쉼표 [0] 3 2 3 23 2" xfId="17964"/>
    <cellStyle name="쉼표 [0] 3 2 3 23 2 2" xfId="15157"/>
    <cellStyle name="쉼표 [0] 3 2 3 23 3" xfId="15158"/>
    <cellStyle name="쉼표 [0] 3 2 3 24" xfId="17965"/>
    <cellStyle name="쉼표 [0] 3 2 3 24 2" xfId="15156"/>
    <cellStyle name="쉼표 [0] 3 2 3 25" xfId="17966"/>
    <cellStyle name="쉼표 [0] 3 2 3 25 2" xfId="15155"/>
    <cellStyle name="쉼표 [0] 3 2 3 26" xfId="15187"/>
    <cellStyle name="쉼표 [0] 3 2 3 27" xfId="29859"/>
    <cellStyle name="쉼표 [0] 3 2 3 3" xfId="17967"/>
    <cellStyle name="쉼표 [0] 3 2 3 3 2" xfId="17968"/>
    <cellStyle name="쉼표 [0] 3 2 3 3 2 2" xfId="15153"/>
    <cellStyle name="쉼표 [0] 3 2 3 3 3" xfId="15154"/>
    <cellStyle name="쉼표 [0] 3 2 3 4" xfId="17969"/>
    <cellStyle name="쉼표 [0] 3 2 3 4 2" xfId="17970"/>
    <cellStyle name="쉼표 [0] 3 2 3 4 2 2" xfId="15151"/>
    <cellStyle name="쉼표 [0] 3 2 3 4 3" xfId="15152"/>
    <cellStyle name="쉼표 [0] 3 2 3 5" xfId="17971"/>
    <cellStyle name="쉼표 [0] 3 2 3 5 2" xfId="17972"/>
    <cellStyle name="쉼표 [0] 3 2 3 5 2 2" xfId="15149"/>
    <cellStyle name="쉼표 [0] 3 2 3 5 3" xfId="15150"/>
    <cellStyle name="쉼표 [0] 3 2 3 6" xfId="17973"/>
    <cellStyle name="쉼표 [0] 3 2 3 6 2" xfId="17974"/>
    <cellStyle name="쉼표 [0] 3 2 3 6 2 2" xfId="15147"/>
    <cellStyle name="쉼표 [0] 3 2 3 6 3" xfId="15148"/>
    <cellStyle name="쉼표 [0] 3 2 3 7" xfId="17975"/>
    <cellStyle name="쉼표 [0] 3 2 3 7 2" xfId="17976"/>
    <cellStyle name="쉼표 [0] 3 2 3 7 2 2" xfId="15145"/>
    <cellStyle name="쉼표 [0] 3 2 3 7 3" xfId="15146"/>
    <cellStyle name="쉼표 [0] 3 2 3 8" xfId="17977"/>
    <cellStyle name="쉼표 [0] 3 2 3 8 2" xfId="17978"/>
    <cellStyle name="쉼표 [0] 3 2 3 8 2 2" xfId="15143"/>
    <cellStyle name="쉼표 [0] 3 2 3 8 3" xfId="15144"/>
    <cellStyle name="쉼표 [0] 3 2 3 9" xfId="17979"/>
    <cellStyle name="쉼표 [0] 3 2 3 9 2" xfId="17980"/>
    <cellStyle name="쉼표 [0] 3 2 3 9 2 2" xfId="15141"/>
    <cellStyle name="쉼표 [0] 3 2 3 9 3" xfId="15142"/>
    <cellStyle name="쉼표 [0] 3 2 30" xfId="17749"/>
    <cellStyle name="쉼표 [0] 3 2 31" xfId="30741"/>
    <cellStyle name="쉼표 [0] 3 2 4" xfId="17981"/>
    <cellStyle name="쉼표 [0] 3 2 4 2" xfId="17982"/>
    <cellStyle name="쉼표 [0] 3 2 4 2 2" xfId="15139"/>
    <cellStyle name="쉼표 [0] 3 2 4 3" xfId="17983"/>
    <cellStyle name="쉼표 [0] 3 2 4 3 2" xfId="15138"/>
    <cellStyle name="쉼표 [0] 3 2 4 4" xfId="15140"/>
    <cellStyle name="쉼표 [0] 3 2 4 5" xfId="29860"/>
    <cellStyle name="쉼표 [0] 3 2 5" xfId="17984"/>
    <cellStyle name="쉼표 [0] 3 2 5 10" xfId="17985"/>
    <cellStyle name="쉼표 [0] 3 2 5 10 2" xfId="17986"/>
    <cellStyle name="쉼표 [0] 3 2 5 10 2 2" xfId="15135"/>
    <cellStyle name="쉼표 [0] 3 2 5 10 3" xfId="15136"/>
    <cellStyle name="쉼표 [0] 3 2 5 11" xfId="17987"/>
    <cellStyle name="쉼표 [0] 3 2 5 11 2" xfId="17988"/>
    <cellStyle name="쉼표 [0] 3 2 5 11 2 2" xfId="15133"/>
    <cellStyle name="쉼표 [0] 3 2 5 11 3" xfId="15134"/>
    <cellStyle name="쉼표 [0] 3 2 5 12" xfId="17989"/>
    <cellStyle name="쉼표 [0] 3 2 5 12 2" xfId="17990"/>
    <cellStyle name="쉼표 [0] 3 2 5 12 2 2" xfId="15131"/>
    <cellStyle name="쉼표 [0] 3 2 5 12 3" xfId="15132"/>
    <cellStyle name="쉼표 [0] 3 2 5 13" xfId="17991"/>
    <cellStyle name="쉼표 [0] 3 2 5 13 2" xfId="17992"/>
    <cellStyle name="쉼표 [0] 3 2 5 13 2 2" xfId="15129"/>
    <cellStyle name="쉼표 [0] 3 2 5 13 3" xfId="15130"/>
    <cellStyle name="쉼표 [0] 3 2 5 14" xfId="17993"/>
    <cellStyle name="쉼표 [0] 3 2 5 14 2" xfId="17994"/>
    <cellStyle name="쉼표 [0] 3 2 5 14 2 2" xfId="15127"/>
    <cellStyle name="쉼표 [0] 3 2 5 14 3" xfId="15128"/>
    <cellStyle name="쉼표 [0] 3 2 5 15" xfId="17995"/>
    <cellStyle name="쉼표 [0] 3 2 5 15 2" xfId="17996"/>
    <cellStyle name="쉼표 [0] 3 2 5 15 2 2" xfId="15125"/>
    <cellStyle name="쉼표 [0] 3 2 5 15 3" xfId="15126"/>
    <cellStyle name="쉼표 [0] 3 2 5 16" xfId="17997"/>
    <cellStyle name="쉼표 [0] 3 2 5 16 2" xfId="15124"/>
    <cellStyle name="쉼표 [0] 3 2 5 17" xfId="15137"/>
    <cellStyle name="쉼표 [0] 3 2 5 18" xfId="31508"/>
    <cellStyle name="쉼표 [0] 3 2 5 2" xfId="17998"/>
    <cellStyle name="쉼표 [0] 3 2 5 2 2" xfId="17999"/>
    <cellStyle name="쉼표 [0] 3 2 5 2 2 2" xfId="15122"/>
    <cellStyle name="쉼표 [0] 3 2 5 2 3" xfId="15123"/>
    <cellStyle name="쉼표 [0] 3 2 5 3" xfId="18000"/>
    <cellStyle name="쉼표 [0] 3 2 5 3 2" xfId="18001"/>
    <cellStyle name="쉼표 [0] 3 2 5 3 2 2" xfId="15120"/>
    <cellStyle name="쉼표 [0] 3 2 5 3 3" xfId="15121"/>
    <cellStyle name="쉼표 [0] 3 2 5 4" xfId="18002"/>
    <cellStyle name="쉼표 [0] 3 2 5 4 2" xfId="18003"/>
    <cellStyle name="쉼표 [0] 3 2 5 4 2 2" xfId="15118"/>
    <cellStyle name="쉼표 [0] 3 2 5 4 3" xfId="15119"/>
    <cellStyle name="쉼표 [0] 3 2 5 5" xfId="18004"/>
    <cellStyle name="쉼표 [0] 3 2 5 5 2" xfId="18005"/>
    <cellStyle name="쉼표 [0] 3 2 5 5 2 2" xfId="15116"/>
    <cellStyle name="쉼표 [0] 3 2 5 5 3" xfId="15117"/>
    <cellStyle name="쉼표 [0] 3 2 5 6" xfId="18006"/>
    <cellStyle name="쉼표 [0] 3 2 5 6 2" xfId="18007"/>
    <cellStyle name="쉼표 [0] 3 2 5 6 2 2" xfId="15114"/>
    <cellStyle name="쉼표 [0] 3 2 5 6 3" xfId="15115"/>
    <cellStyle name="쉼표 [0] 3 2 5 7" xfId="18008"/>
    <cellStyle name="쉼표 [0] 3 2 5 7 2" xfId="18009"/>
    <cellStyle name="쉼표 [0] 3 2 5 7 2 2" xfId="15112"/>
    <cellStyle name="쉼표 [0] 3 2 5 7 3" xfId="15113"/>
    <cellStyle name="쉼표 [0] 3 2 5 8" xfId="18010"/>
    <cellStyle name="쉼표 [0] 3 2 5 8 2" xfId="18011"/>
    <cellStyle name="쉼표 [0] 3 2 5 8 2 2" xfId="15110"/>
    <cellStyle name="쉼표 [0] 3 2 5 8 3" xfId="15111"/>
    <cellStyle name="쉼표 [0] 3 2 5 9" xfId="18012"/>
    <cellStyle name="쉼표 [0] 3 2 5 9 2" xfId="18013"/>
    <cellStyle name="쉼표 [0] 3 2 5 9 2 2" xfId="15108"/>
    <cellStyle name="쉼표 [0] 3 2 5 9 3" xfId="15109"/>
    <cellStyle name="쉼표 [0] 3 2 6" xfId="18014"/>
    <cellStyle name="쉼표 [0] 3 2 6 10" xfId="18015"/>
    <cellStyle name="쉼표 [0] 3 2 6 10 2" xfId="18016"/>
    <cellStyle name="쉼표 [0] 3 2 6 10 2 2" xfId="15105"/>
    <cellStyle name="쉼표 [0] 3 2 6 10 3" xfId="15106"/>
    <cellStyle name="쉼표 [0] 3 2 6 11" xfId="18017"/>
    <cellStyle name="쉼표 [0] 3 2 6 11 2" xfId="18018"/>
    <cellStyle name="쉼표 [0] 3 2 6 11 2 2" xfId="15103"/>
    <cellStyle name="쉼표 [0] 3 2 6 11 3" xfId="15104"/>
    <cellStyle name="쉼표 [0] 3 2 6 12" xfId="18019"/>
    <cellStyle name="쉼표 [0] 3 2 6 12 2" xfId="18020"/>
    <cellStyle name="쉼표 [0] 3 2 6 12 2 2" xfId="15101"/>
    <cellStyle name="쉼표 [0] 3 2 6 12 3" xfId="15102"/>
    <cellStyle name="쉼표 [0] 3 2 6 13" xfId="18021"/>
    <cellStyle name="쉼표 [0] 3 2 6 13 2" xfId="18022"/>
    <cellStyle name="쉼표 [0] 3 2 6 13 2 2" xfId="15099"/>
    <cellStyle name="쉼표 [0] 3 2 6 13 3" xfId="15100"/>
    <cellStyle name="쉼표 [0] 3 2 6 14" xfId="18023"/>
    <cellStyle name="쉼표 [0] 3 2 6 14 2" xfId="18024"/>
    <cellStyle name="쉼표 [0] 3 2 6 14 2 2" xfId="15097"/>
    <cellStyle name="쉼표 [0] 3 2 6 14 3" xfId="15098"/>
    <cellStyle name="쉼표 [0] 3 2 6 15" xfId="18025"/>
    <cellStyle name="쉼표 [0] 3 2 6 15 2" xfId="18026"/>
    <cellStyle name="쉼표 [0] 3 2 6 15 2 2" xfId="15095"/>
    <cellStyle name="쉼표 [0] 3 2 6 15 3" xfId="15096"/>
    <cellStyle name="쉼표 [0] 3 2 6 16" xfId="18027"/>
    <cellStyle name="쉼표 [0] 3 2 6 16 2" xfId="15094"/>
    <cellStyle name="쉼표 [0] 3 2 6 17" xfId="15107"/>
    <cellStyle name="쉼표 [0] 3 2 6 18" xfId="31933"/>
    <cellStyle name="쉼표 [0] 3 2 6 2" xfId="18028"/>
    <cellStyle name="쉼표 [0] 3 2 6 2 2" xfId="18029"/>
    <cellStyle name="쉼표 [0] 3 2 6 2 2 2" xfId="15092"/>
    <cellStyle name="쉼표 [0] 3 2 6 2 3" xfId="15093"/>
    <cellStyle name="쉼표 [0] 3 2 6 3" xfId="18030"/>
    <cellStyle name="쉼표 [0] 3 2 6 3 2" xfId="18031"/>
    <cellStyle name="쉼표 [0] 3 2 6 3 2 2" xfId="15090"/>
    <cellStyle name="쉼표 [0] 3 2 6 3 3" xfId="15091"/>
    <cellStyle name="쉼표 [0] 3 2 6 4" xfId="18032"/>
    <cellStyle name="쉼표 [0] 3 2 6 4 2" xfId="18033"/>
    <cellStyle name="쉼표 [0] 3 2 6 4 2 2" xfId="15088"/>
    <cellStyle name="쉼표 [0] 3 2 6 4 3" xfId="15089"/>
    <cellStyle name="쉼표 [0] 3 2 6 5" xfId="18034"/>
    <cellStyle name="쉼표 [0] 3 2 6 5 2" xfId="18035"/>
    <cellStyle name="쉼표 [0] 3 2 6 5 2 2" xfId="15086"/>
    <cellStyle name="쉼표 [0] 3 2 6 5 3" xfId="15087"/>
    <cellStyle name="쉼표 [0] 3 2 6 6" xfId="18036"/>
    <cellStyle name="쉼표 [0] 3 2 6 6 2" xfId="18037"/>
    <cellStyle name="쉼표 [0] 3 2 6 6 2 2" xfId="15084"/>
    <cellStyle name="쉼표 [0] 3 2 6 6 3" xfId="15085"/>
    <cellStyle name="쉼표 [0] 3 2 6 7" xfId="18038"/>
    <cellStyle name="쉼표 [0] 3 2 6 7 2" xfId="18039"/>
    <cellStyle name="쉼표 [0] 3 2 6 7 2 2" xfId="15082"/>
    <cellStyle name="쉼표 [0] 3 2 6 7 3" xfId="15083"/>
    <cellStyle name="쉼표 [0] 3 2 6 8" xfId="18040"/>
    <cellStyle name="쉼표 [0] 3 2 6 8 2" xfId="18041"/>
    <cellStyle name="쉼표 [0] 3 2 6 8 2 2" xfId="15080"/>
    <cellStyle name="쉼표 [0] 3 2 6 8 3" xfId="15081"/>
    <cellStyle name="쉼표 [0] 3 2 6 9" xfId="18042"/>
    <cellStyle name="쉼표 [0] 3 2 6 9 2" xfId="18043"/>
    <cellStyle name="쉼표 [0] 3 2 6 9 2 2" xfId="15078"/>
    <cellStyle name="쉼표 [0] 3 2 6 9 3" xfId="15079"/>
    <cellStyle name="쉼표 [0] 3 2 7" xfId="18044"/>
    <cellStyle name="쉼표 [0] 3 2 7 10" xfId="18045"/>
    <cellStyle name="쉼표 [0] 3 2 7 10 2" xfId="18046"/>
    <cellStyle name="쉼표 [0] 3 2 7 10 2 2" xfId="15075"/>
    <cellStyle name="쉼표 [0] 3 2 7 10 3" xfId="15076"/>
    <cellStyle name="쉼표 [0] 3 2 7 11" xfId="18047"/>
    <cellStyle name="쉼표 [0] 3 2 7 11 2" xfId="15074"/>
    <cellStyle name="쉼표 [0] 3 2 7 12" xfId="15077"/>
    <cellStyle name="쉼표 [0] 3 2 7 13" xfId="31932"/>
    <cellStyle name="쉼표 [0] 3 2 7 2" xfId="18048"/>
    <cellStyle name="쉼표 [0] 3 2 7 2 2" xfId="18049"/>
    <cellStyle name="쉼표 [0] 3 2 7 2 2 2" xfId="15072"/>
    <cellStyle name="쉼표 [0] 3 2 7 2 3" xfId="15073"/>
    <cellStyle name="쉼표 [0] 3 2 7 3" xfId="18050"/>
    <cellStyle name="쉼표 [0] 3 2 7 3 2" xfId="18051"/>
    <cellStyle name="쉼표 [0] 3 2 7 3 2 2" xfId="15070"/>
    <cellStyle name="쉼표 [0] 3 2 7 3 3" xfId="15071"/>
    <cellStyle name="쉼표 [0] 3 2 7 4" xfId="18052"/>
    <cellStyle name="쉼표 [0] 3 2 7 4 2" xfId="18053"/>
    <cellStyle name="쉼표 [0] 3 2 7 4 2 2" xfId="15068"/>
    <cellStyle name="쉼표 [0] 3 2 7 4 3" xfId="15069"/>
    <cellStyle name="쉼표 [0] 3 2 7 5" xfId="18054"/>
    <cellStyle name="쉼표 [0] 3 2 7 5 2" xfId="18055"/>
    <cellStyle name="쉼표 [0] 3 2 7 5 2 2" xfId="15066"/>
    <cellStyle name="쉼표 [0] 3 2 7 5 3" xfId="15067"/>
    <cellStyle name="쉼표 [0] 3 2 7 6" xfId="18056"/>
    <cellStyle name="쉼표 [0] 3 2 7 6 2" xfId="18057"/>
    <cellStyle name="쉼표 [0] 3 2 7 6 2 2" xfId="15064"/>
    <cellStyle name="쉼표 [0] 3 2 7 6 3" xfId="15065"/>
    <cellStyle name="쉼표 [0] 3 2 7 7" xfId="18058"/>
    <cellStyle name="쉼표 [0] 3 2 7 7 2" xfId="18059"/>
    <cellStyle name="쉼표 [0] 3 2 7 7 2 2" xfId="15062"/>
    <cellStyle name="쉼표 [0] 3 2 7 7 3" xfId="15063"/>
    <cellStyle name="쉼표 [0] 3 2 7 8" xfId="18060"/>
    <cellStyle name="쉼표 [0] 3 2 7 8 2" xfId="18061"/>
    <cellStyle name="쉼표 [0] 3 2 7 8 2 2" xfId="15060"/>
    <cellStyle name="쉼표 [0] 3 2 7 8 3" xfId="15061"/>
    <cellStyle name="쉼표 [0] 3 2 7 9" xfId="18062"/>
    <cellStyle name="쉼표 [0] 3 2 7 9 2" xfId="18063"/>
    <cellStyle name="쉼표 [0] 3 2 7 9 2 2" xfId="15058"/>
    <cellStyle name="쉼표 [0] 3 2 7 9 3" xfId="15059"/>
    <cellStyle name="쉼표 [0] 3 2 8" xfId="18064"/>
    <cellStyle name="쉼표 [0] 3 2 8 2" xfId="18065"/>
    <cellStyle name="쉼표 [0] 3 2 8 2 2" xfId="18066"/>
    <cellStyle name="쉼표 [0] 3 2 8 2 2 2" xfId="15055"/>
    <cellStyle name="쉼표 [0] 3 2 8 2 3" xfId="15056"/>
    <cellStyle name="쉼표 [0] 3 2 8 3" xfId="18067"/>
    <cellStyle name="쉼표 [0] 3 2 8 3 2" xfId="18068"/>
    <cellStyle name="쉼표 [0] 3 2 8 3 2 2" xfId="15053"/>
    <cellStyle name="쉼표 [0] 3 2 8 3 3" xfId="15054"/>
    <cellStyle name="쉼표 [0] 3 2 8 4" xfId="18069"/>
    <cellStyle name="쉼표 [0] 3 2 8 4 2" xfId="18070"/>
    <cellStyle name="쉼표 [0] 3 2 8 4 2 2" xfId="15051"/>
    <cellStyle name="쉼표 [0] 3 2 8 4 3" xfId="15052"/>
    <cellStyle name="쉼표 [0] 3 2 8 5" xfId="18071"/>
    <cellStyle name="쉼표 [0] 3 2 8 5 2" xfId="18072"/>
    <cellStyle name="쉼표 [0] 3 2 8 5 2 2" xfId="15049"/>
    <cellStyle name="쉼표 [0] 3 2 8 5 3" xfId="15050"/>
    <cellStyle name="쉼표 [0] 3 2 8 6" xfId="18073"/>
    <cellStyle name="쉼표 [0] 3 2 8 6 2" xfId="18074"/>
    <cellStyle name="쉼표 [0] 3 2 8 6 2 2" xfId="15047"/>
    <cellStyle name="쉼표 [0] 3 2 8 6 3" xfId="15048"/>
    <cellStyle name="쉼표 [0] 3 2 8 7" xfId="18075"/>
    <cellStyle name="쉼표 [0] 3 2 8 7 2" xfId="18076"/>
    <cellStyle name="쉼표 [0] 3 2 8 7 2 2" xfId="15045"/>
    <cellStyle name="쉼표 [0] 3 2 8 7 3" xfId="15046"/>
    <cellStyle name="쉼표 [0] 3 2 8 8" xfId="18077"/>
    <cellStyle name="쉼표 [0] 3 2 8 8 2" xfId="15044"/>
    <cellStyle name="쉼표 [0] 3 2 8 9" xfId="15057"/>
    <cellStyle name="쉼표 [0] 3 2 9" xfId="18078"/>
    <cellStyle name="쉼표 [0] 3 2 9 2" xfId="18079"/>
    <cellStyle name="쉼표 [0] 3 2 9 2 2" xfId="15042"/>
    <cellStyle name="쉼표 [0] 3 2 9 3" xfId="15043"/>
    <cellStyle name="쉼표 [0] 3 20" xfId="18080"/>
    <cellStyle name="쉼표 [0] 3 20 2" xfId="18081"/>
    <cellStyle name="쉼표 [0] 3 20 2 2" xfId="15040"/>
    <cellStyle name="쉼표 [0] 3 20 3" xfId="15041"/>
    <cellStyle name="쉼표 [0] 3 20 4" xfId="31931"/>
    <cellStyle name="쉼표 [0] 3 21" xfId="18082"/>
    <cellStyle name="쉼표 [0] 3 21 2" xfId="18083"/>
    <cellStyle name="쉼표 [0] 3 21 2 2" xfId="15038"/>
    <cellStyle name="쉼표 [0] 3 21 3" xfId="15039"/>
    <cellStyle name="쉼표 [0] 3 21 4" xfId="31930"/>
    <cellStyle name="쉼표 [0] 3 22" xfId="18084"/>
    <cellStyle name="쉼표 [0] 3 22 2" xfId="18085"/>
    <cellStyle name="쉼표 [0] 3 22 2 2" xfId="15036"/>
    <cellStyle name="쉼표 [0] 3 22 3" xfId="15037"/>
    <cellStyle name="쉼표 [0] 3 22 4" xfId="31929"/>
    <cellStyle name="쉼표 [0] 3 23" xfId="18086"/>
    <cellStyle name="쉼표 [0] 3 23 2" xfId="18087"/>
    <cellStyle name="쉼표 [0] 3 23 2 2" xfId="15034"/>
    <cellStyle name="쉼표 [0] 3 23 3" xfId="15035"/>
    <cellStyle name="쉼표 [0] 3 23 4" xfId="31928"/>
    <cellStyle name="쉼표 [0] 3 24" xfId="18088"/>
    <cellStyle name="쉼표 [0] 3 24 2" xfId="18089"/>
    <cellStyle name="쉼표 [0] 3 24 2 2" xfId="15032"/>
    <cellStyle name="쉼표 [0] 3 24 3" xfId="15033"/>
    <cellStyle name="쉼표 [0] 3 25" xfId="18090"/>
    <cellStyle name="쉼표 [0] 3 25 2" xfId="18091"/>
    <cellStyle name="쉼표 [0] 3 25 2 2" xfId="15030"/>
    <cellStyle name="쉼표 [0] 3 25 3" xfId="15031"/>
    <cellStyle name="쉼표 [0] 3 26" xfId="18092"/>
    <cellStyle name="쉼표 [0] 3 26 2" xfId="18093"/>
    <cellStyle name="쉼표 [0] 3 26 2 2" xfId="15028"/>
    <cellStyle name="쉼표 [0] 3 26 3" xfId="15029"/>
    <cellStyle name="쉼표 [0] 3 27" xfId="18094"/>
    <cellStyle name="쉼표 [0] 3 27 2" xfId="18095"/>
    <cellStyle name="쉼표 [0] 3 27 2 2" xfId="15026"/>
    <cellStyle name="쉼표 [0] 3 27 3" xfId="15027"/>
    <cellStyle name="쉼표 [0] 3 28" xfId="18096"/>
    <cellStyle name="쉼표 [0] 3 28 2" xfId="18097"/>
    <cellStyle name="쉼표 [0] 3 28 2 2" xfId="15024"/>
    <cellStyle name="쉼표 [0] 3 28 3" xfId="15025"/>
    <cellStyle name="쉼표 [0] 3 29" xfId="18098"/>
    <cellStyle name="쉼표 [0] 3 29 2" xfId="18099"/>
    <cellStyle name="쉼표 [0] 3 29 2 2" xfId="15022"/>
    <cellStyle name="쉼표 [0] 3 29 3" xfId="15023"/>
    <cellStyle name="쉼표 [0] 3 3" xfId="1156"/>
    <cellStyle name="쉼표 [0] 3 3 10" xfId="18101"/>
    <cellStyle name="쉼표 [0] 3 3 10 2" xfId="18102"/>
    <cellStyle name="쉼표 [0] 3 3 10 2 2" xfId="15019"/>
    <cellStyle name="쉼표 [0] 3 3 10 3" xfId="15020"/>
    <cellStyle name="쉼표 [0] 3 3 11" xfId="18103"/>
    <cellStyle name="쉼표 [0] 3 3 11 2" xfId="18104"/>
    <cellStyle name="쉼표 [0] 3 3 11 2 2" xfId="15017"/>
    <cellStyle name="쉼표 [0] 3 3 11 3" xfId="15018"/>
    <cellStyle name="쉼표 [0] 3 3 12" xfId="18105"/>
    <cellStyle name="쉼표 [0] 3 3 12 2" xfId="18106"/>
    <cellStyle name="쉼표 [0] 3 3 12 2 2" xfId="15015"/>
    <cellStyle name="쉼표 [0] 3 3 12 3" xfId="15016"/>
    <cellStyle name="쉼표 [0] 3 3 13" xfId="18107"/>
    <cellStyle name="쉼표 [0] 3 3 13 2" xfId="18108"/>
    <cellStyle name="쉼표 [0] 3 3 13 2 2" xfId="15013"/>
    <cellStyle name="쉼표 [0] 3 3 13 3" xfId="15014"/>
    <cellStyle name="쉼표 [0] 3 3 14" xfId="18109"/>
    <cellStyle name="쉼표 [0] 3 3 14 2" xfId="18110"/>
    <cellStyle name="쉼표 [0] 3 3 14 2 2" xfId="15011"/>
    <cellStyle name="쉼표 [0] 3 3 14 3" xfId="15012"/>
    <cellStyle name="쉼표 [0] 3 3 15" xfId="18111"/>
    <cellStyle name="쉼표 [0] 3 3 15 2" xfId="18112"/>
    <cellStyle name="쉼표 [0] 3 3 15 2 2" xfId="15009"/>
    <cellStyle name="쉼표 [0] 3 3 15 3" xfId="15010"/>
    <cellStyle name="쉼표 [0] 3 3 16" xfId="18113"/>
    <cellStyle name="쉼표 [0] 3 3 16 2" xfId="18114"/>
    <cellStyle name="쉼표 [0] 3 3 16 2 2" xfId="15007"/>
    <cellStyle name="쉼표 [0] 3 3 16 3" xfId="15008"/>
    <cellStyle name="쉼표 [0] 3 3 17" xfId="18115"/>
    <cellStyle name="쉼표 [0] 3 3 17 2" xfId="18116"/>
    <cellStyle name="쉼표 [0] 3 3 17 2 2" xfId="15005"/>
    <cellStyle name="쉼표 [0] 3 3 17 3" xfId="15006"/>
    <cellStyle name="쉼표 [0] 3 3 18" xfId="18117"/>
    <cellStyle name="쉼표 [0] 3 3 18 2" xfId="18118"/>
    <cellStyle name="쉼표 [0] 3 3 18 2 2" xfId="15003"/>
    <cellStyle name="쉼표 [0] 3 3 18 3" xfId="15004"/>
    <cellStyle name="쉼표 [0] 3 3 19" xfId="18119"/>
    <cellStyle name="쉼표 [0] 3 3 19 2" xfId="18120"/>
    <cellStyle name="쉼표 [0] 3 3 19 2 2" xfId="15001"/>
    <cellStyle name="쉼표 [0] 3 3 19 3" xfId="15002"/>
    <cellStyle name="쉼표 [0] 3 3 2" xfId="1157"/>
    <cellStyle name="쉼표 [0] 3 3 2 10" xfId="18122"/>
    <cellStyle name="쉼표 [0] 3 3 2 10 2" xfId="18123"/>
    <cellStyle name="쉼표 [0] 3 3 2 10 2 2" xfId="14998"/>
    <cellStyle name="쉼표 [0] 3 3 2 10 3" xfId="14999"/>
    <cellStyle name="쉼표 [0] 3 3 2 11" xfId="18124"/>
    <cellStyle name="쉼표 [0] 3 3 2 11 2" xfId="18125"/>
    <cellStyle name="쉼표 [0] 3 3 2 11 2 2" xfId="14996"/>
    <cellStyle name="쉼표 [0] 3 3 2 11 3" xfId="14997"/>
    <cellStyle name="쉼표 [0] 3 3 2 12" xfId="18126"/>
    <cellStyle name="쉼표 [0] 3 3 2 12 2" xfId="18127"/>
    <cellStyle name="쉼표 [0] 3 3 2 12 2 2" xfId="14994"/>
    <cellStyle name="쉼표 [0] 3 3 2 12 3" xfId="14995"/>
    <cellStyle name="쉼표 [0] 3 3 2 13" xfId="18128"/>
    <cellStyle name="쉼표 [0] 3 3 2 13 2" xfId="18129"/>
    <cellStyle name="쉼표 [0] 3 3 2 13 2 2" xfId="14992"/>
    <cellStyle name="쉼표 [0] 3 3 2 13 3" xfId="14993"/>
    <cellStyle name="쉼표 [0] 3 3 2 14" xfId="18130"/>
    <cellStyle name="쉼표 [0] 3 3 2 14 2" xfId="18131"/>
    <cellStyle name="쉼표 [0] 3 3 2 14 2 2" xfId="14990"/>
    <cellStyle name="쉼표 [0] 3 3 2 14 3" xfId="14991"/>
    <cellStyle name="쉼표 [0] 3 3 2 15" xfId="18132"/>
    <cellStyle name="쉼표 [0] 3 3 2 15 2" xfId="18133"/>
    <cellStyle name="쉼표 [0] 3 3 2 15 2 2" xfId="14988"/>
    <cellStyle name="쉼표 [0] 3 3 2 15 3" xfId="14989"/>
    <cellStyle name="쉼표 [0] 3 3 2 16" xfId="18134"/>
    <cellStyle name="쉼표 [0] 3 3 2 16 2" xfId="18135"/>
    <cellStyle name="쉼표 [0] 3 3 2 16 2 2" xfId="14986"/>
    <cellStyle name="쉼표 [0] 3 3 2 16 3" xfId="14987"/>
    <cellStyle name="쉼표 [0] 3 3 2 17" xfId="18136"/>
    <cellStyle name="쉼표 [0] 3 3 2 17 2" xfId="18137"/>
    <cellStyle name="쉼표 [0] 3 3 2 17 2 2" xfId="14984"/>
    <cellStyle name="쉼표 [0] 3 3 2 17 3" xfId="14985"/>
    <cellStyle name="쉼표 [0] 3 3 2 18" xfId="18138"/>
    <cellStyle name="쉼표 [0] 3 3 2 18 2" xfId="18139"/>
    <cellStyle name="쉼표 [0] 3 3 2 18 2 2" xfId="14982"/>
    <cellStyle name="쉼표 [0] 3 3 2 18 3" xfId="14983"/>
    <cellStyle name="쉼표 [0] 3 3 2 19" xfId="18140"/>
    <cellStyle name="쉼표 [0] 3 3 2 19 2" xfId="14981"/>
    <cellStyle name="쉼표 [0] 3 3 2 2" xfId="18141"/>
    <cellStyle name="쉼표 [0] 3 3 2 2 10" xfId="18142"/>
    <cellStyle name="쉼표 [0] 3 3 2 2 10 2" xfId="18143"/>
    <cellStyle name="쉼표 [0] 3 3 2 2 10 2 2" xfId="14978"/>
    <cellStyle name="쉼표 [0] 3 3 2 2 10 3" xfId="14979"/>
    <cellStyle name="쉼표 [0] 3 3 2 2 11" xfId="18144"/>
    <cellStyle name="쉼표 [0] 3 3 2 2 11 2" xfId="18145"/>
    <cellStyle name="쉼표 [0] 3 3 2 2 11 2 2" xfId="14976"/>
    <cellStyle name="쉼표 [0] 3 3 2 2 11 3" xfId="14977"/>
    <cellStyle name="쉼표 [0] 3 3 2 2 12" xfId="18146"/>
    <cellStyle name="쉼표 [0] 3 3 2 2 12 2" xfId="14975"/>
    <cellStyle name="쉼표 [0] 3 3 2 2 13" xfId="14980"/>
    <cellStyle name="쉼표 [0] 3 3 2 2 2" xfId="18147"/>
    <cellStyle name="쉼표 [0] 3 3 2 2 2 2" xfId="18148"/>
    <cellStyle name="쉼표 [0] 3 3 2 2 2 2 2" xfId="14973"/>
    <cellStyle name="쉼표 [0] 3 3 2 2 2 3" xfId="14974"/>
    <cellStyle name="쉼표 [0] 3 3 2 2 3" xfId="18149"/>
    <cellStyle name="쉼표 [0] 3 3 2 2 3 2" xfId="18150"/>
    <cellStyle name="쉼표 [0] 3 3 2 2 3 2 2" xfId="14971"/>
    <cellStyle name="쉼표 [0] 3 3 2 2 3 3" xfId="14972"/>
    <cellStyle name="쉼표 [0] 3 3 2 2 4" xfId="18151"/>
    <cellStyle name="쉼표 [0] 3 3 2 2 4 2" xfId="18152"/>
    <cellStyle name="쉼표 [0] 3 3 2 2 4 2 2" xfId="14969"/>
    <cellStyle name="쉼표 [0] 3 3 2 2 4 3" xfId="14970"/>
    <cellStyle name="쉼표 [0] 3 3 2 2 5" xfId="18153"/>
    <cellStyle name="쉼표 [0] 3 3 2 2 5 2" xfId="18154"/>
    <cellStyle name="쉼표 [0] 3 3 2 2 5 2 2" xfId="14967"/>
    <cellStyle name="쉼표 [0] 3 3 2 2 5 3" xfId="14968"/>
    <cellStyle name="쉼표 [0] 3 3 2 2 6" xfId="18155"/>
    <cellStyle name="쉼표 [0] 3 3 2 2 6 2" xfId="18156"/>
    <cellStyle name="쉼표 [0] 3 3 2 2 6 2 2" xfId="14965"/>
    <cellStyle name="쉼표 [0] 3 3 2 2 6 3" xfId="14966"/>
    <cellStyle name="쉼표 [0] 3 3 2 2 7" xfId="18157"/>
    <cellStyle name="쉼표 [0] 3 3 2 2 7 2" xfId="18158"/>
    <cellStyle name="쉼표 [0] 3 3 2 2 7 2 2" xfId="14963"/>
    <cellStyle name="쉼표 [0] 3 3 2 2 7 3" xfId="14964"/>
    <cellStyle name="쉼표 [0] 3 3 2 2 8" xfId="18159"/>
    <cellStyle name="쉼표 [0] 3 3 2 2 8 2" xfId="18160"/>
    <cellStyle name="쉼표 [0] 3 3 2 2 8 2 2" xfId="14961"/>
    <cellStyle name="쉼표 [0] 3 3 2 2 8 3" xfId="14962"/>
    <cellStyle name="쉼표 [0] 3 3 2 2 9" xfId="18161"/>
    <cellStyle name="쉼표 [0] 3 3 2 2 9 2" xfId="18162"/>
    <cellStyle name="쉼표 [0] 3 3 2 2 9 2 2" xfId="14959"/>
    <cellStyle name="쉼표 [0] 3 3 2 2 9 3" xfId="14960"/>
    <cellStyle name="쉼표 [0] 3 3 2 20" xfId="18163"/>
    <cellStyle name="쉼표 [0] 3 3 2 20 2" xfId="14958"/>
    <cellStyle name="쉼표 [0] 3 3 2 21" xfId="18164"/>
    <cellStyle name="쉼표 [0] 3 3 2 21 2" xfId="14957"/>
    <cellStyle name="쉼표 [0] 3 3 2 22" xfId="15000"/>
    <cellStyle name="쉼표 [0] 3 3 2 23" xfId="29217"/>
    <cellStyle name="쉼표 [0] 3 3 2 24" xfId="18121"/>
    <cellStyle name="쉼표 [0] 3 3 2 3" xfId="18165"/>
    <cellStyle name="쉼표 [0] 3 3 2 3 10" xfId="18166"/>
    <cellStyle name="쉼표 [0] 3 3 2 3 10 2" xfId="18167"/>
    <cellStyle name="쉼표 [0] 3 3 2 3 10 2 2" xfId="14954"/>
    <cellStyle name="쉼표 [0] 3 3 2 3 10 3" xfId="14955"/>
    <cellStyle name="쉼표 [0] 3 3 2 3 11" xfId="18168"/>
    <cellStyle name="쉼표 [0] 3 3 2 3 11 2" xfId="14953"/>
    <cellStyle name="쉼표 [0] 3 3 2 3 12" xfId="14956"/>
    <cellStyle name="쉼표 [0] 3 3 2 3 2" xfId="18169"/>
    <cellStyle name="쉼표 [0] 3 3 2 3 2 2" xfId="18170"/>
    <cellStyle name="쉼표 [0] 3 3 2 3 2 2 2" xfId="14951"/>
    <cellStyle name="쉼표 [0] 3 3 2 3 2 3" xfId="14952"/>
    <cellStyle name="쉼표 [0] 3 3 2 3 3" xfId="18171"/>
    <cellStyle name="쉼표 [0] 3 3 2 3 3 2" xfId="18172"/>
    <cellStyle name="쉼표 [0] 3 3 2 3 3 2 2" xfId="14949"/>
    <cellStyle name="쉼표 [0] 3 3 2 3 3 3" xfId="14950"/>
    <cellStyle name="쉼표 [0] 3 3 2 3 4" xfId="18173"/>
    <cellStyle name="쉼표 [0] 3 3 2 3 4 2" xfId="18174"/>
    <cellStyle name="쉼표 [0] 3 3 2 3 4 2 2" xfId="14947"/>
    <cellStyle name="쉼표 [0] 3 3 2 3 4 3" xfId="14948"/>
    <cellStyle name="쉼표 [0] 3 3 2 3 5" xfId="18175"/>
    <cellStyle name="쉼표 [0] 3 3 2 3 5 2" xfId="18176"/>
    <cellStyle name="쉼표 [0] 3 3 2 3 5 2 2" xfId="14945"/>
    <cellStyle name="쉼표 [0] 3 3 2 3 5 3" xfId="14946"/>
    <cellStyle name="쉼표 [0] 3 3 2 3 6" xfId="18177"/>
    <cellStyle name="쉼표 [0] 3 3 2 3 6 2" xfId="18178"/>
    <cellStyle name="쉼표 [0] 3 3 2 3 6 2 2" xfId="14943"/>
    <cellStyle name="쉼표 [0] 3 3 2 3 6 3" xfId="14944"/>
    <cellStyle name="쉼표 [0] 3 3 2 3 7" xfId="18179"/>
    <cellStyle name="쉼표 [0] 3 3 2 3 7 2" xfId="18180"/>
    <cellStyle name="쉼표 [0] 3 3 2 3 7 2 2" xfId="14941"/>
    <cellStyle name="쉼표 [0] 3 3 2 3 7 3" xfId="14942"/>
    <cellStyle name="쉼표 [0] 3 3 2 3 8" xfId="18181"/>
    <cellStyle name="쉼표 [0] 3 3 2 3 8 2" xfId="18182"/>
    <cellStyle name="쉼표 [0] 3 3 2 3 8 2 2" xfId="14939"/>
    <cellStyle name="쉼표 [0] 3 3 2 3 8 3" xfId="14940"/>
    <cellStyle name="쉼표 [0] 3 3 2 3 9" xfId="18183"/>
    <cellStyle name="쉼표 [0] 3 3 2 3 9 2" xfId="18184"/>
    <cellStyle name="쉼표 [0] 3 3 2 3 9 2 2" xfId="14937"/>
    <cellStyle name="쉼표 [0] 3 3 2 3 9 3" xfId="14938"/>
    <cellStyle name="쉼표 [0] 3 3 2 4" xfId="18185"/>
    <cellStyle name="쉼표 [0] 3 3 2 4 2" xfId="18186"/>
    <cellStyle name="쉼표 [0] 3 3 2 4 2 2" xfId="18187"/>
    <cellStyle name="쉼표 [0] 3 3 2 4 2 2 2" xfId="14934"/>
    <cellStyle name="쉼표 [0] 3 3 2 4 2 3" xfId="14935"/>
    <cellStyle name="쉼표 [0] 3 3 2 4 3" xfId="18188"/>
    <cellStyle name="쉼표 [0] 3 3 2 4 3 2" xfId="18189"/>
    <cellStyle name="쉼표 [0] 3 3 2 4 3 2 2" xfId="14932"/>
    <cellStyle name="쉼표 [0] 3 3 2 4 3 3" xfId="14933"/>
    <cellStyle name="쉼표 [0] 3 3 2 4 4" xfId="18190"/>
    <cellStyle name="쉼표 [0] 3 3 2 4 4 2" xfId="18191"/>
    <cellStyle name="쉼표 [0] 3 3 2 4 4 2 2" xfId="14930"/>
    <cellStyle name="쉼표 [0] 3 3 2 4 4 3" xfId="14931"/>
    <cellStyle name="쉼표 [0] 3 3 2 4 5" xfId="18192"/>
    <cellStyle name="쉼표 [0] 3 3 2 4 5 2" xfId="14929"/>
    <cellStyle name="쉼표 [0] 3 3 2 4 6" xfId="14936"/>
    <cellStyle name="쉼표 [0] 3 3 2 5" xfId="18193"/>
    <cellStyle name="쉼표 [0] 3 3 2 5 2" xfId="18194"/>
    <cellStyle name="쉼표 [0] 3 3 2 5 2 2" xfId="14927"/>
    <cellStyle name="쉼표 [0] 3 3 2 5 3" xfId="14928"/>
    <cellStyle name="쉼표 [0] 3 3 2 6" xfId="18195"/>
    <cellStyle name="쉼표 [0] 3 3 2 6 2" xfId="18196"/>
    <cellStyle name="쉼표 [0] 3 3 2 6 2 2" xfId="14925"/>
    <cellStyle name="쉼표 [0] 3 3 2 6 3" xfId="14926"/>
    <cellStyle name="쉼표 [0] 3 3 2 7" xfId="18197"/>
    <cellStyle name="쉼표 [0] 3 3 2 7 2" xfId="18198"/>
    <cellStyle name="쉼표 [0] 3 3 2 7 2 2" xfId="14923"/>
    <cellStyle name="쉼표 [0] 3 3 2 7 3" xfId="14924"/>
    <cellStyle name="쉼표 [0] 3 3 2 8" xfId="18199"/>
    <cellStyle name="쉼표 [0] 3 3 2 8 2" xfId="18200"/>
    <cellStyle name="쉼표 [0] 3 3 2 8 2 2" xfId="14921"/>
    <cellStyle name="쉼표 [0] 3 3 2 8 3" xfId="14922"/>
    <cellStyle name="쉼표 [0] 3 3 2 9" xfId="18201"/>
    <cellStyle name="쉼표 [0] 3 3 2 9 2" xfId="18202"/>
    <cellStyle name="쉼표 [0] 3 3 2 9 2 2" xfId="14919"/>
    <cellStyle name="쉼표 [0] 3 3 2 9 3" xfId="14920"/>
    <cellStyle name="쉼표 [0] 3 3 20" xfId="18203"/>
    <cellStyle name="쉼표 [0] 3 3 20 2" xfId="18204"/>
    <cellStyle name="쉼표 [0] 3 3 20 2 2" xfId="14917"/>
    <cellStyle name="쉼표 [0] 3 3 20 3" xfId="14918"/>
    <cellStyle name="쉼표 [0] 3 3 21" xfId="18205"/>
    <cellStyle name="쉼표 [0] 3 3 21 2" xfId="18206"/>
    <cellStyle name="쉼표 [0] 3 3 21 2 2" xfId="14915"/>
    <cellStyle name="쉼표 [0] 3 3 21 3" xfId="14916"/>
    <cellStyle name="쉼표 [0] 3 3 22" xfId="18207"/>
    <cellStyle name="쉼표 [0] 3 3 22 2" xfId="18208"/>
    <cellStyle name="쉼표 [0] 3 3 22 2 2" xfId="14913"/>
    <cellStyle name="쉼표 [0] 3 3 22 3" xfId="14914"/>
    <cellStyle name="쉼표 [0] 3 3 23" xfId="18209"/>
    <cellStyle name="쉼표 [0] 3 3 23 2" xfId="18210"/>
    <cellStyle name="쉼표 [0] 3 3 23 2 2" xfId="14911"/>
    <cellStyle name="쉼표 [0] 3 3 23 3" xfId="14912"/>
    <cellStyle name="쉼표 [0] 3 3 24" xfId="18211"/>
    <cellStyle name="쉼표 [0] 3 3 24 2" xfId="18212"/>
    <cellStyle name="쉼표 [0] 3 3 24 2 2" xfId="14909"/>
    <cellStyle name="쉼표 [0] 3 3 24 3" xfId="14910"/>
    <cellStyle name="쉼표 [0] 3 3 25" xfId="18213"/>
    <cellStyle name="쉼표 [0] 3 3 25 2" xfId="18214"/>
    <cellStyle name="쉼표 [0] 3 3 25 2 2" xfId="14907"/>
    <cellStyle name="쉼표 [0] 3 3 25 3" xfId="14908"/>
    <cellStyle name="쉼표 [0] 3 3 26" xfId="18215"/>
    <cellStyle name="쉼표 [0] 3 3 26 2" xfId="14906"/>
    <cellStyle name="쉼표 [0] 3 3 27" xfId="18216"/>
    <cellStyle name="쉼표 [0] 3 3 27 2" xfId="14905"/>
    <cellStyle name="쉼표 [0] 3 3 28" xfId="15021"/>
    <cellStyle name="쉼표 [0] 3 3 29" xfId="29218"/>
    <cellStyle name="쉼표 [0] 3 3 3" xfId="18217"/>
    <cellStyle name="쉼표 [0] 3 3 3 10" xfId="18218"/>
    <cellStyle name="쉼표 [0] 3 3 3 10 2" xfId="18219"/>
    <cellStyle name="쉼표 [0] 3 3 3 10 2 2" xfId="14902"/>
    <cellStyle name="쉼표 [0] 3 3 3 10 3" xfId="14903"/>
    <cellStyle name="쉼표 [0] 3 3 3 11" xfId="18220"/>
    <cellStyle name="쉼표 [0] 3 3 3 11 2" xfId="18221"/>
    <cellStyle name="쉼표 [0] 3 3 3 11 2 2" xfId="14900"/>
    <cellStyle name="쉼표 [0] 3 3 3 11 3" xfId="14901"/>
    <cellStyle name="쉼표 [0] 3 3 3 12" xfId="18222"/>
    <cellStyle name="쉼표 [0] 3 3 3 12 2" xfId="18223"/>
    <cellStyle name="쉼표 [0] 3 3 3 12 2 2" xfId="14898"/>
    <cellStyle name="쉼표 [0] 3 3 3 12 3" xfId="14899"/>
    <cellStyle name="쉼표 [0] 3 3 3 13" xfId="18224"/>
    <cellStyle name="쉼표 [0] 3 3 3 13 2" xfId="18225"/>
    <cellStyle name="쉼표 [0] 3 3 3 13 2 2" xfId="14896"/>
    <cellStyle name="쉼표 [0] 3 3 3 13 3" xfId="14897"/>
    <cellStyle name="쉼표 [0] 3 3 3 14" xfId="18226"/>
    <cellStyle name="쉼표 [0] 3 3 3 14 2" xfId="18227"/>
    <cellStyle name="쉼표 [0] 3 3 3 14 2 2" xfId="14894"/>
    <cellStyle name="쉼표 [0] 3 3 3 14 3" xfId="14895"/>
    <cellStyle name="쉼표 [0] 3 3 3 15" xfId="18228"/>
    <cellStyle name="쉼표 [0] 3 3 3 15 2" xfId="18229"/>
    <cellStyle name="쉼표 [0] 3 3 3 15 2 2" xfId="14892"/>
    <cellStyle name="쉼표 [0] 3 3 3 15 3" xfId="14893"/>
    <cellStyle name="쉼표 [0] 3 3 3 16" xfId="18230"/>
    <cellStyle name="쉼표 [0] 3 3 3 16 2" xfId="18231"/>
    <cellStyle name="쉼표 [0] 3 3 3 16 2 2" xfId="14890"/>
    <cellStyle name="쉼표 [0] 3 3 3 16 3" xfId="14891"/>
    <cellStyle name="쉼표 [0] 3 3 3 17" xfId="18232"/>
    <cellStyle name="쉼표 [0] 3 3 3 17 2" xfId="18233"/>
    <cellStyle name="쉼표 [0] 3 3 3 17 2 2" xfId="14888"/>
    <cellStyle name="쉼표 [0] 3 3 3 17 3" xfId="14889"/>
    <cellStyle name="쉼표 [0] 3 3 3 18" xfId="18234"/>
    <cellStyle name="쉼표 [0] 3 3 3 18 2" xfId="18235"/>
    <cellStyle name="쉼표 [0] 3 3 3 18 2 2" xfId="14886"/>
    <cellStyle name="쉼표 [0] 3 3 3 18 3" xfId="14887"/>
    <cellStyle name="쉼표 [0] 3 3 3 19" xfId="18236"/>
    <cellStyle name="쉼표 [0] 3 3 3 19 2" xfId="14885"/>
    <cellStyle name="쉼표 [0] 3 3 3 2" xfId="18237"/>
    <cellStyle name="쉼표 [0] 3 3 3 2 2" xfId="18238"/>
    <cellStyle name="쉼표 [0] 3 3 3 2 2 2" xfId="14883"/>
    <cellStyle name="쉼표 [0] 3 3 3 2 3" xfId="14884"/>
    <cellStyle name="쉼표 [0] 3 3 3 20" xfId="18239"/>
    <cellStyle name="쉼표 [0] 3 3 3 20 2" xfId="14882"/>
    <cellStyle name="쉼표 [0] 3 3 3 21" xfId="14904"/>
    <cellStyle name="쉼표 [0] 3 3 3 22" xfId="29862"/>
    <cellStyle name="쉼표 [0] 3 3 3 3" xfId="18240"/>
    <cellStyle name="쉼표 [0] 3 3 3 3 2" xfId="18241"/>
    <cellStyle name="쉼표 [0] 3 3 3 3 2 2" xfId="14880"/>
    <cellStyle name="쉼표 [0] 3 3 3 3 3" xfId="14881"/>
    <cellStyle name="쉼표 [0] 3 3 3 4" xfId="18242"/>
    <cellStyle name="쉼표 [0] 3 3 3 4 2" xfId="18243"/>
    <cellStyle name="쉼표 [0] 3 3 3 4 2 2" xfId="14878"/>
    <cellStyle name="쉼표 [0] 3 3 3 4 3" xfId="14879"/>
    <cellStyle name="쉼표 [0] 3 3 3 5" xfId="18244"/>
    <cellStyle name="쉼표 [0] 3 3 3 5 2" xfId="18245"/>
    <cellStyle name="쉼표 [0] 3 3 3 5 2 2" xfId="14876"/>
    <cellStyle name="쉼표 [0] 3 3 3 5 3" xfId="14877"/>
    <cellStyle name="쉼표 [0] 3 3 3 6" xfId="18246"/>
    <cellStyle name="쉼표 [0] 3 3 3 6 2" xfId="18247"/>
    <cellStyle name="쉼표 [0] 3 3 3 6 2 2" xfId="14874"/>
    <cellStyle name="쉼표 [0] 3 3 3 6 3" xfId="14875"/>
    <cellStyle name="쉼표 [0] 3 3 3 7" xfId="18248"/>
    <cellStyle name="쉼표 [0] 3 3 3 7 2" xfId="18249"/>
    <cellStyle name="쉼표 [0] 3 3 3 7 2 2" xfId="14872"/>
    <cellStyle name="쉼표 [0] 3 3 3 7 3" xfId="14873"/>
    <cellStyle name="쉼표 [0] 3 3 3 8" xfId="18250"/>
    <cellStyle name="쉼표 [0] 3 3 3 8 2" xfId="18251"/>
    <cellStyle name="쉼표 [0] 3 3 3 8 2 2" xfId="14870"/>
    <cellStyle name="쉼표 [0] 3 3 3 8 3" xfId="14871"/>
    <cellStyle name="쉼표 [0] 3 3 3 9" xfId="18252"/>
    <cellStyle name="쉼표 [0] 3 3 3 9 2" xfId="18253"/>
    <cellStyle name="쉼표 [0] 3 3 3 9 2 2" xfId="14868"/>
    <cellStyle name="쉼표 [0] 3 3 3 9 3" xfId="14869"/>
    <cellStyle name="쉼표 [0] 3 3 30" xfId="18100"/>
    <cellStyle name="쉼표 [0] 3 3 31" xfId="29861"/>
    <cellStyle name="쉼표 [0] 3 3 32" xfId="29720"/>
    <cellStyle name="쉼표 [0] 3 3 4" xfId="18254"/>
    <cellStyle name="쉼표 [0] 3 3 4 2" xfId="18255"/>
    <cellStyle name="쉼표 [0] 3 3 4 2 2" xfId="14866"/>
    <cellStyle name="쉼표 [0] 3 3 4 3" xfId="18256"/>
    <cellStyle name="쉼표 [0] 3 3 4 3 2" xfId="14865"/>
    <cellStyle name="쉼표 [0] 3 3 4 4" xfId="14867"/>
    <cellStyle name="쉼표 [0] 3 3 4 5" xfId="29863"/>
    <cellStyle name="쉼표 [0] 3 3 5" xfId="18257"/>
    <cellStyle name="쉼표 [0] 3 3 5 2" xfId="18258"/>
    <cellStyle name="쉼표 [0] 3 3 5 2 2" xfId="18259"/>
    <cellStyle name="쉼표 [0] 3 3 5 2 2 2" xfId="14862"/>
    <cellStyle name="쉼표 [0] 3 3 5 2 3" xfId="14863"/>
    <cellStyle name="쉼표 [0] 3 3 5 3" xfId="18260"/>
    <cellStyle name="쉼표 [0] 3 3 5 3 2" xfId="18261"/>
    <cellStyle name="쉼표 [0] 3 3 5 3 2 2" xfId="14860"/>
    <cellStyle name="쉼표 [0] 3 3 5 3 3" xfId="14861"/>
    <cellStyle name="쉼표 [0] 3 3 5 4" xfId="18262"/>
    <cellStyle name="쉼표 [0] 3 3 5 4 2" xfId="18263"/>
    <cellStyle name="쉼표 [0] 3 3 5 4 2 2" xfId="14858"/>
    <cellStyle name="쉼표 [0] 3 3 5 4 3" xfId="14859"/>
    <cellStyle name="쉼표 [0] 3 3 5 5" xfId="18264"/>
    <cellStyle name="쉼표 [0] 3 3 5 5 2" xfId="14857"/>
    <cellStyle name="쉼표 [0] 3 3 5 6" xfId="14864"/>
    <cellStyle name="쉼표 [0] 3 3 6" xfId="18265"/>
    <cellStyle name="쉼표 [0] 3 3 6 2" xfId="18266"/>
    <cellStyle name="쉼표 [0] 3 3 6 2 2" xfId="18267"/>
    <cellStyle name="쉼표 [0] 3 3 6 2 2 2" xfId="14854"/>
    <cellStyle name="쉼표 [0] 3 3 6 2 3" xfId="14855"/>
    <cellStyle name="쉼표 [0] 3 3 6 3" xfId="18268"/>
    <cellStyle name="쉼표 [0] 3 3 6 3 2" xfId="18269"/>
    <cellStyle name="쉼표 [0] 3 3 6 3 2 2" xfId="14852"/>
    <cellStyle name="쉼표 [0] 3 3 6 3 3" xfId="14853"/>
    <cellStyle name="쉼표 [0] 3 3 6 4" xfId="18270"/>
    <cellStyle name="쉼표 [0] 3 3 6 4 2" xfId="18271"/>
    <cellStyle name="쉼표 [0] 3 3 6 4 2 2" xfId="14850"/>
    <cellStyle name="쉼표 [0] 3 3 6 4 3" xfId="14851"/>
    <cellStyle name="쉼표 [0] 3 3 6 5" xfId="18272"/>
    <cellStyle name="쉼표 [0] 3 3 6 5 2" xfId="14849"/>
    <cellStyle name="쉼표 [0] 3 3 6 6" xfId="14856"/>
    <cellStyle name="쉼표 [0] 3 3 7" xfId="18273"/>
    <cellStyle name="쉼표 [0] 3 3 7 2" xfId="18274"/>
    <cellStyle name="쉼표 [0] 3 3 7 2 2" xfId="18275"/>
    <cellStyle name="쉼표 [0] 3 3 7 2 2 2" xfId="14846"/>
    <cellStyle name="쉼표 [0] 3 3 7 2 3" xfId="14847"/>
    <cellStyle name="쉼표 [0] 3 3 7 3" xfId="18276"/>
    <cellStyle name="쉼표 [0] 3 3 7 3 2" xfId="18277"/>
    <cellStyle name="쉼표 [0] 3 3 7 3 2 2" xfId="14844"/>
    <cellStyle name="쉼표 [0] 3 3 7 3 3" xfId="14845"/>
    <cellStyle name="쉼표 [0] 3 3 7 4" xfId="18278"/>
    <cellStyle name="쉼표 [0] 3 3 7 4 2" xfId="18279"/>
    <cellStyle name="쉼표 [0] 3 3 7 4 2 2" xfId="14842"/>
    <cellStyle name="쉼표 [0] 3 3 7 4 3" xfId="14843"/>
    <cellStyle name="쉼표 [0] 3 3 7 5" xfId="18280"/>
    <cellStyle name="쉼표 [0] 3 3 7 5 2" xfId="14841"/>
    <cellStyle name="쉼표 [0] 3 3 7 6" xfId="14848"/>
    <cellStyle name="쉼표 [0] 3 3 8" xfId="18281"/>
    <cellStyle name="쉼표 [0] 3 3 8 2" xfId="18282"/>
    <cellStyle name="쉼표 [0] 3 3 8 2 2" xfId="14839"/>
    <cellStyle name="쉼표 [0] 3 3 8 3" xfId="14840"/>
    <cellStyle name="쉼표 [0] 3 3 9" xfId="18283"/>
    <cellStyle name="쉼표 [0] 3 3 9 2" xfId="18284"/>
    <cellStyle name="쉼표 [0] 3 3 9 2 2" xfId="14837"/>
    <cellStyle name="쉼표 [0] 3 3 9 3" xfId="14838"/>
    <cellStyle name="쉼표 [0] 3 30" xfId="18285"/>
    <cellStyle name="쉼표 [0] 3 30 2" xfId="18286"/>
    <cellStyle name="쉼표 [0] 3 30 2 2" xfId="14835"/>
    <cellStyle name="쉼표 [0] 3 30 3" xfId="14836"/>
    <cellStyle name="쉼표 [0] 3 31" xfId="18287"/>
    <cellStyle name="쉼표 [0] 3 31 2" xfId="18288"/>
    <cellStyle name="쉼표 [0] 3 31 2 2" xfId="14833"/>
    <cellStyle name="쉼표 [0] 3 31 3" xfId="14834"/>
    <cellStyle name="쉼표 [0] 3 32" xfId="18289"/>
    <cellStyle name="쉼표 [0] 3 32 2" xfId="18290"/>
    <cellStyle name="쉼표 [0] 3 32 2 2" xfId="14831"/>
    <cellStyle name="쉼표 [0] 3 32 3" xfId="14832"/>
    <cellStyle name="쉼표 [0] 3 33" xfId="18291"/>
    <cellStyle name="쉼표 [0] 3 33 2" xfId="18292"/>
    <cellStyle name="쉼표 [0] 3 33 2 2" xfId="14829"/>
    <cellStyle name="쉼표 [0] 3 33 3" xfId="14830"/>
    <cellStyle name="쉼표 [0] 3 34" xfId="18293"/>
    <cellStyle name="쉼표 [0] 3 34 2" xfId="18294"/>
    <cellStyle name="쉼표 [0] 3 34 2 2" xfId="14827"/>
    <cellStyle name="쉼표 [0] 3 34 3" xfId="14828"/>
    <cellStyle name="쉼표 [0] 3 35" xfId="18295"/>
    <cellStyle name="쉼표 [0] 3 35 2" xfId="18296"/>
    <cellStyle name="쉼표 [0] 3 35 2 2" xfId="14825"/>
    <cellStyle name="쉼표 [0] 3 35 3" xfId="14826"/>
    <cellStyle name="쉼표 [0] 3 36" xfId="18297"/>
    <cellStyle name="쉼표 [0] 3 36 2" xfId="18298"/>
    <cellStyle name="쉼표 [0] 3 36 2 2" xfId="14823"/>
    <cellStyle name="쉼표 [0] 3 36 3" xfId="14824"/>
    <cellStyle name="쉼표 [0] 3 37" xfId="18299"/>
    <cellStyle name="쉼표 [0] 3 37 2" xfId="18300"/>
    <cellStyle name="쉼표 [0] 3 37 2 2" xfId="14821"/>
    <cellStyle name="쉼표 [0] 3 37 3" xfId="14822"/>
    <cellStyle name="쉼표 [0] 3 38" xfId="18301"/>
    <cellStyle name="쉼표 [0] 3 38 2" xfId="18302"/>
    <cellStyle name="쉼표 [0] 3 38 2 2" xfId="14819"/>
    <cellStyle name="쉼표 [0] 3 38 3" xfId="14820"/>
    <cellStyle name="쉼표 [0] 3 39" xfId="18303"/>
    <cellStyle name="쉼표 [0] 3 39 2" xfId="18304"/>
    <cellStyle name="쉼표 [0] 3 39 2 2" xfId="14817"/>
    <cellStyle name="쉼표 [0] 3 39 3" xfId="14818"/>
    <cellStyle name="쉼표 [0] 3 4" xfId="1158"/>
    <cellStyle name="쉼표 [0] 3 4 10" xfId="18306"/>
    <cellStyle name="쉼표 [0] 3 4 10 2" xfId="18307"/>
    <cellStyle name="쉼표 [0] 3 4 10 2 2" xfId="14814"/>
    <cellStyle name="쉼표 [0] 3 4 10 3" xfId="14815"/>
    <cellStyle name="쉼표 [0] 3 4 11" xfId="18308"/>
    <cellStyle name="쉼표 [0] 3 4 11 2" xfId="18309"/>
    <cellStyle name="쉼표 [0] 3 4 11 2 2" xfId="14812"/>
    <cellStyle name="쉼표 [0] 3 4 11 3" xfId="14813"/>
    <cellStyle name="쉼표 [0] 3 4 12" xfId="18310"/>
    <cellStyle name="쉼표 [0] 3 4 12 2" xfId="18311"/>
    <cellStyle name="쉼표 [0] 3 4 12 2 2" xfId="14810"/>
    <cellStyle name="쉼표 [0] 3 4 12 3" xfId="14811"/>
    <cellStyle name="쉼표 [0] 3 4 13" xfId="18312"/>
    <cellStyle name="쉼표 [0] 3 4 13 2" xfId="18313"/>
    <cellStyle name="쉼표 [0] 3 4 13 2 2" xfId="14808"/>
    <cellStyle name="쉼표 [0] 3 4 13 3" xfId="14809"/>
    <cellStyle name="쉼표 [0] 3 4 14" xfId="18314"/>
    <cellStyle name="쉼표 [0] 3 4 14 2" xfId="18315"/>
    <cellStyle name="쉼표 [0] 3 4 14 2 2" xfId="14806"/>
    <cellStyle name="쉼표 [0] 3 4 14 3" xfId="14807"/>
    <cellStyle name="쉼표 [0] 3 4 15" xfId="18316"/>
    <cellStyle name="쉼표 [0] 3 4 15 2" xfId="14805"/>
    <cellStyle name="쉼표 [0] 3 4 16" xfId="18317"/>
    <cellStyle name="쉼표 [0] 3 4 16 2" xfId="14804"/>
    <cellStyle name="쉼표 [0] 3 4 17" xfId="18318"/>
    <cellStyle name="쉼표 [0] 3 4 17 2" xfId="14803"/>
    <cellStyle name="쉼표 [0] 3 4 18" xfId="14816"/>
    <cellStyle name="쉼표 [0] 3 4 19" xfId="29216"/>
    <cellStyle name="쉼표 [0] 3 4 2" xfId="18319"/>
    <cellStyle name="쉼표 [0] 3 4 2 10" xfId="18320"/>
    <cellStyle name="쉼표 [0] 3 4 2 10 2" xfId="18321"/>
    <cellStyle name="쉼표 [0] 3 4 2 10 2 2" xfId="14800"/>
    <cellStyle name="쉼표 [0] 3 4 2 10 3" xfId="14801"/>
    <cellStyle name="쉼표 [0] 3 4 2 11" xfId="18322"/>
    <cellStyle name="쉼표 [0] 3 4 2 11 2" xfId="18323"/>
    <cellStyle name="쉼표 [0] 3 4 2 11 2 2" xfId="14798"/>
    <cellStyle name="쉼표 [0] 3 4 2 11 3" xfId="14799"/>
    <cellStyle name="쉼표 [0] 3 4 2 12" xfId="18324"/>
    <cellStyle name="쉼표 [0] 3 4 2 12 2" xfId="18325"/>
    <cellStyle name="쉼표 [0] 3 4 2 12 2 2" xfId="14796"/>
    <cellStyle name="쉼표 [0] 3 4 2 12 3" xfId="14797"/>
    <cellStyle name="쉼표 [0] 3 4 2 13" xfId="18326"/>
    <cellStyle name="쉼표 [0] 3 4 2 13 2" xfId="14795"/>
    <cellStyle name="쉼표 [0] 3 4 2 14" xfId="18327"/>
    <cellStyle name="쉼표 [0] 3 4 2 14 2" xfId="14794"/>
    <cellStyle name="쉼표 [0] 3 4 2 15" xfId="14802"/>
    <cellStyle name="쉼표 [0] 3 4 2 16" xfId="29865"/>
    <cellStyle name="쉼표 [0] 3 4 2 2" xfId="18328"/>
    <cellStyle name="쉼표 [0] 3 4 2 2 2" xfId="18329"/>
    <cellStyle name="쉼표 [0] 3 4 2 2 2 2" xfId="14792"/>
    <cellStyle name="쉼표 [0] 3 4 2 2 3" xfId="14793"/>
    <cellStyle name="쉼표 [0] 3 4 2 3" xfId="18330"/>
    <cellStyle name="쉼표 [0] 3 4 2 3 2" xfId="18331"/>
    <cellStyle name="쉼표 [0] 3 4 2 3 2 2" xfId="14790"/>
    <cellStyle name="쉼표 [0] 3 4 2 3 3" xfId="14791"/>
    <cellStyle name="쉼표 [0] 3 4 2 4" xfId="18332"/>
    <cellStyle name="쉼표 [0] 3 4 2 4 2" xfId="18333"/>
    <cellStyle name="쉼표 [0] 3 4 2 4 2 2" xfId="14788"/>
    <cellStyle name="쉼표 [0] 3 4 2 4 3" xfId="14789"/>
    <cellStyle name="쉼표 [0] 3 4 2 5" xfId="18334"/>
    <cellStyle name="쉼표 [0] 3 4 2 5 2" xfId="18335"/>
    <cellStyle name="쉼표 [0] 3 4 2 5 2 2" xfId="14786"/>
    <cellStyle name="쉼표 [0] 3 4 2 5 3" xfId="14787"/>
    <cellStyle name="쉼표 [0] 3 4 2 6" xfId="18336"/>
    <cellStyle name="쉼표 [0] 3 4 2 6 2" xfId="18337"/>
    <cellStyle name="쉼표 [0] 3 4 2 6 2 2" xfId="14784"/>
    <cellStyle name="쉼표 [0] 3 4 2 6 3" xfId="14785"/>
    <cellStyle name="쉼표 [0] 3 4 2 7" xfId="18338"/>
    <cellStyle name="쉼표 [0] 3 4 2 7 2" xfId="18339"/>
    <cellStyle name="쉼표 [0] 3 4 2 7 2 2" xfId="14782"/>
    <cellStyle name="쉼표 [0] 3 4 2 7 3" xfId="14783"/>
    <cellStyle name="쉼표 [0] 3 4 2 8" xfId="18340"/>
    <cellStyle name="쉼표 [0] 3 4 2 8 2" xfId="18341"/>
    <cellStyle name="쉼표 [0] 3 4 2 8 2 2" xfId="14780"/>
    <cellStyle name="쉼표 [0] 3 4 2 8 3" xfId="14781"/>
    <cellStyle name="쉼표 [0] 3 4 2 9" xfId="18342"/>
    <cellStyle name="쉼표 [0] 3 4 2 9 2" xfId="18343"/>
    <cellStyle name="쉼표 [0] 3 4 2 9 2 2" xfId="14778"/>
    <cellStyle name="쉼표 [0] 3 4 2 9 3" xfId="14779"/>
    <cellStyle name="쉼표 [0] 3 4 20" xfId="18305"/>
    <cellStyle name="쉼표 [0] 3 4 21" xfId="29864"/>
    <cellStyle name="쉼표 [0] 3 4 3" xfId="18344"/>
    <cellStyle name="쉼표 [0] 3 4 3 2" xfId="18345"/>
    <cellStyle name="쉼표 [0] 3 4 3 2 2" xfId="14776"/>
    <cellStyle name="쉼표 [0] 3 4 3 3" xfId="18346"/>
    <cellStyle name="쉼표 [0] 3 4 3 3 2" xfId="14775"/>
    <cellStyle name="쉼표 [0] 3 4 3 4" xfId="14777"/>
    <cellStyle name="쉼표 [0] 3 4 3 5" xfId="29866"/>
    <cellStyle name="쉼표 [0] 3 4 4" xfId="18347"/>
    <cellStyle name="쉼표 [0] 3 4 4 2" xfId="18348"/>
    <cellStyle name="쉼표 [0] 3 4 4 2 2" xfId="14773"/>
    <cellStyle name="쉼표 [0] 3 4 4 3" xfId="18349"/>
    <cellStyle name="쉼표 [0] 3 4 4 3 2" xfId="14772"/>
    <cellStyle name="쉼표 [0] 3 4 4 4" xfId="14774"/>
    <cellStyle name="쉼표 [0] 3 4 4 5" xfId="29867"/>
    <cellStyle name="쉼표 [0] 3 4 5" xfId="18350"/>
    <cellStyle name="쉼표 [0] 3 4 5 2" xfId="18351"/>
    <cellStyle name="쉼표 [0] 3 4 5 2 2" xfId="18352"/>
    <cellStyle name="쉼표 [0] 3 4 5 2 2 2" xfId="14769"/>
    <cellStyle name="쉼표 [0] 3 4 5 2 3" xfId="14770"/>
    <cellStyle name="쉼표 [0] 3 4 5 3" xfId="18353"/>
    <cellStyle name="쉼표 [0] 3 4 5 3 2" xfId="18354"/>
    <cellStyle name="쉼표 [0] 3 4 5 3 2 2" xfId="14767"/>
    <cellStyle name="쉼표 [0] 3 4 5 3 3" xfId="14768"/>
    <cellStyle name="쉼표 [0] 3 4 5 4" xfId="18355"/>
    <cellStyle name="쉼표 [0] 3 4 5 4 2" xfId="18356"/>
    <cellStyle name="쉼표 [0] 3 4 5 4 2 2" xfId="14765"/>
    <cellStyle name="쉼표 [0] 3 4 5 4 3" xfId="14766"/>
    <cellStyle name="쉼표 [0] 3 4 5 5" xfId="18357"/>
    <cellStyle name="쉼표 [0] 3 4 5 5 2" xfId="14764"/>
    <cellStyle name="쉼표 [0] 3 4 5 6" xfId="14771"/>
    <cellStyle name="쉼표 [0] 3 4 6" xfId="18358"/>
    <cellStyle name="쉼표 [0] 3 4 6 2" xfId="18359"/>
    <cellStyle name="쉼표 [0] 3 4 6 2 2" xfId="18360"/>
    <cellStyle name="쉼표 [0] 3 4 6 2 2 2" xfId="14761"/>
    <cellStyle name="쉼표 [0] 3 4 6 2 3" xfId="14762"/>
    <cellStyle name="쉼표 [0] 3 4 6 3" xfId="18361"/>
    <cellStyle name="쉼표 [0] 3 4 6 3 2" xfId="18362"/>
    <cellStyle name="쉼표 [0] 3 4 6 3 2 2" xfId="14759"/>
    <cellStyle name="쉼표 [0] 3 4 6 3 3" xfId="14760"/>
    <cellStyle name="쉼표 [0] 3 4 6 4" xfId="18363"/>
    <cellStyle name="쉼표 [0] 3 4 6 4 2" xfId="18364"/>
    <cellStyle name="쉼표 [0] 3 4 6 4 2 2" xfId="14757"/>
    <cellStyle name="쉼표 [0] 3 4 6 4 3" xfId="14758"/>
    <cellStyle name="쉼표 [0] 3 4 6 5" xfId="18365"/>
    <cellStyle name="쉼표 [0] 3 4 6 5 2" xfId="14756"/>
    <cellStyle name="쉼표 [0] 3 4 6 6" xfId="14763"/>
    <cellStyle name="쉼표 [0] 3 4 7" xfId="18366"/>
    <cellStyle name="쉼표 [0] 3 4 7 2" xfId="18367"/>
    <cellStyle name="쉼표 [0] 3 4 7 2 2" xfId="18368"/>
    <cellStyle name="쉼표 [0] 3 4 7 2 2 2" xfId="14753"/>
    <cellStyle name="쉼표 [0] 3 4 7 2 3" xfId="14754"/>
    <cellStyle name="쉼표 [0] 3 4 7 3" xfId="18369"/>
    <cellStyle name="쉼표 [0] 3 4 7 3 2" xfId="18370"/>
    <cellStyle name="쉼표 [0] 3 4 7 3 2 2" xfId="14751"/>
    <cellStyle name="쉼표 [0] 3 4 7 3 3" xfId="14752"/>
    <cellStyle name="쉼표 [0] 3 4 7 4" xfId="18371"/>
    <cellStyle name="쉼표 [0] 3 4 7 4 2" xfId="18372"/>
    <cellStyle name="쉼표 [0] 3 4 7 4 2 2" xfId="14749"/>
    <cellStyle name="쉼표 [0] 3 4 7 4 3" xfId="14750"/>
    <cellStyle name="쉼표 [0] 3 4 7 5" xfId="18373"/>
    <cellStyle name="쉼표 [0] 3 4 7 5 2" xfId="14748"/>
    <cellStyle name="쉼표 [0] 3 4 7 6" xfId="14755"/>
    <cellStyle name="쉼표 [0] 3 4 8" xfId="18374"/>
    <cellStyle name="쉼표 [0] 3 4 8 2" xfId="18375"/>
    <cellStyle name="쉼표 [0] 3 4 8 2 2" xfId="14746"/>
    <cellStyle name="쉼표 [0] 3 4 8 3" xfId="14747"/>
    <cellStyle name="쉼표 [0] 3 4 9" xfId="18376"/>
    <cellStyle name="쉼표 [0] 3 4 9 2" xfId="18377"/>
    <cellStyle name="쉼표 [0] 3 4 9 2 2" xfId="14744"/>
    <cellStyle name="쉼표 [0] 3 4 9 3" xfId="14745"/>
    <cellStyle name="쉼표 [0] 3 40" xfId="18378"/>
    <cellStyle name="쉼표 [0] 3 40 2" xfId="18379"/>
    <cellStyle name="쉼표 [0] 3 40 2 2" xfId="14742"/>
    <cellStyle name="쉼표 [0] 3 40 3" xfId="14743"/>
    <cellStyle name="쉼표 [0] 3 41" xfId="18380"/>
    <cellStyle name="쉼표 [0] 3 41 2" xfId="18381"/>
    <cellStyle name="쉼표 [0] 3 41 2 2" xfId="14740"/>
    <cellStyle name="쉼표 [0] 3 41 3" xfId="14741"/>
    <cellStyle name="쉼표 [0] 3 42" xfId="18382"/>
    <cellStyle name="쉼표 [0] 3 42 2" xfId="18383"/>
    <cellStyle name="쉼표 [0] 3 42 2 2" xfId="14738"/>
    <cellStyle name="쉼표 [0] 3 42 3" xfId="14739"/>
    <cellStyle name="쉼표 [0] 3 43" xfId="18384"/>
    <cellStyle name="쉼표 [0] 3 43 2" xfId="18385"/>
    <cellStyle name="쉼표 [0] 3 43 2 2" xfId="14736"/>
    <cellStyle name="쉼표 [0] 3 43 3" xfId="14737"/>
    <cellStyle name="쉼표 [0] 3 44" xfId="18386"/>
    <cellStyle name="쉼표 [0] 3 44 2" xfId="18387"/>
    <cellStyle name="쉼표 [0] 3 44 2 2" xfId="14734"/>
    <cellStyle name="쉼표 [0] 3 44 3" xfId="14735"/>
    <cellStyle name="쉼표 [0] 3 45" xfId="18388"/>
    <cellStyle name="쉼표 [0] 3 45 2" xfId="18389"/>
    <cellStyle name="쉼표 [0] 3 45 2 2" xfId="14732"/>
    <cellStyle name="쉼표 [0] 3 45 3" xfId="14733"/>
    <cellStyle name="쉼표 [0] 3 46" xfId="18390"/>
    <cellStyle name="쉼표 [0] 3 46 2" xfId="18391"/>
    <cellStyle name="쉼표 [0] 3 46 2 2" xfId="14730"/>
    <cellStyle name="쉼표 [0] 3 46 3" xfId="14731"/>
    <cellStyle name="쉼표 [0] 3 47" xfId="18392"/>
    <cellStyle name="쉼표 [0] 3 47 2" xfId="18393"/>
    <cellStyle name="쉼표 [0] 3 47 2 2" xfId="14728"/>
    <cellStyle name="쉼표 [0] 3 47 3" xfId="14729"/>
    <cellStyle name="쉼표 [0] 3 48" xfId="18394"/>
    <cellStyle name="쉼표 [0] 3 48 2" xfId="18395"/>
    <cellStyle name="쉼표 [0] 3 48 2 2" xfId="14726"/>
    <cellStyle name="쉼표 [0] 3 48 3" xfId="14727"/>
    <cellStyle name="쉼표 [0] 3 49" xfId="18396"/>
    <cellStyle name="쉼표 [0] 3 49 2" xfId="18397"/>
    <cellStyle name="쉼표 [0] 3 49 2 2" xfId="14724"/>
    <cellStyle name="쉼표 [0] 3 49 3" xfId="14725"/>
    <cellStyle name="쉼표 [0] 3 5" xfId="1159"/>
    <cellStyle name="쉼표 [0] 3 5 10" xfId="18399"/>
    <cellStyle name="쉼표 [0] 3 5 10 2" xfId="18400"/>
    <cellStyle name="쉼표 [0] 3 5 10 2 2" xfId="14721"/>
    <cellStyle name="쉼표 [0] 3 5 10 3" xfId="14722"/>
    <cellStyle name="쉼표 [0] 3 5 11" xfId="18401"/>
    <cellStyle name="쉼표 [0] 3 5 11 2" xfId="18402"/>
    <cellStyle name="쉼표 [0] 3 5 11 2 2" xfId="14719"/>
    <cellStyle name="쉼표 [0] 3 5 11 3" xfId="14720"/>
    <cellStyle name="쉼표 [0] 3 5 12" xfId="18403"/>
    <cellStyle name="쉼표 [0] 3 5 12 2" xfId="18404"/>
    <cellStyle name="쉼표 [0] 3 5 12 2 2" xfId="14717"/>
    <cellStyle name="쉼표 [0] 3 5 12 3" xfId="14718"/>
    <cellStyle name="쉼표 [0] 3 5 13" xfId="18405"/>
    <cellStyle name="쉼표 [0] 3 5 13 2" xfId="14716"/>
    <cellStyle name="쉼표 [0] 3 5 14" xfId="18406"/>
    <cellStyle name="쉼표 [0] 3 5 14 2" xfId="14715"/>
    <cellStyle name="쉼표 [0] 3 5 15" xfId="18407"/>
    <cellStyle name="쉼표 [0] 3 5 15 2" xfId="14714"/>
    <cellStyle name="쉼표 [0] 3 5 16" xfId="14723"/>
    <cellStyle name="쉼표 [0] 3 5 17" xfId="29215"/>
    <cellStyle name="쉼표 [0] 3 5 18" xfId="18398"/>
    <cellStyle name="쉼표 [0] 3 5 19" xfId="29868"/>
    <cellStyle name="쉼표 [0] 3 5 2" xfId="1160"/>
    <cellStyle name="쉼표 [0] 3 5 2 2" xfId="18409"/>
    <cellStyle name="쉼표 [0] 3 5 2 2 2" xfId="18410"/>
    <cellStyle name="쉼표 [0] 3 5 2 2 2 2" xfId="14711"/>
    <cellStyle name="쉼표 [0] 3 5 2 2 3" xfId="14712"/>
    <cellStyle name="쉼표 [0] 3 5 2 3" xfId="18411"/>
    <cellStyle name="쉼표 [0] 3 5 2 3 2" xfId="18412"/>
    <cellStyle name="쉼표 [0] 3 5 2 3 2 2" xfId="14709"/>
    <cellStyle name="쉼표 [0] 3 5 2 3 3" xfId="14710"/>
    <cellStyle name="쉼표 [0] 3 5 2 4" xfId="18413"/>
    <cellStyle name="쉼표 [0] 3 5 2 4 2" xfId="18414"/>
    <cellStyle name="쉼표 [0] 3 5 2 4 2 2" xfId="14707"/>
    <cellStyle name="쉼표 [0] 3 5 2 4 3" xfId="14708"/>
    <cellStyle name="쉼표 [0] 3 5 2 5" xfId="18415"/>
    <cellStyle name="쉼표 [0] 3 5 2 5 2" xfId="18416"/>
    <cellStyle name="쉼표 [0] 3 5 2 5 2 2" xfId="14705"/>
    <cellStyle name="쉼표 [0] 3 5 2 5 3" xfId="14706"/>
    <cellStyle name="쉼표 [0] 3 5 2 6" xfId="18417"/>
    <cellStyle name="쉼표 [0] 3 5 2 6 2" xfId="14704"/>
    <cellStyle name="쉼표 [0] 3 5 2 7" xfId="14713"/>
    <cellStyle name="쉼표 [0] 3 5 2 8" xfId="29214"/>
    <cellStyle name="쉼표 [0] 3 5 2 9" xfId="18408"/>
    <cellStyle name="쉼표 [0] 3 5 20" xfId="30056"/>
    <cellStyle name="쉼표 [0] 3 5 3" xfId="18418"/>
    <cellStyle name="쉼표 [0] 3 5 3 2" xfId="18419"/>
    <cellStyle name="쉼표 [0] 3 5 3 2 2" xfId="18420"/>
    <cellStyle name="쉼표 [0] 3 5 3 2 2 2" xfId="14701"/>
    <cellStyle name="쉼표 [0] 3 5 3 2 3" xfId="14702"/>
    <cellStyle name="쉼표 [0] 3 5 3 3" xfId="18421"/>
    <cellStyle name="쉼표 [0] 3 5 3 3 2" xfId="18422"/>
    <cellStyle name="쉼표 [0] 3 5 3 3 2 2" xfId="14699"/>
    <cellStyle name="쉼표 [0] 3 5 3 3 3" xfId="14700"/>
    <cellStyle name="쉼표 [0] 3 5 3 4" xfId="18423"/>
    <cellStyle name="쉼표 [0] 3 5 3 4 2" xfId="18424"/>
    <cellStyle name="쉼표 [0] 3 5 3 4 2 2" xfId="14697"/>
    <cellStyle name="쉼표 [0] 3 5 3 4 3" xfId="14698"/>
    <cellStyle name="쉼표 [0] 3 5 3 5" xfId="18425"/>
    <cellStyle name="쉼표 [0] 3 5 3 5 2" xfId="14696"/>
    <cellStyle name="쉼표 [0] 3 5 3 6" xfId="14703"/>
    <cellStyle name="쉼표 [0] 3 5 4" xfId="18426"/>
    <cellStyle name="쉼표 [0] 3 5 4 2" xfId="18427"/>
    <cellStyle name="쉼표 [0] 3 5 4 2 2" xfId="18428"/>
    <cellStyle name="쉼표 [0] 3 5 4 2 2 2" xfId="14693"/>
    <cellStyle name="쉼표 [0] 3 5 4 2 3" xfId="14694"/>
    <cellStyle name="쉼표 [0] 3 5 4 3" xfId="18429"/>
    <cellStyle name="쉼표 [0] 3 5 4 3 2" xfId="18430"/>
    <cellStyle name="쉼표 [0] 3 5 4 3 2 2" xfId="14691"/>
    <cellStyle name="쉼표 [0] 3 5 4 3 3" xfId="14692"/>
    <cellStyle name="쉼표 [0] 3 5 4 4" xfId="18431"/>
    <cellStyle name="쉼표 [0] 3 5 4 4 2" xfId="18432"/>
    <cellStyle name="쉼표 [0] 3 5 4 4 2 2" xfId="14689"/>
    <cellStyle name="쉼표 [0] 3 5 4 4 3" xfId="14690"/>
    <cellStyle name="쉼표 [0] 3 5 4 5" xfId="18433"/>
    <cellStyle name="쉼표 [0] 3 5 4 5 2" xfId="14688"/>
    <cellStyle name="쉼표 [0] 3 5 4 6" xfId="14695"/>
    <cellStyle name="쉼표 [0] 3 5 5" xfId="18434"/>
    <cellStyle name="쉼표 [0] 3 5 5 2" xfId="18435"/>
    <cellStyle name="쉼표 [0] 3 5 5 2 2" xfId="14686"/>
    <cellStyle name="쉼표 [0] 3 5 5 3" xfId="14687"/>
    <cellStyle name="쉼표 [0] 3 5 6" xfId="18436"/>
    <cellStyle name="쉼표 [0] 3 5 6 2" xfId="18437"/>
    <cellStyle name="쉼표 [0] 3 5 6 2 2" xfId="14684"/>
    <cellStyle name="쉼표 [0] 3 5 6 3" xfId="14685"/>
    <cellStyle name="쉼표 [0] 3 5 7" xfId="18438"/>
    <cellStyle name="쉼표 [0] 3 5 7 2" xfId="18439"/>
    <cellStyle name="쉼표 [0] 3 5 7 2 2" xfId="14682"/>
    <cellStyle name="쉼표 [0] 3 5 7 3" xfId="14683"/>
    <cellStyle name="쉼표 [0] 3 5 8" xfId="18440"/>
    <cellStyle name="쉼표 [0] 3 5 8 2" xfId="18441"/>
    <cellStyle name="쉼표 [0] 3 5 8 2 2" xfId="14680"/>
    <cellStyle name="쉼표 [0] 3 5 8 3" xfId="14681"/>
    <cellStyle name="쉼표 [0] 3 5 9" xfId="18442"/>
    <cellStyle name="쉼표 [0] 3 5 9 2" xfId="18443"/>
    <cellStyle name="쉼표 [0] 3 5 9 2 2" xfId="14678"/>
    <cellStyle name="쉼표 [0] 3 5 9 3" xfId="14679"/>
    <cellStyle name="쉼표 [0] 3 50" xfId="18444"/>
    <cellStyle name="쉼표 [0] 3 50 2" xfId="18445"/>
    <cellStyle name="쉼표 [0] 3 50 2 2" xfId="14676"/>
    <cellStyle name="쉼표 [0] 3 50 3" xfId="14677"/>
    <cellStyle name="쉼표 [0] 3 51" xfId="18446"/>
    <cellStyle name="쉼표 [0] 3 51 2" xfId="18447"/>
    <cellStyle name="쉼표 [0] 3 51 2 2" xfId="14674"/>
    <cellStyle name="쉼표 [0] 3 51 3" xfId="14675"/>
    <cellStyle name="쉼표 [0] 3 52" xfId="18448"/>
    <cellStyle name="쉼표 [0] 3 52 2" xfId="18449"/>
    <cellStyle name="쉼표 [0] 3 52 2 2" xfId="14672"/>
    <cellStyle name="쉼표 [0] 3 52 3" xfId="14673"/>
    <cellStyle name="쉼표 [0] 3 53" xfId="18450"/>
    <cellStyle name="쉼표 [0] 3 53 2" xfId="18451"/>
    <cellStyle name="쉼표 [0] 3 53 2 2" xfId="14670"/>
    <cellStyle name="쉼표 [0] 3 53 3" xfId="14671"/>
    <cellStyle name="쉼표 [0] 3 54" xfId="18452"/>
    <cellStyle name="쉼표 [0] 3 54 2" xfId="18453"/>
    <cellStyle name="쉼표 [0] 3 54 2 2" xfId="14668"/>
    <cellStyle name="쉼표 [0] 3 54 3" xfId="14669"/>
    <cellStyle name="쉼표 [0] 3 55" xfId="18454"/>
    <cellStyle name="쉼표 [0] 3 55 2" xfId="18455"/>
    <cellStyle name="쉼표 [0] 3 55 2 2" xfId="14666"/>
    <cellStyle name="쉼표 [0] 3 55 3" xfId="14667"/>
    <cellStyle name="쉼표 [0] 3 56" xfId="18456"/>
    <cellStyle name="쉼표 [0] 3 56 2" xfId="18457"/>
    <cellStyle name="쉼표 [0] 3 56 2 2" xfId="14664"/>
    <cellStyle name="쉼표 [0] 3 56 3" xfId="14665"/>
    <cellStyle name="쉼표 [0] 3 57" xfId="18458"/>
    <cellStyle name="쉼표 [0] 3 57 2" xfId="18459"/>
    <cellStyle name="쉼표 [0] 3 57 2 2" xfId="14662"/>
    <cellStyle name="쉼표 [0] 3 57 3" xfId="14663"/>
    <cellStyle name="쉼표 [0] 3 58" xfId="18460"/>
    <cellStyle name="쉼표 [0] 3 58 2" xfId="18461"/>
    <cellStyle name="쉼표 [0] 3 58 2 2" xfId="14660"/>
    <cellStyle name="쉼표 [0] 3 58 3" xfId="14661"/>
    <cellStyle name="쉼표 [0] 3 59" xfId="18462"/>
    <cellStyle name="쉼표 [0] 3 59 2" xfId="18463"/>
    <cellStyle name="쉼표 [0] 3 59 2 2" xfId="14658"/>
    <cellStyle name="쉼표 [0] 3 59 3" xfId="14659"/>
    <cellStyle name="쉼표 [0] 3 6" xfId="1161"/>
    <cellStyle name="쉼표 [0] 3 6 10" xfId="18465"/>
    <cellStyle name="쉼표 [0] 3 6 10 2" xfId="18466"/>
    <cellStyle name="쉼표 [0] 3 6 10 2 2" xfId="14655"/>
    <cellStyle name="쉼표 [0] 3 6 10 3" xfId="14656"/>
    <cellStyle name="쉼표 [0] 3 6 11" xfId="18467"/>
    <cellStyle name="쉼표 [0] 3 6 11 2" xfId="18468"/>
    <cellStyle name="쉼표 [0] 3 6 11 2 2" xfId="14653"/>
    <cellStyle name="쉼표 [0] 3 6 11 3" xfId="14654"/>
    <cellStyle name="쉼표 [0] 3 6 12" xfId="18469"/>
    <cellStyle name="쉼표 [0] 3 6 12 2" xfId="18470"/>
    <cellStyle name="쉼표 [0] 3 6 12 2 2" xfId="14651"/>
    <cellStyle name="쉼표 [0] 3 6 12 3" xfId="14652"/>
    <cellStyle name="쉼표 [0] 3 6 13" xfId="18471"/>
    <cellStyle name="쉼표 [0] 3 6 13 2" xfId="18472"/>
    <cellStyle name="쉼표 [0] 3 6 13 2 2" xfId="14649"/>
    <cellStyle name="쉼표 [0] 3 6 13 3" xfId="14650"/>
    <cellStyle name="쉼표 [0] 3 6 14" xfId="18473"/>
    <cellStyle name="쉼표 [0] 3 6 14 2" xfId="18474"/>
    <cellStyle name="쉼표 [0] 3 6 14 2 2" xfId="14647"/>
    <cellStyle name="쉼표 [0] 3 6 14 3" xfId="14648"/>
    <cellStyle name="쉼표 [0] 3 6 15" xfId="18475"/>
    <cellStyle name="쉼표 [0] 3 6 15 2" xfId="18476"/>
    <cellStyle name="쉼표 [0] 3 6 15 2 2" xfId="14645"/>
    <cellStyle name="쉼표 [0] 3 6 15 3" xfId="14646"/>
    <cellStyle name="쉼표 [0] 3 6 16" xfId="18477"/>
    <cellStyle name="쉼표 [0] 3 6 16 2" xfId="18478"/>
    <cellStyle name="쉼표 [0] 3 6 16 2 2" xfId="14643"/>
    <cellStyle name="쉼표 [0] 3 6 16 3" xfId="14644"/>
    <cellStyle name="쉼표 [0] 3 6 17" xfId="18479"/>
    <cellStyle name="쉼표 [0] 3 6 17 2" xfId="18480"/>
    <cellStyle name="쉼표 [0] 3 6 17 2 2" xfId="14641"/>
    <cellStyle name="쉼표 [0] 3 6 17 3" xfId="14642"/>
    <cellStyle name="쉼표 [0] 3 6 18" xfId="18481"/>
    <cellStyle name="쉼표 [0] 3 6 18 2" xfId="18482"/>
    <cellStyle name="쉼표 [0] 3 6 18 2 2" xfId="14639"/>
    <cellStyle name="쉼표 [0] 3 6 18 3" xfId="14640"/>
    <cellStyle name="쉼표 [0] 3 6 19" xfId="18483"/>
    <cellStyle name="쉼표 [0] 3 6 19 2" xfId="18484"/>
    <cellStyle name="쉼표 [0] 3 6 19 2 2" xfId="14637"/>
    <cellStyle name="쉼표 [0] 3 6 19 3" xfId="14638"/>
    <cellStyle name="쉼표 [0] 3 6 2" xfId="18485"/>
    <cellStyle name="쉼표 [0] 3 6 2 2" xfId="18486"/>
    <cellStyle name="쉼표 [0] 3 6 2 2 2" xfId="14635"/>
    <cellStyle name="쉼표 [0] 3 6 2 3" xfId="14636"/>
    <cellStyle name="쉼표 [0] 3 6 20" xfId="18487"/>
    <cellStyle name="쉼표 [0] 3 6 20 2" xfId="18488"/>
    <cellStyle name="쉼표 [0] 3 6 20 2 2" xfId="14633"/>
    <cellStyle name="쉼표 [0] 3 6 20 3" xfId="14634"/>
    <cellStyle name="쉼표 [0] 3 6 21" xfId="18489"/>
    <cellStyle name="쉼표 [0] 3 6 21 2" xfId="18490"/>
    <cellStyle name="쉼표 [0] 3 6 21 2 2" xfId="14631"/>
    <cellStyle name="쉼표 [0] 3 6 21 3" xfId="14632"/>
    <cellStyle name="쉼표 [0] 3 6 22" xfId="18491"/>
    <cellStyle name="쉼표 [0] 3 6 22 2" xfId="18492"/>
    <cellStyle name="쉼표 [0] 3 6 22 2 2" xfId="14629"/>
    <cellStyle name="쉼표 [0] 3 6 22 3" xfId="14630"/>
    <cellStyle name="쉼표 [0] 3 6 23" xfId="18493"/>
    <cellStyle name="쉼표 [0] 3 6 23 2" xfId="18494"/>
    <cellStyle name="쉼표 [0] 3 6 23 2 2" xfId="14627"/>
    <cellStyle name="쉼표 [0] 3 6 23 3" xfId="14628"/>
    <cellStyle name="쉼표 [0] 3 6 24" xfId="18495"/>
    <cellStyle name="쉼표 [0] 3 6 24 2" xfId="18496"/>
    <cellStyle name="쉼표 [0] 3 6 24 2 2" xfId="14625"/>
    <cellStyle name="쉼표 [0] 3 6 24 3" xfId="14626"/>
    <cellStyle name="쉼표 [0] 3 6 25" xfId="18497"/>
    <cellStyle name="쉼표 [0] 3 6 25 2" xfId="18498"/>
    <cellStyle name="쉼표 [0] 3 6 25 2 2" xfId="14623"/>
    <cellStyle name="쉼표 [0] 3 6 25 3" xfId="14624"/>
    <cellStyle name="쉼표 [0] 3 6 26" xfId="18499"/>
    <cellStyle name="쉼표 [0] 3 6 26 2" xfId="18500"/>
    <cellStyle name="쉼표 [0] 3 6 26 2 2" xfId="14621"/>
    <cellStyle name="쉼표 [0] 3 6 26 3" xfId="14622"/>
    <cellStyle name="쉼표 [0] 3 6 27" xfId="18501"/>
    <cellStyle name="쉼표 [0] 3 6 27 2" xfId="18502"/>
    <cellStyle name="쉼표 [0] 3 6 27 2 2" xfId="14619"/>
    <cellStyle name="쉼표 [0] 3 6 27 3" xfId="14620"/>
    <cellStyle name="쉼표 [0] 3 6 28" xfId="18503"/>
    <cellStyle name="쉼표 [0] 3 6 28 2" xfId="18504"/>
    <cellStyle name="쉼표 [0] 3 6 28 2 2" xfId="14617"/>
    <cellStyle name="쉼표 [0] 3 6 28 3" xfId="14618"/>
    <cellStyle name="쉼표 [0] 3 6 29" xfId="18505"/>
    <cellStyle name="쉼표 [0] 3 6 29 2" xfId="18506"/>
    <cellStyle name="쉼표 [0] 3 6 29 2 2" xfId="14615"/>
    <cellStyle name="쉼표 [0] 3 6 29 3" xfId="14616"/>
    <cellStyle name="쉼표 [0] 3 6 3" xfId="18507"/>
    <cellStyle name="쉼표 [0] 3 6 3 2" xfId="18508"/>
    <cellStyle name="쉼표 [0] 3 6 3 2 2" xfId="14613"/>
    <cellStyle name="쉼표 [0] 3 6 3 3" xfId="14614"/>
    <cellStyle name="쉼표 [0] 3 6 30" xfId="18509"/>
    <cellStyle name="쉼표 [0] 3 6 30 2" xfId="18510"/>
    <cellStyle name="쉼표 [0] 3 6 30 2 2" xfId="14611"/>
    <cellStyle name="쉼표 [0] 3 6 30 3" xfId="14612"/>
    <cellStyle name="쉼표 [0] 3 6 31" xfId="18511"/>
    <cellStyle name="쉼표 [0] 3 6 31 2" xfId="18512"/>
    <cellStyle name="쉼표 [0] 3 6 31 2 2" xfId="14609"/>
    <cellStyle name="쉼표 [0] 3 6 31 3" xfId="14610"/>
    <cellStyle name="쉼표 [0] 3 6 32" xfId="18513"/>
    <cellStyle name="쉼표 [0] 3 6 32 2" xfId="18514"/>
    <cellStyle name="쉼표 [0] 3 6 32 2 2" xfId="14607"/>
    <cellStyle name="쉼표 [0] 3 6 32 3" xfId="14608"/>
    <cellStyle name="쉼표 [0] 3 6 33" xfId="18515"/>
    <cellStyle name="쉼표 [0] 3 6 33 2" xfId="18516"/>
    <cellStyle name="쉼표 [0] 3 6 33 2 2" xfId="14605"/>
    <cellStyle name="쉼표 [0] 3 6 33 3" xfId="14606"/>
    <cellStyle name="쉼표 [0] 3 6 34" xfId="18517"/>
    <cellStyle name="쉼표 [0] 3 6 34 2" xfId="18518"/>
    <cellStyle name="쉼표 [0] 3 6 34 2 2" xfId="14603"/>
    <cellStyle name="쉼표 [0] 3 6 34 3" xfId="14604"/>
    <cellStyle name="쉼표 [0] 3 6 35" xfId="18519"/>
    <cellStyle name="쉼표 [0] 3 6 35 2" xfId="18520"/>
    <cellStyle name="쉼표 [0] 3 6 35 2 2" xfId="14601"/>
    <cellStyle name="쉼표 [0] 3 6 35 3" xfId="14602"/>
    <cellStyle name="쉼표 [0] 3 6 36" xfId="18521"/>
    <cellStyle name="쉼표 [0] 3 6 36 2" xfId="18522"/>
    <cellStyle name="쉼표 [0] 3 6 36 2 2" xfId="14599"/>
    <cellStyle name="쉼표 [0] 3 6 36 3" xfId="14600"/>
    <cellStyle name="쉼표 [0] 3 6 37" xfId="18523"/>
    <cellStyle name="쉼표 [0] 3 6 37 2" xfId="18524"/>
    <cellStyle name="쉼표 [0] 3 6 37 2 2" xfId="14597"/>
    <cellStyle name="쉼표 [0] 3 6 37 3" xfId="14598"/>
    <cellStyle name="쉼표 [0] 3 6 38" xfId="18525"/>
    <cellStyle name="쉼표 [0] 3 6 38 2" xfId="18526"/>
    <cellStyle name="쉼표 [0] 3 6 38 2 2" xfId="14595"/>
    <cellStyle name="쉼표 [0] 3 6 38 3" xfId="14596"/>
    <cellStyle name="쉼표 [0] 3 6 39" xfId="18527"/>
    <cellStyle name="쉼표 [0] 3 6 39 2" xfId="18528"/>
    <cellStyle name="쉼표 [0] 3 6 39 2 2" xfId="14593"/>
    <cellStyle name="쉼표 [0] 3 6 39 3" xfId="14594"/>
    <cellStyle name="쉼표 [0] 3 6 4" xfId="18529"/>
    <cellStyle name="쉼표 [0] 3 6 4 2" xfId="18530"/>
    <cellStyle name="쉼표 [0] 3 6 4 2 2" xfId="14591"/>
    <cellStyle name="쉼표 [0] 3 6 4 3" xfId="14592"/>
    <cellStyle name="쉼표 [0] 3 6 40" xfId="18531"/>
    <cellStyle name="쉼표 [0] 3 6 40 2" xfId="18532"/>
    <cellStyle name="쉼표 [0] 3 6 40 2 2" xfId="14589"/>
    <cellStyle name="쉼표 [0] 3 6 40 3" xfId="14590"/>
    <cellStyle name="쉼표 [0] 3 6 41" xfId="18533"/>
    <cellStyle name="쉼표 [0] 3 6 41 2" xfId="18534"/>
    <cellStyle name="쉼표 [0] 3 6 41 2 2" xfId="14587"/>
    <cellStyle name="쉼표 [0] 3 6 41 3" xfId="14588"/>
    <cellStyle name="쉼표 [0] 3 6 42" xfId="18535"/>
    <cellStyle name="쉼표 [0] 3 6 42 2" xfId="18536"/>
    <cellStyle name="쉼표 [0] 3 6 42 2 2" xfId="14585"/>
    <cellStyle name="쉼표 [0] 3 6 42 3" xfId="14586"/>
    <cellStyle name="쉼표 [0] 3 6 43" xfId="18537"/>
    <cellStyle name="쉼표 [0] 3 6 43 2" xfId="18538"/>
    <cellStyle name="쉼표 [0] 3 6 43 2 2" xfId="14583"/>
    <cellStyle name="쉼표 [0] 3 6 43 3" xfId="14584"/>
    <cellStyle name="쉼표 [0] 3 6 44" xfId="18539"/>
    <cellStyle name="쉼표 [0] 3 6 44 2" xfId="18540"/>
    <cellStyle name="쉼표 [0] 3 6 44 2 2" xfId="14581"/>
    <cellStyle name="쉼표 [0] 3 6 44 3" xfId="14582"/>
    <cellStyle name="쉼표 [0] 3 6 45" xfId="18541"/>
    <cellStyle name="쉼표 [0] 3 6 45 2" xfId="18542"/>
    <cellStyle name="쉼표 [0] 3 6 45 2 2" xfId="14579"/>
    <cellStyle name="쉼표 [0] 3 6 45 3" xfId="14580"/>
    <cellStyle name="쉼표 [0] 3 6 46" xfId="18543"/>
    <cellStyle name="쉼표 [0] 3 6 46 2" xfId="18544"/>
    <cellStyle name="쉼표 [0] 3 6 46 2 2" xfId="14577"/>
    <cellStyle name="쉼표 [0] 3 6 46 3" xfId="14578"/>
    <cellStyle name="쉼표 [0] 3 6 47" xfId="18545"/>
    <cellStyle name="쉼표 [0] 3 6 47 2" xfId="18546"/>
    <cellStyle name="쉼표 [0] 3 6 47 2 2" xfId="14575"/>
    <cellStyle name="쉼표 [0] 3 6 47 3" xfId="14576"/>
    <cellStyle name="쉼표 [0] 3 6 48" xfId="18547"/>
    <cellStyle name="쉼표 [0] 3 6 48 2" xfId="18548"/>
    <cellStyle name="쉼표 [0] 3 6 48 2 2" xfId="14573"/>
    <cellStyle name="쉼표 [0] 3 6 48 3" xfId="14574"/>
    <cellStyle name="쉼표 [0] 3 6 49" xfId="18549"/>
    <cellStyle name="쉼표 [0] 3 6 49 2" xfId="18550"/>
    <cellStyle name="쉼표 [0] 3 6 49 2 2" xfId="14571"/>
    <cellStyle name="쉼표 [0] 3 6 49 3" xfId="14572"/>
    <cellStyle name="쉼표 [0] 3 6 5" xfId="18551"/>
    <cellStyle name="쉼표 [0] 3 6 5 2" xfId="18552"/>
    <cellStyle name="쉼표 [0] 3 6 5 2 2" xfId="14569"/>
    <cellStyle name="쉼표 [0] 3 6 5 3" xfId="14570"/>
    <cellStyle name="쉼표 [0] 3 6 50" xfId="18553"/>
    <cellStyle name="쉼표 [0] 3 6 50 2" xfId="18554"/>
    <cellStyle name="쉼표 [0] 3 6 50 2 2" xfId="14567"/>
    <cellStyle name="쉼표 [0] 3 6 50 3" xfId="14568"/>
    <cellStyle name="쉼표 [0] 3 6 51" xfId="18555"/>
    <cellStyle name="쉼표 [0] 3 6 51 2" xfId="18556"/>
    <cellStyle name="쉼표 [0] 3 6 51 2 2" xfId="14565"/>
    <cellStyle name="쉼표 [0] 3 6 51 3" xfId="14566"/>
    <cellStyle name="쉼표 [0] 3 6 52" xfId="18557"/>
    <cellStyle name="쉼표 [0] 3 6 52 2" xfId="18558"/>
    <cellStyle name="쉼표 [0] 3 6 52 2 2" xfId="14563"/>
    <cellStyle name="쉼표 [0] 3 6 52 3" xfId="14564"/>
    <cellStyle name="쉼표 [0] 3 6 53" xfId="18559"/>
    <cellStyle name="쉼표 [0] 3 6 53 2" xfId="18560"/>
    <cellStyle name="쉼표 [0] 3 6 53 2 2" xfId="14561"/>
    <cellStyle name="쉼표 [0] 3 6 53 3" xfId="14562"/>
    <cellStyle name="쉼표 [0] 3 6 54" xfId="18561"/>
    <cellStyle name="쉼표 [0] 3 6 54 2" xfId="18562"/>
    <cellStyle name="쉼표 [0] 3 6 54 2 2" xfId="14559"/>
    <cellStyle name="쉼표 [0] 3 6 54 3" xfId="14560"/>
    <cellStyle name="쉼표 [0] 3 6 55" xfId="18563"/>
    <cellStyle name="쉼표 [0] 3 6 55 2" xfId="18564"/>
    <cellStyle name="쉼표 [0] 3 6 55 2 2" xfId="14557"/>
    <cellStyle name="쉼표 [0] 3 6 55 3" xfId="14558"/>
    <cellStyle name="쉼표 [0] 3 6 56" xfId="18565"/>
    <cellStyle name="쉼표 [0] 3 6 56 2" xfId="18566"/>
    <cellStyle name="쉼표 [0] 3 6 56 2 2" xfId="14555"/>
    <cellStyle name="쉼표 [0] 3 6 56 3" xfId="14556"/>
    <cellStyle name="쉼표 [0] 3 6 57" xfId="18567"/>
    <cellStyle name="쉼표 [0] 3 6 57 2" xfId="18568"/>
    <cellStyle name="쉼표 [0] 3 6 57 2 2" xfId="14553"/>
    <cellStyle name="쉼표 [0] 3 6 57 3" xfId="14554"/>
    <cellStyle name="쉼표 [0] 3 6 58" xfId="18569"/>
    <cellStyle name="쉼표 [0] 3 6 58 2" xfId="18570"/>
    <cellStyle name="쉼표 [0] 3 6 58 2 2" xfId="14551"/>
    <cellStyle name="쉼표 [0] 3 6 58 3" xfId="14552"/>
    <cellStyle name="쉼표 [0] 3 6 59" xfId="18571"/>
    <cellStyle name="쉼표 [0] 3 6 59 2" xfId="14550"/>
    <cellStyle name="쉼표 [0] 3 6 6" xfId="18572"/>
    <cellStyle name="쉼표 [0] 3 6 6 2" xfId="18573"/>
    <cellStyle name="쉼표 [0] 3 6 6 2 2" xfId="14548"/>
    <cellStyle name="쉼표 [0] 3 6 6 3" xfId="14549"/>
    <cellStyle name="쉼표 [0] 3 6 60" xfId="18574"/>
    <cellStyle name="쉼표 [0] 3 6 60 2" xfId="14547"/>
    <cellStyle name="쉼표 [0] 3 6 61" xfId="14657"/>
    <cellStyle name="쉼표 [0] 3 6 62" xfId="29213"/>
    <cellStyle name="쉼표 [0] 3 6 63" xfId="18464"/>
    <cellStyle name="쉼표 [0] 3 6 64" xfId="29869"/>
    <cellStyle name="쉼표 [0] 3 6 7" xfId="18575"/>
    <cellStyle name="쉼표 [0] 3 6 7 2" xfId="18576"/>
    <cellStyle name="쉼표 [0] 3 6 7 2 2" xfId="14545"/>
    <cellStyle name="쉼표 [0] 3 6 7 3" xfId="14546"/>
    <cellStyle name="쉼표 [0] 3 6 8" xfId="18577"/>
    <cellStyle name="쉼표 [0] 3 6 8 2" xfId="18578"/>
    <cellStyle name="쉼표 [0] 3 6 8 2 2" xfId="14543"/>
    <cellStyle name="쉼표 [0] 3 6 8 3" xfId="14544"/>
    <cellStyle name="쉼표 [0] 3 6 9" xfId="18579"/>
    <cellStyle name="쉼표 [0] 3 6 9 2" xfId="18580"/>
    <cellStyle name="쉼표 [0] 3 6 9 2 2" xfId="14541"/>
    <cellStyle name="쉼표 [0] 3 6 9 3" xfId="14542"/>
    <cellStyle name="쉼표 [0] 3 60" xfId="18581"/>
    <cellStyle name="쉼표 [0] 3 60 2" xfId="18582"/>
    <cellStyle name="쉼표 [0] 3 60 2 2" xfId="14539"/>
    <cellStyle name="쉼표 [0] 3 60 3" xfId="14540"/>
    <cellStyle name="쉼표 [0] 3 61" xfId="18583"/>
    <cellStyle name="쉼표 [0] 3 61 2" xfId="18584"/>
    <cellStyle name="쉼표 [0] 3 61 2 2" xfId="14537"/>
    <cellStyle name="쉼표 [0] 3 61 3" xfId="14538"/>
    <cellStyle name="쉼표 [0] 3 62" xfId="18585"/>
    <cellStyle name="쉼표 [0] 3 62 2" xfId="18586"/>
    <cellStyle name="쉼표 [0] 3 62 2 2" xfId="14535"/>
    <cellStyle name="쉼표 [0] 3 62 3" xfId="14536"/>
    <cellStyle name="쉼표 [0] 3 63" xfId="18587"/>
    <cellStyle name="쉼표 [0] 3 63 2" xfId="18588"/>
    <cellStyle name="쉼표 [0] 3 63 2 2" xfId="14533"/>
    <cellStyle name="쉼표 [0] 3 63 3" xfId="14534"/>
    <cellStyle name="쉼표 [0] 3 64" xfId="18589"/>
    <cellStyle name="쉼표 [0] 3 64 2" xfId="18590"/>
    <cellStyle name="쉼표 [0] 3 64 2 2" xfId="14531"/>
    <cellStyle name="쉼표 [0] 3 64 3" xfId="14532"/>
    <cellStyle name="쉼표 [0] 3 65" xfId="18591"/>
    <cellStyle name="쉼표 [0] 3 65 2" xfId="18592"/>
    <cellStyle name="쉼표 [0] 3 65 2 2" xfId="14529"/>
    <cellStyle name="쉼표 [0] 3 65 3" xfId="14530"/>
    <cellStyle name="쉼표 [0] 3 66" xfId="18593"/>
    <cellStyle name="쉼표 [0] 3 66 2" xfId="18594"/>
    <cellStyle name="쉼표 [0] 3 66 2 2" xfId="14527"/>
    <cellStyle name="쉼표 [0] 3 66 3" xfId="14528"/>
    <cellStyle name="쉼표 [0] 3 67" xfId="18595"/>
    <cellStyle name="쉼표 [0] 3 67 2" xfId="18596"/>
    <cellStyle name="쉼표 [0] 3 67 2 2" xfId="14525"/>
    <cellStyle name="쉼표 [0] 3 67 3" xfId="14526"/>
    <cellStyle name="쉼표 [0] 3 68" xfId="18597"/>
    <cellStyle name="쉼표 [0] 3 68 2" xfId="18598"/>
    <cellStyle name="쉼표 [0] 3 68 2 2" xfId="14523"/>
    <cellStyle name="쉼표 [0] 3 68 3" xfId="14524"/>
    <cellStyle name="쉼표 [0] 3 69" xfId="18599"/>
    <cellStyle name="쉼표 [0] 3 69 2" xfId="18600"/>
    <cellStyle name="쉼표 [0] 3 69 2 2" xfId="14521"/>
    <cellStyle name="쉼표 [0] 3 69 3" xfId="14522"/>
    <cellStyle name="쉼표 [0] 3 7" xfId="1162"/>
    <cellStyle name="쉼표 [0] 3 7 10" xfId="18602"/>
    <cellStyle name="쉼표 [0] 3 7 10 2" xfId="18603"/>
    <cellStyle name="쉼표 [0] 3 7 10 2 2" xfId="14518"/>
    <cellStyle name="쉼표 [0] 3 7 10 3" xfId="14519"/>
    <cellStyle name="쉼표 [0] 3 7 11" xfId="18604"/>
    <cellStyle name="쉼표 [0] 3 7 11 2" xfId="18605"/>
    <cellStyle name="쉼표 [0] 3 7 11 2 2" xfId="14516"/>
    <cellStyle name="쉼표 [0] 3 7 11 3" xfId="14517"/>
    <cellStyle name="쉼표 [0] 3 7 12" xfId="18606"/>
    <cellStyle name="쉼표 [0] 3 7 12 2" xfId="18607"/>
    <cellStyle name="쉼표 [0] 3 7 12 2 2" xfId="14514"/>
    <cellStyle name="쉼표 [0] 3 7 12 3" xfId="14515"/>
    <cellStyle name="쉼표 [0] 3 7 13" xfId="18608"/>
    <cellStyle name="쉼표 [0] 3 7 13 2" xfId="18609"/>
    <cellStyle name="쉼표 [0] 3 7 13 2 2" xfId="14512"/>
    <cellStyle name="쉼표 [0] 3 7 13 3" xfId="14513"/>
    <cellStyle name="쉼표 [0] 3 7 14" xfId="18610"/>
    <cellStyle name="쉼표 [0] 3 7 14 2" xfId="18611"/>
    <cellStyle name="쉼표 [0] 3 7 14 2 2" xfId="14510"/>
    <cellStyle name="쉼표 [0] 3 7 14 3" xfId="14511"/>
    <cellStyle name="쉼표 [0] 3 7 15" xfId="18612"/>
    <cellStyle name="쉼표 [0] 3 7 15 2" xfId="18613"/>
    <cellStyle name="쉼표 [0] 3 7 15 2 2" xfId="14508"/>
    <cellStyle name="쉼표 [0] 3 7 15 3" xfId="14509"/>
    <cellStyle name="쉼표 [0] 3 7 16" xfId="18614"/>
    <cellStyle name="쉼표 [0] 3 7 16 2" xfId="18615"/>
    <cellStyle name="쉼표 [0] 3 7 16 2 2" xfId="14506"/>
    <cellStyle name="쉼표 [0] 3 7 16 3" xfId="14507"/>
    <cellStyle name="쉼표 [0] 3 7 17" xfId="18616"/>
    <cellStyle name="쉼표 [0] 3 7 17 2" xfId="18617"/>
    <cellStyle name="쉼표 [0] 3 7 17 2 2" xfId="14504"/>
    <cellStyle name="쉼표 [0] 3 7 17 3" xfId="14505"/>
    <cellStyle name="쉼표 [0] 3 7 18" xfId="18618"/>
    <cellStyle name="쉼표 [0] 3 7 18 2" xfId="18619"/>
    <cellStyle name="쉼표 [0] 3 7 18 2 2" xfId="14502"/>
    <cellStyle name="쉼표 [0] 3 7 18 3" xfId="14503"/>
    <cellStyle name="쉼표 [0] 3 7 19" xfId="18620"/>
    <cellStyle name="쉼표 [0] 3 7 19 2" xfId="18621"/>
    <cellStyle name="쉼표 [0] 3 7 19 2 2" xfId="14500"/>
    <cellStyle name="쉼표 [0] 3 7 19 3" xfId="14501"/>
    <cellStyle name="쉼표 [0] 3 7 2" xfId="1163"/>
    <cellStyle name="쉼표 [0] 3 7 2 2" xfId="18623"/>
    <cellStyle name="쉼표 [0] 3 7 2 2 2" xfId="14498"/>
    <cellStyle name="쉼표 [0] 3 7 2 3" xfId="14499"/>
    <cellStyle name="쉼표 [0] 3 7 2 4" xfId="29211"/>
    <cellStyle name="쉼표 [0] 3 7 2 5" xfId="18622"/>
    <cellStyle name="쉼표 [0] 3 7 20" xfId="18624"/>
    <cellStyle name="쉼표 [0] 3 7 20 2" xfId="18625"/>
    <cellStyle name="쉼표 [0] 3 7 20 2 2" xfId="14496"/>
    <cellStyle name="쉼표 [0] 3 7 20 3" xfId="14497"/>
    <cellStyle name="쉼표 [0] 3 7 21" xfId="18626"/>
    <cellStyle name="쉼표 [0] 3 7 21 2" xfId="18627"/>
    <cellStyle name="쉼표 [0] 3 7 21 2 2" xfId="14494"/>
    <cellStyle name="쉼표 [0] 3 7 21 3" xfId="14495"/>
    <cellStyle name="쉼표 [0] 3 7 22" xfId="18628"/>
    <cellStyle name="쉼표 [0] 3 7 22 2" xfId="18629"/>
    <cellStyle name="쉼표 [0] 3 7 22 2 2" xfId="14492"/>
    <cellStyle name="쉼표 [0] 3 7 22 3" xfId="14493"/>
    <cellStyle name="쉼표 [0] 3 7 23" xfId="18630"/>
    <cellStyle name="쉼표 [0] 3 7 23 2" xfId="18631"/>
    <cellStyle name="쉼표 [0] 3 7 23 2 2" xfId="14490"/>
    <cellStyle name="쉼표 [0] 3 7 23 3" xfId="14491"/>
    <cellStyle name="쉼표 [0] 3 7 24" xfId="18632"/>
    <cellStyle name="쉼표 [0] 3 7 24 2" xfId="18633"/>
    <cellStyle name="쉼표 [0] 3 7 24 2 2" xfId="14488"/>
    <cellStyle name="쉼표 [0] 3 7 24 3" xfId="14489"/>
    <cellStyle name="쉼표 [0] 3 7 25" xfId="18634"/>
    <cellStyle name="쉼표 [0] 3 7 25 2" xfId="18635"/>
    <cellStyle name="쉼표 [0] 3 7 25 2 2" xfId="14486"/>
    <cellStyle name="쉼표 [0] 3 7 25 3" xfId="14487"/>
    <cellStyle name="쉼표 [0] 3 7 26" xfId="18636"/>
    <cellStyle name="쉼표 [0] 3 7 26 2" xfId="18637"/>
    <cellStyle name="쉼표 [0] 3 7 26 2 2" xfId="14484"/>
    <cellStyle name="쉼표 [0] 3 7 26 3" xfId="14485"/>
    <cellStyle name="쉼표 [0] 3 7 27" xfId="18638"/>
    <cellStyle name="쉼표 [0] 3 7 27 2" xfId="18639"/>
    <cellStyle name="쉼표 [0] 3 7 27 2 2" xfId="14482"/>
    <cellStyle name="쉼표 [0] 3 7 27 3" xfId="14483"/>
    <cellStyle name="쉼표 [0] 3 7 28" xfId="18640"/>
    <cellStyle name="쉼표 [0] 3 7 28 2" xfId="18641"/>
    <cellStyle name="쉼표 [0] 3 7 28 2 2" xfId="14480"/>
    <cellStyle name="쉼표 [0] 3 7 28 3" xfId="14481"/>
    <cellStyle name="쉼표 [0] 3 7 29" xfId="18642"/>
    <cellStyle name="쉼표 [0] 3 7 29 2" xfId="18643"/>
    <cellStyle name="쉼표 [0] 3 7 29 2 2" xfId="14478"/>
    <cellStyle name="쉼표 [0] 3 7 29 3" xfId="14479"/>
    <cellStyle name="쉼표 [0] 3 7 3" xfId="18644"/>
    <cellStyle name="쉼표 [0] 3 7 3 2" xfId="18645"/>
    <cellStyle name="쉼표 [0] 3 7 3 2 2" xfId="14476"/>
    <cellStyle name="쉼표 [0] 3 7 3 3" xfId="14477"/>
    <cellStyle name="쉼표 [0] 3 7 30" xfId="18646"/>
    <cellStyle name="쉼표 [0] 3 7 30 2" xfId="18647"/>
    <cellStyle name="쉼표 [0] 3 7 30 2 2" xfId="14474"/>
    <cellStyle name="쉼표 [0] 3 7 30 3" xfId="14475"/>
    <cellStyle name="쉼표 [0] 3 7 31" xfId="18648"/>
    <cellStyle name="쉼표 [0] 3 7 31 2" xfId="18649"/>
    <cellStyle name="쉼표 [0] 3 7 31 2 2" xfId="14472"/>
    <cellStyle name="쉼표 [0] 3 7 31 3" xfId="14473"/>
    <cellStyle name="쉼표 [0] 3 7 32" xfId="18650"/>
    <cellStyle name="쉼표 [0] 3 7 32 2" xfId="18651"/>
    <cellStyle name="쉼표 [0] 3 7 32 2 2" xfId="14470"/>
    <cellStyle name="쉼표 [0] 3 7 32 3" xfId="14471"/>
    <cellStyle name="쉼표 [0] 3 7 33" xfId="18652"/>
    <cellStyle name="쉼표 [0] 3 7 33 2" xfId="18653"/>
    <cellStyle name="쉼표 [0] 3 7 33 2 2" xfId="14468"/>
    <cellStyle name="쉼표 [0] 3 7 33 3" xfId="14469"/>
    <cellStyle name="쉼표 [0] 3 7 34" xfId="18654"/>
    <cellStyle name="쉼표 [0] 3 7 34 2" xfId="18655"/>
    <cellStyle name="쉼표 [0] 3 7 34 2 2" xfId="14466"/>
    <cellStyle name="쉼표 [0] 3 7 34 3" xfId="14467"/>
    <cellStyle name="쉼표 [0] 3 7 35" xfId="18656"/>
    <cellStyle name="쉼표 [0] 3 7 35 2" xfId="18657"/>
    <cellStyle name="쉼표 [0] 3 7 35 2 2" xfId="14464"/>
    <cellStyle name="쉼표 [0] 3 7 35 3" xfId="14465"/>
    <cellStyle name="쉼표 [0] 3 7 36" xfId="18658"/>
    <cellStyle name="쉼표 [0] 3 7 36 2" xfId="18659"/>
    <cellStyle name="쉼표 [0] 3 7 36 2 2" xfId="14462"/>
    <cellStyle name="쉼표 [0] 3 7 36 3" xfId="14463"/>
    <cellStyle name="쉼표 [0] 3 7 37" xfId="18660"/>
    <cellStyle name="쉼표 [0] 3 7 37 2" xfId="18661"/>
    <cellStyle name="쉼표 [0] 3 7 37 2 2" xfId="14460"/>
    <cellStyle name="쉼표 [0] 3 7 37 3" xfId="14461"/>
    <cellStyle name="쉼표 [0] 3 7 38" xfId="18662"/>
    <cellStyle name="쉼표 [0] 3 7 38 2" xfId="18663"/>
    <cellStyle name="쉼표 [0] 3 7 38 2 2" xfId="14458"/>
    <cellStyle name="쉼표 [0] 3 7 38 3" xfId="14459"/>
    <cellStyle name="쉼표 [0] 3 7 39" xfId="18664"/>
    <cellStyle name="쉼표 [0] 3 7 39 2" xfId="18665"/>
    <cellStyle name="쉼표 [0] 3 7 39 2 2" xfId="14456"/>
    <cellStyle name="쉼표 [0] 3 7 39 3" xfId="14457"/>
    <cellStyle name="쉼표 [0] 3 7 4" xfId="18666"/>
    <cellStyle name="쉼표 [0] 3 7 4 2" xfId="18667"/>
    <cellStyle name="쉼표 [0] 3 7 4 2 2" xfId="14454"/>
    <cellStyle name="쉼표 [0] 3 7 4 3" xfId="14455"/>
    <cellStyle name="쉼표 [0] 3 7 40" xfId="18668"/>
    <cellStyle name="쉼표 [0] 3 7 40 2" xfId="18669"/>
    <cellStyle name="쉼표 [0] 3 7 40 2 2" xfId="14452"/>
    <cellStyle name="쉼표 [0] 3 7 40 3" xfId="14453"/>
    <cellStyle name="쉼표 [0] 3 7 41" xfId="18670"/>
    <cellStyle name="쉼표 [0] 3 7 41 2" xfId="18671"/>
    <cellStyle name="쉼표 [0] 3 7 41 2 2" xfId="14450"/>
    <cellStyle name="쉼표 [0] 3 7 41 3" xfId="14451"/>
    <cellStyle name="쉼표 [0] 3 7 42" xfId="18672"/>
    <cellStyle name="쉼표 [0] 3 7 42 2" xfId="14449"/>
    <cellStyle name="쉼표 [0] 3 7 43" xfId="18673"/>
    <cellStyle name="쉼표 [0] 3 7 43 2" xfId="14448"/>
    <cellStyle name="쉼표 [0] 3 7 44" xfId="14520"/>
    <cellStyle name="쉼표 [0] 3 7 45" xfId="29212"/>
    <cellStyle name="쉼표 [0] 3 7 46" xfId="18601"/>
    <cellStyle name="쉼표 [0] 3 7 47" xfId="31507"/>
    <cellStyle name="쉼표 [0] 3 7 5" xfId="18674"/>
    <cellStyle name="쉼표 [0] 3 7 5 2" xfId="18675"/>
    <cellStyle name="쉼표 [0] 3 7 5 2 2" xfId="14446"/>
    <cellStyle name="쉼표 [0] 3 7 5 3" xfId="14447"/>
    <cellStyle name="쉼표 [0] 3 7 6" xfId="18676"/>
    <cellStyle name="쉼표 [0] 3 7 6 2" xfId="18677"/>
    <cellStyle name="쉼표 [0] 3 7 6 2 2" xfId="14444"/>
    <cellStyle name="쉼표 [0] 3 7 6 3" xfId="14445"/>
    <cellStyle name="쉼표 [0] 3 7 7" xfId="18678"/>
    <cellStyle name="쉼표 [0] 3 7 7 2" xfId="18679"/>
    <cellStyle name="쉼표 [0] 3 7 7 2 2" xfId="14442"/>
    <cellStyle name="쉼표 [0] 3 7 7 3" xfId="14443"/>
    <cellStyle name="쉼표 [0] 3 7 8" xfId="18680"/>
    <cellStyle name="쉼표 [0] 3 7 8 2" xfId="18681"/>
    <cellStyle name="쉼표 [0] 3 7 8 2 2" xfId="14440"/>
    <cellStyle name="쉼표 [0] 3 7 8 3" xfId="14441"/>
    <cellStyle name="쉼표 [0] 3 7 9" xfId="18682"/>
    <cellStyle name="쉼표 [0] 3 7 9 2" xfId="18683"/>
    <cellStyle name="쉼표 [0] 3 7 9 2 2" xfId="14438"/>
    <cellStyle name="쉼표 [0] 3 7 9 3" xfId="14439"/>
    <cellStyle name="쉼표 [0] 3 70" xfId="18684"/>
    <cellStyle name="쉼표 [0] 3 70 2" xfId="18685"/>
    <cellStyle name="쉼표 [0] 3 70 2 2" xfId="14436"/>
    <cellStyle name="쉼표 [0] 3 70 3" xfId="14437"/>
    <cellStyle name="쉼표 [0] 3 71" xfId="18686"/>
    <cellStyle name="쉼표 [0] 3 71 2" xfId="18687"/>
    <cellStyle name="쉼표 [0] 3 71 2 2" xfId="14434"/>
    <cellStyle name="쉼표 [0] 3 71 3" xfId="14435"/>
    <cellStyle name="쉼표 [0] 3 72" xfId="18688"/>
    <cellStyle name="쉼표 [0] 3 72 2" xfId="18689"/>
    <cellStyle name="쉼표 [0] 3 72 2 2" xfId="14432"/>
    <cellStyle name="쉼표 [0] 3 72 3" xfId="14433"/>
    <cellStyle name="쉼표 [0] 3 73" xfId="18690"/>
    <cellStyle name="쉼표 [0] 3 73 2" xfId="18691"/>
    <cellStyle name="쉼표 [0] 3 73 2 2" xfId="14430"/>
    <cellStyle name="쉼표 [0] 3 73 3" xfId="14431"/>
    <cellStyle name="쉼표 [0] 3 74" xfId="18692"/>
    <cellStyle name="쉼표 [0] 3 74 2" xfId="18693"/>
    <cellStyle name="쉼표 [0] 3 74 2 2" xfId="14428"/>
    <cellStyle name="쉼표 [0] 3 74 3" xfId="14429"/>
    <cellStyle name="쉼표 [0] 3 75" xfId="18694"/>
    <cellStyle name="쉼표 [0] 3 75 2" xfId="18695"/>
    <cellStyle name="쉼표 [0] 3 75 2 2" xfId="14426"/>
    <cellStyle name="쉼표 [0] 3 75 3" xfId="14427"/>
    <cellStyle name="쉼표 [0] 3 76" xfId="18696"/>
    <cellStyle name="쉼표 [0] 3 76 2" xfId="18697"/>
    <cellStyle name="쉼표 [0] 3 76 2 2" xfId="14424"/>
    <cellStyle name="쉼표 [0] 3 76 3" xfId="14425"/>
    <cellStyle name="쉼표 [0] 3 77" xfId="18698"/>
    <cellStyle name="쉼표 [0] 3 77 2" xfId="18699"/>
    <cellStyle name="쉼표 [0] 3 77 2 2" xfId="14422"/>
    <cellStyle name="쉼표 [0] 3 77 3" xfId="14423"/>
    <cellStyle name="쉼표 [0] 3 78" xfId="18700"/>
    <cellStyle name="쉼표 [0] 3 78 2" xfId="18701"/>
    <cellStyle name="쉼표 [0] 3 78 2 2" xfId="14420"/>
    <cellStyle name="쉼표 [0] 3 78 3" xfId="14421"/>
    <cellStyle name="쉼표 [0] 3 79" xfId="18702"/>
    <cellStyle name="쉼표 [0] 3 79 2" xfId="18703"/>
    <cellStyle name="쉼표 [0] 3 79 2 2" xfId="14418"/>
    <cellStyle name="쉼표 [0] 3 79 3" xfId="14419"/>
    <cellStyle name="쉼표 [0] 3 8" xfId="1164"/>
    <cellStyle name="쉼표 [0] 3 8 10" xfId="18705"/>
    <cellStyle name="쉼표 [0] 3 8 10 2" xfId="18706"/>
    <cellStyle name="쉼표 [0] 3 8 10 2 2" xfId="14415"/>
    <cellStyle name="쉼표 [0] 3 8 10 3" xfId="14416"/>
    <cellStyle name="쉼표 [0] 3 8 11" xfId="18707"/>
    <cellStyle name="쉼표 [0] 3 8 11 2" xfId="18708"/>
    <cellStyle name="쉼표 [0] 3 8 11 2 2" xfId="14413"/>
    <cellStyle name="쉼표 [0] 3 8 11 3" xfId="14414"/>
    <cellStyle name="쉼표 [0] 3 8 12" xfId="18709"/>
    <cellStyle name="쉼표 [0] 3 8 12 2" xfId="18710"/>
    <cellStyle name="쉼표 [0] 3 8 12 2 2" xfId="14411"/>
    <cellStyle name="쉼표 [0] 3 8 12 3" xfId="14412"/>
    <cellStyle name="쉼표 [0] 3 8 13" xfId="18711"/>
    <cellStyle name="쉼표 [0] 3 8 13 2" xfId="18712"/>
    <cellStyle name="쉼표 [0] 3 8 13 2 2" xfId="14409"/>
    <cellStyle name="쉼표 [0] 3 8 13 3" xfId="14410"/>
    <cellStyle name="쉼표 [0] 3 8 14" xfId="18713"/>
    <cellStyle name="쉼표 [0] 3 8 14 2" xfId="18714"/>
    <cellStyle name="쉼표 [0] 3 8 14 2 2" xfId="14407"/>
    <cellStyle name="쉼표 [0] 3 8 14 3" xfId="14408"/>
    <cellStyle name="쉼표 [0] 3 8 15" xfId="18715"/>
    <cellStyle name="쉼표 [0] 3 8 15 2" xfId="18716"/>
    <cellStyle name="쉼표 [0] 3 8 15 2 2" xfId="14405"/>
    <cellStyle name="쉼표 [0] 3 8 15 3" xfId="14406"/>
    <cellStyle name="쉼표 [0] 3 8 16" xfId="18717"/>
    <cellStyle name="쉼표 [0] 3 8 16 2" xfId="14404"/>
    <cellStyle name="쉼표 [0] 3 8 17" xfId="18718"/>
    <cellStyle name="쉼표 [0] 3 8 17 2" xfId="14403"/>
    <cellStyle name="쉼표 [0] 3 8 18" xfId="14417"/>
    <cellStyle name="쉼표 [0] 3 8 19" xfId="29210"/>
    <cellStyle name="쉼표 [0] 3 8 2" xfId="1165"/>
    <cellStyle name="쉼표 [0] 3 8 2 2" xfId="18720"/>
    <cellStyle name="쉼표 [0] 3 8 2 2 2" xfId="18721"/>
    <cellStyle name="쉼표 [0] 3 8 2 2 2 2" xfId="14400"/>
    <cellStyle name="쉼표 [0] 3 8 2 2 3" xfId="14401"/>
    <cellStyle name="쉼표 [0] 3 8 2 3" xfId="18722"/>
    <cellStyle name="쉼표 [0] 3 8 2 3 2" xfId="18723"/>
    <cellStyle name="쉼표 [0] 3 8 2 3 2 2" xfId="14398"/>
    <cellStyle name="쉼표 [0] 3 8 2 3 3" xfId="14399"/>
    <cellStyle name="쉼표 [0] 3 8 2 4" xfId="18724"/>
    <cellStyle name="쉼표 [0] 3 8 2 4 2" xfId="14397"/>
    <cellStyle name="쉼표 [0] 3 8 2 5" xfId="18725"/>
    <cellStyle name="쉼표 [0] 3 8 2 5 2" xfId="14396"/>
    <cellStyle name="쉼표 [0] 3 8 2 6" xfId="14402"/>
    <cellStyle name="쉼표 [0] 3 8 2 7" xfId="29209"/>
    <cellStyle name="쉼표 [0] 3 8 2 8" xfId="18719"/>
    <cellStyle name="쉼표 [0] 3 8 20" xfId="18704"/>
    <cellStyle name="쉼표 [0] 3 8 21" xfId="29870"/>
    <cellStyle name="쉼표 [0] 3 8 3" xfId="1166"/>
    <cellStyle name="쉼표 [0] 3 8 3 2" xfId="18727"/>
    <cellStyle name="쉼표 [0] 3 8 3 2 2" xfId="18728"/>
    <cellStyle name="쉼표 [0] 3 8 3 2 2 2" xfId="14393"/>
    <cellStyle name="쉼표 [0] 3 8 3 2 3" xfId="14394"/>
    <cellStyle name="쉼표 [0] 3 8 3 3" xfId="18729"/>
    <cellStyle name="쉼표 [0] 3 8 3 3 2" xfId="14392"/>
    <cellStyle name="쉼표 [0] 3 8 3 4" xfId="14395"/>
    <cellStyle name="쉼표 [0] 3 8 3 5" xfId="18726"/>
    <cellStyle name="쉼표 [0] 3 8 4" xfId="18730"/>
    <cellStyle name="쉼표 [0] 3 8 4 2" xfId="18731"/>
    <cellStyle name="쉼표 [0] 3 8 4 2 2" xfId="14390"/>
    <cellStyle name="쉼표 [0] 3 8 4 3" xfId="14391"/>
    <cellStyle name="쉼표 [0] 3 8 5" xfId="18732"/>
    <cellStyle name="쉼표 [0] 3 8 5 2" xfId="18733"/>
    <cellStyle name="쉼표 [0] 3 8 5 2 2" xfId="14388"/>
    <cellStyle name="쉼표 [0] 3 8 5 3" xfId="14389"/>
    <cellStyle name="쉼표 [0] 3 8 6" xfId="18734"/>
    <cellStyle name="쉼표 [0] 3 8 6 2" xfId="18735"/>
    <cellStyle name="쉼표 [0] 3 8 6 2 2" xfId="14386"/>
    <cellStyle name="쉼표 [0] 3 8 6 3" xfId="14387"/>
    <cellStyle name="쉼표 [0] 3 8 7" xfId="18736"/>
    <cellStyle name="쉼표 [0] 3 8 7 2" xfId="18737"/>
    <cellStyle name="쉼표 [0] 3 8 7 2 2" xfId="14384"/>
    <cellStyle name="쉼표 [0] 3 8 7 3" xfId="14385"/>
    <cellStyle name="쉼표 [0] 3 8 8" xfId="18738"/>
    <cellStyle name="쉼표 [0] 3 8 8 2" xfId="18739"/>
    <cellStyle name="쉼표 [0] 3 8 8 2 2" xfId="14382"/>
    <cellStyle name="쉼표 [0] 3 8 8 3" xfId="14383"/>
    <cellStyle name="쉼표 [0] 3 8 9" xfId="18740"/>
    <cellStyle name="쉼표 [0] 3 8 9 2" xfId="18741"/>
    <cellStyle name="쉼표 [0] 3 8 9 2 2" xfId="14380"/>
    <cellStyle name="쉼표 [0] 3 8 9 3" xfId="14381"/>
    <cellStyle name="쉼표 [0] 3 80" xfId="18742"/>
    <cellStyle name="쉼표 [0] 3 80 2" xfId="18743"/>
    <cellStyle name="쉼표 [0] 3 80 2 2" xfId="14378"/>
    <cellStyle name="쉼표 [0] 3 80 3" xfId="14379"/>
    <cellStyle name="쉼표 [0] 3 81" xfId="18744"/>
    <cellStyle name="쉼표 [0] 3 81 2" xfId="18745"/>
    <cellStyle name="쉼표 [0] 3 81 2 2" xfId="14376"/>
    <cellStyle name="쉼표 [0] 3 81 3" xfId="14377"/>
    <cellStyle name="쉼표 [0] 3 82" xfId="18746"/>
    <cellStyle name="쉼표 [0] 3 82 2" xfId="18747"/>
    <cellStyle name="쉼표 [0] 3 82 2 2" xfId="14374"/>
    <cellStyle name="쉼표 [0] 3 82 3" xfId="14375"/>
    <cellStyle name="쉼표 [0] 3 83" xfId="18748"/>
    <cellStyle name="쉼표 [0] 3 83 2" xfId="18749"/>
    <cellStyle name="쉼표 [0] 3 83 2 2" xfId="14372"/>
    <cellStyle name="쉼표 [0] 3 83 3" xfId="14373"/>
    <cellStyle name="쉼표 [0] 3 84" xfId="18750"/>
    <cellStyle name="쉼표 [0] 3 84 2" xfId="18751"/>
    <cellStyle name="쉼표 [0] 3 84 2 2" xfId="14370"/>
    <cellStyle name="쉼표 [0] 3 84 3" xfId="14371"/>
    <cellStyle name="쉼표 [0] 3 85" xfId="18752"/>
    <cellStyle name="쉼표 [0] 3 85 2" xfId="18753"/>
    <cellStyle name="쉼표 [0] 3 85 2 2" xfId="14368"/>
    <cellStyle name="쉼표 [0] 3 85 3" xfId="14369"/>
    <cellStyle name="쉼표 [0] 3 86" xfId="18754"/>
    <cellStyle name="쉼표 [0] 3 86 2" xfId="18755"/>
    <cellStyle name="쉼표 [0] 3 86 2 2" xfId="14366"/>
    <cellStyle name="쉼표 [0] 3 86 3" xfId="14367"/>
    <cellStyle name="쉼표 [0] 3 87" xfId="18756"/>
    <cellStyle name="쉼표 [0] 3 87 2" xfId="18757"/>
    <cellStyle name="쉼표 [0] 3 87 2 2" xfId="14364"/>
    <cellStyle name="쉼표 [0] 3 87 3" xfId="14365"/>
    <cellStyle name="쉼표 [0] 3 88" xfId="18758"/>
    <cellStyle name="쉼표 [0] 3 88 2" xfId="18759"/>
    <cellStyle name="쉼표 [0] 3 88 2 2" xfId="14362"/>
    <cellStyle name="쉼표 [0] 3 88 3" xfId="14363"/>
    <cellStyle name="쉼표 [0] 3 89" xfId="18760"/>
    <cellStyle name="쉼표 [0] 3 89 2" xfId="18761"/>
    <cellStyle name="쉼표 [0] 3 89 2 2" xfId="14360"/>
    <cellStyle name="쉼표 [0] 3 89 3" xfId="14361"/>
    <cellStyle name="쉼표 [0] 3 9" xfId="1167"/>
    <cellStyle name="쉼표 [0] 3 9 10" xfId="18763"/>
    <cellStyle name="쉼표 [0] 3 9 10 2" xfId="18764"/>
    <cellStyle name="쉼표 [0] 3 9 10 2 2" xfId="14357"/>
    <cellStyle name="쉼표 [0] 3 9 10 3" xfId="14358"/>
    <cellStyle name="쉼표 [0] 3 9 11" xfId="18765"/>
    <cellStyle name="쉼표 [0] 3 9 11 2" xfId="18766"/>
    <cellStyle name="쉼표 [0] 3 9 11 2 2" xfId="14355"/>
    <cellStyle name="쉼표 [0] 3 9 11 3" xfId="14356"/>
    <cellStyle name="쉼표 [0] 3 9 12" xfId="18767"/>
    <cellStyle name="쉼표 [0] 3 9 12 2" xfId="18768"/>
    <cellStyle name="쉼표 [0] 3 9 12 2 2" xfId="14353"/>
    <cellStyle name="쉼표 [0] 3 9 12 3" xfId="14354"/>
    <cellStyle name="쉼표 [0] 3 9 13" xfId="18769"/>
    <cellStyle name="쉼표 [0] 3 9 13 2" xfId="18770"/>
    <cellStyle name="쉼표 [0] 3 9 13 2 2" xfId="14351"/>
    <cellStyle name="쉼표 [0] 3 9 13 3" xfId="14352"/>
    <cellStyle name="쉼표 [0] 3 9 14" xfId="18771"/>
    <cellStyle name="쉼표 [0] 3 9 14 2" xfId="18772"/>
    <cellStyle name="쉼표 [0] 3 9 14 2 2" xfId="14349"/>
    <cellStyle name="쉼표 [0] 3 9 14 3" xfId="14350"/>
    <cellStyle name="쉼표 [0] 3 9 15" xfId="18773"/>
    <cellStyle name="쉼표 [0] 3 9 15 2" xfId="18774"/>
    <cellStyle name="쉼표 [0] 3 9 15 2 2" xfId="14347"/>
    <cellStyle name="쉼표 [0] 3 9 15 3" xfId="14348"/>
    <cellStyle name="쉼표 [0] 3 9 16" xfId="18775"/>
    <cellStyle name="쉼표 [0] 3 9 16 2" xfId="18776"/>
    <cellStyle name="쉼표 [0] 3 9 16 2 2" xfId="14345"/>
    <cellStyle name="쉼표 [0] 3 9 16 3" xfId="14346"/>
    <cellStyle name="쉼표 [0] 3 9 17" xfId="18777"/>
    <cellStyle name="쉼표 [0] 3 9 17 2" xfId="14344"/>
    <cellStyle name="쉼표 [0] 3 9 18" xfId="18778"/>
    <cellStyle name="쉼표 [0] 3 9 18 2" xfId="14343"/>
    <cellStyle name="쉼표 [0] 3 9 19" xfId="14359"/>
    <cellStyle name="쉼표 [0] 3 9 2" xfId="18779"/>
    <cellStyle name="쉼표 [0] 3 9 2 2" xfId="18780"/>
    <cellStyle name="쉼표 [0] 3 9 2 2 2" xfId="14341"/>
    <cellStyle name="쉼표 [0] 3 9 2 3" xfId="14342"/>
    <cellStyle name="쉼표 [0] 3 9 20" xfId="29208"/>
    <cellStyle name="쉼표 [0] 3 9 21" xfId="18762"/>
    <cellStyle name="쉼표 [0] 3 9 22" xfId="29871"/>
    <cellStyle name="쉼표 [0] 3 9 3" xfId="18781"/>
    <cellStyle name="쉼표 [0] 3 9 3 2" xfId="18782"/>
    <cellStyle name="쉼표 [0] 3 9 3 2 2" xfId="14339"/>
    <cellStyle name="쉼표 [0] 3 9 3 3" xfId="14340"/>
    <cellStyle name="쉼표 [0] 3 9 4" xfId="18783"/>
    <cellStyle name="쉼표 [0] 3 9 4 2" xfId="18784"/>
    <cellStyle name="쉼표 [0] 3 9 4 2 2" xfId="14337"/>
    <cellStyle name="쉼표 [0] 3 9 4 3" xfId="14338"/>
    <cellStyle name="쉼표 [0] 3 9 5" xfId="18785"/>
    <cellStyle name="쉼표 [0] 3 9 5 2" xfId="18786"/>
    <cellStyle name="쉼표 [0] 3 9 5 2 2" xfId="14335"/>
    <cellStyle name="쉼표 [0] 3 9 5 3" xfId="14336"/>
    <cellStyle name="쉼표 [0] 3 9 6" xfId="18787"/>
    <cellStyle name="쉼표 [0] 3 9 6 2" xfId="18788"/>
    <cellStyle name="쉼표 [0] 3 9 6 2 2" xfId="14333"/>
    <cellStyle name="쉼표 [0] 3 9 6 3" xfId="14334"/>
    <cellStyle name="쉼표 [0] 3 9 7" xfId="18789"/>
    <cellStyle name="쉼표 [0] 3 9 7 2" xfId="18790"/>
    <cellStyle name="쉼표 [0] 3 9 7 2 2" xfId="14331"/>
    <cellStyle name="쉼표 [0] 3 9 7 3" xfId="14332"/>
    <cellStyle name="쉼표 [0] 3 9 8" xfId="18791"/>
    <cellStyle name="쉼표 [0] 3 9 8 2" xfId="18792"/>
    <cellStyle name="쉼표 [0] 3 9 8 2 2" xfId="14329"/>
    <cellStyle name="쉼표 [0] 3 9 8 3" xfId="14330"/>
    <cellStyle name="쉼표 [0] 3 9 9" xfId="18793"/>
    <cellStyle name="쉼표 [0] 3 9 9 2" xfId="18794"/>
    <cellStyle name="쉼표 [0] 3 9 9 2 2" xfId="14327"/>
    <cellStyle name="쉼표 [0] 3 9 9 3" xfId="14328"/>
    <cellStyle name="쉼표 [0] 3 90" xfId="18795"/>
    <cellStyle name="쉼표 [0] 3 90 2" xfId="18796"/>
    <cellStyle name="쉼표 [0] 3 90 2 2" xfId="14325"/>
    <cellStyle name="쉼표 [0] 3 90 3" xfId="14326"/>
    <cellStyle name="쉼표 [0] 3 91" xfId="18797"/>
    <cellStyle name="쉼표 [0] 3 91 2" xfId="18798"/>
    <cellStyle name="쉼표 [0] 3 91 2 2" xfId="14323"/>
    <cellStyle name="쉼표 [0] 3 91 3" xfId="14324"/>
    <cellStyle name="쉼표 [0] 3 92" xfId="18799"/>
    <cellStyle name="쉼표 [0] 3 92 2" xfId="18800"/>
    <cellStyle name="쉼표 [0] 3 92 2 2" xfId="14321"/>
    <cellStyle name="쉼표 [0] 3 92 3" xfId="14322"/>
    <cellStyle name="쉼표 [0] 3 93" xfId="18801"/>
    <cellStyle name="쉼표 [0] 3 93 2" xfId="18802"/>
    <cellStyle name="쉼표 [0] 3 93 2 2" xfId="14319"/>
    <cellStyle name="쉼표 [0] 3 93 3" xfId="14320"/>
    <cellStyle name="쉼표 [0] 3 94" xfId="18803"/>
    <cellStyle name="쉼표 [0] 3 94 2" xfId="18804"/>
    <cellStyle name="쉼표 [0] 3 94 2 2" xfId="14317"/>
    <cellStyle name="쉼표 [0] 3 94 3" xfId="14318"/>
    <cellStyle name="쉼표 [0] 3 95" xfId="18805"/>
    <cellStyle name="쉼표 [0] 3 95 2" xfId="18806"/>
    <cellStyle name="쉼표 [0] 3 95 2 2" xfId="14315"/>
    <cellStyle name="쉼표 [0] 3 95 3" xfId="14316"/>
    <cellStyle name="쉼표 [0] 3 96" xfId="18807"/>
    <cellStyle name="쉼표 [0] 3 96 2" xfId="18808"/>
    <cellStyle name="쉼표 [0] 3 96 2 2" xfId="14313"/>
    <cellStyle name="쉼표 [0] 3 96 3" xfId="14314"/>
    <cellStyle name="쉼표 [0] 3 97" xfId="18809"/>
    <cellStyle name="쉼표 [0] 3 97 2" xfId="14312"/>
    <cellStyle name="쉼표 [0] 3 98" xfId="18810"/>
    <cellStyle name="쉼표 [0] 3 98 2" xfId="14311"/>
    <cellStyle name="쉼표 [0] 3 99" xfId="15397"/>
    <cellStyle name="쉼표 [0] 30" xfId="18811"/>
    <cellStyle name="쉼표 [0] 30 2" xfId="18812"/>
    <cellStyle name="쉼표 [0] 30 2 2" xfId="14309"/>
    <cellStyle name="쉼표 [0] 30 3" xfId="14310"/>
    <cellStyle name="쉼표 [0] 31" xfId="18813"/>
    <cellStyle name="쉼표 [0] 31 2" xfId="18814"/>
    <cellStyle name="쉼표 [0] 31 2 2" xfId="14307"/>
    <cellStyle name="쉼표 [0] 31 3" xfId="14308"/>
    <cellStyle name="쉼표 [0] 32" xfId="18815"/>
    <cellStyle name="쉼표 [0] 32 2" xfId="18816"/>
    <cellStyle name="쉼표 [0] 32 2 2" xfId="14305"/>
    <cellStyle name="쉼표 [0] 32 3" xfId="14306"/>
    <cellStyle name="쉼표 [0] 33" xfId="18817"/>
    <cellStyle name="쉼표 [0] 33 2" xfId="18818"/>
    <cellStyle name="쉼표 [0] 33 2 2" xfId="14303"/>
    <cellStyle name="쉼표 [0] 33 3" xfId="14304"/>
    <cellStyle name="쉼표 [0] 34" xfId="18819"/>
    <cellStyle name="쉼표 [0] 34 2" xfId="18820"/>
    <cellStyle name="쉼표 [0] 34 2 2" xfId="14301"/>
    <cellStyle name="쉼표 [0] 34 3" xfId="14302"/>
    <cellStyle name="쉼표 [0] 35" xfId="18821"/>
    <cellStyle name="쉼표 [0] 35 2" xfId="18822"/>
    <cellStyle name="쉼표 [0] 35 2 2" xfId="14299"/>
    <cellStyle name="쉼표 [0] 35 3" xfId="14300"/>
    <cellStyle name="쉼표 [0] 36" xfId="18823"/>
    <cellStyle name="쉼표 [0] 36 2" xfId="18824"/>
    <cellStyle name="쉼표 [0] 36 2 2" xfId="14297"/>
    <cellStyle name="쉼표 [0] 36 3" xfId="14298"/>
    <cellStyle name="쉼표 [0] 37" xfId="18825"/>
    <cellStyle name="쉼표 [0] 37 2" xfId="18826"/>
    <cellStyle name="쉼표 [0] 37 2 2" xfId="14295"/>
    <cellStyle name="쉼표 [0] 37 3" xfId="14296"/>
    <cellStyle name="쉼표 [0] 38" xfId="18827"/>
    <cellStyle name="쉼표 [0] 38 2" xfId="14294"/>
    <cellStyle name="쉼표 [0] 39" xfId="18828"/>
    <cellStyle name="쉼표 [0] 39 2" xfId="18829"/>
    <cellStyle name="쉼표 [0] 39 2 2" xfId="14292"/>
    <cellStyle name="쉼표 [0] 39 3" xfId="14293"/>
    <cellStyle name="쉼표 [0] 4" xfId="1168"/>
    <cellStyle name="쉼표 [0] 4 10" xfId="1169"/>
    <cellStyle name="쉼표 [0] 4 10 10" xfId="18832"/>
    <cellStyle name="쉼표 [0] 4 10 10 2" xfId="14289"/>
    <cellStyle name="쉼표 [0] 4 10 11" xfId="14290"/>
    <cellStyle name="쉼표 [0] 4 10 12" xfId="29206"/>
    <cellStyle name="쉼표 [0] 4 10 13" xfId="18831"/>
    <cellStyle name="쉼표 [0] 4 10 2" xfId="1170"/>
    <cellStyle name="쉼표 [0] 4 10 2 2" xfId="18834"/>
    <cellStyle name="쉼표 [0] 4 10 2 2 2" xfId="18835"/>
    <cellStyle name="쉼표 [0] 4 10 2 2 2 2" xfId="14286"/>
    <cellStyle name="쉼표 [0] 4 10 2 2 3" xfId="14287"/>
    <cellStyle name="쉼표 [0] 4 10 2 3" xfId="18836"/>
    <cellStyle name="쉼표 [0] 4 10 2 3 2" xfId="14285"/>
    <cellStyle name="쉼표 [0] 4 10 2 4" xfId="14288"/>
    <cellStyle name="쉼표 [0] 4 10 2 5" xfId="29205"/>
    <cellStyle name="쉼표 [0] 4 10 2 6" xfId="18833"/>
    <cellStyle name="쉼표 [0] 4 10 3" xfId="1171"/>
    <cellStyle name="쉼표 [0] 4 10 3 2" xfId="1172"/>
    <cellStyle name="쉼표 [0] 4 10 3 2 2" xfId="18839"/>
    <cellStyle name="쉼표 [0] 4 10 3 2 2 2" xfId="14282"/>
    <cellStyle name="쉼표 [0] 4 10 3 2 3" xfId="14283"/>
    <cellStyle name="쉼표 [0] 4 10 3 2 4" xfId="18838"/>
    <cellStyle name="쉼표 [0] 4 10 3 3" xfId="18840"/>
    <cellStyle name="쉼표 [0] 4 10 3 3 2" xfId="18841"/>
    <cellStyle name="쉼표 [0] 4 10 3 3 2 2" xfId="14280"/>
    <cellStyle name="쉼표 [0] 4 10 3 3 3" xfId="14281"/>
    <cellStyle name="쉼표 [0] 4 10 3 4" xfId="18842"/>
    <cellStyle name="쉼표 [0] 4 10 3 4 2" xfId="14279"/>
    <cellStyle name="쉼표 [0] 4 10 3 5" xfId="14284"/>
    <cellStyle name="쉼표 [0] 4 10 3 6" xfId="18837"/>
    <cellStyle name="쉼표 [0] 4 10 4" xfId="18843"/>
    <cellStyle name="쉼표 [0] 4 10 4 2" xfId="18844"/>
    <cellStyle name="쉼표 [0] 4 10 4 2 2" xfId="14277"/>
    <cellStyle name="쉼표 [0] 4 10 4 3" xfId="14278"/>
    <cellStyle name="쉼표 [0] 4 10 5" xfId="18845"/>
    <cellStyle name="쉼표 [0] 4 10 5 2" xfId="18846"/>
    <cellStyle name="쉼표 [0] 4 10 5 2 2" xfId="14275"/>
    <cellStyle name="쉼표 [0] 4 10 5 3" xfId="14276"/>
    <cellStyle name="쉼표 [0] 4 10 6" xfId="18847"/>
    <cellStyle name="쉼표 [0] 4 10 6 2" xfId="18848"/>
    <cellStyle name="쉼표 [0] 4 10 6 2 2" xfId="14273"/>
    <cellStyle name="쉼표 [0] 4 10 6 3" xfId="14274"/>
    <cellStyle name="쉼표 [0] 4 10 7" xfId="18849"/>
    <cellStyle name="쉼표 [0] 4 10 7 2" xfId="18850"/>
    <cellStyle name="쉼표 [0] 4 10 7 2 2" xfId="14271"/>
    <cellStyle name="쉼표 [0] 4 10 7 3" xfId="14272"/>
    <cellStyle name="쉼표 [0] 4 10 8" xfId="18851"/>
    <cellStyle name="쉼표 [0] 4 10 8 2" xfId="18852"/>
    <cellStyle name="쉼표 [0] 4 10 8 2 2" xfId="14269"/>
    <cellStyle name="쉼표 [0] 4 10 8 3" xfId="14270"/>
    <cellStyle name="쉼표 [0] 4 10 9" xfId="18853"/>
    <cellStyle name="쉼표 [0] 4 10 9 2" xfId="18854"/>
    <cellStyle name="쉼표 [0] 4 10 9 2 2" xfId="14267"/>
    <cellStyle name="쉼표 [0] 4 10 9 3" xfId="14268"/>
    <cellStyle name="쉼표 [0] 4 11" xfId="1173"/>
    <cellStyle name="쉼표 [0] 4 11 10" xfId="18856"/>
    <cellStyle name="쉼표 [0] 4 11 10 2" xfId="14265"/>
    <cellStyle name="쉼표 [0] 4 11 11" xfId="14266"/>
    <cellStyle name="쉼표 [0] 4 11 12" xfId="29204"/>
    <cellStyle name="쉼표 [0] 4 11 13" xfId="18855"/>
    <cellStyle name="쉼표 [0] 4 11 2" xfId="1174"/>
    <cellStyle name="쉼표 [0] 4 11 2 2" xfId="18858"/>
    <cellStyle name="쉼표 [0] 4 11 2 2 2" xfId="18859"/>
    <cellStyle name="쉼표 [0] 4 11 2 2 2 2" xfId="14262"/>
    <cellStyle name="쉼표 [0] 4 11 2 2 3" xfId="14263"/>
    <cellStyle name="쉼표 [0] 4 11 2 3" xfId="18860"/>
    <cellStyle name="쉼표 [0] 4 11 2 3 2" xfId="14261"/>
    <cellStyle name="쉼표 [0] 4 11 2 4" xfId="14264"/>
    <cellStyle name="쉼표 [0] 4 11 2 5" xfId="29203"/>
    <cellStyle name="쉼표 [0] 4 11 2 6" xfId="18857"/>
    <cellStyle name="쉼표 [0] 4 11 3" xfId="18861"/>
    <cellStyle name="쉼표 [0] 4 11 3 2" xfId="18862"/>
    <cellStyle name="쉼표 [0] 4 11 3 2 2" xfId="14259"/>
    <cellStyle name="쉼표 [0] 4 11 3 3" xfId="14260"/>
    <cellStyle name="쉼표 [0] 4 11 4" xfId="18863"/>
    <cellStyle name="쉼표 [0] 4 11 4 2" xfId="18864"/>
    <cellStyle name="쉼표 [0] 4 11 4 2 2" xfId="14257"/>
    <cellStyle name="쉼표 [0] 4 11 4 3" xfId="14258"/>
    <cellStyle name="쉼표 [0] 4 11 5" xfId="18865"/>
    <cellStyle name="쉼표 [0] 4 11 5 2" xfId="18866"/>
    <cellStyle name="쉼표 [0] 4 11 5 2 2" xfId="14255"/>
    <cellStyle name="쉼표 [0] 4 11 5 3" xfId="14256"/>
    <cellStyle name="쉼표 [0] 4 11 6" xfId="18867"/>
    <cellStyle name="쉼표 [0] 4 11 6 2" xfId="18868"/>
    <cellStyle name="쉼표 [0] 4 11 6 2 2" xfId="14253"/>
    <cellStyle name="쉼표 [0] 4 11 6 3" xfId="14254"/>
    <cellStyle name="쉼표 [0] 4 11 7" xfId="18869"/>
    <cellStyle name="쉼표 [0] 4 11 7 2" xfId="18870"/>
    <cellStyle name="쉼표 [0] 4 11 7 2 2" xfId="14251"/>
    <cellStyle name="쉼표 [0] 4 11 7 3" xfId="14252"/>
    <cellStyle name="쉼표 [0] 4 11 8" xfId="18871"/>
    <cellStyle name="쉼표 [0] 4 11 8 2" xfId="18872"/>
    <cellStyle name="쉼표 [0] 4 11 8 2 2" xfId="14249"/>
    <cellStyle name="쉼표 [0] 4 11 8 3" xfId="14250"/>
    <cellStyle name="쉼표 [0] 4 11 9" xfId="18873"/>
    <cellStyle name="쉼표 [0] 4 11 9 2" xfId="18874"/>
    <cellStyle name="쉼표 [0] 4 11 9 2 2" xfId="14247"/>
    <cellStyle name="쉼표 [0] 4 11 9 3" xfId="14248"/>
    <cellStyle name="쉼표 [0] 4 12" xfId="1175"/>
    <cellStyle name="쉼표 [0] 4 12 2" xfId="1176"/>
    <cellStyle name="쉼표 [0] 4 12 2 2" xfId="18877"/>
    <cellStyle name="쉼표 [0] 4 12 2 2 2" xfId="18878"/>
    <cellStyle name="쉼표 [0] 4 12 2 2 2 2" xfId="14243"/>
    <cellStyle name="쉼표 [0] 4 12 2 2 3" xfId="14244"/>
    <cellStyle name="쉼표 [0] 4 12 2 3" xfId="18879"/>
    <cellStyle name="쉼표 [0] 4 12 2 3 2" xfId="14242"/>
    <cellStyle name="쉼표 [0] 4 12 2 4" xfId="14245"/>
    <cellStyle name="쉼표 [0] 4 12 2 5" xfId="29201"/>
    <cellStyle name="쉼표 [0] 4 12 2 6" xfId="18876"/>
    <cellStyle name="쉼표 [0] 4 12 3" xfId="18880"/>
    <cellStyle name="쉼표 [0] 4 12 3 2" xfId="18881"/>
    <cellStyle name="쉼표 [0] 4 12 3 2 2" xfId="14240"/>
    <cellStyle name="쉼표 [0] 4 12 3 3" xfId="14241"/>
    <cellStyle name="쉼표 [0] 4 12 4" xfId="18882"/>
    <cellStyle name="쉼표 [0] 4 12 4 2" xfId="18883"/>
    <cellStyle name="쉼표 [0] 4 12 4 2 2" xfId="14238"/>
    <cellStyle name="쉼표 [0] 4 12 4 3" xfId="14239"/>
    <cellStyle name="쉼표 [0] 4 12 5" xfId="18884"/>
    <cellStyle name="쉼표 [0] 4 12 5 2" xfId="18885"/>
    <cellStyle name="쉼표 [0] 4 12 5 2 2" xfId="14236"/>
    <cellStyle name="쉼표 [0] 4 12 5 3" xfId="14237"/>
    <cellStyle name="쉼표 [0] 4 12 6" xfId="18886"/>
    <cellStyle name="쉼표 [0] 4 12 6 2" xfId="14235"/>
    <cellStyle name="쉼표 [0] 4 12 7" xfId="14246"/>
    <cellStyle name="쉼표 [0] 4 12 8" xfId="29202"/>
    <cellStyle name="쉼표 [0] 4 12 9" xfId="18875"/>
    <cellStyle name="쉼표 [0] 4 13" xfId="1177"/>
    <cellStyle name="쉼표 [0] 4 13 2" xfId="1178"/>
    <cellStyle name="쉼표 [0] 4 13 2 2" xfId="18889"/>
    <cellStyle name="쉼표 [0] 4 13 2 2 2" xfId="18890"/>
    <cellStyle name="쉼표 [0] 4 13 2 2 2 2" xfId="14231"/>
    <cellStyle name="쉼표 [0] 4 13 2 2 3" xfId="14232"/>
    <cellStyle name="쉼표 [0] 4 13 2 3" xfId="18891"/>
    <cellStyle name="쉼표 [0] 4 13 2 3 2" xfId="14230"/>
    <cellStyle name="쉼표 [0] 4 13 2 4" xfId="14233"/>
    <cellStyle name="쉼표 [0] 4 13 2 5" xfId="29199"/>
    <cellStyle name="쉼표 [0] 4 13 2 6" xfId="18888"/>
    <cellStyle name="쉼표 [0] 4 13 3" xfId="18892"/>
    <cellStyle name="쉼표 [0] 4 13 3 2" xfId="18893"/>
    <cellStyle name="쉼표 [0] 4 13 3 2 2" xfId="14228"/>
    <cellStyle name="쉼표 [0] 4 13 3 3" xfId="14229"/>
    <cellStyle name="쉼표 [0] 4 13 4" xfId="18894"/>
    <cellStyle name="쉼표 [0] 4 13 4 2" xfId="18895"/>
    <cellStyle name="쉼표 [0] 4 13 4 2 2" xfId="14226"/>
    <cellStyle name="쉼표 [0] 4 13 4 3" xfId="14227"/>
    <cellStyle name="쉼표 [0] 4 13 5" xfId="18896"/>
    <cellStyle name="쉼표 [0] 4 13 5 2" xfId="18897"/>
    <cellStyle name="쉼표 [0] 4 13 5 2 2" xfId="14224"/>
    <cellStyle name="쉼표 [0] 4 13 5 3" xfId="14225"/>
    <cellStyle name="쉼표 [0] 4 13 6" xfId="18898"/>
    <cellStyle name="쉼표 [0] 4 13 6 2" xfId="14223"/>
    <cellStyle name="쉼표 [0] 4 13 7" xfId="14234"/>
    <cellStyle name="쉼표 [0] 4 13 8" xfId="29200"/>
    <cellStyle name="쉼표 [0] 4 13 9" xfId="18887"/>
    <cellStyle name="쉼표 [0] 4 14" xfId="1179"/>
    <cellStyle name="쉼표 [0] 4 14 2" xfId="1180"/>
    <cellStyle name="쉼표 [0] 4 14 2 2" xfId="18901"/>
    <cellStyle name="쉼표 [0] 4 14 2 2 2" xfId="18902"/>
    <cellStyle name="쉼표 [0] 4 14 2 2 2 2" xfId="14219"/>
    <cellStyle name="쉼표 [0] 4 14 2 2 3" xfId="14220"/>
    <cellStyle name="쉼표 [0] 4 14 2 3" xfId="18903"/>
    <cellStyle name="쉼표 [0] 4 14 2 3 2" xfId="14218"/>
    <cellStyle name="쉼표 [0] 4 14 2 4" xfId="14221"/>
    <cellStyle name="쉼표 [0] 4 14 2 5" xfId="29197"/>
    <cellStyle name="쉼표 [0] 4 14 2 6" xfId="18900"/>
    <cellStyle name="쉼표 [0] 4 14 3" xfId="18904"/>
    <cellStyle name="쉼표 [0] 4 14 3 2" xfId="18905"/>
    <cellStyle name="쉼표 [0] 4 14 3 2 2" xfId="14216"/>
    <cellStyle name="쉼표 [0] 4 14 3 3" xfId="14217"/>
    <cellStyle name="쉼표 [0] 4 14 4" xfId="18906"/>
    <cellStyle name="쉼표 [0] 4 14 4 2" xfId="18907"/>
    <cellStyle name="쉼표 [0] 4 14 4 2 2" xfId="14214"/>
    <cellStyle name="쉼표 [0] 4 14 4 3" xfId="14215"/>
    <cellStyle name="쉼표 [0] 4 14 5" xfId="18908"/>
    <cellStyle name="쉼표 [0] 4 14 5 2" xfId="18909"/>
    <cellStyle name="쉼표 [0] 4 14 5 2 2" xfId="14212"/>
    <cellStyle name="쉼표 [0] 4 14 5 3" xfId="14213"/>
    <cellStyle name="쉼표 [0] 4 14 6" xfId="18910"/>
    <cellStyle name="쉼표 [0] 4 14 6 2" xfId="14211"/>
    <cellStyle name="쉼표 [0] 4 14 7" xfId="14222"/>
    <cellStyle name="쉼표 [0] 4 14 8" xfId="29198"/>
    <cellStyle name="쉼표 [0] 4 14 9" xfId="18899"/>
    <cellStyle name="쉼표 [0] 4 15" xfId="1181"/>
    <cellStyle name="쉼표 [0] 4 15 2" xfId="1182"/>
    <cellStyle name="쉼표 [0] 4 15 2 2" xfId="18913"/>
    <cellStyle name="쉼표 [0] 4 15 2 2 2" xfId="18914"/>
    <cellStyle name="쉼표 [0] 4 15 2 2 2 2" xfId="14207"/>
    <cellStyle name="쉼표 [0] 4 15 2 2 3" xfId="14208"/>
    <cellStyle name="쉼표 [0] 4 15 2 3" xfId="18915"/>
    <cellStyle name="쉼표 [0] 4 15 2 3 2" xfId="14206"/>
    <cellStyle name="쉼표 [0] 4 15 2 4" xfId="14209"/>
    <cellStyle name="쉼표 [0] 4 15 2 5" xfId="18912"/>
    <cellStyle name="쉼표 [0] 4 15 2 6" xfId="29434"/>
    <cellStyle name="쉼표 [0] 4 15 3" xfId="1183"/>
    <cellStyle name="쉼표 [0] 4 15 3 2" xfId="18917"/>
    <cellStyle name="쉼표 [0] 4 15 3 2 2" xfId="18918"/>
    <cellStyle name="쉼표 [0] 4 15 3 2 2 2" xfId="14203"/>
    <cellStyle name="쉼표 [0] 4 15 3 2 3" xfId="14204"/>
    <cellStyle name="쉼표 [0] 4 15 3 3" xfId="18919"/>
    <cellStyle name="쉼표 [0] 4 15 3 3 2" xfId="14202"/>
    <cellStyle name="쉼표 [0] 4 15 3 4" xfId="14205"/>
    <cellStyle name="쉼표 [0] 4 15 3 5" xfId="18916"/>
    <cellStyle name="쉼표 [0] 4 15 4" xfId="18920"/>
    <cellStyle name="쉼표 [0] 4 15 4 2" xfId="18921"/>
    <cellStyle name="쉼표 [0] 4 15 4 2 2" xfId="14200"/>
    <cellStyle name="쉼표 [0] 4 15 4 3" xfId="14201"/>
    <cellStyle name="쉼표 [0] 4 15 5" xfId="18922"/>
    <cellStyle name="쉼표 [0] 4 15 5 2" xfId="18923"/>
    <cellStyle name="쉼표 [0] 4 15 5 2 2" xfId="14198"/>
    <cellStyle name="쉼표 [0] 4 15 5 3" xfId="14199"/>
    <cellStyle name="쉼표 [0] 4 15 6" xfId="18924"/>
    <cellStyle name="쉼표 [0] 4 15 6 2" xfId="14197"/>
    <cellStyle name="쉼표 [0] 4 15 7" xfId="14210"/>
    <cellStyle name="쉼표 [0] 4 15 8" xfId="29196"/>
    <cellStyle name="쉼표 [0] 4 15 9" xfId="18911"/>
    <cellStyle name="쉼표 [0] 4 16" xfId="1184"/>
    <cellStyle name="쉼표 [0] 4 16 2" xfId="1185"/>
    <cellStyle name="쉼표 [0] 4 16 2 2" xfId="18927"/>
    <cellStyle name="쉼표 [0] 4 16 2 2 2" xfId="18928"/>
    <cellStyle name="쉼표 [0] 4 16 2 2 2 2" xfId="14193"/>
    <cellStyle name="쉼표 [0] 4 16 2 2 3" xfId="14194"/>
    <cellStyle name="쉼표 [0] 4 16 2 3" xfId="18929"/>
    <cellStyle name="쉼표 [0] 4 16 2 3 2" xfId="14192"/>
    <cellStyle name="쉼표 [0] 4 16 2 4" xfId="14195"/>
    <cellStyle name="쉼표 [0] 4 16 2 5" xfId="18926"/>
    <cellStyle name="쉼표 [0] 4 16 3" xfId="18930"/>
    <cellStyle name="쉼표 [0] 4 16 3 2" xfId="18931"/>
    <cellStyle name="쉼표 [0] 4 16 3 2 2" xfId="14190"/>
    <cellStyle name="쉼표 [0] 4 16 3 3" xfId="14191"/>
    <cellStyle name="쉼표 [0] 4 16 4" xfId="18932"/>
    <cellStyle name="쉼표 [0] 4 16 4 2" xfId="18933"/>
    <cellStyle name="쉼표 [0] 4 16 4 2 2" xfId="14188"/>
    <cellStyle name="쉼표 [0] 4 16 4 3" xfId="14189"/>
    <cellStyle name="쉼표 [0] 4 16 5" xfId="18934"/>
    <cellStyle name="쉼표 [0] 4 16 5 2" xfId="18935"/>
    <cellStyle name="쉼표 [0] 4 16 5 2 2" xfId="14186"/>
    <cellStyle name="쉼표 [0] 4 16 5 3" xfId="14187"/>
    <cellStyle name="쉼표 [0] 4 16 6" xfId="18936"/>
    <cellStyle name="쉼표 [0] 4 16 6 2" xfId="14185"/>
    <cellStyle name="쉼표 [0] 4 16 7" xfId="14196"/>
    <cellStyle name="쉼표 [0] 4 16 8" xfId="18925"/>
    <cellStyle name="쉼표 [0] 4 17" xfId="18937"/>
    <cellStyle name="쉼표 [0] 4 17 2" xfId="18938"/>
    <cellStyle name="쉼표 [0] 4 17 2 2" xfId="18939"/>
    <cellStyle name="쉼표 [0] 4 17 2 2 2" xfId="14182"/>
    <cellStyle name="쉼표 [0] 4 17 2 3" xfId="14183"/>
    <cellStyle name="쉼표 [0] 4 17 3" xfId="18940"/>
    <cellStyle name="쉼표 [0] 4 17 3 2" xfId="14181"/>
    <cellStyle name="쉼표 [0] 4 17 4" xfId="14184"/>
    <cellStyle name="쉼표 [0] 4 18" xfId="18941"/>
    <cellStyle name="쉼표 [0] 4 18 2" xfId="18942"/>
    <cellStyle name="쉼표 [0] 4 18 2 2" xfId="14179"/>
    <cellStyle name="쉼표 [0] 4 18 3" xfId="14180"/>
    <cellStyle name="쉼표 [0] 4 19" xfId="18943"/>
    <cellStyle name="쉼표 [0] 4 19 2" xfId="18944"/>
    <cellStyle name="쉼표 [0] 4 19 2 2" xfId="14177"/>
    <cellStyle name="쉼표 [0] 4 19 3" xfId="14178"/>
    <cellStyle name="쉼표 [0] 4 2" xfId="1186"/>
    <cellStyle name="쉼표 [0] 4 2 10" xfId="1187"/>
    <cellStyle name="쉼표 [0] 4 2 10 2" xfId="18947"/>
    <cellStyle name="쉼표 [0] 4 2 10 2 2" xfId="14174"/>
    <cellStyle name="쉼표 [0] 4 2 10 3" xfId="14175"/>
    <cellStyle name="쉼표 [0] 4 2 10 4" xfId="29194"/>
    <cellStyle name="쉼표 [0] 4 2 10 5" xfId="18946"/>
    <cellStyle name="쉼표 [0] 4 2 11" xfId="1188"/>
    <cellStyle name="쉼표 [0] 4 2 11 2" xfId="1189"/>
    <cellStyle name="쉼표 [0] 4 2 11 2 2" xfId="18950"/>
    <cellStyle name="쉼표 [0] 4 2 11 2 2 2" xfId="14171"/>
    <cellStyle name="쉼표 [0] 4 2 11 2 3" xfId="14172"/>
    <cellStyle name="쉼표 [0] 4 2 11 2 4" xfId="18949"/>
    <cellStyle name="쉼표 [0] 4 2 11 3" xfId="18951"/>
    <cellStyle name="쉼표 [0] 4 2 11 3 2" xfId="14170"/>
    <cellStyle name="쉼표 [0] 4 2 11 4" xfId="14173"/>
    <cellStyle name="쉼표 [0] 4 2 11 5" xfId="18948"/>
    <cellStyle name="쉼표 [0] 4 2 12" xfId="18952"/>
    <cellStyle name="쉼표 [0] 4 2 12 2" xfId="18953"/>
    <cellStyle name="쉼표 [0] 4 2 12 2 2" xfId="14168"/>
    <cellStyle name="쉼표 [0] 4 2 12 3" xfId="14169"/>
    <cellStyle name="쉼표 [0] 4 2 13" xfId="18954"/>
    <cellStyle name="쉼표 [0] 4 2 13 2" xfId="14167"/>
    <cellStyle name="쉼표 [0] 4 2 14" xfId="18955"/>
    <cellStyle name="쉼표 [0] 4 2 14 2" xfId="14166"/>
    <cellStyle name="쉼표 [0] 4 2 15" xfId="14176"/>
    <cellStyle name="쉼표 [0] 4 2 16" xfId="29195"/>
    <cellStyle name="쉼표 [0] 4 2 17" xfId="18945"/>
    <cellStyle name="쉼표 [0] 4 2 18" xfId="29872"/>
    <cellStyle name="쉼표 [0] 4 2 19" xfId="30437"/>
    <cellStyle name="쉼표 [0] 4 2 2" xfId="1190"/>
    <cellStyle name="쉼표 [0] 4 2 2 10" xfId="1191"/>
    <cellStyle name="쉼표 [0] 4 2 2 10 2" xfId="1192"/>
    <cellStyle name="쉼표 [0] 4 2 2 10 2 2" xfId="18959"/>
    <cellStyle name="쉼표 [0] 4 2 2 10 2 2 2" xfId="14162"/>
    <cellStyle name="쉼표 [0] 4 2 2 10 2 3" xfId="14163"/>
    <cellStyle name="쉼표 [0] 4 2 2 10 2 4" xfId="18958"/>
    <cellStyle name="쉼표 [0] 4 2 2 10 3" xfId="18960"/>
    <cellStyle name="쉼표 [0] 4 2 2 10 3 2" xfId="14161"/>
    <cellStyle name="쉼표 [0] 4 2 2 10 4" xfId="14164"/>
    <cellStyle name="쉼표 [0] 4 2 2 10 5" xfId="18957"/>
    <cellStyle name="쉼표 [0] 4 2 2 11" xfId="18961"/>
    <cellStyle name="쉼표 [0] 4 2 2 11 2" xfId="18962"/>
    <cellStyle name="쉼표 [0] 4 2 2 11 2 2" xfId="14159"/>
    <cellStyle name="쉼표 [0] 4 2 2 11 3" xfId="14160"/>
    <cellStyle name="쉼표 [0] 4 2 2 12" xfId="18963"/>
    <cellStyle name="쉼표 [0] 4 2 2 12 2" xfId="14158"/>
    <cellStyle name="쉼표 [0] 4 2 2 13" xfId="14165"/>
    <cellStyle name="쉼표 [0] 4 2 2 14" xfId="29193"/>
    <cellStyle name="쉼표 [0] 4 2 2 15" xfId="18956"/>
    <cellStyle name="쉼표 [0] 4 2 2 16" xfId="29701"/>
    <cellStyle name="쉼표 [0] 4 2 2 17" xfId="30926"/>
    <cellStyle name="쉼표 [0] 4 2 2 17 2" xfId="32280"/>
    <cellStyle name="쉼표 [0] 4 2 2 2" xfId="1193"/>
    <cellStyle name="쉼표 [0] 4 2 2 2 10" xfId="18965"/>
    <cellStyle name="쉼표 [0] 4 2 2 2 10 2" xfId="14156"/>
    <cellStyle name="쉼표 [0] 4 2 2 2 11" xfId="14157"/>
    <cellStyle name="쉼표 [0] 4 2 2 2 12" xfId="29192"/>
    <cellStyle name="쉼표 [0] 4 2 2 2 13" xfId="18964"/>
    <cellStyle name="쉼표 [0] 4 2 2 2 14" xfId="29833"/>
    <cellStyle name="쉼표 [0] 4 2 2 2 15" xfId="31002"/>
    <cellStyle name="쉼표 [0] 4 2 2 2 15 2" xfId="32353"/>
    <cellStyle name="쉼표 [0] 4 2 2 2 2" xfId="1194"/>
    <cellStyle name="쉼표 [0] 4 2 2 2 2 10" xfId="29191"/>
    <cellStyle name="쉼표 [0] 4 2 2 2 2 11" xfId="18966"/>
    <cellStyle name="쉼표 [0] 4 2 2 2 2 12" xfId="29510"/>
    <cellStyle name="쉼표 [0] 4 2 2 2 2 2" xfId="1195"/>
    <cellStyle name="쉼표 [0] 4 2 2 2 2 2 10" xfId="18967"/>
    <cellStyle name="쉼표 [0] 4 2 2 2 2 2 11" xfId="29609"/>
    <cellStyle name="쉼표 [0] 4 2 2 2 2 2 2" xfId="1196"/>
    <cellStyle name="쉼표 [0] 4 2 2 2 2 2 2 2" xfId="1197"/>
    <cellStyle name="쉼표 [0] 4 2 2 2 2 2 2 2 2" xfId="18970"/>
    <cellStyle name="쉼표 [0] 4 2 2 2 2 2 2 2 2 2" xfId="14151"/>
    <cellStyle name="쉼표 [0] 4 2 2 2 2 2 2 2 3" xfId="14152"/>
    <cellStyle name="쉼표 [0] 4 2 2 2 2 2 2 2 4" xfId="29188"/>
    <cellStyle name="쉼표 [0] 4 2 2 2 2 2 2 2 5" xfId="18969"/>
    <cellStyle name="쉼표 [0] 4 2 2 2 2 2 2 3" xfId="1198"/>
    <cellStyle name="쉼표 [0] 4 2 2 2 2 2 2 3 2" xfId="1199"/>
    <cellStyle name="쉼표 [0] 4 2 2 2 2 2 2 3 2 2" xfId="18973"/>
    <cellStyle name="쉼표 [0] 4 2 2 2 2 2 2 3 2 2 2" xfId="14148"/>
    <cellStyle name="쉼표 [0] 4 2 2 2 2 2 2 3 2 3" xfId="14149"/>
    <cellStyle name="쉼표 [0] 4 2 2 2 2 2 2 3 2 4" xfId="18972"/>
    <cellStyle name="쉼표 [0] 4 2 2 2 2 2 2 3 3" xfId="18974"/>
    <cellStyle name="쉼표 [0] 4 2 2 2 2 2 2 3 3 2" xfId="14147"/>
    <cellStyle name="쉼표 [0] 4 2 2 2 2 2 2 3 4" xfId="14150"/>
    <cellStyle name="쉼표 [0] 4 2 2 2 2 2 2 3 5" xfId="18971"/>
    <cellStyle name="쉼표 [0] 4 2 2 2 2 2 2 4" xfId="18975"/>
    <cellStyle name="쉼표 [0] 4 2 2 2 2 2 2 4 2" xfId="14146"/>
    <cellStyle name="쉼표 [0] 4 2 2 2 2 2 2 5" xfId="14153"/>
    <cellStyle name="쉼표 [0] 4 2 2 2 2 2 2 6" xfId="29189"/>
    <cellStyle name="쉼표 [0] 4 2 2 2 2 2 2 7" xfId="18968"/>
    <cellStyle name="쉼표 [0] 4 2 2 2 2 2 3" xfId="1200"/>
    <cellStyle name="쉼표 [0] 4 2 2 2 2 2 3 2" xfId="1201"/>
    <cellStyle name="쉼표 [0] 4 2 2 2 2 2 3 2 2" xfId="1202"/>
    <cellStyle name="쉼표 [0] 4 2 2 2 2 2 3 2 2 2" xfId="18979"/>
    <cellStyle name="쉼표 [0] 4 2 2 2 2 2 3 2 2 2 2" xfId="14142"/>
    <cellStyle name="쉼표 [0] 4 2 2 2 2 2 3 2 2 3" xfId="14143"/>
    <cellStyle name="쉼표 [0] 4 2 2 2 2 2 3 2 2 4" xfId="29185"/>
    <cellStyle name="쉼표 [0] 4 2 2 2 2 2 3 2 2 5" xfId="18978"/>
    <cellStyle name="쉼표 [0] 4 2 2 2 2 2 3 2 3" xfId="18980"/>
    <cellStyle name="쉼표 [0] 4 2 2 2 2 2 3 2 3 2" xfId="14141"/>
    <cellStyle name="쉼표 [0] 4 2 2 2 2 2 3 2 4" xfId="14144"/>
    <cellStyle name="쉼표 [0] 4 2 2 2 2 2 3 2 5" xfId="29186"/>
    <cellStyle name="쉼표 [0] 4 2 2 2 2 2 3 2 6" xfId="18977"/>
    <cellStyle name="쉼표 [0] 4 2 2 2 2 2 3 3" xfId="1203"/>
    <cellStyle name="쉼표 [0] 4 2 2 2 2 2 3 3 2" xfId="18982"/>
    <cellStyle name="쉼표 [0] 4 2 2 2 2 2 3 3 2 2" xfId="14139"/>
    <cellStyle name="쉼표 [0] 4 2 2 2 2 2 3 3 3" xfId="14140"/>
    <cellStyle name="쉼표 [0] 4 2 2 2 2 2 3 3 4" xfId="29184"/>
    <cellStyle name="쉼표 [0] 4 2 2 2 2 2 3 3 5" xfId="18981"/>
    <cellStyle name="쉼표 [0] 4 2 2 2 2 2 3 4" xfId="1204"/>
    <cellStyle name="쉼표 [0] 4 2 2 2 2 2 3 4 2" xfId="1205"/>
    <cellStyle name="쉼표 [0] 4 2 2 2 2 2 3 4 2 2" xfId="18985"/>
    <cellStyle name="쉼표 [0] 4 2 2 2 2 2 3 4 2 2 2" xfId="14136"/>
    <cellStyle name="쉼표 [0] 4 2 2 2 2 2 3 4 2 3" xfId="14137"/>
    <cellStyle name="쉼표 [0] 4 2 2 2 2 2 3 4 2 4" xfId="18984"/>
    <cellStyle name="쉼표 [0] 4 2 2 2 2 2 3 4 3" xfId="18986"/>
    <cellStyle name="쉼표 [0] 4 2 2 2 2 2 3 4 3 2" xfId="14135"/>
    <cellStyle name="쉼표 [0] 4 2 2 2 2 2 3 4 4" xfId="14138"/>
    <cellStyle name="쉼표 [0] 4 2 2 2 2 2 3 4 5" xfId="18983"/>
    <cellStyle name="쉼표 [0] 4 2 2 2 2 2 3 5" xfId="18987"/>
    <cellStyle name="쉼표 [0] 4 2 2 2 2 2 3 5 2" xfId="14134"/>
    <cellStyle name="쉼표 [0] 4 2 2 2 2 2 3 6" xfId="14145"/>
    <cellStyle name="쉼표 [0] 4 2 2 2 2 2 3 7" xfId="29187"/>
    <cellStyle name="쉼표 [0] 4 2 2 2 2 2 3 8" xfId="18976"/>
    <cellStyle name="쉼표 [0] 4 2 2 2 2 2 4" xfId="1206"/>
    <cellStyle name="쉼표 [0] 4 2 2 2 2 2 4 2" xfId="1207"/>
    <cellStyle name="쉼표 [0] 4 2 2 2 2 2 4 2 2" xfId="18990"/>
    <cellStyle name="쉼표 [0] 4 2 2 2 2 2 4 2 2 2" xfId="14131"/>
    <cellStyle name="쉼표 [0] 4 2 2 2 2 2 4 2 3" xfId="14132"/>
    <cellStyle name="쉼표 [0] 4 2 2 2 2 2 4 2 4" xfId="29182"/>
    <cellStyle name="쉼표 [0] 4 2 2 2 2 2 4 2 5" xfId="18989"/>
    <cellStyle name="쉼표 [0] 4 2 2 2 2 2 4 3" xfId="18991"/>
    <cellStyle name="쉼표 [0] 4 2 2 2 2 2 4 3 2" xfId="14130"/>
    <cellStyle name="쉼표 [0] 4 2 2 2 2 2 4 4" xfId="14133"/>
    <cellStyle name="쉼표 [0] 4 2 2 2 2 2 4 5" xfId="29183"/>
    <cellStyle name="쉼표 [0] 4 2 2 2 2 2 4 6" xfId="18988"/>
    <cellStyle name="쉼표 [0] 4 2 2 2 2 2 5" xfId="1208"/>
    <cellStyle name="쉼표 [0] 4 2 2 2 2 2 5 2" xfId="18993"/>
    <cellStyle name="쉼표 [0] 4 2 2 2 2 2 5 2 2" xfId="14128"/>
    <cellStyle name="쉼표 [0] 4 2 2 2 2 2 5 3" xfId="14129"/>
    <cellStyle name="쉼표 [0] 4 2 2 2 2 2 5 4" xfId="29181"/>
    <cellStyle name="쉼표 [0] 4 2 2 2 2 2 5 5" xfId="18992"/>
    <cellStyle name="쉼표 [0] 4 2 2 2 2 2 6" xfId="1209"/>
    <cellStyle name="쉼표 [0] 4 2 2 2 2 2 6 2" xfId="1210"/>
    <cellStyle name="쉼표 [0] 4 2 2 2 2 2 6 2 2" xfId="18996"/>
    <cellStyle name="쉼표 [0] 4 2 2 2 2 2 6 2 2 2" xfId="14125"/>
    <cellStyle name="쉼표 [0] 4 2 2 2 2 2 6 2 3" xfId="14126"/>
    <cellStyle name="쉼표 [0] 4 2 2 2 2 2 6 2 4" xfId="18995"/>
    <cellStyle name="쉼표 [0] 4 2 2 2 2 2 6 3" xfId="18997"/>
    <cellStyle name="쉼표 [0] 4 2 2 2 2 2 6 3 2" xfId="14124"/>
    <cellStyle name="쉼표 [0] 4 2 2 2 2 2 6 4" xfId="14127"/>
    <cellStyle name="쉼표 [0] 4 2 2 2 2 2 6 5" xfId="18994"/>
    <cellStyle name="쉼표 [0] 4 2 2 2 2 2 7" xfId="18998"/>
    <cellStyle name="쉼표 [0] 4 2 2 2 2 2 7 2" xfId="14123"/>
    <cellStyle name="쉼표 [0] 4 2 2 2 2 2 8" xfId="14154"/>
    <cellStyle name="쉼표 [0] 4 2 2 2 2 2 9" xfId="29190"/>
    <cellStyle name="쉼표 [0] 4 2 2 2 2 3" xfId="1211"/>
    <cellStyle name="쉼표 [0] 4 2 2 2 2 3 2" xfId="1212"/>
    <cellStyle name="쉼표 [0] 4 2 2 2 2 3 2 2" xfId="1213"/>
    <cellStyle name="쉼표 [0] 4 2 2 2 2 3 2 2 2" xfId="1214"/>
    <cellStyle name="쉼표 [0] 4 2 2 2 2 3 2 2 2 2" xfId="19003"/>
    <cellStyle name="쉼표 [0] 4 2 2 2 2 3 2 2 2 2 2" xfId="14118"/>
    <cellStyle name="쉼표 [0] 4 2 2 2 2 3 2 2 2 3" xfId="14119"/>
    <cellStyle name="쉼표 [0] 4 2 2 2 2 3 2 2 2 4" xfId="19002"/>
    <cellStyle name="쉼표 [0] 4 2 2 2 2 3 2 2 3" xfId="19004"/>
    <cellStyle name="쉼표 [0] 4 2 2 2 2 3 2 2 3 2" xfId="14117"/>
    <cellStyle name="쉼표 [0] 4 2 2 2 2 3 2 2 4" xfId="14120"/>
    <cellStyle name="쉼표 [0] 4 2 2 2 2 3 2 2 5" xfId="19001"/>
    <cellStyle name="쉼표 [0] 4 2 2 2 2 3 2 3" xfId="19005"/>
    <cellStyle name="쉼표 [0] 4 2 2 2 2 3 2 3 2" xfId="14116"/>
    <cellStyle name="쉼표 [0] 4 2 2 2 2 3 2 4" xfId="14121"/>
    <cellStyle name="쉼표 [0] 4 2 2 2 2 3 2 5" xfId="29179"/>
    <cellStyle name="쉼표 [0] 4 2 2 2 2 3 2 6" xfId="19000"/>
    <cellStyle name="쉼표 [0] 4 2 2 2 2 3 3" xfId="1215"/>
    <cellStyle name="쉼표 [0] 4 2 2 2 2 3 3 2" xfId="1216"/>
    <cellStyle name="쉼표 [0] 4 2 2 2 2 3 3 2 2" xfId="19008"/>
    <cellStyle name="쉼표 [0] 4 2 2 2 2 3 3 2 2 2" xfId="14113"/>
    <cellStyle name="쉼표 [0] 4 2 2 2 2 3 3 2 3" xfId="14114"/>
    <cellStyle name="쉼표 [0] 4 2 2 2 2 3 3 2 4" xfId="19007"/>
    <cellStyle name="쉼표 [0] 4 2 2 2 2 3 3 3" xfId="19009"/>
    <cellStyle name="쉼표 [0] 4 2 2 2 2 3 3 3 2" xfId="14112"/>
    <cellStyle name="쉼표 [0] 4 2 2 2 2 3 3 4" xfId="14115"/>
    <cellStyle name="쉼표 [0] 4 2 2 2 2 3 3 5" xfId="19006"/>
    <cellStyle name="쉼표 [0] 4 2 2 2 2 3 4" xfId="19010"/>
    <cellStyle name="쉼표 [0] 4 2 2 2 2 3 4 2" xfId="14111"/>
    <cellStyle name="쉼표 [0] 4 2 2 2 2 3 5" xfId="14122"/>
    <cellStyle name="쉼표 [0] 4 2 2 2 2 3 6" xfId="29180"/>
    <cellStyle name="쉼표 [0] 4 2 2 2 2 3 7" xfId="18999"/>
    <cellStyle name="쉼표 [0] 4 2 2 2 2 4" xfId="1217"/>
    <cellStyle name="쉼표 [0] 4 2 2 2 2 4 2" xfId="1218"/>
    <cellStyle name="쉼표 [0] 4 2 2 2 2 4 2 2" xfId="1219"/>
    <cellStyle name="쉼표 [0] 4 2 2 2 2 4 2 2 2" xfId="19014"/>
    <cellStyle name="쉼표 [0] 4 2 2 2 2 4 2 2 2 2" xfId="14107"/>
    <cellStyle name="쉼표 [0] 4 2 2 2 2 4 2 2 3" xfId="14108"/>
    <cellStyle name="쉼표 [0] 4 2 2 2 2 4 2 2 4" xfId="29176"/>
    <cellStyle name="쉼표 [0] 4 2 2 2 2 4 2 2 5" xfId="19013"/>
    <cellStyle name="쉼표 [0] 4 2 2 2 2 4 2 3" xfId="19015"/>
    <cellStyle name="쉼표 [0] 4 2 2 2 2 4 2 3 2" xfId="14106"/>
    <cellStyle name="쉼표 [0] 4 2 2 2 2 4 2 4" xfId="14109"/>
    <cellStyle name="쉼표 [0] 4 2 2 2 2 4 2 5" xfId="29177"/>
    <cellStyle name="쉼표 [0] 4 2 2 2 2 4 2 6" xfId="19012"/>
    <cellStyle name="쉼표 [0] 4 2 2 2 2 4 3" xfId="1220"/>
    <cellStyle name="쉼표 [0] 4 2 2 2 2 4 3 2" xfId="19017"/>
    <cellStyle name="쉼표 [0] 4 2 2 2 2 4 3 2 2" xfId="14104"/>
    <cellStyle name="쉼표 [0] 4 2 2 2 2 4 3 3" xfId="14105"/>
    <cellStyle name="쉼표 [0] 4 2 2 2 2 4 3 4" xfId="29175"/>
    <cellStyle name="쉼표 [0] 4 2 2 2 2 4 3 5" xfId="19016"/>
    <cellStyle name="쉼표 [0] 4 2 2 2 2 4 4" xfId="1221"/>
    <cellStyle name="쉼표 [0] 4 2 2 2 2 4 4 2" xfId="1222"/>
    <cellStyle name="쉼표 [0] 4 2 2 2 2 4 4 2 2" xfId="19020"/>
    <cellStyle name="쉼표 [0] 4 2 2 2 2 4 4 2 2 2" xfId="14101"/>
    <cellStyle name="쉼표 [0] 4 2 2 2 2 4 4 2 3" xfId="14102"/>
    <cellStyle name="쉼표 [0] 4 2 2 2 2 4 4 2 4" xfId="19019"/>
    <cellStyle name="쉼표 [0] 4 2 2 2 2 4 4 3" xfId="19021"/>
    <cellStyle name="쉼표 [0] 4 2 2 2 2 4 4 3 2" xfId="14100"/>
    <cellStyle name="쉼표 [0] 4 2 2 2 2 4 4 4" xfId="14103"/>
    <cellStyle name="쉼표 [0] 4 2 2 2 2 4 4 5" xfId="19018"/>
    <cellStyle name="쉼표 [0] 4 2 2 2 2 4 5" xfId="19022"/>
    <cellStyle name="쉼표 [0] 4 2 2 2 2 4 5 2" xfId="14099"/>
    <cellStyle name="쉼표 [0] 4 2 2 2 2 4 6" xfId="14110"/>
    <cellStyle name="쉼표 [0] 4 2 2 2 2 4 7" xfId="29178"/>
    <cellStyle name="쉼표 [0] 4 2 2 2 2 4 8" xfId="19011"/>
    <cellStyle name="쉼표 [0] 4 2 2 2 2 5" xfId="1223"/>
    <cellStyle name="쉼표 [0] 4 2 2 2 2 5 2" xfId="1224"/>
    <cellStyle name="쉼표 [0] 4 2 2 2 2 5 2 2" xfId="19025"/>
    <cellStyle name="쉼표 [0] 4 2 2 2 2 5 2 2 2" xfId="14096"/>
    <cellStyle name="쉼표 [0] 4 2 2 2 2 5 2 3" xfId="14097"/>
    <cellStyle name="쉼표 [0] 4 2 2 2 2 5 2 4" xfId="29173"/>
    <cellStyle name="쉼표 [0] 4 2 2 2 2 5 2 5" xfId="19024"/>
    <cellStyle name="쉼표 [0] 4 2 2 2 2 5 3" xfId="19026"/>
    <cellStyle name="쉼표 [0] 4 2 2 2 2 5 3 2" xfId="14095"/>
    <cellStyle name="쉼표 [0] 4 2 2 2 2 5 4" xfId="14098"/>
    <cellStyle name="쉼표 [0] 4 2 2 2 2 5 5" xfId="29174"/>
    <cellStyle name="쉼표 [0] 4 2 2 2 2 5 6" xfId="19023"/>
    <cellStyle name="쉼표 [0] 4 2 2 2 2 6" xfId="1225"/>
    <cellStyle name="쉼표 [0] 4 2 2 2 2 6 2" xfId="19028"/>
    <cellStyle name="쉼표 [0] 4 2 2 2 2 6 2 2" xfId="14093"/>
    <cellStyle name="쉼표 [0] 4 2 2 2 2 6 3" xfId="14094"/>
    <cellStyle name="쉼표 [0] 4 2 2 2 2 6 4" xfId="29172"/>
    <cellStyle name="쉼표 [0] 4 2 2 2 2 6 5" xfId="19027"/>
    <cellStyle name="쉼표 [0] 4 2 2 2 2 7" xfId="1226"/>
    <cellStyle name="쉼표 [0] 4 2 2 2 2 7 2" xfId="1227"/>
    <cellStyle name="쉼표 [0] 4 2 2 2 2 7 2 2" xfId="19031"/>
    <cellStyle name="쉼표 [0] 4 2 2 2 2 7 2 2 2" xfId="14090"/>
    <cellStyle name="쉼표 [0] 4 2 2 2 2 7 2 3" xfId="14091"/>
    <cellStyle name="쉼표 [0] 4 2 2 2 2 7 2 4" xfId="19030"/>
    <cellStyle name="쉼표 [0] 4 2 2 2 2 7 3" xfId="19032"/>
    <cellStyle name="쉼표 [0] 4 2 2 2 2 7 3 2" xfId="14089"/>
    <cellStyle name="쉼표 [0] 4 2 2 2 2 7 4" xfId="14092"/>
    <cellStyle name="쉼표 [0] 4 2 2 2 2 7 5" xfId="19029"/>
    <cellStyle name="쉼표 [0] 4 2 2 2 2 8" xfId="19033"/>
    <cellStyle name="쉼표 [0] 4 2 2 2 2 8 2" xfId="14088"/>
    <cellStyle name="쉼표 [0] 4 2 2 2 2 9" xfId="14155"/>
    <cellStyle name="쉼표 [0] 4 2 2 2 3" xfId="1228"/>
    <cellStyle name="쉼표 [0] 4 2 2 2 3 10" xfId="19034"/>
    <cellStyle name="쉼표 [0] 4 2 2 2 3 11" xfId="29812"/>
    <cellStyle name="쉼표 [0] 4 2 2 2 3 2" xfId="1229"/>
    <cellStyle name="쉼표 [0] 4 2 2 2 3 2 2" xfId="1230"/>
    <cellStyle name="쉼표 [0] 4 2 2 2 3 2 2 2" xfId="19037"/>
    <cellStyle name="쉼표 [0] 4 2 2 2 3 2 2 2 2" xfId="14084"/>
    <cellStyle name="쉼표 [0] 4 2 2 2 3 2 2 3" xfId="14085"/>
    <cellStyle name="쉼표 [0] 4 2 2 2 3 2 2 4" xfId="29169"/>
    <cellStyle name="쉼표 [0] 4 2 2 2 3 2 2 5" xfId="19036"/>
    <cellStyle name="쉼표 [0] 4 2 2 2 3 2 3" xfId="1231"/>
    <cellStyle name="쉼표 [0] 4 2 2 2 3 2 3 2" xfId="1232"/>
    <cellStyle name="쉼표 [0] 4 2 2 2 3 2 3 2 2" xfId="19040"/>
    <cellStyle name="쉼표 [0] 4 2 2 2 3 2 3 2 2 2" xfId="14081"/>
    <cellStyle name="쉼표 [0] 4 2 2 2 3 2 3 2 3" xfId="14082"/>
    <cellStyle name="쉼표 [0] 4 2 2 2 3 2 3 2 4" xfId="19039"/>
    <cellStyle name="쉼표 [0] 4 2 2 2 3 2 3 3" xfId="19041"/>
    <cellStyle name="쉼표 [0] 4 2 2 2 3 2 3 3 2" xfId="14080"/>
    <cellStyle name="쉼표 [0] 4 2 2 2 3 2 3 4" xfId="14083"/>
    <cellStyle name="쉼표 [0] 4 2 2 2 3 2 3 5" xfId="19038"/>
    <cellStyle name="쉼표 [0] 4 2 2 2 3 2 4" xfId="19042"/>
    <cellStyle name="쉼표 [0] 4 2 2 2 3 2 4 2" xfId="14079"/>
    <cellStyle name="쉼표 [0] 4 2 2 2 3 2 5" xfId="14086"/>
    <cellStyle name="쉼표 [0] 4 2 2 2 3 2 6" xfId="29170"/>
    <cellStyle name="쉼표 [0] 4 2 2 2 3 2 7" xfId="19035"/>
    <cellStyle name="쉼표 [0] 4 2 2 2 3 3" xfId="1233"/>
    <cellStyle name="쉼표 [0] 4 2 2 2 3 3 2" xfId="1234"/>
    <cellStyle name="쉼표 [0] 4 2 2 2 3 3 2 2" xfId="1235"/>
    <cellStyle name="쉼표 [0] 4 2 2 2 3 3 2 2 2" xfId="19046"/>
    <cellStyle name="쉼표 [0] 4 2 2 2 3 3 2 2 2 2" xfId="14075"/>
    <cellStyle name="쉼표 [0] 4 2 2 2 3 3 2 2 3" xfId="14076"/>
    <cellStyle name="쉼표 [0] 4 2 2 2 3 3 2 2 4" xfId="29166"/>
    <cellStyle name="쉼표 [0] 4 2 2 2 3 3 2 2 5" xfId="19045"/>
    <cellStyle name="쉼표 [0] 4 2 2 2 3 3 2 3" xfId="19047"/>
    <cellStyle name="쉼표 [0] 4 2 2 2 3 3 2 3 2" xfId="14074"/>
    <cellStyle name="쉼표 [0] 4 2 2 2 3 3 2 4" xfId="14077"/>
    <cellStyle name="쉼표 [0] 4 2 2 2 3 3 2 5" xfId="29167"/>
    <cellStyle name="쉼표 [0] 4 2 2 2 3 3 2 6" xfId="19044"/>
    <cellStyle name="쉼표 [0] 4 2 2 2 3 3 3" xfId="1236"/>
    <cellStyle name="쉼표 [0] 4 2 2 2 3 3 3 2" xfId="19049"/>
    <cellStyle name="쉼표 [0] 4 2 2 2 3 3 3 2 2" xfId="14072"/>
    <cellStyle name="쉼표 [0] 4 2 2 2 3 3 3 3" xfId="14073"/>
    <cellStyle name="쉼표 [0] 4 2 2 2 3 3 3 4" xfId="29165"/>
    <cellStyle name="쉼표 [0] 4 2 2 2 3 3 3 5" xfId="19048"/>
    <cellStyle name="쉼표 [0] 4 2 2 2 3 3 4" xfId="1237"/>
    <cellStyle name="쉼표 [0] 4 2 2 2 3 3 4 2" xfId="1238"/>
    <cellStyle name="쉼표 [0] 4 2 2 2 3 3 4 2 2" xfId="19052"/>
    <cellStyle name="쉼표 [0] 4 2 2 2 3 3 4 2 2 2" xfId="14069"/>
    <cellStyle name="쉼표 [0] 4 2 2 2 3 3 4 2 3" xfId="14070"/>
    <cellStyle name="쉼표 [0] 4 2 2 2 3 3 4 2 4" xfId="19051"/>
    <cellStyle name="쉼표 [0] 4 2 2 2 3 3 4 3" xfId="19053"/>
    <cellStyle name="쉼표 [0] 4 2 2 2 3 3 4 3 2" xfId="14068"/>
    <cellStyle name="쉼표 [0] 4 2 2 2 3 3 4 4" xfId="14071"/>
    <cellStyle name="쉼표 [0] 4 2 2 2 3 3 4 5" xfId="19050"/>
    <cellStyle name="쉼표 [0] 4 2 2 2 3 3 5" xfId="19054"/>
    <cellStyle name="쉼표 [0] 4 2 2 2 3 3 5 2" xfId="14067"/>
    <cellStyle name="쉼표 [0] 4 2 2 2 3 3 6" xfId="14078"/>
    <cellStyle name="쉼표 [0] 4 2 2 2 3 3 7" xfId="29168"/>
    <cellStyle name="쉼표 [0] 4 2 2 2 3 3 8" xfId="19043"/>
    <cellStyle name="쉼표 [0] 4 2 2 2 3 4" xfId="1239"/>
    <cellStyle name="쉼표 [0] 4 2 2 2 3 4 2" xfId="1240"/>
    <cellStyle name="쉼표 [0] 4 2 2 2 3 4 2 2" xfId="19057"/>
    <cellStyle name="쉼표 [0] 4 2 2 2 3 4 2 2 2" xfId="14064"/>
    <cellStyle name="쉼표 [0] 4 2 2 2 3 4 2 3" xfId="14065"/>
    <cellStyle name="쉼표 [0] 4 2 2 2 3 4 2 4" xfId="29163"/>
    <cellStyle name="쉼표 [0] 4 2 2 2 3 4 2 5" xfId="19056"/>
    <cellStyle name="쉼표 [0] 4 2 2 2 3 4 3" xfId="19058"/>
    <cellStyle name="쉼표 [0] 4 2 2 2 3 4 3 2" xfId="14063"/>
    <cellStyle name="쉼표 [0] 4 2 2 2 3 4 4" xfId="14066"/>
    <cellStyle name="쉼표 [0] 4 2 2 2 3 4 5" xfId="29164"/>
    <cellStyle name="쉼표 [0] 4 2 2 2 3 4 6" xfId="19055"/>
    <cellStyle name="쉼표 [0] 4 2 2 2 3 5" xfId="1241"/>
    <cellStyle name="쉼표 [0] 4 2 2 2 3 5 2" xfId="19060"/>
    <cellStyle name="쉼표 [0] 4 2 2 2 3 5 2 2" xfId="14061"/>
    <cellStyle name="쉼표 [0] 4 2 2 2 3 5 3" xfId="14062"/>
    <cellStyle name="쉼표 [0] 4 2 2 2 3 5 4" xfId="29162"/>
    <cellStyle name="쉼표 [0] 4 2 2 2 3 5 5" xfId="19059"/>
    <cellStyle name="쉼표 [0] 4 2 2 2 3 6" xfId="1242"/>
    <cellStyle name="쉼표 [0] 4 2 2 2 3 6 2" xfId="1243"/>
    <cellStyle name="쉼표 [0] 4 2 2 2 3 6 2 2" xfId="19063"/>
    <cellStyle name="쉼표 [0] 4 2 2 2 3 6 2 2 2" xfId="14058"/>
    <cellStyle name="쉼표 [0] 4 2 2 2 3 6 2 3" xfId="14059"/>
    <cellStyle name="쉼표 [0] 4 2 2 2 3 6 2 4" xfId="19062"/>
    <cellStyle name="쉼표 [0] 4 2 2 2 3 6 3" xfId="19064"/>
    <cellStyle name="쉼표 [0] 4 2 2 2 3 6 3 2" xfId="14057"/>
    <cellStyle name="쉼표 [0] 4 2 2 2 3 6 4" xfId="14060"/>
    <cellStyle name="쉼표 [0] 4 2 2 2 3 6 5" xfId="19061"/>
    <cellStyle name="쉼표 [0] 4 2 2 2 3 7" xfId="19065"/>
    <cellStyle name="쉼표 [0] 4 2 2 2 3 7 2" xfId="14056"/>
    <cellStyle name="쉼표 [0] 4 2 2 2 3 8" xfId="14087"/>
    <cellStyle name="쉼표 [0] 4 2 2 2 3 9" xfId="29171"/>
    <cellStyle name="쉼표 [0] 4 2 2 2 4" xfId="1244"/>
    <cellStyle name="쉼표 [0] 4 2 2 2 4 2" xfId="1245"/>
    <cellStyle name="쉼표 [0] 4 2 2 2 4 2 2" xfId="1246"/>
    <cellStyle name="쉼표 [0] 4 2 2 2 4 2 2 2" xfId="1247"/>
    <cellStyle name="쉼표 [0] 4 2 2 2 4 2 2 2 2" xfId="19070"/>
    <cellStyle name="쉼표 [0] 4 2 2 2 4 2 2 2 2 2" xfId="14051"/>
    <cellStyle name="쉼표 [0] 4 2 2 2 4 2 2 2 3" xfId="14052"/>
    <cellStyle name="쉼표 [0] 4 2 2 2 4 2 2 2 4" xfId="19069"/>
    <cellStyle name="쉼표 [0] 4 2 2 2 4 2 2 3" xfId="19071"/>
    <cellStyle name="쉼표 [0] 4 2 2 2 4 2 2 3 2" xfId="14050"/>
    <cellStyle name="쉼표 [0] 4 2 2 2 4 2 2 4" xfId="14053"/>
    <cellStyle name="쉼표 [0] 4 2 2 2 4 2 2 5" xfId="19068"/>
    <cellStyle name="쉼표 [0] 4 2 2 2 4 2 3" xfId="19072"/>
    <cellStyle name="쉼표 [0] 4 2 2 2 4 2 3 2" xfId="14049"/>
    <cellStyle name="쉼표 [0] 4 2 2 2 4 2 4" xfId="14054"/>
    <cellStyle name="쉼표 [0] 4 2 2 2 4 2 5" xfId="29160"/>
    <cellStyle name="쉼표 [0] 4 2 2 2 4 2 6" xfId="19067"/>
    <cellStyle name="쉼표 [0] 4 2 2 2 4 3" xfId="1248"/>
    <cellStyle name="쉼표 [0] 4 2 2 2 4 3 2" xfId="1249"/>
    <cellStyle name="쉼표 [0] 4 2 2 2 4 3 2 2" xfId="19075"/>
    <cellStyle name="쉼표 [0] 4 2 2 2 4 3 2 2 2" xfId="14046"/>
    <cellStyle name="쉼표 [0] 4 2 2 2 4 3 2 3" xfId="14047"/>
    <cellStyle name="쉼표 [0] 4 2 2 2 4 3 2 4" xfId="19074"/>
    <cellStyle name="쉼표 [0] 4 2 2 2 4 3 3" xfId="19076"/>
    <cellStyle name="쉼표 [0] 4 2 2 2 4 3 3 2" xfId="14045"/>
    <cellStyle name="쉼표 [0] 4 2 2 2 4 3 4" xfId="14048"/>
    <cellStyle name="쉼표 [0] 4 2 2 2 4 3 5" xfId="19073"/>
    <cellStyle name="쉼표 [0] 4 2 2 2 4 4" xfId="19077"/>
    <cellStyle name="쉼표 [0] 4 2 2 2 4 4 2" xfId="14044"/>
    <cellStyle name="쉼표 [0] 4 2 2 2 4 5" xfId="14055"/>
    <cellStyle name="쉼표 [0] 4 2 2 2 4 6" xfId="29161"/>
    <cellStyle name="쉼표 [0] 4 2 2 2 4 7" xfId="19066"/>
    <cellStyle name="쉼표 [0] 4 2 2 2 5" xfId="1250"/>
    <cellStyle name="쉼표 [0] 4 2 2 2 5 2" xfId="1251"/>
    <cellStyle name="쉼표 [0] 4 2 2 2 5 2 2" xfId="1252"/>
    <cellStyle name="쉼표 [0] 4 2 2 2 5 2 2 2" xfId="19081"/>
    <cellStyle name="쉼표 [0] 4 2 2 2 5 2 2 2 2" xfId="14040"/>
    <cellStyle name="쉼표 [0] 4 2 2 2 5 2 2 3" xfId="14041"/>
    <cellStyle name="쉼표 [0] 4 2 2 2 5 2 2 4" xfId="29157"/>
    <cellStyle name="쉼표 [0] 4 2 2 2 5 2 2 5" xfId="19080"/>
    <cellStyle name="쉼표 [0] 4 2 2 2 5 2 3" xfId="19082"/>
    <cellStyle name="쉼표 [0] 4 2 2 2 5 2 3 2" xfId="14039"/>
    <cellStyle name="쉼표 [0] 4 2 2 2 5 2 4" xfId="14042"/>
    <cellStyle name="쉼표 [0] 4 2 2 2 5 2 5" xfId="29158"/>
    <cellStyle name="쉼표 [0] 4 2 2 2 5 2 6" xfId="19079"/>
    <cellStyle name="쉼표 [0] 4 2 2 2 5 3" xfId="1253"/>
    <cellStyle name="쉼표 [0] 4 2 2 2 5 3 2" xfId="19084"/>
    <cellStyle name="쉼표 [0] 4 2 2 2 5 3 2 2" xfId="14037"/>
    <cellStyle name="쉼표 [0] 4 2 2 2 5 3 3" xfId="14038"/>
    <cellStyle name="쉼표 [0] 4 2 2 2 5 3 4" xfId="29156"/>
    <cellStyle name="쉼표 [0] 4 2 2 2 5 3 5" xfId="19083"/>
    <cellStyle name="쉼표 [0] 4 2 2 2 5 4" xfId="1254"/>
    <cellStyle name="쉼표 [0] 4 2 2 2 5 4 2" xfId="1255"/>
    <cellStyle name="쉼표 [0] 4 2 2 2 5 4 2 2" xfId="19087"/>
    <cellStyle name="쉼표 [0] 4 2 2 2 5 4 2 2 2" xfId="14034"/>
    <cellStyle name="쉼표 [0] 4 2 2 2 5 4 2 3" xfId="14035"/>
    <cellStyle name="쉼표 [0] 4 2 2 2 5 4 2 4" xfId="19086"/>
    <cellStyle name="쉼표 [0] 4 2 2 2 5 4 3" xfId="19088"/>
    <cellStyle name="쉼표 [0] 4 2 2 2 5 4 3 2" xfId="14033"/>
    <cellStyle name="쉼표 [0] 4 2 2 2 5 4 4" xfId="14036"/>
    <cellStyle name="쉼표 [0] 4 2 2 2 5 4 5" xfId="19085"/>
    <cellStyle name="쉼표 [0] 4 2 2 2 5 5" xfId="19089"/>
    <cellStyle name="쉼표 [0] 4 2 2 2 5 5 2" xfId="14032"/>
    <cellStyle name="쉼표 [0] 4 2 2 2 5 6" xfId="14043"/>
    <cellStyle name="쉼표 [0] 4 2 2 2 5 7" xfId="29159"/>
    <cellStyle name="쉼표 [0] 4 2 2 2 5 8" xfId="19078"/>
    <cellStyle name="쉼표 [0] 4 2 2 2 6" xfId="1256"/>
    <cellStyle name="쉼표 [0] 4 2 2 2 6 2" xfId="1257"/>
    <cellStyle name="쉼표 [0] 4 2 2 2 6 2 2" xfId="19092"/>
    <cellStyle name="쉼표 [0] 4 2 2 2 6 2 2 2" xfId="14029"/>
    <cellStyle name="쉼표 [0] 4 2 2 2 6 2 3" xfId="14030"/>
    <cellStyle name="쉼표 [0] 4 2 2 2 6 2 4" xfId="29154"/>
    <cellStyle name="쉼표 [0] 4 2 2 2 6 2 5" xfId="19091"/>
    <cellStyle name="쉼표 [0] 4 2 2 2 6 3" xfId="19093"/>
    <cellStyle name="쉼표 [0] 4 2 2 2 6 3 2" xfId="14028"/>
    <cellStyle name="쉼표 [0] 4 2 2 2 6 4" xfId="14031"/>
    <cellStyle name="쉼표 [0] 4 2 2 2 6 5" xfId="29155"/>
    <cellStyle name="쉼표 [0] 4 2 2 2 6 6" xfId="19090"/>
    <cellStyle name="쉼표 [0] 4 2 2 2 7" xfId="1258"/>
    <cellStyle name="쉼표 [0] 4 2 2 2 7 2" xfId="1259"/>
    <cellStyle name="쉼표 [0] 4 2 2 2 7 2 2" xfId="19096"/>
    <cellStyle name="쉼표 [0] 4 2 2 2 7 2 2 2" xfId="14025"/>
    <cellStyle name="쉼표 [0] 4 2 2 2 7 2 3" xfId="14026"/>
    <cellStyle name="쉼표 [0] 4 2 2 2 7 2 4" xfId="29152"/>
    <cellStyle name="쉼표 [0] 4 2 2 2 7 2 5" xfId="19095"/>
    <cellStyle name="쉼표 [0] 4 2 2 2 7 3" xfId="19097"/>
    <cellStyle name="쉼표 [0] 4 2 2 2 7 3 2" xfId="14024"/>
    <cellStyle name="쉼표 [0] 4 2 2 2 7 4" xfId="14027"/>
    <cellStyle name="쉼표 [0] 4 2 2 2 7 5" xfId="29153"/>
    <cellStyle name="쉼표 [0] 4 2 2 2 7 6" xfId="19094"/>
    <cellStyle name="쉼표 [0] 4 2 2 2 8" xfId="1260"/>
    <cellStyle name="쉼표 [0] 4 2 2 2 8 2" xfId="19099"/>
    <cellStyle name="쉼표 [0] 4 2 2 2 8 2 2" xfId="14022"/>
    <cellStyle name="쉼표 [0] 4 2 2 2 8 3" xfId="14023"/>
    <cellStyle name="쉼표 [0] 4 2 2 2 8 4" xfId="29151"/>
    <cellStyle name="쉼표 [0] 4 2 2 2 8 5" xfId="19098"/>
    <cellStyle name="쉼표 [0] 4 2 2 2 9" xfId="1261"/>
    <cellStyle name="쉼표 [0] 4 2 2 2 9 2" xfId="1262"/>
    <cellStyle name="쉼표 [0] 4 2 2 2 9 2 2" xfId="19102"/>
    <cellStyle name="쉼표 [0] 4 2 2 2 9 2 2 2" xfId="14019"/>
    <cellStyle name="쉼표 [0] 4 2 2 2 9 2 3" xfId="14020"/>
    <cellStyle name="쉼표 [0] 4 2 2 2 9 2 4" xfId="19101"/>
    <cellStyle name="쉼표 [0] 4 2 2 2 9 3" xfId="19103"/>
    <cellStyle name="쉼표 [0] 4 2 2 2 9 3 2" xfId="14018"/>
    <cellStyle name="쉼표 [0] 4 2 2 2 9 4" xfId="14021"/>
    <cellStyle name="쉼표 [0] 4 2 2 2 9 5" xfId="19100"/>
    <cellStyle name="쉼표 [0] 4 2 2 3" xfId="1263"/>
    <cellStyle name="쉼표 [0] 4 2 2 3 10" xfId="29797"/>
    <cellStyle name="쉼표 [0] 4 2 2 3 2" xfId="1264"/>
    <cellStyle name="쉼표 [0] 4 2 2 3 2 2" xfId="1265"/>
    <cellStyle name="쉼표 [0] 4 2 2 3 2 2 2" xfId="1266"/>
    <cellStyle name="쉼표 [0] 4 2 2 3 2 2 2 2" xfId="19108"/>
    <cellStyle name="쉼표 [0] 4 2 2 3 2 2 2 2 2" xfId="14013"/>
    <cellStyle name="쉼표 [0] 4 2 2 3 2 2 2 3" xfId="14014"/>
    <cellStyle name="쉼표 [0] 4 2 2 3 2 2 2 4" xfId="19107"/>
    <cellStyle name="쉼표 [0] 4 2 2 3 2 2 3" xfId="19109"/>
    <cellStyle name="쉼표 [0] 4 2 2 3 2 2 3 2" xfId="14012"/>
    <cellStyle name="쉼표 [0] 4 2 2 3 2 2 4" xfId="14015"/>
    <cellStyle name="쉼표 [0] 4 2 2 3 2 2 5" xfId="19106"/>
    <cellStyle name="쉼표 [0] 4 2 2 3 2 3" xfId="1267"/>
    <cellStyle name="쉼표 [0] 4 2 2 3 2 3 2" xfId="1268"/>
    <cellStyle name="쉼표 [0] 4 2 2 3 2 3 2 2" xfId="19112"/>
    <cellStyle name="쉼표 [0] 4 2 2 3 2 3 2 2 2" xfId="14009"/>
    <cellStyle name="쉼표 [0] 4 2 2 3 2 3 2 3" xfId="14010"/>
    <cellStyle name="쉼표 [0] 4 2 2 3 2 3 2 4" xfId="19111"/>
    <cellStyle name="쉼표 [0] 4 2 2 3 2 3 3" xfId="19113"/>
    <cellStyle name="쉼표 [0] 4 2 2 3 2 3 3 2" xfId="14008"/>
    <cellStyle name="쉼표 [0] 4 2 2 3 2 3 4" xfId="14011"/>
    <cellStyle name="쉼표 [0] 4 2 2 3 2 3 5" xfId="19110"/>
    <cellStyle name="쉼표 [0] 4 2 2 3 2 4" xfId="1269"/>
    <cellStyle name="쉼표 [0] 4 2 2 3 2 4 2" xfId="1270"/>
    <cellStyle name="쉼표 [0] 4 2 2 3 2 4 2 2" xfId="19116"/>
    <cellStyle name="쉼표 [0] 4 2 2 3 2 4 2 2 2" xfId="14005"/>
    <cellStyle name="쉼표 [0] 4 2 2 3 2 4 2 3" xfId="14006"/>
    <cellStyle name="쉼표 [0] 4 2 2 3 2 4 2 4" xfId="19115"/>
    <cellStyle name="쉼표 [0] 4 2 2 3 2 4 3" xfId="19117"/>
    <cellStyle name="쉼표 [0] 4 2 2 3 2 4 3 2" xfId="14004"/>
    <cellStyle name="쉼표 [0] 4 2 2 3 2 4 4" xfId="14007"/>
    <cellStyle name="쉼표 [0] 4 2 2 3 2 4 5" xfId="19114"/>
    <cellStyle name="쉼표 [0] 4 2 2 3 2 5" xfId="19118"/>
    <cellStyle name="쉼표 [0] 4 2 2 3 2 5 2" xfId="14003"/>
    <cellStyle name="쉼표 [0] 4 2 2 3 2 6" xfId="14016"/>
    <cellStyle name="쉼표 [0] 4 2 2 3 2 7" xfId="29149"/>
    <cellStyle name="쉼표 [0] 4 2 2 3 2 8" xfId="19105"/>
    <cellStyle name="쉼표 [0] 4 2 2 3 3" xfId="1271"/>
    <cellStyle name="쉼표 [0] 4 2 2 3 3 2" xfId="1272"/>
    <cellStyle name="쉼표 [0] 4 2 2 3 3 2 2" xfId="1273"/>
    <cellStyle name="쉼표 [0] 4 2 2 3 3 2 2 2" xfId="19122"/>
    <cellStyle name="쉼표 [0] 4 2 2 3 3 2 2 2 2" xfId="13999"/>
    <cellStyle name="쉼표 [0] 4 2 2 3 3 2 2 3" xfId="14000"/>
    <cellStyle name="쉼표 [0] 4 2 2 3 3 2 2 4" xfId="19121"/>
    <cellStyle name="쉼표 [0] 4 2 2 3 3 2 3" xfId="19123"/>
    <cellStyle name="쉼표 [0] 4 2 2 3 3 2 3 2" xfId="13998"/>
    <cellStyle name="쉼표 [0] 4 2 2 3 3 2 4" xfId="14001"/>
    <cellStyle name="쉼표 [0] 4 2 2 3 3 2 5" xfId="19120"/>
    <cellStyle name="쉼표 [0] 4 2 2 3 3 3" xfId="1274"/>
    <cellStyle name="쉼표 [0] 4 2 2 3 3 3 2" xfId="19125"/>
    <cellStyle name="쉼표 [0] 4 2 2 3 3 3 2 2" xfId="13996"/>
    <cellStyle name="쉼표 [0] 4 2 2 3 3 3 3" xfId="13997"/>
    <cellStyle name="쉼표 [0] 4 2 2 3 3 3 4" xfId="19124"/>
    <cellStyle name="쉼표 [0] 4 2 2 3 3 4" xfId="19126"/>
    <cellStyle name="쉼표 [0] 4 2 2 3 3 4 2" xfId="13995"/>
    <cellStyle name="쉼표 [0] 4 2 2 3 3 5" xfId="14002"/>
    <cellStyle name="쉼표 [0] 4 2 2 3 3 6" xfId="19119"/>
    <cellStyle name="쉼표 [0] 4 2 2 3 4" xfId="1275"/>
    <cellStyle name="쉼표 [0] 4 2 2 3 4 2" xfId="1276"/>
    <cellStyle name="쉼표 [0] 4 2 2 3 4 2 2" xfId="19129"/>
    <cellStyle name="쉼표 [0] 4 2 2 3 4 2 2 2" xfId="13992"/>
    <cellStyle name="쉼표 [0] 4 2 2 3 4 2 3" xfId="13993"/>
    <cellStyle name="쉼표 [0] 4 2 2 3 4 2 4" xfId="19128"/>
    <cellStyle name="쉼표 [0] 4 2 2 3 4 3" xfId="19130"/>
    <cellStyle name="쉼표 [0] 4 2 2 3 4 3 2" xfId="13991"/>
    <cellStyle name="쉼표 [0] 4 2 2 3 4 4" xfId="13994"/>
    <cellStyle name="쉼표 [0] 4 2 2 3 4 5" xfId="19127"/>
    <cellStyle name="쉼표 [0] 4 2 2 3 5" xfId="1277"/>
    <cellStyle name="쉼표 [0] 4 2 2 3 5 2" xfId="1278"/>
    <cellStyle name="쉼표 [0] 4 2 2 3 5 2 2" xfId="19133"/>
    <cellStyle name="쉼표 [0] 4 2 2 3 5 2 2 2" xfId="13988"/>
    <cellStyle name="쉼표 [0] 4 2 2 3 5 2 3" xfId="13989"/>
    <cellStyle name="쉼표 [0] 4 2 2 3 5 2 4" xfId="19132"/>
    <cellStyle name="쉼표 [0] 4 2 2 3 5 3" xfId="19134"/>
    <cellStyle name="쉼표 [0] 4 2 2 3 5 3 2" xfId="13987"/>
    <cellStyle name="쉼표 [0] 4 2 2 3 5 4" xfId="13990"/>
    <cellStyle name="쉼표 [0] 4 2 2 3 5 5" xfId="19131"/>
    <cellStyle name="쉼표 [0] 4 2 2 3 6" xfId="19135"/>
    <cellStyle name="쉼표 [0] 4 2 2 3 6 2" xfId="13986"/>
    <cellStyle name="쉼표 [0] 4 2 2 3 7" xfId="14017"/>
    <cellStyle name="쉼표 [0] 4 2 2 3 8" xfId="29150"/>
    <cellStyle name="쉼표 [0] 4 2 2 3 9" xfId="19104"/>
    <cellStyle name="쉼표 [0] 4 2 2 4" xfId="1279"/>
    <cellStyle name="쉼표 [0] 4 2 2 4 10" xfId="29148"/>
    <cellStyle name="쉼표 [0] 4 2 2 4 11" xfId="19136"/>
    <cellStyle name="쉼표 [0] 4 2 2 4 12" xfId="29705"/>
    <cellStyle name="쉼표 [0] 4 2 2 4 2" xfId="1280"/>
    <cellStyle name="쉼표 [0] 4 2 2 4 2 10" xfId="19137"/>
    <cellStyle name="쉼표 [0] 4 2 2 4 2 11" xfId="29498"/>
    <cellStyle name="쉼표 [0] 4 2 2 4 2 2" xfId="1281"/>
    <cellStyle name="쉼표 [0] 4 2 2 4 2 2 2" xfId="1282"/>
    <cellStyle name="쉼표 [0] 4 2 2 4 2 2 2 2" xfId="19140"/>
    <cellStyle name="쉼표 [0] 4 2 2 4 2 2 2 2 2" xfId="13981"/>
    <cellStyle name="쉼표 [0] 4 2 2 4 2 2 2 3" xfId="13982"/>
    <cellStyle name="쉼표 [0] 4 2 2 4 2 2 2 4" xfId="29145"/>
    <cellStyle name="쉼표 [0] 4 2 2 4 2 2 2 5" xfId="19139"/>
    <cellStyle name="쉼표 [0] 4 2 2 4 2 2 3" xfId="19141"/>
    <cellStyle name="쉼표 [0] 4 2 2 4 2 2 3 2" xfId="13980"/>
    <cellStyle name="쉼표 [0] 4 2 2 4 2 2 4" xfId="13983"/>
    <cellStyle name="쉼표 [0] 4 2 2 4 2 2 5" xfId="29146"/>
    <cellStyle name="쉼표 [0] 4 2 2 4 2 2 6" xfId="19138"/>
    <cellStyle name="쉼표 [0] 4 2 2 4 2 3" xfId="1283"/>
    <cellStyle name="쉼표 [0] 4 2 2 4 2 3 2" xfId="1284"/>
    <cellStyle name="쉼표 [0] 4 2 2 4 2 3 2 2" xfId="1285"/>
    <cellStyle name="쉼표 [0] 4 2 2 4 2 3 2 2 2" xfId="19145"/>
    <cellStyle name="쉼표 [0] 4 2 2 4 2 3 2 2 2 2" xfId="13976"/>
    <cellStyle name="쉼표 [0] 4 2 2 4 2 3 2 2 3" xfId="13977"/>
    <cellStyle name="쉼표 [0] 4 2 2 4 2 3 2 2 4" xfId="29142"/>
    <cellStyle name="쉼표 [0] 4 2 2 4 2 3 2 2 5" xfId="19144"/>
    <cellStyle name="쉼표 [0] 4 2 2 4 2 3 2 3" xfId="19146"/>
    <cellStyle name="쉼표 [0] 4 2 2 4 2 3 2 3 2" xfId="13975"/>
    <cellStyle name="쉼표 [0] 4 2 2 4 2 3 2 4" xfId="13978"/>
    <cellStyle name="쉼표 [0] 4 2 2 4 2 3 2 5" xfId="29143"/>
    <cellStyle name="쉼표 [0] 4 2 2 4 2 3 2 6" xfId="19143"/>
    <cellStyle name="쉼표 [0] 4 2 2 4 2 3 3" xfId="1286"/>
    <cellStyle name="쉼표 [0] 4 2 2 4 2 3 3 2" xfId="19148"/>
    <cellStyle name="쉼표 [0] 4 2 2 4 2 3 3 2 2" xfId="13973"/>
    <cellStyle name="쉼표 [0] 4 2 2 4 2 3 3 3" xfId="13974"/>
    <cellStyle name="쉼표 [0] 4 2 2 4 2 3 3 4" xfId="29141"/>
    <cellStyle name="쉼표 [0] 4 2 2 4 2 3 3 5" xfId="19147"/>
    <cellStyle name="쉼표 [0] 4 2 2 4 2 3 4" xfId="19149"/>
    <cellStyle name="쉼표 [0] 4 2 2 4 2 3 4 2" xfId="13972"/>
    <cellStyle name="쉼표 [0] 4 2 2 4 2 3 5" xfId="13979"/>
    <cellStyle name="쉼표 [0] 4 2 2 4 2 3 6" xfId="29144"/>
    <cellStyle name="쉼표 [0] 4 2 2 4 2 3 7" xfId="19142"/>
    <cellStyle name="쉼표 [0] 4 2 2 4 2 4" xfId="1287"/>
    <cellStyle name="쉼표 [0] 4 2 2 4 2 4 2" xfId="1288"/>
    <cellStyle name="쉼표 [0] 4 2 2 4 2 4 2 2" xfId="19152"/>
    <cellStyle name="쉼표 [0] 4 2 2 4 2 4 2 2 2" xfId="13969"/>
    <cellStyle name="쉼표 [0] 4 2 2 4 2 4 2 3" xfId="13970"/>
    <cellStyle name="쉼표 [0] 4 2 2 4 2 4 2 4" xfId="29139"/>
    <cellStyle name="쉼표 [0] 4 2 2 4 2 4 2 5" xfId="19151"/>
    <cellStyle name="쉼표 [0] 4 2 2 4 2 4 3" xfId="19153"/>
    <cellStyle name="쉼표 [0] 4 2 2 4 2 4 3 2" xfId="13968"/>
    <cellStyle name="쉼표 [0] 4 2 2 4 2 4 4" xfId="13971"/>
    <cellStyle name="쉼표 [0] 4 2 2 4 2 4 5" xfId="29140"/>
    <cellStyle name="쉼표 [0] 4 2 2 4 2 4 6" xfId="19150"/>
    <cellStyle name="쉼표 [0] 4 2 2 4 2 5" xfId="1289"/>
    <cellStyle name="쉼표 [0] 4 2 2 4 2 5 2" xfId="19155"/>
    <cellStyle name="쉼표 [0] 4 2 2 4 2 5 2 2" xfId="13966"/>
    <cellStyle name="쉼표 [0] 4 2 2 4 2 5 3" xfId="13967"/>
    <cellStyle name="쉼표 [0] 4 2 2 4 2 5 4" xfId="29138"/>
    <cellStyle name="쉼표 [0] 4 2 2 4 2 5 5" xfId="19154"/>
    <cellStyle name="쉼표 [0] 4 2 2 4 2 6" xfId="1290"/>
    <cellStyle name="쉼표 [0] 4 2 2 4 2 6 2" xfId="1291"/>
    <cellStyle name="쉼표 [0] 4 2 2 4 2 6 2 2" xfId="19158"/>
    <cellStyle name="쉼표 [0] 4 2 2 4 2 6 2 2 2" xfId="13963"/>
    <cellStyle name="쉼표 [0] 4 2 2 4 2 6 2 3" xfId="13964"/>
    <cellStyle name="쉼표 [0] 4 2 2 4 2 6 2 4" xfId="19157"/>
    <cellStyle name="쉼표 [0] 4 2 2 4 2 6 3" xfId="19159"/>
    <cellStyle name="쉼표 [0] 4 2 2 4 2 6 3 2" xfId="13962"/>
    <cellStyle name="쉼표 [0] 4 2 2 4 2 6 4" xfId="13965"/>
    <cellStyle name="쉼표 [0] 4 2 2 4 2 6 5" xfId="19156"/>
    <cellStyle name="쉼표 [0] 4 2 2 4 2 7" xfId="19160"/>
    <cellStyle name="쉼표 [0] 4 2 2 4 2 7 2" xfId="13961"/>
    <cellStyle name="쉼표 [0] 4 2 2 4 2 8" xfId="13984"/>
    <cellStyle name="쉼표 [0] 4 2 2 4 2 9" xfId="29147"/>
    <cellStyle name="쉼표 [0] 4 2 2 4 3" xfId="1292"/>
    <cellStyle name="쉼표 [0] 4 2 2 4 3 2" xfId="1293"/>
    <cellStyle name="쉼표 [0] 4 2 2 4 3 2 2" xfId="19163"/>
    <cellStyle name="쉼표 [0] 4 2 2 4 3 2 2 2" xfId="13958"/>
    <cellStyle name="쉼표 [0] 4 2 2 4 3 2 3" xfId="13959"/>
    <cellStyle name="쉼표 [0] 4 2 2 4 3 2 4" xfId="29136"/>
    <cellStyle name="쉼표 [0] 4 2 2 4 3 2 5" xfId="19162"/>
    <cellStyle name="쉼표 [0] 4 2 2 4 3 3" xfId="1294"/>
    <cellStyle name="쉼표 [0] 4 2 2 4 3 3 2" xfId="1295"/>
    <cellStyle name="쉼표 [0] 4 2 2 4 3 3 2 2" xfId="19166"/>
    <cellStyle name="쉼표 [0] 4 2 2 4 3 3 2 2 2" xfId="13955"/>
    <cellStyle name="쉼표 [0] 4 2 2 4 3 3 2 3" xfId="13956"/>
    <cellStyle name="쉼표 [0] 4 2 2 4 3 3 2 4" xfId="19165"/>
    <cellStyle name="쉼표 [0] 4 2 2 4 3 3 3" xfId="19167"/>
    <cellStyle name="쉼표 [0] 4 2 2 4 3 3 3 2" xfId="13954"/>
    <cellStyle name="쉼표 [0] 4 2 2 4 3 3 4" xfId="13957"/>
    <cellStyle name="쉼표 [0] 4 2 2 4 3 3 5" xfId="19164"/>
    <cellStyle name="쉼표 [0] 4 2 2 4 3 4" xfId="19168"/>
    <cellStyle name="쉼표 [0] 4 2 2 4 3 4 2" xfId="13953"/>
    <cellStyle name="쉼표 [0] 4 2 2 4 3 5" xfId="13960"/>
    <cellStyle name="쉼표 [0] 4 2 2 4 3 6" xfId="29137"/>
    <cellStyle name="쉼표 [0] 4 2 2 4 3 7" xfId="19161"/>
    <cellStyle name="쉼표 [0] 4 2 2 4 4" xfId="1296"/>
    <cellStyle name="쉼표 [0] 4 2 2 4 4 2" xfId="1297"/>
    <cellStyle name="쉼표 [0] 4 2 2 4 4 2 2" xfId="1298"/>
    <cellStyle name="쉼표 [0] 4 2 2 4 4 2 2 2" xfId="19172"/>
    <cellStyle name="쉼표 [0] 4 2 2 4 4 2 2 2 2" xfId="13949"/>
    <cellStyle name="쉼표 [0] 4 2 2 4 4 2 2 3" xfId="13950"/>
    <cellStyle name="쉼표 [0] 4 2 2 4 4 2 2 4" xfId="29133"/>
    <cellStyle name="쉼표 [0] 4 2 2 4 4 2 2 5" xfId="19171"/>
    <cellStyle name="쉼표 [0] 4 2 2 4 4 2 3" xfId="19173"/>
    <cellStyle name="쉼표 [0] 4 2 2 4 4 2 3 2" xfId="13948"/>
    <cellStyle name="쉼표 [0] 4 2 2 4 4 2 4" xfId="13951"/>
    <cellStyle name="쉼표 [0] 4 2 2 4 4 2 5" xfId="29134"/>
    <cellStyle name="쉼표 [0] 4 2 2 4 4 2 6" xfId="19170"/>
    <cellStyle name="쉼표 [0] 4 2 2 4 4 3" xfId="1299"/>
    <cellStyle name="쉼표 [0] 4 2 2 4 4 3 2" xfId="19175"/>
    <cellStyle name="쉼표 [0] 4 2 2 4 4 3 2 2" xfId="13946"/>
    <cellStyle name="쉼표 [0] 4 2 2 4 4 3 3" xfId="13947"/>
    <cellStyle name="쉼표 [0] 4 2 2 4 4 3 4" xfId="29132"/>
    <cellStyle name="쉼표 [0] 4 2 2 4 4 3 5" xfId="19174"/>
    <cellStyle name="쉼표 [0] 4 2 2 4 4 4" xfId="19176"/>
    <cellStyle name="쉼표 [0] 4 2 2 4 4 4 2" xfId="13945"/>
    <cellStyle name="쉼표 [0] 4 2 2 4 4 5" xfId="13952"/>
    <cellStyle name="쉼표 [0] 4 2 2 4 4 6" xfId="29135"/>
    <cellStyle name="쉼표 [0] 4 2 2 4 4 7" xfId="19169"/>
    <cellStyle name="쉼표 [0] 4 2 2 4 5" xfId="1300"/>
    <cellStyle name="쉼표 [0] 4 2 2 4 5 2" xfId="1301"/>
    <cellStyle name="쉼표 [0] 4 2 2 4 5 2 2" xfId="19179"/>
    <cellStyle name="쉼표 [0] 4 2 2 4 5 2 2 2" xfId="13942"/>
    <cellStyle name="쉼표 [0] 4 2 2 4 5 2 3" xfId="13943"/>
    <cellStyle name="쉼표 [0] 4 2 2 4 5 2 4" xfId="29130"/>
    <cellStyle name="쉼표 [0] 4 2 2 4 5 2 5" xfId="19178"/>
    <cellStyle name="쉼표 [0] 4 2 2 4 5 3" xfId="19180"/>
    <cellStyle name="쉼표 [0] 4 2 2 4 5 3 2" xfId="13941"/>
    <cellStyle name="쉼표 [0] 4 2 2 4 5 4" xfId="13944"/>
    <cellStyle name="쉼표 [0] 4 2 2 4 5 5" xfId="29131"/>
    <cellStyle name="쉼표 [0] 4 2 2 4 5 6" xfId="19177"/>
    <cellStyle name="쉼표 [0] 4 2 2 4 6" xfId="1302"/>
    <cellStyle name="쉼표 [0] 4 2 2 4 6 2" xfId="19182"/>
    <cellStyle name="쉼표 [0] 4 2 2 4 6 2 2" xfId="13939"/>
    <cellStyle name="쉼표 [0] 4 2 2 4 6 3" xfId="13940"/>
    <cellStyle name="쉼표 [0] 4 2 2 4 6 4" xfId="29129"/>
    <cellStyle name="쉼표 [0] 4 2 2 4 6 5" xfId="19181"/>
    <cellStyle name="쉼표 [0] 4 2 2 4 7" xfId="1303"/>
    <cellStyle name="쉼표 [0] 4 2 2 4 7 2" xfId="1304"/>
    <cellStyle name="쉼표 [0] 4 2 2 4 7 2 2" xfId="19185"/>
    <cellStyle name="쉼표 [0] 4 2 2 4 7 2 2 2" xfId="13936"/>
    <cellStyle name="쉼표 [0] 4 2 2 4 7 2 3" xfId="13937"/>
    <cellStyle name="쉼표 [0] 4 2 2 4 7 2 4" xfId="19184"/>
    <cellStyle name="쉼표 [0] 4 2 2 4 7 3" xfId="19186"/>
    <cellStyle name="쉼표 [0] 4 2 2 4 7 3 2" xfId="13935"/>
    <cellStyle name="쉼표 [0] 4 2 2 4 7 4" xfId="13938"/>
    <cellStyle name="쉼표 [0] 4 2 2 4 7 5" xfId="19183"/>
    <cellStyle name="쉼표 [0] 4 2 2 4 8" xfId="19187"/>
    <cellStyle name="쉼표 [0] 4 2 2 4 8 2" xfId="13934"/>
    <cellStyle name="쉼표 [0] 4 2 2 4 9" xfId="13985"/>
    <cellStyle name="쉼표 [0] 4 2 2 5" xfId="1305"/>
    <cellStyle name="쉼표 [0] 4 2 2 5 10" xfId="19188"/>
    <cellStyle name="쉼표 [0] 4 2 2 5 11" xfId="29713"/>
    <cellStyle name="쉼표 [0] 4 2 2 5 2" xfId="1306"/>
    <cellStyle name="쉼표 [0] 4 2 2 5 2 2" xfId="1307"/>
    <cellStyle name="쉼표 [0] 4 2 2 5 2 2 2" xfId="19191"/>
    <cellStyle name="쉼표 [0] 4 2 2 5 2 2 2 2" xfId="13930"/>
    <cellStyle name="쉼표 [0] 4 2 2 5 2 2 3" xfId="13931"/>
    <cellStyle name="쉼표 [0] 4 2 2 5 2 2 4" xfId="29126"/>
    <cellStyle name="쉼표 [0] 4 2 2 5 2 2 5" xfId="19190"/>
    <cellStyle name="쉼표 [0] 4 2 2 5 2 3" xfId="1308"/>
    <cellStyle name="쉼표 [0] 4 2 2 5 2 3 2" xfId="1309"/>
    <cellStyle name="쉼표 [0] 4 2 2 5 2 3 2 2" xfId="19194"/>
    <cellStyle name="쉼표 [0] 4 2 2 5 2 3 2 2 2" xfId="13927"/>
    <cellStyle name="쉼표 [0] 4 2 2 5 2 3 2 3" xfId="13928"/>
    <cellStyle name="쉼표 [0] 4 2 2 5 2 3 2 4" xfId="19193"/>
    <cellStyle name="쉼표 [0] 4 2 2 5 2 3 3" xfId="19195"/>
    <cellStyle name="쉼표 [0] 4 2 2 5 2 3 3 2" xfId="13926"/>
    <cellStyle name="쉼표 [0] 4 2 2 5 2 3 4" xfId="13929"/>
    <cellStyle name="쉼표 [0] 4 2 2 5 2 3 5" xfId="19192"/>
    <cellStyle name="쉼표 [0] 4 2 2 5 2 4" xfId="19196"/>
    <cellStyle name="쉼표 [0] 4 2 2 5 2 4 2" xfId="13925"/>
    <cellStyle name="쉼표 [0] 4 2 2 5 2 5" xfId="13932"/>
    <cellStyle name="쉼표 [0] 4 2 2 5 2 6" xfId="29127"/>
    <cellStyle name="쉼표 [0] 4 2 2 5 2 7" xfId="19189"/>
    <cellStyle name="쉼표 [0] 4 2 2 5 3" xfId="1310"/>
    <cellStyle name="쉼표 [0] 4 2 2 5 3 2" xfId="1311"/>
    <cellStyle name="쉼표 [0] 4 2 2 5 3 2 2" xfId="1312"/>
    <cellStyle name="쉼표 [0] 4 2 2 5 3 2 2 2" xfId="19200"/>
    <cellStyle name="쉼표 [0] 4 2 2 5 3 2 2 2 2" xfId="13921"/>
    <cellStyle name="쉼표 [0] 4 2 2 5 3 2 2 3" xfId="13922"/>
    <cellStyle name="쉼표 [0] 4 2 2 5 3 2 2 4" xfId="29123"/>
    <cellStyle name="쉼표 [0] 4 2 2 5 3 2 2 5" xfId="19199"/>
    <cellStyle name="쉼표 [0] 4 2 2 5 3 2 3" xfId="19201"/>
    <cellStyle name="쉼표 [0] 4 2 2 5 3 2 3 2" xfId="13920"/>
    <cellStyle name="쉼표 [0] 4 2 2 5 3 2 4" xfId="13923"/>
    <cellStyle name="쉼표 [0] 4 2 2 5 3 2 5" xfId="29124"/>
    <cellStyle name="쉼표 [0] 4 2 2 5 3 2 6" xfId="19198"/>
    <cellStyle name="쉼표 [0] 4 2 2 5 3 3" xfId="1313"/>
    <cellStyle name="쉼표 [0] 4 2 2 5 3 3 2" xfId="19203"/>
    <cellStyle name="쉼표 [0] 4 2 2 5 3 3 2 2" xfId="13918"/>
    <cellStyle name="쉼표 [0] 4 2 2 5 3 3 3" xfId="13919"/>
    <cellStyle name="쉼표 [0] 4 2 2 5 3 3 4" xfId="29122"/>
    <cellStyle name="쉼표 [0] 4 2 2 5 3 3 5" xfId="19202"/>
    <cellStyle name="쉼표 [0] 4 2 2 5 3 4" xfId="19204"/>
    <cellStyle name="쉼표 [0] 4 2 2 5 3 4 2" xfId="13917"/>
    <cellStyle name="쉼표 [0] 4 2 2 5 3 5" xfId="13924"/>
    <cellStyle name="쉼표 [0] 4 2 2 5 3 6" xfId="29125"/>
    <cellStyle name="쉼표 [0] 4 2 2 5 3 7" xfId="19197"/>
    <cellStyle name="쉼표 [0] 4 2 2 5 4" xfId="1314"/>
    <cellStyle name="쉼표 [0] 4 2 2 5 4 2" xfId="1315"/>
    <cellStyle name="쉼표 [0] 4 2 2 5 4 2 2" xfId="19207"/>
    <cellStyle name="쉼표 [0] 4 2 2 5 4 2 2 2" xfId="13914"/>
    <cellStyle name="쉼표 [0] 4 2 2 5 4 2 3" xfId="13915"/>
    <cellStyle name="쉼표 [0] 4 2 2 5 4 2 4" xfId="29120"/>
    <cellStyle name="쉼표 [0] 4 2 2 5 4 2 5" xfId="19206"/>
    <cellStyle name="쉼표 [0] 4 2 2 5 4 3" xfId="19208"/>
    <cellStyle name="쉼표 [0] 4 2 2 5 4 3 2" xfId="13913"/>
    <cellStyle name="쉼표 [0] 4 2 2 5 4 4" xfId="13916"/>
    <cellStyle name="쉼표 [0] 4 2 2 5 4 5" xfId="29121"/>
    <cellStyle name="쉼표 [0] 4 2 2 5 4 6" xfId="19205"/>
    <cellStyle name="쉼표 [0] 4 2 2 5 5" xfId="1316"/>
    <cellStyle name="쉼표 [0] 4 2 2 5 5 2" xfId="19210"/>
    <cellStyle name="쉼표 [0] 4 2 2 5 5 2 2" xfId="13911"/>
    <cellStyle name="쉼표 [0] 4 2 2 5 5 3" xfId="13912"/>
    <cellStyle name="쉼표 [0] 4 2 2 5 5 4" xfId="29119"/>
    <cellStyle name="쉼표 [0] 4 2 2 5 5 5" xfId="19209"/>
    <cellStyle name="쉼표 [0] 4 2 2 5 6" xfId="1317"/>
    <cellStyle name="쉼표 [0] 4 2 2 5 6 2" xfId="1318"/>
    <cellStyle name="쉼표 [0] 4 2 2 5 6 2 2" xfId="19213"/>
    <cellStyle name="쉼표 [0] 4 2 2 5 6 2 2 2" xfId="13908"/>
    <cellStyle name="쉼표 [0] 4 2 2 5 6 2 3" xfId="13909"/>
    <cellStyle name="쉼표 [0] 4 2 2 5 6 2 4" xfId="19212"/>
    <cellStyle name="쉼표 [0] 4 2 2 5 6 3" xfId="19214"/>
    <cellStyle name="쉼표 [0] 4 2 2 5 6 3 2" xfId="13907"/>
    <cellStyle name="쉼표 [0] 4 2 2 5 6 4" xfId="13910"/>
    <cellStyle name="쉼표 [0] 4 2 2 5 6 5" xfId="19211"/>
    <cellStyle name="쉼표 [0] 4 2 2 5 7" xfId="19215"/>
    <cellStyle name="쉼표 [0] 4 2 2 5 7 2" xfId="13906"/>
    <cellStyle name="쉼표 [0] 4 2 2 5 8" xfId="13933"/>
    <cellStyle name="쉼표 [0] 4 2 2 5 9" xfId="29128"/>
    <cellStyle name="쉼표 [0] 4 2 2 6" xfId="1319"/>
    <cellStyle name="쉼표 [0] 4 2 2 6 2" xfId="1320"/>
    <cellStyle name="쉼표 [0] 4 2 2 6 2 2" xfId="1321"/>
    <cellStyle name="쉼표 [0] 4 2 2 6 2 2 2" xfId="19219"/>
    <cellStyle name="쉼표 [0] 4 2 2 6 2 2 2 2" xfId="13902"/>
    <cellStyle name="쉼표 [0] 4 2 2 6 2 2 3" xfId="13903"/>
    <cellStyle name="쉼표 [0] 4 2 2 6 2 2 4" xfId="29116"/>
    <cellStyle name="쉼표 [0] 4 2 2 6 2 2 5" xfId="19218"/>
    <cellStyle name="쉼표 [0] 4 2 2 6 2 3" xfId="19220"/>
    <cellStyle name="쉼표 [0] 4 2 2 6 2 3 2" xfId="13901"/>
    <cellStyle name="쉼표 [0] 4 2 2 6 2 4" xfId="13904"/>
    <cellStyle name="쉼표 [0] 4 2 2 6 2 5" xfId="29117"/>
    <cellStyle name="쉼표 [0] 4 2 2 6 2 6" xfId="19217"/>
    <cellStyle name="쉼표 [0] 4 2 2 6 3" xfId="1322"/>
    <cellStyle name="쉼표 [0] 4 2 2 6 3 2" xfId="19222"/>
    <cellStyle name="쉼표 [0] 4 2 2 6 3 2 2" xfId="13899"/>
    <cellStyle name="쉼표 [0] 4 2 2 6 3 3" xfId="13900"/>
    <cellStyle name="쉼표 [0] 4 2 2 6 3 4" xfId="29115"/>
    <cellStyle name="쉼표 [0] 4 2 2 6 3 5" xfId="19221"/>
    <cellStyle name="쉼표 [0] 4 2 2 6 4" xfId="1323"/>
    <cellStyle name="쉼표 [0] 4 2 2 6 4 2" xfId="1324"/>
    <cellStyle name="쉼표 [0] 4 2 2 6 4 2 2" xfId="19225"/>
    <cellStyle name="쉼표 [0] 4 2 2 6 4 2 2 2" xfId="13896"/>
    <cellStyle name="쉼표 [0] 4 2 2 6 4 2 3" xfId="13897"/>
    <cellStyle name="쉼표 [0] 4 2 2 6 4 2 4" xfId="19224"/>
    <cellStyle name="쉼표 [0] 4 2 2 6 4 3" xfId="19226"/>
    <cellStyle name="쉼표 [0] 4 2 2 6 4 3 2" xfId="13895"/>
    <cellStyle name="쉼표 [0] 4 2 2 6 4 4" xfId="13898"/>
    <cellStyle name="쉼표 [0] 4 2 2 6 4 5" xfId="19223"/>
    <cellStyle name="쉼표 [0] 4 2 2 6 5" xfId="19227"/>
    <cellStyle name="쉼표 [0] 4 2 2 6 5 2" xfId="13894"/>
    <cellStyle name="쉼표 [0] 4 2 2 6 6" xfId="13905"/>
    <cellStyle name="쉼표 [0] 4 2 2 6 7" xfId="29118"/>
    <cellStyle name="쉼표 [0] 4 2 2 6 8" xfId="19216"/>
    <cellStyle name="쉼표 [0] 4 2 2 7" xfId="1325"/>
    <cellStyle name="쉼표 [0] 4 2 2 7 2" xfId="1326"/>
    <cellStyle name="쉼표 [0] 4 2 2 7 2 2" xfId="19230"/>
    <cellStyle name="쉼표 [0] 4 2 2 7 2 2 2" xfId="13891"/>
    <cellStyle name="쉼표 [0] 4 2 2 7 2 3" xfId="13892"/>
    <cellStyle name="쉼표 [0] 4 2 2 7 2 4" xfId="29113"/>
    <cellStyle name="쉼표 [0] 4 2 2 7 2 5" xfId="19229"/>
    <cellStyle name="쉼표 [0] 4 2 2 7 3" xfId="19231"/>
    <cellStyle name="쉼표 [0] 4 2 2 7 3 2" xfId="13890"/>
    <cellStyle name="쉼표 [0] 4 2 2 7 4" xfId="13893"/>
    <cellStyle name="쉼표 [0] 4 2 2 7 5" xfId="29114"/>
    <cellStyle name="쉼표 [0] 4 2 2 7 6" xfId="19228"/>
    <cellStyle name="쉼표 [0] 4 2 2 8" xfId="1327"/>
    <cellStyle name="쉼표 [0] 4 2 2 8 2" xfId="1328"/>
    <cellStyle name="쉼표 [0] 4 2 2 8 2 2" xfId="19234"/>
    <cellStyle name="쉼표 [0] 4 2 2 8 2 2 2" xfId="13887"/>
    <cellStyle name="쉼표 [0] 4 2 2 8 2 3" xfId="13888"/>
    <cellStyle name="쉼표 [0] 4 2 2 8 2 4" xfId="29111"/>
    <cellStyle name="쉼표 [0] 4 2 2 8 2 5" xfId="19233"/>
    <cellStyle name="쉼표 [0] 4 2 2 8 3" xfId="19235"/>
    <cellStyle name="쉼표 [0] 4 2 2 8 3 2" xfId="13886"/>
    <cellStyle name="쉼표 [0] 4 2 2 8 4" xfId="13889"/>
    <cellStyle name="쉼표 [0] 4 2 2 8 5" xfId="29112"/>
    <cellStyle name="쉼표 [0] 4 2 2 8 6" xfId="19232"/>
    <cellStyle name="쉼표 [0] 4 2 2 9" xfId="1329"/>
    <cellStyle name="쉼표 [0] 4 2 2 9 2" xfId="19237"/>
    <cellStyle name="쉼표 [0] 4 2 2 9 2 2" xfId="13884"/>
    <cellStyle name="쉼표 [0] 4 2 2 9 3" xfId="13885"/>
    <cellStyle name="쉼표 [0] 4 2 2 9 4" xfId="29110"/>
    <cellStyle name="쉼표 [0] 4 2 2 9 5" xfId="19236"/>
    <cellStyle name="쉼표 [0] 4 2 20" xfId="30930"/>
    <cellStyle name="쉼표 [0] 4 2 20 2" xfId="32283"/>
    <cellStyle name="쉼표 [0] 4 2 3" xfId="1330"/>
    <cellStyle name="쉼표 [0] 4 2 3 10" xfId="19239"/>
    <cellStyle name="쉼표 [0] 4 2 3 10 2" xfId="19240"/>
    <cellStyle name="쉼표 [0] 4 2 3 10 2 2" xfId="13881"/>
    <cellStyle name="쉼표 [0] 4 2 3 10 3" xfId="13882"/>
    <cellStyle name="쉼표 [0] 4 2 3 11" xfId="19241"/>
    <cellStyle name="쉼표 [0] 4 2 3 11 2" xfId="13880"/>
    <cellStyle name="쉼표 [0] 4 2 3 12" xfId="13883"/>
    <cellStyle name="쉼표 [0] 4 2 3 13" xfId="29109"/>
    <cellStyle name="쉼표 [0] 4 2 3 14" xfId="19238"/>
    <cellStyle name="쉼표 [0] 4 2 3 15" xfId="30319"/>
    <cellStyle name="쉼표 [0] 4 2 3 16" xfId="30993"/>
    <cellStyle name="쉼표 [0] 4 2 3 16 2" xfId="32344"/>
    <cellStyle name="쉼표 [0] 4 2 3 2" xfId="1331"/>
    <cellStyle name="쉼표 [0] 4 2 3 2 10" xfId="29108"/>
    <cellStyle name="쉼표 [0] 4 2 3 2 11" xfId="19242"/>
    <cellStyle name="쉼표 [0] 4 2 3 2 12" xfId="29829"/>
    <cellStyle name="쉼표 [0] 4 2 3 2 2" xfId="1332"/>
    <cellStyle name="쉼표 [0] 4 2 3 2 2 10" xfId="19243"/>
    <cellStyle name="쉼표 [0] 4 2 3 2 2 11" xfId="29743"/>
    <cellStyle name="쉼표 [0] 4 2 3 2 2 2" xfId="1333"/>
    <cellStyle name="쉼표 [0] 4 2 3 2 2 2 2" xfId="1334"/>
    <cellStyle name="쉼표 [0] 4 2 3 2 2 2 2 2" xfId="19246"/>
    <cellStyle name="쉼표 [0] 4 2 3 2 2 2 2 2 2" xfId="13875"/>
    <cellStyle name="쉼표 [0] 4 2 3 2 2 2 2 3" xfId="13876"/>
    <cellStyle name="쉼표 [0] 4 2 3 2 2 2 2 4" xfId="29105"/>
    <cellStyle name="쉼표 [0] 4 2 3 2 2 2 2 5" xfId="19245"/>
    <cellStyle name="쉼표 [0] 4 2 3 2 2 2 3" xfId="1335"/>
    <cellStyle name="쉼표 [0] 4 2 3 2 2 2 3 2" xfId="1336"/>
    <cellStyle name="쉼표 [0] 4 2 3 2 2 2 3 2 2" xfId="19249"/>
    <cellStyle name="쉼표 [0] 4 2 3 2 2 2 3 2 2 2" xfId="13872"/>
    <cellStyle name="쉼표 [0] 4 2 3 2 2 2 3 2 3" xfId="13873"/>
    <cellStyle name="쉼표 [0] 4 2 3 2 2 2 3 2 4" xfId="19248"/>
    <cellStyle name="쉼표 [0] 4 2 3 2 2 2 3 3" xfId="19250"/>
    <cellStyle name="쉼표 [0] 4 2 3 2 2 2 3 3 2" xfId="13871"/>
    <cellStyle name="쉼표 [0] 4 2 3 2 2 2 3 4" xfId="13874"/>
    <cellStyle name="쉼표 [0] 4 2 3 2 2 2 3 5" xfId="19247"/>
    <cellStyle name="쉼표 [0] 4 2 3 2 2 2 4" xfId="19251"/>
    <cellStyle name="쉼표 [0] 4 2 3 2 2 2 4 2" xfId="13870"/>
    <cellStyle name="쉼표 [0] 4 2 3 2 2 2 5" xfId="13877"/>
    <cellStyle name="쉼표 [0] 4 2 3 2 2 2 6" xfId="29106"/>
    <cellStyle name="쉼표 [0] 4 2 3 2 2 2 7" xfId="19244"/>
    <cellStyle name="쉼표 [0] 4 2 3 2 2 3" xfId="1337"/>
    <cellStyle name="쉼표 [0] 4 2 3 2 2 3 2" xfId="1338"/>
    <cellStyle name="쉼표 [0] 4 2 3 2 2 3 2 2" xfId="1339"/>
    <cellStyle name="쉼표 [0] 4 2 3 2 2 3 2 2 2" xfId="19255"/>
    <cellStyle name="쉼표 [0] 4 2 3 2 2 3 2 2 2 2" xfId="13866"/>
    <cellStyle name="쉼표 [0] 4 2 3 2 2 3 2 2 3" xfId="13867"/>
    <cellStyle name="쉼표 [0] 4 2 3 2 2 3 2 2 4" xfId="29102"/>
    <cellStyle name="쉼표 [0] 4 2 3 2 2 3 2 2 5" xfId="19254"/>
    <cellStyle name="쉼표 [0] 4 2 3 2 2 3 2 3" xfId="19256"/>
    <cellStyle name="쉼표 [0] 4 2 3 2 2 3 2 3 2" xfId="13865"/>
    <cellStyle name="쉼표 [0] 4 2 3 2 2 3 2 4" xfId="13868"/>
    <cellStyle name="쉼표 [0] 4 2 3 2 2 3 2 5" xfId="29103"/>
    <cellStyle name="쉼표 [0] 4 2 3 2 2 3 2 6" xfId="19253"/>
    <cellStyle name="쉼표 [0] 4 2 3 2 2 3 3" xfId="1340"/>
    <cellStyle name="쉼표 [0] 4 2 3 2 2 3 3 2" xfId="19258"/>
    <cellStyle name="쉼표 [0] 4 2 3 2 2 3 3 2 2" xfId="13863"/>
    <cellStyle name="쉼표 [0] 4 2 3 2 2 3 3 3" xfId="13864"/>
    <cellStyle name="쉼표 [0] 4 2 3 2 2 3 3 4" xfId="29101"/>
    <cellStyle name="쉼표 [0] 4 2 3 2 2 3 3 5" xfId="19257"/>
    <cellStyle name="쉼표 [0] 4 2 3 2 2 3 4" xfId="1341"/>
    <cellStyle name="쉼표 [0] 4 2 3 2 2 3 4 2" xfId="1342"/>
    <cellStyle name="쉼표 [0] 4 2 3 2 2 3 4 2 2" xfId="19261"/>
    <cellStyle name="쉼표 [0] 4 2 3 2 2 3 4 2 2 2" xfId="13860"/>
    <cellStyle name="쉼표 [0] 4 2 3 2 2 3 4 2 3" xfId="13861"/>
    <cellStyle name="쉼표 [0] 4 2 3 2 2 3 4 2 4" xfId="19260"/>
    <cellStyle name="쉼표 [0] 4 2 3 2 2 3 4 3" xfId="19262"/>
    <cellStyle name="쉼표 [0] 4 2 3 2 2 3 4 3 2" xfId="13859"/>
    <cellStyle name="쉼표 [0] 4 2 3 2 2 3 4 4" xfId="13862"/>
    <cellStyle name="쉼표 [0] 4 2 3 2 2 3 4 5" xfId="19259"/>
    <cellStyle name="쉼표 [0] 4 2 3 2 2 3 5" xfId="19263"/>
    <cellStyle name="쉼표 [0] 4 2 3 2 2 3 5 2" xfId="13858"/>
    <cellStyle name="쉼표 [0] 4 2 3 2 2 3 6" xfId="13869"/>
    <cellStyle name="쉼표 [0] 4 2 3 2 2 3 7" xfId="29104"/>
    <cellStyle name="쉼표 [0] 4 2 3 2 2 3 8" xfId="19252"/>
    <cellStyle name="쉼표 [0] 4 2 3 2 2 4" xfId="1343"/>
    <cellStyle name="쉼표 [0] 4 2 3 2 2 4 2" xfId="1344"/>
    <cellStyle name="쉼표 [0] 4 2 3 2 2 4 2 2" xfId="19266"/>
    <cellStyle name="쉼표 [0] 4 2 3 2 2 4 2 2 2" xfId="13855"/>
    <cellStyle name="쉼표 [0] 4 2 3 2 2 4 2 3" xfId="13856"/>
    <cellStyle name="쉼표 [0] 4 2 3 2 2 4 2 4" xfId="29099"/>
    <cellStyle name="쉼표 [0] 4 2 3 2 2 4 2 5" xfId="19265"/>
    <cellStyle name="쉼표 [0] 4 2 3 2 2 4 3" xfId="19267"/>
    <cellStyle name="쉼표 [0] 4 2 3 2 2 4 3 2" xfId="13854"/>
    <cellStyle name="쉼표 [0] 4 2 3 2 2 4 4" xfId="13857"/>
    <cellStyle name="쉼표 [0] 4 2 3 2 2 4 5" xfId="29100"/>
    <cellStyle name="쉼표 [0] 4 2 3 2 2 4 6" xfId="19264"/>
    <cellStyle name="쉼표 [0] 4 2 3 2 2 5" xfId="1345"/>
    <cellStyle name="쉼표 [0] 4 2 3 2 2 5 2" xfId="19269"/>
    <cellStyle name="쉼표 [0] 4 2 3 2 2 5 2 2" xfId="13852"/>
    <cellStyle name="쉼표 [0] 4 2 3 2 2 5 3" xfId="13853"/>
    <cellStyle name="쉼표 [0] 4 2 3 2 2 5 4" xfId="29098"/>
    <cellStyle name="쉼표 [0] 4 2 3 2 2 5 5" xfId="19268"/>
    <cellStyle name="쉼표 [0] 4 2 3 2 2 6" xfId="1346"/>
    <cellStyle name="쉼표 [0] 4 2 3 2 2 6 2" xfId="1347"/>
    <cellStyle name="쉼표 [0] 4 2 3 2 2 6 2 2" xfId="19272"/>
    <cellStyle name="쉼표 [0] 4 2 3 2 2 6 2 2 2" xfId="13849"/>
    <cellStyle name="쉼표 [0] 4 2 3 2 2 6 2 3" xfId="13850"/>
    <cellStyle name="쉼표 [0] 4 2 3 2 2 6 2 4" xfId="19271"/>
    <cellStyle name="쉼표 [0] 4 2 3 2 2 6 3" xfId="19273"/>
    <cellStyle name="쉼표 [0] 4 2 3 2 2 6 3 2" xfId="13848"/>
    <cellStyle name="쉼표 [0] 4 2 3 2 2 6 4" xfId="13851"/>
    <cellStyle name="쉼표 [0] 4 2 3 2 2 6 5" xfId="19270"/>
    <cellStyle name="쉼표 [0] 4 2 3 2 2 7" xfId="19274"/>
    <cellStyle name="쉼표 [0] 4 2 3 2 2 7 2" xfId="13847"/>
    <cellStyle name="쉼표 [0] 4 2 3 2 2 8" xfId="13878"/>
    <cellStyle name="쉼표 [0] 4 2 3 2 2 9" xfId="29107"/>
    <cellStyle name="쉼표 [0] 4 2 3 2 3" xfId="1348"/>
    <cellStyle name="쉼표 [0] 4 2 3 2 3 2" xfId="1349"/>
    <cellStyle name="쉼표 [0] 4 2 3 2 3 2 2" xfId="1350"/>
    <cellStyle name="쉼표 [0] 4 2 3 2 3 2 2 2" xfId="1351"/>
    <cellStyle name="쉼표 [0] 4 2 3 2 3 2 2 2 2" xfId="19279"/>
    <cellStyle name="쉼표 [0] 4 2 3 2 3 2 2 2 2 2" xfId="13842"/>
    <cellStyle name="쉼표 [0] 4 2 3 2 3 2 2 2 3" xfId="13843"/>
    <cellStyle name="쉼표 [0] 4 2 3 2 3 2 2 2 4" xfId="19278"/>
    <cellStyle name="쉼표 [0] 4 2 3 2 3 2 2 3" xfId="19280"/>
    <cellStyle name="쉼표 [0] 4 2 3 2 3 2 2 3 2" xfId="13841"/>
    <cellStyle name="쉼표 [0] 4 2 3 2 3 2 2 4" xfId="13844"/>
    <cellStyle name="쉼표 [0] 4 2 3 2 3 2 2 5" xfId="19277"/>
    <cellStyle name="쉼표 [0] 4 2 3 2 3 2 3" xfId="19281"/>
    <cellStyle name="쉼표 [0] 4 2 3 2 3 2 3 2" xfId="13840"/>
    <cellStyle name="쉼표 [0] 4 2 3 2 3 2 4" xfId="13845"/>
    <cellStyle name="쉼표 [0] 4 2 3 2 3 2 5" xfId="29096"/>
    <cellStyle name="쉼표 [0] 4 2 3 2 3 2 6" xfId="19276"/>
    <cellStyle name="쉼표 [0] 4 2 3 2 3 3" xfId="1352"/>
    <cellStyle name="쉼표 [0] 4 2 3 2 3 3 2" xfId="1353"/>
    <cellStyle name="쉼표 [0] 4 2 3 2 3 3 2 2" xfId="19284"/>
    <cellStyle name="쉼표 [0] 4 2 3 2 3 3 2 2 2" xfId="13837"/>
    <cellStyle name="쉼표 [0] 4 2 3 2 3 3 2 3" xfId="13838"/>
    <cellStyle name="쉼표 [0] 4 2 3 2 3 3 2 4" xfId="19283"/>
    <cellStyle name="쉼표 [0] 4 2 3 2 3 3 3" xfId="19285"/>
    <cellStyle name="쉼표 [0] 4 2 3 2 3 3 3 2" xfId="13836"/>
    <cellStyle name="쉼표 [0] 4 2 3 2 3 3 4" xfId="13839"/>
    <cellStyle name="쉼표 [0] 4 2 3 2 3 3 5" xfId="19282"/>
    <cellStyle name="쉼표 [0] 4 2 3 2 3 4" xfId="19286"/>
    <cellStyle name="쉼표 [0] 4 2 3 2 3 4 2" xfId="13835"/>
    <cellStyle name="쉼표 [0] 4 2 3 2 3 5" xfId="13846"/>
    <cellStyle name="쉼표 [0] 4 2 3 2 3 6" xfId="29097"/>
    <cellStyle name="쉼표 [0] 4 2 3 2 3 7" xfId="19275"/>
    <cellStyle name="쉼표 [0] 4 2 3 2 4" xfId="1354"/>
    <cellStyle name="쉼표 [0] 4 2 3 2 4 2" xfId="1355"/>
    <cellStyle name="쉼표 [0] 4 2 3 2 4 2 2" xfId="1356"/>
    <cellStyle name="쉼표 [0] 4 2 3 2 4 2 2 2" xfId="19290"/>
    <cellStyle name="쉼표 [0] 4 2 3 2 4 2 2 2 2" xfId="13831"/>
    <cellStyle name="쉼표 [0] 4 2 3 2 4 2 2 3" xfId="13832"/>
    <cellStyle name="쉼표 [0] 4 2 3 2 4 2 2 4" xfId="29093"/>
    <cellStyle name="쉼표 [0] 4 2 3 2 4 2 2 5" xfId="19289"/>
    <cellStyle name="쉼표 [0] 4 2 3 2 4 2 3" xfId="19291"/>
    <cellStyle name="쉼표 [0] 4 2 3 2 4 2 3 2" xfId="13830"/>
    <cellStyle name="쉼표 [0] 4 2 3 2 4 2 4" xfId="13833"/>
    <cellStyle name="쉼표 [0] 4 2 3 2 4 2 5" xfId="29094"/>
    <cellStyle name="쉼표 [0] 4 2 3 2 4 2 6" xfId="19288"/>
    <cellStyle name="쉼표 [0] 4 2 3 2 4 3" xfId="1357"/>
    <cellStyle name="쉼표 [0] 4 2 3 2 4 3 2" xfId="19293"/>
    <cellStyle name="쉼표 [0] 4 2 3 2 4 3 2 2" xfId="13828"/>
    <cellStyle name="쉼표 [0] 4 2 3 2 4 3 3" xfId="13829"/>
    <cellStyle name="쉼표 [0] 4 2 3 2 4 3 4" xfId="29092"/>
    <cellStyle name="쉼표 [0] 4 2 3 2 4 3 5" xfId="19292"/>
    <cellStyle name="쉼표 [0] 4 2 3 2 4 4" xfId="1358"/>
    <cellStyle name="쉼표 [0] 4 2 3 2 4 4 2" xfId="1359"/>
    <cellStyle name="쉼표 [0] 4 2 3 2 4 4 2 2" xfId="19296"/>
    <cellStyle name="쉼표 [0] 4 2 3 2 4 4 2 2 2" xfId="13825"/>
    <cellStyle name="쉼표 [0] 4 2 3 2 4 4 2 3" xfId="13826"/>
    <cellStyle name="쉼표 [0] 4 2 3 2 4 4 2 4" xfId="19295"/>
    <cellStyle name="쉼표 [0] 4 2 3 2 4 4 3" xfId="19297"/>
    <cellStyle name="쉼표 [0] 4 2 3 2 4 4 3 2" xfId="13824"/>
    <cellStyle name="쉼표 [0] 4 2 3 2 4 4 4" xfId="13827"/>
    <cellStyle name="쉼표 [0] 4 2 3 2 4 4 5" xfId="19294"/>
    <cellStyle name="쉼표 [0] 4 2 3 2 4 5" xfId="19298"/>
    <cellStyle name="쉼표 [0] 4 2 3 2 4 5 2" xfId="13823"/>
    <cellStyle name="쉼표 [0] 4 2 3 2 4 6" xfId="13834"/>
    <cellStyle name="쉼표 [0] 4 2 3 2 4 7" xfId="29095"/>
    <cellStyle name="쉼표 [0] 4 2 3 2 4 8" xfId="19287"/>
    <cellStyle name="쉼표 [0] 4 2 3 2 5" xfId="1360"/>
    <cellStyle name="쉼표 [0] 4 2 3 2 5 2" xfId="1361"/>
    <cellStyle name="쉼표 [0] 4 2 3 2 5 2 2" xfId="19301"/>
    <cellStyle name="쉼표 [0] 4 2 3 2 5 2 2 2" xfId="13820"/>
    <cellStyle name="쉼표 [0] 4 2 3 2 5 2 3" xfId="13821"/>
    <cellStyle name="쉼표 [0] 4 2 3 2 5 2 4" xfId="29090"/>
    <cellStyle name="쉼표 [0] 4 2 3 2 5 2 5" xfId="19300"/>
    <cellStyle name="쉼표 [0] 4 2 3 2 5 3" xfId="19302"/>
    <cellStyle name="쉼표 [0] 4 2 3 2 5 3 2" xfId="13819"/>
    <cellStyle name="쉼표 [0] 4 2 3 2 5 4" xfId="13822"/>
    <cellStyle name="쉼표 [0] 4 2 3 2 5 5" xfId="29091"/>
    <cellStyle name="쉼표 [0] 4 2 3 2 5 6" xfId="19299"/>
    <cellStyle name="쉼표 [0] 4 2 3 2 6" xfId="1362"/>
    <cellStyle name="쉼표 [0] 4 2 3 2 6 2" xfId="19304"/>
    <cellStyle name="쉼표 [0] 4 2 3 2 6 2 2" xfId="13817"/>
    <cellStyle name="쉼표 [0] 4 2 3 2 6 3" xfId="13818"/>
    <cellStyle name="쉼표 [0] 4 2 3 2 6 4" xfId="29089"/>
    <cellStyle name="쉼표 [0] 4 2 3 2 6 5" xfId="19303"/>
    <cellStyle name="쉼표 [0] 4 2 3 2 7" xfId="1363"/>
    <cellStyle name="쉼표 [0] 4 2 3 2 7 2" xfId="1364"/>
    <cellStyle name="쉼표 [0] 4 2 3 2 7 2 2" xfId="19307"/>
    <cellStyle name="쉼표 [0] 4 2 3 2 7 2 2 2" xfId="13814"/>
    <cellStyle name="쉼표 [0] 4 2 3 2 7 2 3" xfId="13815"/>
    <cellStyle name="쉼표 [0] 4 2 3 2 7 2 4" xfId="19306"/>
    <cellStyle name="쉼표 [0] 4 2 3 2 7 3" xfId="19308"/>
    <cellStyle name="쉼표 [0] 4 2 3 2 7 3 2" xfId="13813"/>
    <cellStyle name="쉼표 [0] 4 2 3 2 7 4" xfId="13816"/>
    <cellStyle name="쉼표 [0] 4 2 3 2 7 5" xfId="19305"/>
    <cellStyle name="쉼표 [0] 4 2 3 2 8" xfId="19309"/>
    <cellStyle name="쉼표 [0] 4 2 3 2 8 2" xfId="13812"/>
    <cellStyle name="쉼표 [0] 4 2 3 2 9" xfId="13879"/>
    <cellStyle name="쉼표 [0] 4 2 3 3" xfId="1365"/>
    <cellStyle name="쉼표 [0] 4 2 3 3 10" xfId="19310"/>
    <cellStyle name="쉼표 [0] 4 2 3 3 11" xfId="29700"/>
    <cellStyle name="쉼표 [0] 4 2 3 3 2" xfId="1366"/>
    <cellStyle name="쉼표 [0] 4 2 3 3 2 2" xfId="1367"/>
    <cellStyle name="쉼표 [0] 4 2 3 3 2 2 2" xfId="19313"/>
    <cellStyle name="쉼표 [0] 4 2 3 3 2 2 2 2" xfId="13808"/>
    <cellStyle name="쉼표 [0] 4 2 3 3 2 2 3" xfId="13809"/>
    <cellStyle name="쉼표 [0] 4 2 3 3 2 2 4" xfId="29086"/>
    <cellStyle name="쉼표 [0] 4 2 3 3 2 2 5" xfId="19312"/>
    <cellStyle name="쉼표 [0] 4 2 3 3 2 3" xfId="1368"/>
    <cellStyle name="쉼표 [0] 4 2 3 3 2 3 2" xfId="1369"/>
    <cellStyle name="쉼표 [0] 4 2 3 3 2 3 2 2" xfId="19316"/>
    <cellStyle name="쉼표 [0] 4 2 3 3 2 3 2 2 2" xfId="13805"/>
    <cellStyle name="쉼표 [0] 4 2 3 3 2 3 2 3" xfId="13806"/>
    <cellStyle name="쉼표 [0] 4 2 3 3 2 3 2 4" xfId="19315"/>
    <cellStyle name="쉼표 [0] 4 2 3 3 2 3 3" xfId="19317"/>
    <cellStyle name="쉼표 [0] 4 2 3 3 2 3 3 2" xfId="13804"/>
    <cellStyle name="쉼표 [0] 4 2 3 3 2 3 4" xfId="13807"/>
    <cellStyle name="쉼표 [0] 4 2 3 3 2 3 5" xfId="19314"/>
    <cellStyle name="쉼표 [0] 4 2 3 3 2 4" xfId="19318"/>
    <cellStyle name="쉼표 [0] 4 2 3 3 2 4 2" xfId="13803"/>
    <cellStyle name="쉼표 [0] 4 2 3 3 2 5" xfId="13810"/>
    <cellStyle name="쉼표 [0] 4 2 3 3 2 6" xfId="29087"/>
    <cellStyle name="쉼표 [0] 4 2 3 3 2 7" xfId="19311"/>
    <cellStyle name="쉼표 [0] 4 2 3 3 3" xfId="1370"/>
    <cellStyle name="쉼표 [0] 4 2 3 3 3 2" xfId="1371"/>
    <cellStyle name="쉼표 [0] 4 2 3 3 3 2 2" xfId="1372"/>
    <cellStyle name="쉼표 [0] 4 2 3 3 3 2 2 2" xfId="19322"/>
    <cellStyle name="쉼표 [0] 4 2 3 3 3 2 2 2 2" xfId="13799"/>
    <cellStyle name="쉼표 [0] 4 2 3 3 3 2 2 3" xfId="13800"/>
    <cellStyle name="쉼표 [0] 4 2 3 3 3 2 2 4" xfId="29083"/>
    <cellStyle name="쉼표 [0] 4 2 3 3 3 2 2 5" xfId="19321"/>
    <cellStyle name="쉼표 [0] 4 2 3 3 3 2 3" xfId="19323"/>
    <cellStyle name="쉼표 [0] 4 2 3 3 3 2 3 2" xfId="13798"/>
    <cellStyle name="쉼표 [0] 4 2 3 3 3 2 4" xfId="13801"/>
    <cellStyle name="쉼표 [0] 4 2 3 3 3 2 5" xfId="29084"/>
    <cellStyle name="쉼표 [0] 4 2 3 3 3 2 6" xfId="19320"/>
    <cellStyle name="쉼표 [0] 4 2 3 3 3 3" xfId="1373"/>
    <cellStyle name="쉼표 [0] 4 2 3 3 3 3 2" xfId="19325"/>
    <cellStyle name="쉼표 [0] 4 2 3 3 3 3 2 2" xfId="13796"/>
    <cellStyle name="쉼표 [0] 4 2 3 3 3 3 3" xfId="13797"/>
    <cellStyle name="쉼표 [0] 4 2 3 3 3 3 4" xfId="29082"/>
    <cellStyle name="쉼표 [0] 4 2 3 3 3 3 5" xfId="19324"/>
    <cellStyle name="쉼표 [0] 4 2 3 3 3 4" xfId="1374"/>
    <cellStyle name="쉼표 [0] 4 2 3 3 3 4 2" xfId="1375"/>
    <cellStyle name="쉼표 [0] 4 2 3 3 3 4 2 2" xfId="19328"/>
    <cellStyle name="쉼표 [0] 4 2 3 3 3 4 2 2 2" xfId="13793"/>
    <cellStyle name="쉼표 [0] 4 2 3 3 3 4 2 3" xfId="13794"/>
    <cellStyle name="쉼표 [0] 4 2 3 3 3 4 2 4" xfId="19327"/>
    <cellStyle name="쉼표 [0] 4 2 3 3 3 4 3" xfId="19329"/>
    <cellStyle name="쉼표 [0] 4 2 3 3 3 4 3 2" xfId="13792"/>
    <cellStyle name="쉼표 [0] 4 2 3 3 3 4 4" xfId="13795"/>
    <cellStyle name="쉼표 [0] 4 2 3 3 3 4 5" xfId="19326"/>
    <cellStyle name="쉼표 [0] 4 2 3 3 3 5" xfId="19330"/>
    <cellStyle name="쉼표 [0] 4 2 3 3 3 5 2" xfId="13791"/>
    <cellStyle name="쉼표 [0] 4 2 3 3 3 6" xfId="13802"/>
    <cellStyle name="쉼표 [0] 4 2 3 3 3 7" xfId="29085"/>
    <cellStyle name="쉼표 [0] 4 2 3 3 3 8" xfId="19319"/>
    <cellStyle name="쉼표 [0] 4 2 3 3 4" xfId="1376"/>
    <cellStyle name="쉼표 [0] 4 2 3 3 4 2" xfId="1377"/>
    <cellStyle name="쉼표 [0] 4 2 3 3 4 2 2" xfId="19333"/>
    <cellStyle name="쉼표 [0] 4 2 3 3 4 2 2 2" xfId="13788"/>
    <cellStyle name="쉼표 [0] 4 2 3 3 4 2 3" xfId="13789"/>
    <cellStyle name="쉼표 [0] 4 2 3 3 4 2 4" xfId="29080"/>
    <cellStyle name="쉼표 [0] 4 2 3 3 4 2 5" xfId="19332"/>
    <cellStyle name="쉼표 [0] 4 2 3 3 4 3" xfId="19334"/>
    <cellStyle name="쉼표 [0] 4 2 3 3 4 3 2" xfId="13787"/>
    <cellStyle name="쉼표 [0] 4 2 3 3 4 4" xfId="13790"/>
    <cellStyle name="쉼표 [0] 4 2 3 3 4 5" xfId="29081"/>
    <cellStyle name="쉼표 [0] 4 2 3 3 4 6" xfId="19331"/>
    <cellStyle name="쉼표 [0] 4 2 3 3 5" xfId="1378"/>
    <cellStyle name="쉼표 [0] 4 2 3 3 5 2" xfId="19336"/>
    <cellStyle name="쉼표 [0] 4 2 3 3 5 2 2" xfId="13785"/>
    <cellStyle name="쉼표 [0] 4 2 3 3 5 3" xfId="13786"/>
    <cellStyle name="쉼표 [0] 4 2 3 3 5 4" xfId="29079"/>
    <cellStyle name="쉼표 [0] 4 2 3 3 5 5" xfId="19335"/>
    <cellStyle name="쉼표 [0] 4 2 3 3 6" xfId="1379"/>
    <cellStyle name="쉼표 [0] 4 2 3 3 6 2" xfId="1380"/>
    <cellStyle name="쉼표 [0] 4 2 3 3 6 2 2" xfId="19339"/>
    <cellStyle name="쉼표 [0] 4 2 3 3 6 2 2 2" xfId="13782"/>
    <cellStyle name="쉼표 [0] 4 2 3 3 6 2 3" xfId="13783"/>
    <cellStyle name="쉼표 [0] 4 2 3 3 6 2 4" xfId="19338"/>
    <cellStyle name="쉼표 [0] 4 2 3 3 6 3" xfId="19340"/>
    <cellStyle name="쉼표 [0] 4 2 3 3 6 3 2" xfId="13781"/>
    <cellStyle name="쉼표 [0] 4 2 3 3 6 4" xfId="13784"/>
    <cellStyle name="쉼표 [0] 4 2 3 3 6 5" xfId="19337"/>
    <cellStyle name="쉼표 [0] 4 2 3 3 7" xfId="19341"/>
    <cellStyle name="쉼표 [0] 4 2 3 3 7 2" xfId="13780"/>
    <cellStyle name="쉼표 [0] 4 2 3 3 8" xfId="13811"/>
    <cellStyle name="쉼표 [0] 4 2 3 3 9" xfId="29088"/>
    <cellStyle name="쉼표 [0] 4 2 3 4" xfId="1381"/>
    <cellStyle name="쉼표 [0] 4 2 3 4 2" xfId="1382"/>
    <cellStyle name="쉼표 [0] 4 2 3 4 2 2" xfId="1383"/>
    <cellStyle name="쉼표 [0] 4 2 3 4 2 2 2" xfId="1384"/>
    <cellStyle name="쉼표 [0] 4 2 3 4 2 2 2 2" xfId="19346"/>
    <cellStyle name="쉼표 [0] 4 2 3 4 2 2 2 2 2" xfId="13775"/>
    <cellStyle name="쉼표 [0] 4 2 3 4 2 2 2 3" xfId="13776"/>
    <cellStyle name="쉼표 [0] 4 2 3 4 2 2 2 4" xfId="19345"/>
    <cellStyle name="쉼표 [0] 4 2 3 4 2 2 3" xfId="19347"/>
    <cellStyle name="쉼표 [0] 4 2 3 4 2 2 3 2" xfId="13774"/>
    <cellStyle name="쉼표 [0] 4 2 3 4 2 2 4" xfId="13777"/>
    <cellStyle name="쉼표 [0] 4 2 3 4 2 2 5" xfId="19344"/>
    <cellStyle name="쉼표 [0] 4 2 3 4 2 3" xfId="19348"/>
    <cellStyle name="쉼표 [0] 4 2 3 4 2 3 2" xfId="13773"/>
    <cellStyle name="쉼표 [0] 4 2 3 4 2 4" xfId="13778"/>
    <cellStyle name="쉼표 [0] 4 2 3 4 2 5" xfId="29077"/>
    <cellStyle name="쉼표 [0] 4 2 3 4 2 6" xfId="19343"/>
    <cellStyle name="쉼표 [0] 4 2 3 4 3" xfId="1385"/>
    <cellStyle name="쉼표 [0] 4 2 3 4 3 2" xfId="1386"/>
    <cellStyle name="쉼표 [0] 4 2 3 4 3 2 2" xfId="19351"/>
    <cellStyle name="쉼표 [0] 4 2 3 4 3 2 2 2" xfId="13770"/>
    <cellStyle name="쉼표 [0] 4 2 3 4 3 2 3" xfId="13771"/>
    <cellStyle name="쉼표 [0] 4 2 3 4 3 2 4" xfId="19350"/>
    <cellStyle name="쉼표 [0] 4 2 3 4 3 3" xfId="19352"/>
    <cellStyle name="쉼표 [0] 4 2 3 4 3 3 2" xfId="13769"/>
    <cellStyle name="쉼표 [0] 4 2 3 4 3 4" xfId="13772"/>
    <cellStyle name="쉼표 [0] 4 2 3 4 3 5" xfId="19349"/>
    <cellStyle name="쉼표 [0] 4 2 3 4 4" xfId="19353"/>
    <cellStyle name="쉼표 [0] 4 2 3 4 4 2" xfId="13768"/>
    <cellStyle name="쉼표 [0] 4 2 3 4 5" xfId="13779"/>
    <cellStyle name="쉼표 [0] 4 2 3 4 6" xfId="29078"/>
    <cellStyle name="쉼표 [0] 4 2 3 4 7" xfId="19342"/>
    <cellStyle name="쉼표 [0] 4 2 3 5" xfId="1387"/>
    <cellStyle name="쉼표 [0] 4 2 3 5 2" xfId="1388"/>
    <cellStyle name="쉼표 [0] 4 2 3 5 2 2" xfId="1389"/>
    <cellStyle name="쉼표 [0] 4 2 3 5 2 2 2" xfId="19357"/>
    <cellStyle name="쉼표 [0] 4 2 3 5 2 2 2 2" xfId="13764"/>
    <cellStyle name="쉼표 [0] 4 2 3 5 2 2 3" xfId="13765"/>
    <cellStyle name="쉼표 [0] 4 2 3 5 2 2 4" xfId="29074"/>
    <cellStyle name="쉼표 [0] 4 2 3 5 2 2 5" xfId="19356"/>
    <cellStyle name="쉼표 [0] 4 2 3 5 2 3" xfId="19358"/>
    <cellStyle name="쉼표 [0] 4 2 3 5 2 3 2" xfId="13763"/>
    <cellStyle name="쉼표 [0] 4 2 3 5 2 4" xfId="13766"/>
    <cellStyle name="쉼표 [0] 4 2 3 5 2 5" xfId="29075"/>
    <cellStyle name="쉼표 [0] 4 2 3 5 2 6" xfId="19355"/>
    <cellStyle name="쉼표 [0] 4 2 3 5 3" xfId="1390"/>
    <cellStyle name="쉼표 [0] 4 2 3 5 3 2" xfId="19360"/>
    <cellStyle name="쉼표 [0] 4 2 3 5 3 2 2" xfId="13761"/>
    <cellStyle name="쉼표 [0] 4 2 3 5 3 3" xfId="13762"/>
    <cellStyle name="쉼표 [0] 4 2 3 5 3 4" xfId="29073"/>
    <cellStyle name="쉼표 [0] 4 2 3 5 3 5" xfId="19359"/>
    <cellStyle name="쉼표 [0] 4 2 3 5 4" xfId="1391"/>
    <cellStyle name="쉼표 [0] 4 2 3 5 4 2" xfId="1392"/>
    <cellStyle name="쉼표 [0] 4 2 3 5 4 2 2" xfId="19363"/>
    <cellStyle name="쉼표 [0] 4 2 3 5 4 2 2 2" xfId="13758"/>
    <cellStyle name="쉼표 [0] 4 2 3 5 4 2 3" xfId="13759"/>
    <cellStyle name="쉼표 [0] 4 2 3 5 4 2 4" xfId="19362"/>
    <cellStyle name="쉼표 [0] 4 2 3 5 4 3" xfId="19364"/>
    <cellStyle name="쉼표 [0] 4 2 3 5 4 3 2" xfId="13757"/>
    <cellStyle name="쉼표 [0] 4 2 3 5 4 4" xfId="13760"/>
    <cellStyle name="쉼표 [0] 4 2 3 5 4 5" xfId="19361"/>
    <cellStyle name="쉼표 [0] 4 2 3 5 5" xfId="19365"/>
    <cellStyle name="쉼표 [0] 4 2 3 5 5 2" xfId="13756"/>
    <cellStyle name="쉼표 [0] 4 2 3 5 6" xfId="13767"/>
    <cellStyle name="쉼표 [0] 4 2 3 5 7" xfId="29076"/>
    <cellStyle name="쉼표 [0] 4 2 3 5 8" xfId="19354"/>
    <cellStyle name="쉼표 [0] 4 2 3 6" xfId="1393"/>
    <cellStyle name="쉼표 [0] 4 2 3 6 2" xfId="1394"/>
    <cellStyle name="쉼표 [0] 4 2 3 6 2 2" xfId="19368"/>
    <cellStyle name="쉼표 [0] 4 2 3 6 2 2 2" xfId="13753"/>
    <cellStyle name="쉼표 [0] 4 2 3 6 2 3" xfId="13754"/>
    <cellStyle name="쉼표 [0] 4 2 3 6 2 4" xfId="29071"/>
    <cellStyle name="쉼표 [0] 4 2 3 6 2 5" xfId="19367"/>
    <cellStyle name="쉼표 [0] 4 2 3 6 3" xfId="19369"/>
    <cellStyle name="쉼표 [0] 4 2 3 6 3 2" xfId="13752"/>
    <cellStyle name="쉼표 [0] 4 2 3 6 4" xfId="13755"/>
    <cellStyle name="쉼표 [0] 4 2 3 6 5" xfId="29072"/>
    <cellStyle name="쉼표 [0] 4 2 3 6 6" xfId="19366"/>
    <cellStyle name="쉼표 [0] 4 2 3 7" xfId="1395"/>
    <cellStyle name="쉼표 [0] 4 2 3 7 2" xfId="1396"/>
    <cellStyle name="쉼표 [0] 4 2 3 7 2 2" xfId="19372"/>
    <cellStyle name="쉼표 [0] 4 2 3 7 2 2 2" xfId="13749"/>
    <cellStyle name="쉼표 [0] 4 2 3 7 2 3" xfId="13750"/>
    <cellStyle name="쉼표 [0] 4 2 3 7 2 4" xfId="29069"/>
    <cellStyle name="쉼표 [0] 4 2 3 7 2 5" xfId="19371"/>
    <cellStyle name="쉼표 [0] 4 2 3 7 3" xfId="19373"/>
    <cellStyle name="쉼표 [0] 4 2 3 7 3 2" xfId="13748"/>
    <cellStyle name="쉼표 [0] 4 2 3 7 4" xfId="13751"/>
    <cellStyle name="쉼표 [0] 4 2 3 7 5" xfId="29070"/>
    <cellStyle name="쉼표 [0] 4 2 3 7 6" xfId="19370"/>
    <cellStyle name="쉼표 [0] 4 2 3 8" xfId="1397"/>
    <cellStyle name="쉼표 [0] 4 2 3 8 2" xfId="19375"/>
    <cellStyle name="쉼표 [0] 4 2 3 8 2 2" xfId="13746"/>
    <cellStyle name="쉼표 [0] 4 2 3 8 3" xfId="13747"/>
    <cellStyle name="쉼표 [0] 4 2 3 8 4" xfId="29068"/>
    <cellStyle name="쉼표 [0] 4 2 3 8 5" xfId="19374"/>
    <cellStyle name="쉼표 [0] 4 2 3 9" xfId="1398"/>
    <cellStyle name="쉼표 [0] 4 2 3 9 2" xfId="1399"/>
    <cellStyle name="쉼표 [0] 4 2 3 9 2 2" xfId="19378"/>
    <cellStyle name="쉼표 [0] 4 2 3 9 2 2 2" xfId="13743"/>
    <cellStyle name="쉼표 [0] 4 2 3 9 2 3" xfId="13744"/>
    <cellStyle name="쉼표 [0] 4 2 3 9 2 4" xfId="19377"/>
    <cellStyle name="쉼표 [0] 4 2 3 9 3" xfId="19379"/>
    <cellStyle name="쉼표 [0] 4 2 3 9 3 2" xfId="13742"/>
    <cellStyle name="쉼표 [0] 4 2 3 9 4" xfId="13745"/>
    <cellStyle name="쉼표 [0] 4 2 3 9 5" xfId="19376"/>
    <cellStyle name="쉼표 [0] 4 2 4" xfId="1400"/>
    <cellStyle name="쉼표 [0] 4 2 4 10" xfId="19381"/>
    <cellStyle name="쉼표 [0] 4 2 4 10 2" xfId="13740"/>
    <cellStyle name="쉼표 [0] 4 2 4 11" xfId="13741"/>
    <cellStyle name="쉼표 [0] 4 2 4 12" xfId="29067"/>
    <cellStyle name="쉼표 [0] 4 2 4 13" xfId="19380"/>
    <cellStyle name="쉼표 [0] 4 2 4 14" xfId="29559"/>
    <cellStyle name="쉼표 [0] 4 2 4 2" xfId="1401"/>
    <cellStyle name="쉼표 [0] 4 2 4 2 10" xfId="29066"/>
    <cellStyle name="쉼표 [0] 4 2 4 2 11" xfId="19382"/>
    <cellStyle name="쉼표 [0] 4 2 4 2 12" xfId="29704"/>
    <cellStyle name="쉼표 [0] 4 2 4 2 2" xfId="1402"/>
    <cellStyle name="쉼표 [0] 4 2 4 2 2 10" xfId="19383"/>
    <cellStyle name="쉼표 [0] 4 2 4 2 2 11" xfId="29538"/>
    <cellStyle name="쉼표 [0] 4 2 4 2 2 2" xfId="1403"/>
    <cellStyle name="쉼표 [0] 4 2 4 2 2 2 2" xfId="1404"/>
    <cellStyle name="쉼표 [0] 4 2 4 2 2 2 2 2" xfId="19386"/>
    <cellStyle name="쉼표 [0] 4 2 4 2 2 2 2 2 2" xfId="13735"/>
    <cellStyle name="쉼표 [0] 4 2 4 2 2 2 2 3" xfId="13736"/>
    <cellStyle name="쉼표 [0] 4 2 4 2 2 2 2 4" xfId="29063"/>
    <cellStyle name="쉼표 [0] 4 2 4 2 2 2 2 5" xfId="19385"/>
    <cellStyle name="쉼표 [0] 4 2 4 2 2 2 3" xfId="19387"/>
    <cellStyle name="쉼표 [0] 4 2 4 2 2 2 3 2" xfId="13734"/>
    <cellStyle name="쉼표 [0] 4 2 4 2 2 2 4" xfId="13737"/>
    <cellStyle name="쉼표 [0] 4 2 4 2 2 2 5" xfId="29064"/>
    <cellStyle name="쉼표 [0] 4 2 4 2 2 2 6" xfId="19384"/>
    <cellStyle name="쉼표 [0] 4 2 4 2 2 3" xfId="1405"/>
    <cellStyle name="쉼표 [0] 4 2 4 2 2 3 2" xfId="1406"/>
    <cellStyle name="쉼표 [0] 4 2 4 2 2 3 2 2" xfId="1407"/>
    <cellStyle name="쉼표 [0] 4 2 4 2 2 3 2 2 2" xfId="19391"/>
    <cellStyle name="쉼표 [0] 4 2 4 2 2 3 2 2 2 2" xfId="13730"/>
    <cellStyle name="쉼표 [0] 4 2 4 2 2 3 2 2 3" xfId="13731"/>
    <cellStyle name="쉼표 [0] 4 2 4 2 2 3 2 2 4" xfId="29060"/>
    <cellStyle name="쉼표 [0] 4 2 4 2 2 3 2 2 5" xfId="19390"/>
    <cellStyle name="쉼표 [0] 4 2 4 2 2 3 2 3" xfId="19392"/>
    <cellStyle name="쉼표 [0] 4 2 4 2 2 3 2 3 2" xfId="13729"/>
    <cellStyle name="쉼표 [0] 4 2 4 2 2 3 2 4" xfId="13732"/>
    <cellStyle name="쉼표 [0] 4 2 4 2 2 3 2 5" xfId="29061"/>
    <cellStyle name="쉼표 [0] 4 2 4 2 2 3 2 6" xfId="19389"/>
    <cellStyle name="쉼표 [0] 4 2 4 2 2 3 3" xfId="1408"/>
    <cellStyle name="쉼표 [0] 4 2 4 2 2 3 3 2" xfId="19394"/>
    <cellStyle name="쉼표 [0] 4 2 4 2 2 3 3 2 2" xfId="13727"/>
    <cellStyle name="쉼표 [0] 4 2 4 2 2 3 3 3" xfId="13728"/>
    <cellStyle name="쉼표 [0] 4 2 4 2 2 3 3 4" xfId="29059"/>
    <cellStyle name="쉼표 [0] 4 2 4 2 2 3 3 5" xfId="19393"/>
    <cellStyle name="쉼표 [0] 4 2 4 2 2 3 4" xfId="19395"/>
    <cellStyle name="쉼표 [0] 4 2 4 2 2 3 4 2" xfId="13726"/>
    <cellStyle name="쉼표 [0] 4 2 4 2 2 3 5" xfId="13733"/>
    <cellStyle name="쉼표 [0] 4 2 4 2 2 3 6" xfId="29062"/>
    <cellStyle name="쉼표 [0] 4 2 4 2 2 3 7" xfId="19388"/>
    <cellStyle name="쉼표 [0] 4 2 4 2 2 4" xfId="1409"/>
    <cellStyle name="쉼표 [0] 4 2 4 2 2 4 2" xfId="1410"/>
    <cellStyle name="쉼표 [0] 4 2 4 2 2 4 2 2" xfId="19398"/>
    <cellStyle name="쉼표 [0] 4 2 4 2 2 4 2 2 2" xfId="13723"/>
    <cellStyle name="쉼표 [0] 4 2 4 2 2 4 2 3" xfId="13724"/>
    <cellStyle name="쉼표 [0] 4 2 4 2 2 4 2 4" xfId="29057"/>
    <cellStyle name="쉼표 [0] 4 2 4 2 2 4 2 5" xfId="19397"/>
    <cellStyle name="쉼표 [0] 4 2 4 2 2 4 3" xfId="19399"/>
    <cellStyle name="쉼표 [0] 4 2 4 2 2 4 3 2" xfId="13722"/>
    <cellStyle name="쉼표 [0] 4 2 4 2 2 4 4" xfId="13725"/>
    <cellStyle name="쉼표 [0] 4 2 4 2 2 4 5" xfId="29058"/>
    <cellStyle name="쉼표 [0] 4 2 4 2 2 4 6" xfId="19396"/>
    <cellStyle name="쉼표 [0] 4 2 4 2 2 5" xfId="1411"/>
    <cellStyle name="쉼표 [0] 4 2 4 2 2 5 2" xfId="19401"/>
    <cellStyle name="쉼표 [0] 4 2 4 2 2 5 2 2" xfId="13720"/>
    <cellStyle name="쉼표 [0] 4 2 4 2 2 5 3" xfId="13721"/>
    <cellStyle name="쉼표 [0] 4 2 4 2 2 5 4" xfId="29056"/>
    <cellStyle name="쉼표 [0] 4 2 4 2 2 5 5" xfId="19400"/>
    <cellStyle name="쉼표 [0] 4 2 4 2 2 6" xfId="1412"/>
    <cellStyle name="쉼표 [0] 4 2 4 2 2 6 2" xfId="1413"/>
    <cellStyle name="쉼표 [0] 4 2 4 2 2 6 2 2" xfId="19404"/>
    <cellStyle name="쉼표 [0] 4 2 4 2 2 6 2 2 2" xfId="13717"/>
    <cellStyle name="쉼표 [0] 4 2 4 2 2 6 2 3" xfId="13718"/>
    <cellStyle name="쉼표 [0] 4 2 4 2 2 6 2 4" xfId="19403"/>
    <cellStyle name="쉼표 [0] 4 2 4 2 2 6 3" xfId="19405"/>
    <cellStyle name="쉼표 [0] 4 2 4 2 2 6 3 2" xfId="13716"/>
    <cellStyle name="쉼표 [0] 4 2 4 2 2 6 4" xfId="13719"/>
    <cellStyle name="쉼표 [0] 4 2 4 2 2 6 5" xfId="19402"/>
    <cellStyle name="쉼표 [0] 4 2 4 2 2 7" xfId="19406"/>
    <cellStyle name="쉼표 [0] 4 2 4 2 2 7 2" xfId="13715"/>
    <cellStyle name="쉼표 [0] 4 2 4 2 2 8" xfId="13738"/>
    <cellStyle name="쉼표 [0] 4 2 4 2 2 9" xfId="29065"/>
    <cellStyle name="쉼표 [0] 4 2 4 2 3" xfId="1414"/>
    <cellStyle name="쉼표 [0] 4 2 4 2 3 2" xfId="1415"/>
    <cellStyle name="쉼표 [0] 4 2 4 2 3 2 2" xfId="19409"/>
    <cellStyle name="쉼표 [0] 4 2 4 2 3 2 2 2" xfId="13712"/>
    <cellStyle name="쉼표 [0] 4 2 4 2 3 2 3" xfId="13713"/>
    <cellStyle name="쉼표 [0] 4 2 4 2 3 2 4" xfId="29054"/>
    <cellStyle name="쉼표 [0] 4 2 4 2 3 2 5" xfId="19408"/>
    <cellStyle name="쉼표 [0] 4 2 4 2 3 3" xfId="1416"/>
    <cellStyle name="쉼표 [0] 4 2 4 2 3 3 2" xfId="1417"/>
    <cellStyle name="쉼표 [0] 4 2 4 2 3 3 2 2" xfId="19412"/>
    <cellStyle name="쉼표 [0] 4 2 4 2 3 3 2 2 2" xfId="13709"/>
    <cellStyle name="쉼표 [0] 4 2 4 2 3 3 2 3" xfId="13710"/>
    <cellStyle name="쉼표 [0] 4 2 4 2 3 3 2 4" xfId="19411"/>
    <cellStyle name="쉼표 [0] 4 2 4 2 3 3 3" xfId="19413"/>
    <cellStyle name="쉼표 [0] 4 2 4 2 3 3 3 2" xfId="13708"/>
    <cellStyle name="쉼표 [0] 4 2 4 2 3 3 4" xfId="13711"/>
    <cellStyle name="쉼표 [0] 4 2 4 2 3 3 5" xfId="19410"/>
    <cellStyle name="쉼표 [0] 4 2 4 2 3 4" xfId="19414"/>
    <cellStyle name="쉼표 [0] 4 2 4 2 3 4 2" xfId="13707"/>
    <cellStyle name="쉼표 [0] 4 2 4 2 3 5" xfId="13714"/>
    <cellStyle name="쉼표 [0] 4 2 4 2 3 6" xfId="29055"/>
    <cellStyle name="쉼표 [0] 4 2 4 2 3 7" xfId="19407"/>
    <cellStyle name="쉼표 [0] 4 2 4 2 4" xfId="1418"/>
    <cellStyle name="쉼표 [0] 4 2 4 2 4 2" xfId="1419"/>
    <cellStyle name="쉼표 [0] 4 2 4 2 4 2 2" xfId="1420"/>
    <cellStyle name="쉼표 [0] 4 2 4 2 4 2 2 2" xfId="19418"/>
    <cellStyle name="쉼표 [0] 4 2 4 2 4 2 2 2 2" xfId="13703"/>
    <cellStyle name="쉼표 [0] 4 2 4 2 4 2 2 3" xfId="13704"/>
    <cellStyle name="쉼표 [0] 4 2 4 2 4 2 2 4" xfId="29051"/>
    <cellStyle name="쉼표 [0] 4 2 4 2 4 2 2 5" xfId="19417"/>
    <cellStyle name="쉼표 [0] 4 2 4 2 4 2 3" xfId="19419"/>
    <cellStyle name="쉼표 [0] 4 2 4 2 4 2 3 2" xfId="13702"/>
    <cellStyle name="쉼표 [0] 4 2 4 2 4 2 4" xfId="13705"/>
    <cellStyle name="쉼표 [0] 4 2 4 2 4 2 5" xfId="29052"/>
    <cellStyle name="쉼표 [0] 4 2 4 2 4 2 6" xfId="19416"/>
    <cellStyle name="쉼표 [0] 4 2 4 2 4 3" xfId="1421"/>
    <cellStyle name="쉼표 [0] 4 2 4 2 4 3 2" xfId="19421"/>
    <cellStyle name="쉼표 [0] 4 2 4 2 4 3 2 2" xfId="13700"/>
    <cellStyle name="쉼표 [0] 4 2 4 2 4 3 3" xfId="13701"/>
    <cellStyle name="쉼표 [0] 4 2 4 2 4 3 4" xfId="29050"/>
    <cellStyle name="쉼표 [0] 4 2 4 2 4 3 5" xfId="19420"/>
    <cellStyle name="쉼표 [0] 4 2 4 2 4 4" xfId="19422"/>
    <cellStyle name="쉼표 [0] 4 2 4 2 4 4 2" xfId="13699"/>
    <cellStyle name="쉼표 [0] 4 2 4 2 4 5" xfId="13706"/>
    <cellStyle name="쉼표 [0] 4 2 4 2 4 6" xfId="29053"/>
    <cellStyle name="쉼표 [0] 4 2 4 2 4 7" xfId="19415"/>
    <cellStyle name="쉼표 [0] 4 2 4 2 5" xfId="1422"/>
    <cellStyle name="쉼표 [0] 4 2 4 2 5 2" xfId="1423"/>
    <cellStyle name="쉼표 [0] 4 2 4 2 5 2 2" xfId="19425"/>
    <cellStyle name="쉼표 [0] 4 2 4 2 5 2 2 2" xfId="13696"/>
    <cellStyle name="쉼표 [0] 4 2 4 2 5 2 3" xfId="13697"/>
    <cellStyle name="쉼표 [0] 4 2 4 2 5 2 4" xfId="29048"/>
    <cellStyle name="쉼표 [0] 4 2 4 2 5 2 5" xfId="19424"/>
    <cellStyle name="쉼표 [0] 4 2 4 2 5 3" xfId="19426"/>
    <cellStyle name="쉼표 [0] 4 2 4 2 5 3 2" xfId="13695"/>
    <cellStyle name="쉼표 [0] 4 2 4 2 5 4" xfId="13698"/>
    <cellStyle name="쉼표 [0] 4 2 4 2 5 5" xfId="29049"/>
    <cellStyle name="쉼표 [0] 4 2 4 2 5 6" xfId="19423"/>
    <cellStyle name="쉼표 [0] 4 2 4 2 6" xfId="1424"/>
    <cellStyle name="쉼표 [0] 4 2 4 2 6 2" xfId="19428"/>
    <cellStyle name="쉼표 [0] 4 2 4 2 6 2 2" xfId="13693"/>
    <cellStyle name="쉼표 [0] 4 2 4 2 6 3" xfId="13694"/>
    <cellStyle name="쉼표 [0] 4 2 4 2 6 4" xfId="29047"/>
    <cellStyle name="쉼표 [0] 4 2 4 2 6 5" xfId="19427"/>
    <cellStyle name="쉼표 [0] 4 2 4 2 7" xfId="1425"/>
    <cellStyle name="쉼표 [0] 4 2 4 2 7 2" xfId="1426"/>
    <cellStyle name="쉼표 [0] 4 2 4 2 7 2 2" xfId="19431"/>
    <cellStyle name="쉼표 [0] 4 2 4 2 7 2 2 2" xfId="13690"/>
    <cellStyle name="쉼표 [0] 4 2 4 2 7 2 3" xfId="13691"/>
    <cellStyle name="쉼표 [0] 4 2 4 2 7 2 4" xfId="19430"/>
    <cellStyle name="쉼표 [0] 4 2 4 2 7 3" xfId="19432"/>
    <cellStyle name="쉼표 [0] 4 2 4 2 7 3 2" xfId="13689"/>
    <cellStyle name="쉼표 [0] 4 2 4 2 7 4" xfId="13692"/>
    <cellStyle name="쉼표 [0] 4 2 4 2 7 5" xfId="19429"/>
    <cellStyle name="쉼표 [0] 4 2 4 2 8" xfId="19433"/>
    <cellStyle name="쉼표 [0] 4 2 4 2 8 2" xfId="13688"/>
    <cellStyle name="쉼표 [0] 4 2 4 2 9" xfId="13739"/>
    <cellStyle name="쉼표 [0] 4 2 4 3" xfId="1427"/>
    <cellStyle name="쉼표 [0] 4 2 4 3 10" xfId="19434"/>
    <cellStyle name="쉼표 [0] 4 2 4 3 11" xfId="30330"/>
    <cellStyle name="쉼표 [0] 4 2 4 3 2" xfId="1428"/>
    <cellStyle name="쉼표 [0] 4 2 4 3 2 2" xfId="1429"/>
    <cellStyle name="쉼표 [0] 4 2 4 3 2 2 2" xfId="19437"/>
    <cellStyle name="쉼표 [0] 4 2 4 3 2 2 2 2" xfId="13684"/>
    <cellStyle name="쉼표 [0] 4 2 4 3 2 2 3" xfId="13685"/>
    <cellStyle name="쉼표 [0] 4 2 4 3 2 2 4" xfId="29044"/>
    <cellStyle name="쉼표 [0] 4 2 4 3 2 2 5" xfId="19436"/>
    <cellStyle name="쉼표 [0] 4 2 4 3 2 3" xfId="1430"/>
    <cellStyle name="쉼표 [0] 4 2 4 3 2 3 2" xfId="1431"/>
    <cellStyle name="쉼표 [0] 4 2 4 3 2 3 2 2" xfId="19440"/>
    <cellStyle name="쉼표 [0] 4 2 4 3 2 3 2 2 2" xfId="13681"/>
    <cellStyle name="쉼표 [0] 4 2 4 3 2 3 2 3" xfId="13682"/>
    <cellStyle name="쉼표 [0] 4 2 4 3 2 3 2 4" xfId="19439"/>
    <cellStyle name="쉼표 [0] 4 2 4 3 2 3 3" xfId="19441"/>
    <cellStyle name="쉼표 [0] 4 2 4 3 2 3 3 2" xfId="13680"/>
    <cellStyle name="쉼표 [0] 4 2 4 3 2 3 4" xfId="13683"/>
    <cellStyle name="쉼표 [0] 4 2 4 3 2 3 5" xfId="19438"/>
    <cellStyle name="쉼표 [0] 4 2 4 3 2 4" xfId="19442"/>
    <cellStyle name="쉼표 [0] 4 2 4 3 2 4 2" xfId="13679"/>
    <cellStyle name="쉼표 [0] 4 2 4 3 2 5" xfId="13686"/>
    <cellStyle name="쉼표 [0] 4 2 4 3 2 6" xfId="29045"/>
    <cellStyle name="쉼표 [0] 4 2 4 3 2 7" xfId="19435"/>
    <cellStyle name="쉼표 [0] 4 2 4 3 3" xfId="1432"/>
    <cellStyle name="쉼표 [0] 4 2 4 3 3 2" xfId="1433"/>
    <cellStyle name="쉼표 [0] 4 2 4 3 3 2 2" xfId="1434"/>
    <cellStyle name="쉼표 [0] 4 2 4 3 3 2 2 2" xfId="19446"/>
    <cellStyle name="쉼표 [0] 4 2 4 3 3 2 2 2 2" xfId="13675"/>
    <cellStyle name="쉼표 [0] 4 2 4 3 3 2 2 3" xfId="13676"/>
    <cellStyle name="쉼표 [0] 4 2 4 3 3 2 2 4" xfId="29041"/>
    <cellStyle name="쉼표 [0] 4 2 4 3 3 2 2 5" xfId="19445"/>
    <cellStyle name="쉼표 [0] 4 2 4 3 3 2 3" xfId="19447"/>
    <cellStyle name="쉼표 [0] 4 2 4 3 3 2 3 2" xfId="13674"/>
    <cellStyle name="쉼표 [0] 4 2 4 3 3 2 4" xfId="13677"/>
    <cellStyle name="쉼표 [0] 4 2 4 3 3 2 5" xfId="29042"/>
    <cellStyle name="쉼표 [0] 4 2 4 3 3 2 6" xfId="19444"/>
    <cellStyle name="쉼표 [0] 4 2 4 3 3 3" xfId="1435"/>
    <cellStyle name="쉼표 [0] 4 2 4 3 3 3 2" xfId="19449"/>
    <cellStyle name="쉼표 [0] 4 2 4 3 3 3 2 2" xfId="13672"/>
    <cellStyle name="쉼표 [0] 4 2 4 3 3 3 3" xfId="13673"/>
    <cellStyle name="쉼표 [0] 4 2 4 3 3 3 4" xfId="29040"/>
    <cellStyle name="쉼표 [0] 4 2 4 3 3 3 5" xfId="19448"/>
    <cellStyle name="쉼표 [0] 4 2 4 3 3 4" xfId="19450"/>
    <cellStyle name="쉼표 [0] 4 2 4 3 3 4 2" xfId="13671"/>
    <cellStyle name="쉼표 [0] 4 2 4 3 3 5" xfId="13678"/>
    <cellStyle name="쉼표 [0] 4 2 4 3 3 6" xfId="29043"/>
    <cellStyle name="쉼표 [0] 4 2 4 3 3 7" xfId="19443"/>
    <cellStyle name="쉼표 [0] 4 2 4 3 4" xfId="1436"/>
    <cellStyle name="쉼표 [0] 4 2 4 3 4 2" xfId="1437"/>
    <cellStyle name="쉼표 [0] 4 2 4 3 4 2 2" xfId="19453"/>
    <cellStyle name="쉼표 [0] 4 2 4 3 4 2 2 2" xfId="13668"/>
    <cellStyle name="쉼표 [0] 4 2 4 3 4 2 3" xfId="13669"/>
    <cellStyle name="쉼표 [0] 4 2 4 3 4 2 4" xfId="29038"/>
    <cellStyle name="쉼표 [0] 4 2 4 3 4 2 5" xfId="19452"/>
    <cellStyle name="쉼표 [0] 4 2 4 3 4 3" xfId="19454"/>
    <cellStyle name="쉼표 [0] 4 2 4 3 4 3 2" xfId="13667"/>
    <cellStyle name="쉼표 [0] 4 2 4 3 4 4" xfId="13670"/>
    <cellStyle name="쉼표 [0] 4 2 4 3 4 5" xfId="29039"/>
    <cellStyle name="쉼표 [0] 4 2 4 3 4 6" xfId="19451"/>
    <cellStyle name="쉼표 [0] 4 2 4 3 5" xfId="1438"/>
    <cellStyle name="쉼표 [0] 4 2 4 3 5 2" xfId="19456"/>
    <cellStyle name="쉼표 [0] 4 2 4 3 5 2 2" xfId="13665"/>
    <cellStyle name="쉼표 [0] 4 2 4 3 5 3" xfId="13666"/>
    <cellStyle name="쉼표 [0] 4 2 4 3 5 4" xfId="29037"/>
    <cellStyle name="쉼표 [0] 4 2 4 3 5 5" xfId="19455"/>
    <cellStyle name="쉼표 [0] 4 2 4 3 6" xfId="1439"/>
    <cellStyle name="쉼표 [0] 4 2 4 3 6 2" xfId="1440"/>
    <cellStyle name="쉼표 [0] 4 2 4 3 6 2 2" xfId="19459"/>
    <cellStyle name="쉼표 [0] 4 2 4 3 6 2 2 2" xfId="13662"/>
    <cellStyle name="쉼표 [0] 4 2 4 3 6 2 3" xfId="13663"/>
    <cellStyle name="쉼표 [0] 4 2 4 3 6 2 4" xfId="19458"/>
    <cellStyle name="쉼표 [0] 4 2 4 3 6 3" xfId="19460"/>
    <cellStyle name="쉼표 [0] 4 2 4 3 6 3 2" xfId="13661"/>
    <cellStyle name="쉼표 [0] 4 2 4 3 6 4" xfId="13664"/>
    <cellStyle name="쉼표 [0] 4 2 4 3 6 5" xfId="19457"/>
    <cellStyle name="쉼표 [0] 4 2 4 3 7" xfId="19461"/>
    <cellStyle name="쉼표 [0] 4 2 4 3 7 2" xfId="13660"/>
    <cellStyle name="쉼표 [0] 4 2 4 3 8" xfId="13687"/>
    <cellStyle name="쉼표 [0] 4 2 4 3 9" xfId="29046"/>
    <cellStyle name="쉼표 [0] 4 2 4 4" xfId="1441"/>
    <cellStyle name="쉼표 [0] 4 2 4 4 2" xfId="1442"/>
    <cellStyle name="쉼표 [0] 4 2 4 4 2 2" xfId="19464"/>
    <cellStyle name="쉼표 [0] 4 2 4 4 2 2 2" xfId="13657"/>
    <cellStyle name="쉼표 [0] 4 2 4 4 2 3" xfId="13658"/>
    <cellStyle name="쉼표 [0] 4 2 4 4 2 4" xfId="29035"/>
    <cellStyle name="쉼표 [0] 4 2 4 4 2 5" xfId="19463"/>
    <cellStyle name="쉼표 [0] 4 2 4 4 3" xfId="1443"/>
    <cellStyle name="쉼표 [0] 4 2 4 4 3 2" xfId="1444"/>
    <cellStyle name="쉼표 [0] 4 2 4 4 3 2 2" xfId="19467"/>
    <cellStyle name="쉼표 [0] 4 2 4 4 3 2 2 2" xfId="13654"/>
    <cellStyle name="쉼표 [0] 4 2 4 4 3 2 3" xfId="13655"/>
    <cellStyle name="쉼표 [0] 4 2 4 4 3 2 4" xfId="19466"/>
    <cellStyle name="쉼표 [0] 4 2 4 4 3 3" xfId="19468"/>
    <cellStyle name="쉼표 [0] 4 2 4 4 3 3 2" xfId="13653"/>
    <cellStyle name="쉼표 [0] 4 2 4 4 3 4" xfId="13656"/>
    <cellStyle name="쉼표 [0] 4 2 4 4 3 5" xfId="19465"/>
    <cellStyle name="쉼표 [0] 4 2 4 4 4" xfId="19469"/>
    <cellStyle name="쉼표 [0] 4 2 4 4 4 2" xfId="13652"/>
    <cellStyle name="쉼표 [0] 4 2 4 4 5" xfId="13659"/>
    <cellStyle name="쉼표 [0] 4 2 4 4 6" xfId="29036"/>
    <cellStyle name="쉼표 [0] 4 2 4 4 7" xfId="19462"/>
    <cellStyle name="쉼표 [0] 4 2 4 5" xfId="1445"/>
    <cellStyle name="쉼표 [0] 4 2 4 5 2" xfId="1446"/>
    <cellStyle name="쉼표 [0] 4 2 4 5 2 2" xfId="1447"/>
    <cellStyle name="쉼표 [0] 4 2 4 5 2 2 2" xfId="19473"/>
    <cellStyle name="쉼표 [0] 4 2 4 5 2 2 2 2" xfId="13648"/>
    <cellStyle name="쉼표 [0] 4 2 4 5 2 2 3" xfId="13649"/>
    <cellStyle name="쉼표 [0] 4 2 4 5 2 2 4" xfId="29032"/>
    <cellStyle name="쉼표 [0] 4 2 4 5 2 2 5" xfId="19472"/>
    <cellStyle name="쉼표 [0] 4 2 4 5 2 3" xfId="19474"/>
    <cellStyle name="쉼표 [0] 4 2 4 5 2 3 2" xfId="13647"/>
    <cellStyle name="쉼표 [0] 4 2 4 5 2 4" xfId="13650"/>
    <cellStyle name="쉼표 [0] 4 2 4 5 2 5" xfId="29033"/>
    <cellStyle name="쉼표 [0] 4 2 4 5 2 6" xfId="19471"/>
    <cellStyle name="쉼표 [0] 4 2 4 5 3" xfId="1448"/>
    <cellStyle name="쉼표 [0] 4 2 4 5 3 2" xfId="19476"/>
    <cellStyle name="쉼표 [0] 4 2 4 5 3 2 2" xfId="13645"/>
    <cellStyle name="쉼표 [0] 4 2 4 5 3 3" xfId="13646"/>
    <cellStyle name="쉼표 [0] 4 2 4 5 3 4" xfId="29031"/>
    <cellStyle name="쉼표 [0] 4 2 4 5 3 5" xfId="19475"/>
    <cellStyle name="쉼표 [0] 4 2 4 5 4" xfId="19477"/>
    <cellStyle name="쉼표 [0] 4 2 4 5 4 2" xfId="13644"/>
    <cellStyle name="쉼표 [0] 4 2 4 5 5" xfId="13651"/>
    <cellStyle name="쉼표 [0] 4 2 4 5 6" xfId="29034"/>
    <cellStyle name="쉼표 [0] 4 2 4 5 7" xfId="19470"/>
    <cellStyle name="쉼표 [0] 4 2 4 6" xfId="1449"/>
    <cellStyle name="쉼표 [0] 4 2 4 6 2" xfId="1450"/>
    <cellStyle name="쉼표 [0] 4 2 4 6 2 2" xfId="19480"/>
    <cellStyle name="쉼표 [0] 4 2 4 6 2 2 2" xfId="13641"/>
    <cellStyle name="쉼표 [0] 4 2 4 6 2 3" xfId="13642"/>
    <cellStyle name="쉼표 [0] 4 2 4 6 2 4" xfId="29029"/>
    <cellStyle name="쉼표 [0] 4 2 4 6 2 5" xfId="19479"/>
    <cellStyle name="쉼표 [0] 4 2 4 6 3" xfId="19481"/>
    <cellStyle name="쉼표 [0] 4 2 4 6 3 2" xfId="13640"/>
    <cellStyle name="쉼표 [0] 4 2 4 6 4" xfId="13643"/>
    <cellStyle name="쉼표 [0] 4 2 4 6 5" xfId="29030"/>
    <cellStyle name="쉼표 [0] 4 2 4 6 6" xfId="19478"/>
    <cellStyle name="쉼표 [0] 4 2 4 7" xfId="1451"/>
    <cellStyle name="쉼표 [0] 4 2 4 7 2" xfId="19483"/>
    <cellStyle name="쉼표 [0] 4 2 4 7 2 2" xfId="13638"/>
    <cellStyle name="쉼표 [0] 4 2 4 7 3" xfId="13639"/>
    <cellStyle name="쉼표 [0] 4 2 4 7 4" xfId="29028"/>
    <cellStyle name="쉼표 [0] 4 2 4 7 5" xfId="19482"/>
    <cellStyle name="쉼표 [0] 4 2 4 8" xfId="1452"/>
    <cellStyle name="쉼표 [0] 4 2 4 8 2" xfId="1453"/>
    <cellStyle name="쉼표 [0] 4 2 4 8 2 2" xfId="19486"/>
    <cellStyle name="쉼표 [0] 4 2 4 8 2 2 2" xfId="13635"/>
    <cellStyle name="쉼표 [0] 4 2 4 8 2 3" xfId="13636"/>
    <cellStyle name="쉼표 [0] 4 2 4 8 2 4" xfId="19485"/>
    <cellStyle name="쉼표 [0] 4 2 4 8 3" xfId="19487"/>
    <cellStyle name="쉼표 [0] 4 2 4 8 3 2" xfId="13634"/>
    <cellStyle name="쉼표 [0] 4 2 4 8 4" xfId="13637"/>
    <cellStyle name="쉼표 [0] 4 2 4 8 5" xfId="19484"/>
    <cellStyle name="쉼표 [0] 4 2 4 9" xfId="19488"/>
    <cellStyle name="쉼표 [0] 4 2 4 9 2" xfId="19489"/>
    <cellStyle name="쉼표 [0] 4 2 4 9 2 2" xfId="13632"/>
    <cellStyle name="쉼표 [0] 4 2 4 9 3" xfId="13633"/>
    <cellStyle name="쉼표 [0] 4 2 5" xfId="1454"/>
    <cellStyle name="쉼표 [0] 4 2 5 10" xfId="13631"/>
    <cellStyle name="쉼표 [0] 4 2 5 11" xfId="29027"/>
    <cellStyle name="쉼표 [0] 4 2 5 12" xfId="19490"/>
    <cellStyle name="쉼표 [0] 4 2 5 13" xfId="29891"/>
    <cellStyle name="쉼표 [0] 4 2 5 2" xfId="1455"/>
    <cellStyle name="쉼표 [0] 4 2 5 2 10" xfId="19491"/>
    <cellStyle name="쉼표 [0] 4 2 5 2 11" xfId="29539"/>
    <cellStyle name="쉼표 [0] 4 2 5 2 2" xfId="1456"/>
    <cellStyle name="쉼표 [0] 4 2 5 2 2 2" xfId="1457"/>
    <cellStyle name="쉼표 [0] 4 2 5 2 2 2 2" xfId="19494"/>
    <cellStyle name="쉼표 [0] 4 2 5 2 2 2 2 2" xfId="13627"/>
    <cellStyle name="쉼표 [0] 4 2 5 2 2 2 3" xfId="13628"/>
    <cellStyle name="쉼표 [0] 4 2 5 2 2 2 4" xfId="29024"/>
    <cellStyle name="쉼표 [0] 4 2 5 2 2 2 5" xfId="19493"/>
    <cellStyle name="쉼표 [0] 4 2 5 2 2 3" xfId="19495"/>
    <cellStyle name="쉼표 [0] 4 2 5 2 2 3 2" xfId="13626"/>
    <cellStyle name="쉼표 [0] 4 2 5 2 2 4" xfId="13629"/>
    <cellStyle name="쉼표 [0] 4 2 5 2 2 5" xfId="29025"/>
    <cellStyle name="쉼표 [0] 4 2 5 2 2 6" xfId="19492"/>
    <cellStyle name="쉼표 [0] 4 2 5 2 3" xfId="1458"/>
    <cellStyle name="쉼표 [0] 4 2 5 2 3 2" xfId="1459"/>
    <cellStyle name="쉼표 [0] 4 2 5 2 3 2 2" xfId="1460"/>
    <cellStyle name="쉼표 [0] 4 2 5 2 3 2 2 2" xfId="19499"/>
    <cellStyle name="쉼표 [0] 4 2 5 2 3 2 2 2 2" xfId="13622"/>
    <cellStyle name="쉼표 [0] 4 2 5 2 3 2 2 3" xfId="13623"/>
    <cellStyle name="쉼표 [0] 4 2 5 2 3 2 2 4" xfId="29021"/>
    <cellStyle name="쉼표 [0] 4 2 5 2 3 2 2 5" xfId="19498"/>
    <cellStyle name="쉼표 [0] 4 2 5 2 3 2 3" xfId="19500"/>
    <cellStyle name="쉼표 [0] 4 2 5 2 3 2 3 2" xfId="13621"/>
    <cellStyle name="쉼표 [0] 4 2 5 2 3 2 4" xfId="13624"/>
    <cellStyle name="쉼표 [0] 4 2 5 2 3 2 5" xfId="29022"/>
    <cellStyle name="쉼표 [0] 4 2 5 2 3 2 6" xfId="19497"/>
    <cellStyle name="쉼표 [0] 4 2 5 2 3 3" xfId="1461"/>
    <cellStyle name="쉼표 [0] 4 2 5 2 3 3 2" xfId="19502"/>
    <cellStyle name="쉼표 [0] 4 2 5 2 3 3 2 2" xfId="13619"/>
    <cellStyle name="쉼표 [0] 4 2 5 2 3 3 3" xfId="13620"/>
    <cellStyle name="쉼표 [0] 4 2 5 2 3 3 4" xfId="29020"/>
    <cellStyle name="쉼표 [0] 4 2 5 2 3 3 5" xfId="19501"/>
    <cellStyle name="쉼표 [0] 4 2 5 2 3 4" xfId="19503"/>
    <cellStyle name="쉼표 [0] 4 2 5 2 3 4 2" xfId="13618"/>
    <cellStyle name="쉼표 [0] 4 2 5 2 3 5" xfId="13625"/>
    <cellStyle name="쉼표 [0] 4 2 5 2 3 6" xfId="29023"/>
    <cellStyle name="쉼표 [0] 4 2 5 2 3 7" xfId="19496"/>
    <cellStyle name="쉼표 [0] 4 2 5 2 4" xfId="1462"/>
    <cellStyle name="쉼표 [0] 4 2 5 2 4 2" xfId="1463"/>
    <cellStyle name="쉼표 [0] 4 2 5 2 4 2 2" xfId="19506"/>
    <cellStyle name="쉼표 [0] 4 2 5 2 4 2 2 2" xfId="13615"/>
    <cellStyle name="쉼표 [0] 4 2 5 2 4 2 3" xfId="13616"/>
    <cellStyle name="쉼표 [0] 4 2 5 2 4 2 4" xfId="29018"/>
    <cellStyle name="쉼표 [0] 4 2 5 2 4 2 5" xfId="19505"/>
    <cellStyle name="쉼표 [0] 4 2 5 2 4 3" xfId="19507"/>
    <cellStyle name="쉼표 [0] 4 2 5 2 4 3 2" xfId="13614"/>
    <cellStyle name="쉼표 [0] 4 2 5 2 4 4" xfId="13617"/>
    <cellStyle name="쉼표 [0] 4 2 5 2 4 5" xfId="29019"/>
    <cellStyle name="쉼표 [0] 4 2 5 2 4 6" xfId="19504"/>
    <cellStyle name="쉼표 [0] 4 2 5 2 5" xfId="1464"/>
    <cellStyle name="쉼표 [0] 4 2 5 2 5 2" xfId="19509"/>
    <cellStyle name="쉼표 [0] 4 2 5 2 5 2 2" xfId="13612"/>
    <cellStyle name="쉼표 [0] 4 2 5 2 5 3" xfId="13613"/>
    <cellStyle name="쉼표 [0] 4 2 5 2 5 4" xfId="29017"/>
    <cellStyle name="쉼표 [0] 4 2 5 2 5 5" xfId="19508"/>
    <cellStyle name="쉼표 [0] 4 2 5 2 6" xfId="1465"/>
    <cellStyle name="쉼표 [0] 4 2 5 2 6 2" xfId="1466"/>
    <cellStyle name="쉼표 [0] 4 2 5 2 6 2 2" xfId="19512"/>
    <cellStyle name="쉼표 [0] 4 2 5 2 6 2 2 2" xfId="13609"/>
    <cellStyle name="쉼표 [0] 4 2 5 2 6 2 3" xfId="13610"/>
    <cellStyle name="쉼표 [0] 4 2 5 2 6 2 4" xfId="19511"/>
    <cellStyle name="쉼표 [0] 4 2 5 2 6 3" xfId="19513"/>
    <cellStyle name="쉼표 [0] 4 2 5 2 6 3 2" xfId="13608"/>
    <cellStyle name="쉼표 [0] 4 2 5 2 6 4" xfId="13611"/>
    <cellStyle name="쉼표 [0] 4 2 5 2 6 5" xfId="19510"/>
    <cellStyle name="쉼표 [0] 4 2 5 2 7" xfId="19514"/>
    <cellStyle name="쉼표 [0] 4 2 5 2 7 2" xfId="13607"/>
    <cellStyle name="쉼표 [0] 4 2 5 2 8" xfId="13630"/>
    <cellStyle name="쉼표 [0] 4 2 5 2 9" xfId="29026"/>
    <cellStyle name="쉼표 [0] 4 2 5 3" xfId="1467"/>
    <cellStyle name="쉼표 [0] 4 2 5 3 2" xfId="1468"/>
    <cellStyle name="쉼표 [0] 4 2 5 3 2 2" xfId="19517"/>
    <cellStyle name="쉼표 [0] 4 2 5 3 2 2 2" xfId="13604"/>
    <cellStyle name="쉼표 [0] 4 2 5 3 2 3" xfId="13605"/>
    <cellStyle name="쉼표 [0] 4 2 5 3 2 4" xfId="29015"/>
    <cellStyle name="쉼표 [0] 4 2 5 3 2 5" xfId="19516"/>
    <cellStyle name="쉼표 [0] 4 2 5 3 3" xfId="1469"/>
    <cellStyle name="쉼표 [0] 4 2 5 3 3 2" xfId="1470"/>
    <cellStyle name="쉼표 [0] 4 2 5 3 3 2 2" xfId="19520"/>
    <cellStyle name="쉼표 [0] 4 2 5 3 3 2 2 2" xfId="13601"/>
    <cellStyle name="쉼표 [0] 4 2 5 3 3 2 3" xfId="13602"/>
    <cellStyle name="쉼표 [0] 4 2 5 3 3 2 4" xfId="19519"/>
    <cellStyle name="쉼표 [0] 4 2 5 3 3 3" xfId="19521"/>
    <cellStyle name="쉼표 [0] 4 2 5 3 3 3 2" xfId="13600"/>
    <cellStyle name="쉼표 [0] 4 2 5 3 3 4" xfId="13603"/>
    <cellStyle name="쉼표 [0] 4 2 5 3 3 5" xfId="19518"/>
    <cellStyle name="쉼표 [0] 4 2 5 3 4" xfId="19522"/>
    <cellStyle name="쉼표 [0] 4 2 5 3 4 2" xfId="13599"/>
    <cellStyle name="쉼표 [0] 4 2 5 3 5" xfId="13606"/>
    <cellStyle name="쉼표 [0] 4 2 5 3 6" xfId="29016"/>
    <cellStyle name="쉼표 [0] 4 2 5 3 7" xfId="19515"/>
    <cellStyle name="쉼표 [0] 4 2 5 4" xfId="1471"/>
    <cellStyle name="쉼표 [0] 4 2 5 4 2" xfId="1472"/>
    <cellStyle name="쉼표 [0] 4 2 5 4 2 2" xfId="1473"/>
    <cellStyle name="쉼표 [0] 4 2 5 4 2 2 2" xfId="19526"/>
    <cellStyle name="쉼표 [0] 4 2 5 4 2 2 2 2" xfId="13595"/>
    <cellStyle name="쉼표 [0] 4 2 5 4 2 2 3" xfId="13596"/>
    <cellStyle name="쉼표 [0] 4 2 5 4 2 2 4" xfId="29012"/>
    <cellStyle name="쉼표 [0] 4 2 5 4 2 2 5" xfId="19525"/>
    <cellStyle name="쉼표 [0] 4 2 5 4 2 3" xfId="19527"/>
    <cellStyle name="쉼표 [0] 4 2 5 4 2 3 2" xfId="13594"/>
    <cellStyle name="쉼표 [0] 4 2 5 4 2 4" xfId="13597"/>
    <cellStyle name="쉼표 [0] 4 2 5 4 2 5" xfId="29013"/>
    <cellStyle name="쉼표 [0] 4 2 5 4 2 6" xfId="19524"/>
    <cellStyle name="쉼표 [0] 4 2 5 4 3" xfId="1474"/>
    <cellStyle name="쉼표 [0] 4 2 5 4 3 2" xfId="19529"/>
    <cellStyle name="쉼표 [0] 4 2 5 4 3 2 2" xfId="13592"/>
    <cellStyle name="쉼표 [0] 4 2 5 4 3 3" xfId="13593"/>
    <cellStyle name="쉼표 [0] 4 2 5 4 3 4" xfId="29011"/>
    <cellStyle name="쉼표 [0] 4 2 5 4 3 5" xfId="19528"/>
    <cellStyle name="쉼표 [0] 4 2 5 4 4" xfId="19530"/>
    <cellStyle name="쉼표 [0] 4 2 5 4 4 2" xfId="13591"/>
    <cellStyle name="쉼표 [0] 4 2 5 4 5" xfId="13598"/>
    <cellStyle name="쉼표 [0] 4 2 5 4 6" xfId="29014"/>
    <cellStyle name="쉼표 [0] 4 2 5 4 7" xfId="19523"/>
    <cellStyle name="쉼표 [0] 4 2 5 5" xfId="1475"/>
    <cellStyle name="쉼표 [0] 4 2 5 5 2" xfId="1476"/>
    <cellStyle name="쉼표 [0] 4 2 5 5 2 2" xfId="19533"/>
    <cellStyle name="쉼표 [0] 4 2 5 5 2 2 2" xfId="13588"/>
    <cellStyle name="쉼표 [0] 4 2 5 5 2 3" xfId="13589"/>
    <cellStyle name="쉼표 [0] 4 2 5 5 2 4" xfId="29009"/>
    <cellStyle name="쉼표 [0] 4 2 5 5 2 5" xfId="19532"/>
    <cellStyle name="쉼표 [0] 4 2 5 5 3" xfId="19534"/>
    <cellStyle name="쉼표 [0] 4 2 5 5 3 2" xfId="13587"/>
    <cellStyle name="쉼표 [0] 4 2 5 5 4" xfId="13590"/>
    <cellStyle name="쉼표 [0] 4 2 5 5 5" xfId="29010"/>
    <cellStyle name="쉼표 [0] 4 2 5 5 6" xfId="19531"/>
    <cellStyle name="쉼표 [0] 4 2 5 6" xfId="1477"/>
    <cellStyle name="쉼표 [0] 4 2 5 6 2" xfId="19536"/>
    <cellStyle name="쉼표 [0] 4 2 5 6 2 2" xfId="13585"/>
    <cellStyle name="쉼표 [0] 4 2 5 6 3" xfId="13586"/>
    <cellStyle name="쉼표 [0] 4 2 5 6 4" xfId="29008"/>
    <cellStyle name="쉼표 [0] 4 2 5 6 5" xfId="19535"/>
    <cellStyle name="쉼표 [0] 4 2 5 7" xfId="1478"/>
    <cellStyle name="쉼표 [0] 4 2 5 7 2" xfId="1479"/>
    <cellStyle name="쉼표 [0] 4 2 5 7 2 2" xfId="19539"/>
    <cellStyle name="쉼표 [0] 4 2 5 7 2 2 2" xfId="13582"/>
    <cellStyle name="쉼표 [0] 4 2 5 7 2 3" xfId="13583"/>
    <cellStyle name="쉼표 [0] 4 2 5 7 2 4" xfId="19538"/>
    <cellStyle name="쉼표 [0] 4 2 5 7 3" xfId="19540"/>
    <cellStyle name="쉼표 [0] 4 2 5 7 3 2" xfId="13581"/>
    <cellStyle name="쉼표 [0] 4 2 5 7 4" xfId="13584"/>
    <cellStyle name="쉼표 [0] 4 2 5 7 5" xfId="19537"/>
    <cellStyle name="쉼표 [0] 4 2 5 8" xfId="19541"/>
    <cellStyle name="쉼표 [0] 4 2 5 8 2" xfId="19542"/>
    <cellStyle name="쉼표 [0] 4 2 5 8 2 2" xfId="13579"/>
    <cellStyle name="쉼표 [0] 4 2 5 8 3" xfId="13580"/>
    <cellStyle name="쉼표 [0] 4 2 5 9" xfId="19543"/>
    <cellStyle name="쉼표 [0] 4 2 5 9 2" xfId="13578"/>
    <cellStyle name="쉼표 [0] 4 2 6" xfId="1480"/>
    <cellStyle name="쉼표 [0] 4 2 6 10" xfId="29007"/>
    <cellStyle name="쉼표 [0] 4 2 6 11" xfId="19544"/>
    <cellStyle name="쉼표 [0] 4 2 6 12" xfId="29776"/>
    <cellStyle name="쉼표 [0] 4 2 6 2" xfId="1481"/>
    <cellStyle name="쉼표 [0] 4 2 6 2 2" xfId="1482"/>
    <cellStyle name="쉼표 [0] 4 2 6 2 2 2" xfId="19547"/>
    <cellStyle name="쉼표 [0] 4 2 6 2 2 2 2" xfId="13574"/>
    <cellStyle name="쉼표 [0] 4 2 6 2 2 3" xfId="13575"/>
    <cellStyle name="쉼표 [0] 4 2 6 2 2 4" xfId="29005"/>
    <cellStyle name="쉼표 [0] 4 2 6 2 2 5" xfId="19546"/>
    <cellStyle name="쉼표 [0] 4 2 6 2 3" xfId="1483"/>
    <cellStyle name="쉼표 [0] 4 2 6 2 3 2" xfId="1484"/>
    <cellStyle name="쉼표 [0] 4 2 6 2 3 2 2" xfId="19550"/>
    <cellStyle name="쉼표 [0] 4 2 6 2 3 2 2 2" xfId="13571"/>
    <cellStyle name="쉼표 [0] 4 2 6 2 3 2 3" xfId="13572"/>
    <cellStyle name="쉼표 [0] 4 2 6 2 3 2 4" xfId="19549"/>
    <cellStyle name="쉼표 [0] 4 2 6 2 3 3" xfId="19551"/>
    <cellStyle name="쉼표 [0] 4 2 6 2 3 3 2" xfId="13570"/>
    <cellStyle name="쉼표 [0] 4 2 6 2 3 4" xfId="13573"/>
    <cellStyle name="쉼표 [0] 4 2 6 2 3 5" xfId="19548"/>
    <cellStyle name="쉼표 [0] 4 2 6 2 4" xfId="19552"/>
    <cellStyle name="쉼표 [0] 4 2 6 2 4 2" xfId="13569"/>
    <cellStyle name="쉼표 [0] 4 2 6 2 5" xfId="13576"/>
    <cellStyle name="쉼표 [0] 4 2 6 2 6" xfId="29006"/>
    <cellStyle name="쉼표 [0] 4 2 6 2 7" xfId="19545"/>
    <cellStyle name="쉼표 [0] 4 2 6 3" xfId="1485"/>
    <cellStyle name="쉼표 [0] 4 2 6 3 2" xfId="1486"/>
    <cellStyle name="쉼표 [0] 4 2 6 3 2 2" xfId="1487"/>
    <cellStyle name="쉼표 [0] 4 2 6 3 2 2 2" xfId="19556"/>
    <cellStyle name="쉼표 [0] 4 2 6 3 2 2 2 2" xfId="13565"/>
    <cellStyle name="쉼표 [0] 4 2 6 3 2 2 3" xfId="13566"/>
    <cellStyle name="쉼표 [0] 4 2 6 3 2 2 4" xfId="29002"/>
    <cellStyle name="쉼표 [0] 4 2 6 3 2 2 5" xfId="19555"/>
    <cellStyle name="쉼표 [0] 4 2 6 3 2 3" xfId="19557"/>
    <cellStyle name="쉼표 [0] 4 2 6 3 2 3 2" xfId="13564"/>
    <cellStyle name="쉼표 [0] 4 2 6 3 2 4" xfId="13567"/>
    <cellStyle name="쉼표 [0] 4 2 6 3 2 5" xfId="29003"/>
    <cellStyle name="쉼표 [0] 4 2 6 3 2 6" xfId="19554"/>
    <cellStyle name="쉼표 [0] 4 2 6 3 3" xfId="1488"/>
    <cellStyle name="쉼표 [0] 4 2 6 3 3 2" xfId="19559"/>
    <cellStyle name="쉼표 [0] 4 2 6 3 3 2 2" xfId="13562"/>
    <cellStyle name="쉼표 [0] 4 2 6 3 3 3" xfId="13563"/>
    <cellStyle name="쉼표 [0] 4 2 6 3 3 4" xfId="29001"/>
    <cellStyle name="쉼표 [0] 4 2 6 3 3 5" xfId="19558"/>
    <cellStyle name="쉼표 [0] 4 2 6 3 4" xfId="19560"/>
    <cellStyle name="쉼표 [0] 4 2 6 3 4 2" xfId="13561"/>
    <cellStyle name="쉼표 [0] 4 2 6 3 5" xfId="13568"/>
    <cellStyle name="쉼표 [0] 4 2 6 3 6" xfId="29004"/>
    <cellStyle name="쉼표 [0] 4 2 6 3 7" xfId="19553"/>
    <cellStyle name="쉼표 [0] 4 2 6 4" xfId="1489"/>
    <cellStyle name="쉼표 [0] 4 2 6 4 2" xfId="1490"/>
    <cellStyle name="쉼표 [0] 4 2 6 4 2 2" xfId="19563"/>
    <cellStyle name="쉼표 [0] 4 2 6 4 2 2 2" xfId="13558"/>
    <cellStyle name="쉼표 [0] 4 2 6 4 2 3" xfId="13559"/>
    <cellStyle name="쉼표 [0] 4 2 6 4 2 4" xfId="28999"/>
    <cellStyle name="쉼표 [0] 4 2 6 4 2 5" xfId="19562"/>
    <cellStyle name="쉼표 [0] 4 2 6 4 3" xfId="19564"/>
    <cellStyle name="쉼표 [0] 4 2 6 4 3 2" xfId="13557"/>
    <cellStyle name="쉼표 [0] 4 2 6 4 4" xfId="13560"/>
    <cellStyle name="쉼표 [0] 4 2 6 4 5" xfId="29000"/>
    <cellStyle name="쉼표 [0] 4 2 6 4 6" xfId="19561"/>
    <cellStyle name="쉼표 [0] 4 2 6 5" xfId="1491"/>
    <cellStyle name="쉼표 [0] 4 2 6 5 2" xfId="19566"/>
    <cellStyle name="쉼표 [0] 4 2 6 5 2 2" xfId="13555"/>
    <cellStyle name="쉼표 [0] 4 2 6 5 3" xfId="13556"/>
    <cellStyle name="쉼표 [0] 4 2 6 5 4" xfId="28998"/>
    <cellStyle name="쉼표 [0] 4 2 6 5 5" xfId="19565"/>
    <cellStyle name="쉼표 [0] 4 2 6 6" xfId="1492"/>
    <cellStyle name="쉼표 [0] 4 2 6 6 2" xfId="1493"/>
    <cellStyle name="쉼표 [0] 4 2 6 6 2 2" xfId="19569"/>
    <cellStyle name="쉼표 [0] 4 2 6 6 2 2 2" xfId="13552"/>
    <cellStyle name="쉼표 [0] 4 2 6 6 2 3" xfId="13553"/>
    <cellStyle name="쉼표 [0] 4 2 6 6 2 4" xfId="19568"/>
    <cellStyle name="쉼표 [0] 4 2 6 6 3" xfId="19570"/>
    <cellStyle name="쉼표 [0] 4 2 6 6 3 2" xfId="13551"/>
    <cellStyle name="쉼표 [0] 4 2 6 6 4" xfId="13554"/>
    <cellStyle name="쉼표 [0] 4 2 6 6 5" xfId="19567"/>
    <cellStyle name="쉼표 [0] 4 2 6 7" xfId="19571"/>
    <cellStyle name="쉼표 [0] 4 2 6 7 2" xfId="19572"/>
    <cellStyle name="쉼표 [0] 4 2 6 7 2 2" xfId="13549"/>
    <cellStyle name="쉼표 [0] 4 2 6 7 3" xfId="13550"/>
    <cellStyle name="쉼표 [0] 4 2 6 8" xfId="19573"/>
    <cellStyle name="쉼표 [0] 4 2 6 8 2" xfId="13548"/>
    <cellStyle name="쉼표 [0] 4 2 6 9" xfId="13577"/>
    <cellStyle name="쉼표 [0] 4 2 7" xfId="1494"/>
    <cellStyle name="쉼표 [0] 4 2 7 2" xfId="1495"/>
    <cellStyle name="쉼표 [0] 4 2 7 2 2" xfId="1496"/>
    <cellStyle name="쉼표 [0] 4 2 7 2 2 2" xfId="19577"/>
    <cellStyle name="쉼표 [0] 4 2 7 2 2 2 2" xfId="13544"/>
    <cellStyle name="쉼표 [0] 4 2 7 2 2 3" xfId="13545"/>
    <cellStyle name="쉼표 [0] 4 2 7 2 2 4" xfId="28995"/>
    <cellStyle name="쉼표 [0] 4 2 7 2 2 5" xfId="19576"/>
    <cellStyle name="쉼표 [0] 4 2 7 2 3" xfId="19578"/>
    <cellStyle name="쉼표 [0] 4 2 7 2 3 2" xfId="13543"/>
    <cellStyle name="쉼표 [0] 4 2 7 2 4" xfId="13546"/>
    <cellStyle name="쉼표 [0] 4 2 7 2 5" xfId="28996"/>
    <cellStyle name="쉼표 [0] 4 2 7 2 6" xfId="19575"/>
    <cellStyle name="쉼표 [0] 4 2 7 3" xfId="1497"/>
    <cellStyle name="쉼표 [0] 4 2 7 3 2" xfId="19580"/>
    <cellStyle name="쉼표 [0] 4 2 7 3 2 2" xfId="13541"/>
    <cellStyle name="쉼표 [0] 4 2 7 3 3" xfId="13542"/>
    <cellStyle name="쉼표 [0] 4 2 7 3 4" xfId="28994"/>
    <cellStyle name="쉼표 [0] 4 2 7 3 5" xfId="19579"/>
    <cellStyle name="쉼표 [0] 4 2 7 4" xfId="1498"/>
    <cellStyle name="쉼표 [0] 4 2 7 4 2" xfId="1499"/>
    <cellStyle name="쉼표 [0] 4 2 7 4 2 2" xfId="19583"/>
    <cellStyle name="쉼표 [0] 4 2 7 4 2 2 2" xfId="13538"/>
    <cellStyle name="쉼표 [0] 4 2 7 4 2 3" xfId="13539"/>
    <cellStyle name="쉼표 [0] 4 2 7 4 2 4" xfId="19582"/>
    <cellStyle name="쉼표 [0] 4 2 7 4 3" xfId="19584"/>
    <cellStyle name="쉼표 [0] 4 2 7 4 3 2" xfId="13537"/>
    <cellStyle name="쉼표 [0] 4 2 7 4 4" xfId="13540"/>
    <cellStyle name="쉼표 [0] 4 2 7 4 5" xfId="19581"/>
    <cellStyle name="쉼표 [0] 4 2 7 5" xfId="19585"/>
    <cellStyle name="쉼표 [0] 4 2 7 5 2" xfId="13536"/>
    <cellStyle name="쉼표 [0] 4 2 7 6" xfId="13547"/>
    <cellStyle name="쉼표 [0] 4 2 7 7" xfId="28997"/>
    <cellStyle name="쉼표 [0] 4 2 7 8" xfId="19574"/>
    <cellStyle name="쉼표 [0] 4 2 8" xfId="1500"/>
    <cellStyle name="쉼표 [0] 4 2 8 2" xfId="1501"/>
    <cellStyle name="쉼표 [0] 4 2 8 2 2" xfId="19588"/>
    <cellStyle name="쉼표 [0] 4 2 8 2 2 2" xfId="13533"/>
    <cellStyle name="쉼표 [0] 4 2 8 2 3" xfId="13534"/>
    <cellStyle name="쉼표 [0] 4 2 8 2 4" xfId="28992"/>
    <cellStyle name="쉼표 [0] 4 2 8 2 5" xfId="19587"/>
    <cellStyle name="쉼표 [0] 4 2 8 3" xfId="19589"/>
    <cellStyle name="쉼표 [0] 4 2 8 3 2" xfId="13532"/>
    <cellStyle name="쉼표 [0] 4 2 8 4" xfId="13535"/>
    <cellStyle name="쉼표 [0] 4 2 8 5" xfId="28993"/>
    <cellStyle name="쉼표 [0] 4 2 8 6" xfId="19586"/>
    <cellStyle name="쉼표 [0] 4 2 9" xfId="1502"/>
    <cellStyle name="쉼표 [0] 4 2 9 2" xfId="1503"/>
    <cellStyle name="쉼표 [0] 4 2 9 2 2" xfId="19592"/>
    <cellStyle name="쉼표 [0] 4 2 9 2 2 2" xfId="13529"/>
    <cellStyle name="쉼표 [0] 4 2 9 2 3" xfId="13530"/>
    <cellStyle name="쉼표 [0] 4 2 9 2 4" xfId="28990"/>
    <cellStyle name="쉼표 [0] 4 2 9 2 5" xfId="19591"/>
    <cellStyle name="쉼표 [0] 4 2 9 3" xfId="19593"/>
    <cellStyle name="쉼표 [0] 4 2 9 3 2" xfId="13528"/>
    <cellStyle name="쉼표 [0] 4 2 9 4" xfId="13531"/>
    <cellStyle name="쉼표 [0] 4 2 9 5" xfId="28991"/>
    <cellStyle name="쉼표 [0] 4 2 9 6" xfId="19590"/>
    <cellStyle name="쉼표 [0] 4 20" xfId="19594"/>
    <cellStyle name="쉼표 [0] 4 20 2" xfId="19595"/>
    <cellStyle name="쉼표 [0] 4 20 2 2" xfId="13526"/>
    <cellStyle name="쉼표 [0] 4 20 3" xfId="13527"/>
    <cellStyle name="쉼표 [0] 4 21" xfId="19596"/>
    <cellStyle name="쉼표 [0] 4 21 2" xfId="13525"/>
    <cellStyle name="쉼표 [0] 4 22" xfId="19597"/>
    <cellStyle name="쉼표 [0] 4 22 2" xfId="13524"/>
    <cellStyle name="쉼표 [0] 4 23" xfId="19598"/>
    <cellStyle name="쉼표 [0] 4 23 2" xfId="13523"/>
    <cellStyle name="쉼표 [0] 4 24" xfId="14291"/>
    <cellStyle name="쉼표 [0] 4 25" xfId="29207"/>
    <cellStyle name="쉼표 [0] 4 26" xfId="18830"/>
    <cellStyle name="쉼표 [0] 4 27" xfId="30705"/>
    <cellStyle name="쉼표 [0] 4 28" xfId="30896"/>
    <cellStyle name="쉼표 [0] 4 28 2" xfId="32250"/>
    <cellStyle name="쉼표 [0] 4 3" xfId="1504"/>
    <cellStyle name="쉼표 [0] 4 3 10" xfId="1505"/>
    <cellStyle name="쉼표 [0] 4 3 10 2" xfId="1506"/>
    <cellStyle name="쉼표 [0] 4 3 10 2 2" xfId="19602"/>
    <cellStyle name="쉼표 [0] 4 3 10 2 2 2" xfId="13519"/>
    <cellStyle name="쉼표 [0] 4 3 10 2 3" xfId="13520"/>
    <cellStyle name="쉼표 [0] 4 3 10 2 4" xfId="19601"/>
    <cellStyle name="쉼표 [0] 4 3 10 3" xfId="19603"/>
    <cellStyle name="쉼표 [0] 4 3 10 3 2" xfId="19604"/>
    <cellStyle name="쉼표 [0] 4 3 10 3 2 2" xfId="13517"/>
    <cellStyle name="쉼표 [0] 4 3 10 3 3" xfId="13518"/>
    <cellStyle name="쉼표 [0] 4 3 10 4" xfId="19605"/>
    <cellStyle name="쉼표 [0] 4 3 10 4 2" xfId="13516"/>
    <cellStyle name="쉼표 [0] 4 3 10 5" xfId="13521"/>
    <cellStyle name="쉼표 [0] 4 3 10 6" xfId="19600"/>
    <cellStyle name="쉼표 [0] 4 3 11" xfId="19606"/>
    <cellStyle name="쉼표 [0] 4 3 11 2" xfId="19607"/>
    <cellStyle name="쉼표 [0] 4 3 11 2 2" xfId="13514"/>
    <cellStyle name="쉼표 [0] 4 3 11 3" xfId="13515"/>
    <cellStyle name="쉼표 [0] 4 3 12" xfId="19608"/>
    <cellStyle name="쉼표 [0] 4 3 12 2" xfId="19609"/>
    <cellStyle name="쉼표 [0] 4 3 12 2 2" xfId="13512"/>
    <cellStyle name="쉼표 [0] 4 3 12 3" xfId="13513"/>
    <cellStyle name="쉼표 [0] 4 3 13" xfId="19610"/>
    <cellStyle name="쉼표 [0] 4 3 13 2" xfId="19611"/>
    <cellStyle name="쉼표 [0] 4 3 13 2 2" xfId="13510"/>
    <cellStyle name="쉼표 [0] 4 3 13 3" xfId="13511"/>
    <cellStyle name="쉼표 [0] 4 3 14" xfId="19612"/>
    <cellStyle name="쉼표 [0] 4 3 14 2" xfId="19613"/>
    <cellStyle name="쉼표 [0] 4 3 14 2 2" xfId="13508"/>
    <cellStyle name="쉼표 [0] 4 3 14 3" xfId="13509"/>
    <cellStyle name="쉼표 [0] 4 3 15" xfId="19614"/>
    <cellStyle name="쉼표 [0] 4 3 15 2" xfId="19615"/>
    <cellStyle name="쉼표 [0] 4 3 15 2 2" xfId="13506"/>
    <cellStyle name="쉼표 [0] 4 3 15 3" xfId="13507"/>
    <cellStyle name="쉼표 [0] 4 3 16" xfId="19616"/>
    <cellStyle name="쉼표 [0] 4 3 16 2" xfId="19617"/>
    <cellStyle name="쉼표 [0] 4 3 16 2 2" xfId="13504"/>
    <cellStyle name="쉼표 [0] 4 3 16 3" xfId="13505"/>
    <cellStyle name="쉼표 [0] 4 3 17" xfId="19618"/>
    <cellStyle name="쉼표 [0] 4 3 17 2" xfId="19619"/>
    <cellStyle name="쉼표 [0] 4 3 17 2 2" xfId="13502"/>
    <cellStyle name="쉼표 [0] 4 3 17 3" xfId="13503"/>
    <cellStyle name="쉼표 [0] 4 3 18" xfId="19620"/>
    <cellStyle name="쉼표 [0] 4 3 18 2" xfId="19621"/>
    <cellStyle name="쉼표 [0] 4 3 18 2 2" xfId="13500"/>
    <cellStyle name="쉼표 [0] 4 3 18 3" xfId="13501"/>
    <cellStyle name="쉼표 [0] 4 3 19" xfId="19622"/>
    <cellStyle name="쉼표 [0] 4 3 19 2" xfId="13499"/>
    <cellStyle name="쉼표 [0] 4 3 2" xfId="1507"/>
    <cellStyle name="쉼표 [0] 4 3 2 10" xfId="19624"/>
    <cellStyle name="쉼표 [0] 4 3 2 10 2" xfId="13497"/>
    <cellStyle name="쉼표 [0] 4 3 2 11" xfId="19625"/>
    <cellStyle name="쉼표 [0] 4 3 2 11 2" xfId="13496"/>
    <cellStyle name="쉼표 [0] 4 3 2 12" xfId="13498"/>
    <cellStyle name="쉼표 [0] 4 3 2 13" xfId="28988"/>
    <cellStyle name="쉼표 [0] 4 3 2 14" xfId="19623"/>
    <cellStyle name="쉼표 [0] 4 3 2 15" xfId="29874"/>
    <cellStyle name="쉼표 [0] 4 3 2 16" xfId="29719"/>
    <cellStyle name="쉼표 [0] 4 3 2 17" xfId="30995"/>
    <cellStyle name="쉼표 [0] 4 3 2 17 2" xfId="32346"/>
    <cellStyle name="쉼표 [0] 4 3 2 2" xfId="1508"/>
    <cellStyle name="쉼표 [0] 4 3 2 2 10" xfId="13495"/>
    <cellStyle name="쉼표 [0] 4 3 2 2 11" xfId="28987"/>
    <cellStyle name="쉼표 [0] 4 3 2 2 12" xfId="19626"/>
    <cellStyle name="쉼표 [0] 4 3 2 2 13" xfId="29688"/>
    <cellStyle name="쉼표 [0] 4 3 2 2 2" xfId="1509"/>
    <cellStyle name="쉼표 [0] 4 3 2 2 2 10" xfId="19627"/>
    <cellStyle name="쉼표 [0] 4 3 2 2 2 11" xfId="30131"/>
    <cellStyle name="쉼표 [0] 4 3 2 2 2 2" xfId="1510"/>
    <cellStyle name="쉼표 [0] 4 3 2 2 2 2 2" xfId="1511"/>
    <cellStyle name="쉼표 [0] 4 3 2 2 2 2 2 2" xfId="19630"/>
    <cellStyle name="쉼표 [0] 4 3 2 2 2 2 2 2 2" xfId="13491"/>
    <cellStyle name="쉼표 [0] 4 3 2 2 2 2 2 3" xfId="13492"/>
    <cellStyle name="쉼표 [0] 4 3 2 2 2 2 2 4" xfId="28984"/>
    <cellStyle name="쉼표 [0] 4 3 2 2 2 2 2 5" xfId="19629"/>
    <cellStyle name="쉼표 [0] 4 3 2 2 2 2 3" xfId="1512"/>
    <cellStyle name="쉼표 [0] 4 3 2 2 2 2 3 2" xfId="1513"/>
    <cellStyle name="쉼표 [0] 4 3 2 2 2 2 3 2 2" xfId="19633"/>
    <cellStyle name="쉼표 [0] 4 3 2 2 2 2 3 2 2 2" xfId="13488"/>
    <cellStyle name="쉼표 [0] 4 3 2 2 2 2 3 2 3" xfId="13489"/>
    <cellStyle name="쉼표 [0] 4 3 2 2 2 2 3 2 4" xfId="19632"/>
    <cellStyle name="쉼표 [0] 4 3 2 2 2 2 3 3" xfId="19634"/>
    <cellStyle name="쉼표 [0] 4 3 2 2 2 2 3 3 2" xfId="13487"/>
    <cellStyle name="쉼표 [0] 4 3 2 2 2 2 3 4" xfId="13490"/>
    <cellStyle name="쉼표 [0] 4 3 2 2 2 2 3 5" xfId="19631"/>
    <cellStyle name="쉼표 [0] 4 3 2 2 2 2 4" xfId="19635"/>
    <cellStyle name="쉼표 [0] 4 3 2 2 2 2 4 2" xfId="13486"/>
    <cellStyle name="쉼표 [0] 4 3 2 2 2 2 5" xfId="13493"/>
    <cellStyle name="쉼표 [0] 4 3 2 2 2 2 6" xfId="28985"/>
    <cellStyle name="쉼표 [0] 4 3 2 2 2 2 7" xfId="19628"/>
    <cellStyle name="쉼표 [0] 4 3 2 2 2 3" xfId="1514"/>
    <cellStyle name="쉼표 [0] 4 3 2 2 2 3 2" xfId="1515"/>
    <cellStyle name="쉼표 [0] 4 3 2 2 2 3 2 2" xfId="1516"/>
    <cellStyle name="쉼표 [0] 4 3 2 2 2 3 2 2 2" xfId="19639"/>
    <cellStyle name="쉼표 [0] 4 3 2 2 2 3 2 2 2 2" xfId="13482"/>
    <cellStyle name="쉼표 [0] 4 3 2 2 2 3 2 2 3" xfId="13483"/>
    <cellStyle name="쉼표 [0] 4 3 2 2 2 3 2 2 4" xfId="28981"/>
    <cellStyle name="쉼표 [0] 4 3 2 2 2 3 2 2 5" xfId="19638"/>
    <cellStyle name="쉼표 [0] 4 3 2 2 2 3 2 3" xfId="19640"/>
    <cellStyle name="쉼표 [0] 4 3 2 2 2 3 2 3 2" xfId="13481"/>
    <cellStyle name="쉼표 [0] 4 3 2 2 2 3 2 4" xfId="13484"/>
    <cellStyle name="쉼표 [0] 4 3 2 2 2 3 2 5" xfId="28982"/>
    <cellStyle name="쉼표 [0] 4 3 2 2 2 3 2 6" xfId="19637"/>
    <cellStyle name="쉼표 [0] 4 3 2 2 2 3 3" xfId="1517"/>
    <cellStyle name="쉼표 [0] 4 3 2 2 2 3 3 2" xfId="19642"/>
    <cellStyle name="쉼표 [0] 4 3 2 2 2 3 3 2 2" xfId="13479"/>
    <cellStyle name="쉼표 [0] 4 3 2 2 2 3 3 3" xfId="13480"/>
    <cellStyle name="쉼표 [0] 4 3 2 2 2 3 3 4" xfId="28980"/>
    <cellStyle name="쉼표 [0] 4 3 2 2 2 3 3 5" xfId="19641"/>
    <cellStyle name="쉼표 [0] 4 3 2 2 2 3 4" xfId="1518"/>
    <cellStyle name="쉼표 [0] 4 3 2 2 2 3 4 2" xfId="1519"/>
    <cellStyle name="쉼표 [0] 4 3 2 2 2 3 4 2 2" xfId="19645"/>
    <cellStyle name="쉼표 [0] 4 3 2 2 2 3 4 2 2 2" xfId="13476"/>
    <cellStyle name="쉼표 [0] 4 3 2 2 2 3 4 2 3" xfId="13477"/>
    <cellStyle name="쉼표 [0] 4 3 2 2 2 3 4 2 4" xfId="19644"/>
    <cellStyle name="쉼표 [0] 4 3 2 2 2 3 4 3" xfId="19646"/>
    <cellStyle name="쉼표 [0] 4 3 2 2 2 3 4 3 2" xfId="13475"/>
    <cellStyle name="쉼표 [0] 4 3 2 2 2 3 4 4" xfId="13478"/>
    <cellStyle name="쉼표 [0] 4 3 2 2 2 3 4 5" xfId="19643"/>
    <cellStyle name="쉼표 [0] 4 3 2 2 2 3 5" xfId="19647"/>
    <cellStyle name="쉼표 [0] 4 3 2 2 2 3 5 2" xfId="13474"/>
    <cellStyle name="쉼표 [0] 4 3 2 2 2 3 6" xfId="13485"/>
    <cellStyle name="쉼표 [0] 4 3 2 2 2 3 7" xfId="28983"/>
    <cellStyle name="쉼표 [0] 4 3 2 2 2 3 8" xfId="19636"/>
    <cellStyle name="쉼표 [0] 4 3 2 2 2 4" xfId="1520"/>
    <cellStyle name="쉼표 [0] 4 3 2 2 2 4 2" xfId="1521"/>
    <cellStyle name="쉼표 [0] 4 3 2 2 2 4 2 2" xfId="19650"/>
    <cellStyle name="쉼표 [0] 4 3 2 2 2 4 2 2 2" xfId="13471"/>
    <cellStyle name="쉼표 [0] 4 3 2 2 2 4 2 3" xfId="13472"/>
    <cellStyle name="쉼표 [0] 4 3 2 2 2 4 2 4" xfId="28978"/>
    <cellStyle name="쉼표 [0] 4 3 2 2 2 4 2 5" xfId="19649"/>
    <cellStyle name="쉼표 [0] 4 3 2 2 2 4 3" xfId="19651"/>
    <cellStyle name="쉼표 [0] 4 3 2 2 2 4 3 2" xfId="13470"/>
    <cellStyle name="쉼표 [0] 4 3 2 2 2 4 4" xfId="13473"/>
    <cellStyle name="쉼표 [0] 4 3 2 2 2 4 5" xfId="28979"/>
    <cellStyle name="쉼표 [0] 4 3 2 2 2 4 6" xfId="19648"/>
    <cellStyle name="쉼표 [0] 4 3 2 2 2 5" xfId="1522"/>
    <cellStyle name="쉼표 [0] 4 3 2 2 2 5 2" xfId="19653"/>
    <cellStyle name="쉼표 [0] 4 3 2 2 2 5 2 2" xfId="13468"/>
    <cellStyle name="쉼표 [0] 4 3 2 2 2 5 3" xfId="13469"/>
    <cellStyle name="쉼표 [0] 4 3 2 2 2 5 4" xfId="28977"/>
    <cellStyle name="쉼표 [0] 4 3 2 2 2 5 5" xfId="19652"/>
    <cellStyle name="쉼표 [0] 4 3 2 2 2 6" xfId="1523"/>
    <cellStyle name="쉼표 [0] 4 3 2 2 2 6 2" xfId="1524"/>
    <cellStyle name="쉼표 [0] 4 3 2 2 2 6 2 2" xfId="19656"/>
    <cellStyle name="쉼표 [0] 4 3 2 2 2 6 2 2 2" xfId="13465"/>
    <cellStyle name="쉼표 [0] 4 3 2 2 2 6 2 3" xfId="13466"/>
    <cellStyle name="쉼표 [0] 4 3 2 2 2 6 2 4" xfId="19655"/>
    <cellStyle name="쉼표 [0] 4 3 2 2 2 6 3" xfId="19657"/>
    <cellStyle name="쉼표 [0] 4 3 2 2 2 6 3 2" xfId="13464"/>
    <cellStyle name="쉼표 [0] 4 3 2 2 2 6 4" xfId="13467"/>
    <cellStyle name="쉼표 [0] 4 3 2 2 2 6 5" xfId="19654"/>
    <cellStyle name="쉼표 [0] 4 3 2 2 2 7" xfId="19658"/>
    <cellStyle name="쉼표 [0] 4 3 2 2 2 7 2" xfId="13463"/>
    <cellStyle name="쉼표 [0] 4 3 2 2 2 8" xfId="13494"/>
    <cellStyle name="쉼표 [0] 4 3 2 2 2 9" xfId="28986"/>
    <cellStyle name="쉼표 [0] 4 3 2 2 3" xfId="1525"/>
    <cellStyle name="쉼표 [0] 4 3 2 2 3 2" xfId="1526"/>
    <cellStyle name="쉼표 [0] 4 3 2 2 3 2 2" xfId="1527"/>
    <cellStyle name="쉼표 [0] 4 3 2 2 3 2 2 2" xfId="1528"/>
    <cellStyle name="쉼표 [0] 4 3 2 2 3 2 2 2 2" xfId="19663"/>
    <cellStyle name="쉼표 [0] 4 3 2 2 3 2 2 2 2 2" xfId="13458"/>
    <cellStyle name="쉼표 [0] 4 3 2 2 3 2 2 2 3" xfId="13459"/>
    <cellStyle name="쉼표 [0] 4 3 2 2 3 2 2 2 4" xfId="19662"/>
    <cellStyle name="쉼표 [0] 4 3 2 2 3 2 2 3" xfId="19664"/>
    <cellStyle name="쉼표 [0] 4 3 2 2 3 2 2 3 2" xfId="13457"/>
    <cellStyle name="쉼표 [0] 4 3 2 2 3 2 2 4" xfId="13460"/>
    <cellStyle name="쉼표 [0] 4 3 2 2 3 2 2 5" xfId="19661"/>
    <cellStyle name="쉼표 [0] 4 3 2 2 3 2 3" xfId="19665"/>
    <cellStyle name="쉼표 [0] 4 3 2 2 3 2 3 2" xfId="13456"/>
    <cellStyle name="쉼표 [0] 4 3 2 2 3 2 4" xfId="13461"/>
    <cellStyle name="쉼표 [0] 4 3 2 2 3 2 5" xfId="28975"/>
    <cellStyle name="쉼표 [0] 4 3 2 2 3 2 6" xfId="19660"/>
    <cellStyle name="쉼표 [0] 4 3 2 2 3 3" xfId="1529"/>
    <cellStyle name="쉼표 [0] 4 3 2 2 3 3 2" xfId="1530"/>
    <cellStyle name="쉼표 [0] 4 3 2 2 3 3 2 2" xfId="19668"/>
    <cellStyle name="쉼표 [0] 4 3 2 2 3 3 2 2 2" xfId="13453"/>
    <cellStyle name="쉼표 [0] 4 3 2 2 3 3 2 3" xfId="13454"/>
    <cellStyle name="쉼표 [0] 4 3 2 2 3 3 2 4" xfId="19667"/>
    <cellStyle name="쉼표 [0] 4 3 2 2 3 3 3" xfId="19669"/>
    <cellStyle name="쉼표 [0] 4 3 2 2 3 3 3 2" xfId="13452"/>
    <cellStyle name="쉼표 [0] 4 3 2 2 3 3 4" xfId="13455"/>
    <cellStyle name="쉼표 [0] 4 3 2 2 3 3 5" xfId="19666"/>
    <cellStyle name="쉼표 [0] 4 3 2 2 3 4" xfId="19670"/>
    <cellStyle name="쉼표 [0] 4 3 2 2 3 4 2" xfId="13451"/>
    <cellStyle name="쉼표 [0] 4 3 2 2 3 5" xfId="13462"/>
    <cellStyle name="쉼표 [0] 4 3 2 2 3 6" xfId="28976"/>
    <cellStyle name="쉼표 [0] 4 3 2 2 3 7" xfId="19659"/>
    <cellStyle name="쉼표 [0] 4 3 2 2 4" xfId="1531"/>
    <cellStyle name="쉼표 [0] 4 3 2 2 4 2" xfId="1532"/>
    <cellStyle name="쉼표 [0] 4 3 2 2 4 2 2" xfId="1533"/>
    <cellStyle name="쉼표 [0] 4 3 2 2 4 2 2 2" xfId="19674"/>
    <cellStyle name="쉼표 [0] 4 3 2 2 4 2 2 2 2" xfId="13447"/>
    <cellStyle name="쉼표 [0] 4 3 2 2 4 2 2 3" xfId="13448"/>
    <cellStyle name="쉼표 [0] 4 3 2 2 4 2 2 4" xfId="28972"/>
    <cellStyle name="쉼표 [0] 4 3 2 2 4 2 2 5" xfId="19673"/>
    <cellStyle name="쉼표 [0] 4 3 2 2 4 2 3" xfId="19675"/>
    <cellStyle name="쉼표 [0] 4 3 2 2 4 2 3 2" xfId="13446"/>
    <cellStyle name="쉼표 [0] 4 3 2 2 4 2 4" xfId="13449"/>
    <cellStyle name="쉼표 [0] 4 3 2 2 4 2 5" xfId="28973"/>
    <cellStyle name="쉼표 [0] 4 3 2 2 4 2 6" xfId="19672"/>
    <cellStyle name="쉼표 [0] 4 3 2 2 4 3" xfId="1534"/>
    <cellStyle name="쉼표 [0] 4 3 2 2 4 3 2" xfId="19677"/>
    <cellStyle name="쉼표 [0] 4 3 2 2 4 3 2 2" xfId="13444"/>
    <cellStyle name="쉼표 [0] 4 3 2 2 4 3 3" xfId="13445"/>
    <cellStyle name="쉼표 [0] 4 3 2 2 4 3 4" xfId="28971"/>
    <cellStyle name="쉼표 [0] 4 3 2 2 4 3 5" xfId="19676"/>
    <cellStyle name="쉼표 [0] 4 3 2 2 4 4" xfId="1535"/>
    <cellStyle name="쉼표 [0] 4 3 2 2 4 4 2" xfId="1536"/>
    <cellStyle name="쉼표 [0] 4 3 2 2 4 4 2 2" xfId="19680"/>
    <cellStyle name="쉼표 [0] 4 3 2 2 4 4 2 2 2" xfId="13441"/>
    <cellStyle name="쉼표 [0] 4 3 2 2 4 4 2 3" xfId="13442"/>
    <cellStyle name="쉼표 [0] 4 3 2 2 4 4 2 4" xfId="19679"/>
    <cellStyle name="쉼표 [0] 4 3 2 2 4 4 3" xfId="19681"/>
    <cellStyle name="쉼표 [0] 4 3 2 2 4 4 3 2" xfId="13440"/>
    <cellStyle name="쉼표 [0] 4 3 2 2 4 4 4" xfId="13443"/>
    <cellStyle name="쉼표 [0] 4 3 2 2 4 4 5" xfId="19678"/>
    <cellStyle name="쉼표 [0] 4 3 2 2 4 5" xfId="19682"/>
    <cellStyle name="쉼표 [0] 4 3 2 2 4 5 2" xfId="13439"/>
    <cellStyle name="쉼표 [0] 4 3 2 2 4 6" xfId="13450"/>
    <cellStyle name="쉼표 [0] 4 3 2 2 4 7" xfId="28974"/>
    <cellStyle name="쉼표 [0] 4 3 2 2 4 8" xfId="19671"/>
    <cellStyle name="쉼표 [0] 4 3 2 2 5" xfId="1537"/>
    <cellStyle name="쉼표 [0] 4 3 2 2 5 2" xfId="1538"/>
    <cellStyle name="쉼표 [0] 4 3 2 2 5 2 2" xfId="19685"/>
    <cellStyle name="쉼표 [0] 4 3 2 2 5 2 2 2" xfId="13436"/>
    <cellStyle name="쉼표 [0] 4 3 2 2 5 2 3" xfId="13437"/>
    <cellStyle name="쉼표 [0] 4 3 2 2 5 2 4" xfId="28969"/>
    <cellStyle name="쉼표 [0] 4 3 2 2 5 2 5" xfId="19684"/>
    <cellStyle name="쉼표 [0] 4 3 2 2 5 3" xfId="19686"/>
    <cellStyle name="쉼표 [0] 4 3 2 2 5 3 2" xfId="13435"/>
    <cellStyle name="쉼표 [0] 4 3 2 2 5 4" xfId="13438"/>
    <cellStyle name="쉼표 [0] 4 3 2 2 5 5" xfId="28970"/>
    <cellStyle name="쉼표 [0] 4 3 2 2 5 6" xfId="19683"/>
    <cellStyle name="쉼표 [0] 4 3 2 2 6" xfId="1539"/>
    <cellStyle name="쉼표 [0] 4 3 2 2 6 2" xfId="19688"/>
    <cellStyle name="쉼표 [0] 4 3 2 2 6 2 2" xfId="13433"/>
    <cellStyle name="쉼표 [0] 4 3 2 2 6 3" xfId="13434"/>
    <cellStyle name="쉼표 [0] 4 3 2 2 6 4" xfId="28968"/>
    <cellStyle name="쉼표 [0] 4 3 2 2 6 5" xfId="19687"/>
    <cellStyle name="쉼표 [0] 4 3 2 2 7" xfId="1540"/>
    <cellStyle name="쉼표 [0] 4 3 2 2 7 2" xfId="1541"/>
    <cellStyle name="쉼표 [0] 4 3 2 2 7 2 2" xfId="19691"/>
    <cellStyle name="쉼표 [0] 4 3 2 2 7 2 2 2" xfId="13430"/>
    <cellStyle name="쉼표 [0] 4 3 2 2 7 2 3" xfId="13431"/>
    <cellStyle name="쉼표 [0] 4 3 2 2 7 2 4" xfId="19690"/>
    <cellStyle name="쉼표 [0] 4 3 2 2 7 3" xfId="19692"/>
    <cellStyle name="쉼표 [0] 4 3 2 2 7 3 2" xfId="13429"/>
    <cellStyle name="쉼표 [0] 4 3 2 2 7 4" xfId="13432"/>
    <cellStyle name="쉼표 [0] 4 3 2 2 7 5" xfId="19689"/>
    <cellStyle name="쉼표 [0] 4 3 2 2 8" xfId="19693"/>
    <cellStyle name="쉼표 [0] 4 3 2 2 8 2" xfId="19694"/>
    <cellStyle name="쉼표 [0] 4 3 2 2 8 2 2" xfId="13427"/>
    <cellStyle name="쉼표 [0] 4 3 2 2 8 3" xfId="13428"/>
    <cellStyle name="쉼표 [0] 4 3 2 2 9" xfId="19695"/>
    <cellStyle name="쉼표 [0] 4 3 2 2 9 2" xfId="13426"/>
    <cellStyle name="쉼표 [0] 4 3 2 3" xfId="1542"/>
    <cellStyle name="쉼표 [0] 4 3 2 3 10" xfId="28967"/>
    <cellStyle name="쉼표 [0] 4 3 2 3 11" xfId="19696"/>
    <cellStyle name="쉼표 [0] 4 3 2 3 12" xfId="29666"/>
    <cellStyle name="쉼표 [0] 4 3 2 3 2" xfId="1543"/>
    <cellStyle name="쉼표 [0] 4 3 2 3 2 2" xfId="1544"/>
    <cellStyle name="쉼표 [0] 4 3 2 3 2 2 2" xfId="19699"/>
    <cellStyle name="쉼표 [0] 4 3 2 3 2 2 2 2" xfId="13422"/>
    <cellStyle name="쉼표 [0] 4 3 2 3 2 2 3" xfId="13423"/>
    <cellStyle name="쉼표 [0] 4 3 2 3 2 2 4" xfId="28965"/>
    <cellStyle name="쉼표 [0] 4 3 2 3 2 2 5" xfId="19698"/>
    <cellStyle name="쉼표 [0] 4 3 2 3 2 3" xfId="1545"/>
    <cellStyle name="쉼표 [0] 4 3 2 3 2 3 2" xfId="1546"/>
    <cellStyle name="쉼표 [0] 4 3 2 3 2 3 2 2" xfId="19702"/>
    <cellStyle name="쉼표 [0] 4 3 2 3 2 3 2 2 2" xfId="13419"/>
    <cellStyle name="쉼표 [0] 4 3 2 3 2 3 2 3" xfId="13420"/>
    <cellStyle name="쉼표 [0] 4 3 2 3 2 3 2 4" xfId="19701"/>
    <cellStyle name="쉼표 [0] 4 3 2 3 2 3 3" xfId="19703"/>
    <cellStyle name="쉼표 [0] 4 3 2 3 2 3 3 2" xfId="13418"/>
    <cellStyle name="쉼표 [0] 4 3 2 3 2 3 4" xfId="13421"/>
    <cellStyle name="쉼표 [0] 4 3 2 3 2 3 5" xfId="19700"/>
    <cellStyle name="쉼표 [0] 4 3 2 3 2 4" xfId="19704"/>
    <cellStyle name="쉼표 [0] 4 3 2 3 2 4 2" xfId="13417"/>
    <cellStyle name="쉼표 [0] 4 3 2 3 2 5" xfId="13424"/>
    <cellStyle name="쉼표 [0] 4 3 2 3 2 6" xfId="28966"/>
    <cellStyle name="쉼표 [0] 4 3 2 3 2 7" xfId="19697"/>
    <cellStyle name="쉼표 [0] 4 3 2 3 3" xfId="1547"/>
    <cellStyle name="쉼표 [0] 4 3 2 3 3 2" xfId="1548"/>
    <cellStyle name="쉼표 [0] 4 3 2 3 3 2 2" xfId="1549"/>
    <cellStyle name="쉼표 [0] 4 3 2 3 3 2 2 2" xfId="19708"/>
    <cellStyle name="쉼표 [0] 4 3 2 3 3 2 2 2 2" xfId="13413"/>
    <cellStyle name="쉼표 [0] 4 3 2 3 3 2 2 3" xfId="13414"/>
    <cellStyle name="쉼표 [0] 4 3 2 3 3 2 2 4" xfId="28962"/>
    <cellStyle name="쉼표 [0] 4 3 2 3 3 2 2 5" xfId="19707"/>
    <cellStyle name="쉼표 [0] 4 3 2 3 3 2 3" xfId="19709"/>
    <cellStyle name="쉼표 [0] 4 3 2 3 3 2 3 2" xfId="13412"/>
    <cellStyle name="쉼표 [0] 4 3 2 3 3 2 4" xfId="13415"/>
    <cellStyle name="쉼표 [0] 4 3 2 3 3 2 5" xfId="28963"/>
    <cellStyle name="쉼표 [0] 4 3 2 3 3 2 6" xfId="19706"/>
    <cellStyle name="쉼표 [0] 4 3 2 3 3 3" xfId="1550"/>
    <cellStyle name="쉼표 [0] 4 3 2 3 3 3 2" xfId="19711"/>
    <cellStyle name="쉼표 [0] 4 3 2 3 3 3 2 2" xfId="13410"/>
    <cellStyle name="쉼표 [0] 4 3 2 3 3 3 3" xfId="13411"/>
    <cellStyle name="쉼표 [0] 4 3 2 3 3 3 4" xfId="28961"/>
    <cellStyle name="쉼표 [0] 4 3 2 3 3 3 5" xfId="19710"/>
    <cellStyle name="쉼표 [0] 4 3 2 3 3 4" xfId="1551"/>
    <cellStyle name="쉼표 [0] 4 3 2 3 3 4 2" xfId="1552"/>
    <cellStyle name="쉼표 [0] 4 3 2 3 3 4 2 2" xfId="19714"/>
    <cellStyle name="쉼표 [0] 4 3 2 3 3 4 2 2 2" xfId="13407"/>
    <cellStyle name="쉼표 [0] 4 3 2 3 3 4 2 3" xfId="13408"/>
    <cellStyle name="쉼표 [0] 4 3 2 3 3 4 2 4" xfId="19713"/>
    <cellStyle name="쉼표 [0] 4 3 2 3 3 4 3" xfId="19715"/>
    <cellStyle name="쉼표 [0] 4 3 2 3 3 4 3 2" xfId="13406"/>
    <cellStyle name="쉼표 [0] 4 3 2 3 3 4 4" xfId="13409"/>
    <cellStyle name="쉼표 [0] 4 3 2 3 3 4 5" xfId="19712"/>
    <cellStyle name="쉼표 [0] 4 3 2 3 3 5" xfId="19716"/>
    <cellStyle name="쉼표 [0] 4 3 2 3 3 5 2" xfId="13405"/>
    <cellStyle name="쉼표 [0] 4 3 2 3 3 6" xfId="13416"/>
    <cellStyle name="쉼표 [0] 4 3 2 3 3 7" xfId="28964"/>
    <cellStyle name="쉼표 [0] 4 3 2 3 3 8" xfId="19705"/>
    <cellStyle name="쉼표 [0] 4 3 2 3 4" xfId="1553"/>
    <cellStyle name="쉼표 [0] 4 3 2 3 4 2" xfId="1554"/>
    <cellStyle name="쉼표 [0] 4 3 2 3 4 2 2" xfId="19719"/>
    <cellStyle name="쉼표 [0] 4 3 2 3 4 2 2 2" xfId="13402"/>
    <cellStyle name="쉼표 [0] 4 3 2 3 4 2 3" xfId="13403"/>
    <cellStyle name="쉼표 [0] 4 3 2 3 4 2 4" xfId="28959"/>
    <cellStyle name="쉼표 [0] 4 3 2 3 4 2 5" xfId="19718"/>
    <cellStyle name="쉼표 [0] 4 3 2 3 4 3" xfId="19720"/>
    <cellStyle name="쉼표 [0] 4 3 2 3 4 3 2" xfId="13401"/>
    <cellStyle name="쉼표 [0] 4 3 2 3 4 4" xfId="13404"/>
    <cellStyle name="쉼표 [0] 4 3 2 3 4 5" xfId="28960"/>
    <cellStyle name="쉼표 [0] 4 3 2 3 4 6" xfId="19717"/>
    <cellStyle name="쉼표 [0] 4 3 2 3 5" xfId="1555"/>
    <cellStyle name="쉼표 [0] 4 3 2 3 5 2" xfId="19722"/>
    <cellStyle name="쉼표 [0] 4 3 2 3 5 2 2" xfId="13399"/>
    <cellStyle name="쉼표 [0] 4 3 2 3 5 3" xfId="13400"/>
    <cellStyle name="쉼표 [0] 4 3 2 3 5 4" xfId="28958"/>
    <cellStyle name="쉼표 [0] 4 3 2 3 5 5" xfId="19721"/>
    <cellStyle name="쉼표 [0] 4 3 2 3 6" xfId="1556"/>
    <cellStyle name="쉼표 [0] 4 3 2 3 6 2" xfId="1557"/>
    <cellStyle name="쉼표 [0] 4 3 2 3 6 2 2" xfId="19725"/>
    <cellStyle name="쉼표 [0] 4 3 2 3 6 2 2 2" xfId="13396"/>
    <cellStyle name="쉼표 [0] 4 3 2 3 6 2 3" xfId="13397"/>
    <cellStyle name="쉼표 [0] 4 3 2 3 6 2 4" xfId="19724"/>
    <cellStyle name="쉼표 [0] 4 3 2 3 6 3" xfId="19726"/>
    <cellStyle name="쉼표 [0] 4 3 2 3 6 3 2" xfId="13395"/>
    <cellStyle name="쉼표 [0] 4 3 2 3 6 4" xfId="13398"/>
    <cellStyle name="쉼표 [0] 4 3 2 3 6 5" xfId="19723"/>
    <cellStyle name="쉼표 [0] 4 3 2 3 7" xfId="19727"/>
    <cellStyle name="쉼표 [0] 4 3 2 3 7 2" xfId="19728"/>
    <cellStyle name="쉼표 [0] 4 3 2 3 7 2 2" xfId="13393"/>
    <cellStyle name="쉼표 [0] 4 3 2 3 7 3" xfId="13394"/>
    <cellStyle name="쉼표 [0] 4 3 2 3 8" xfId="19729"/>
    <cellStyle name="쉼표 [0] 4 3 2 3 8 2" xfId="13392"/>
    <cellStyle name="쉼표 [0] 4 3 2 3 9" xfId="13425"/>
    <cellStyle name="쉼표 [0] 4 3 2 4" xfId="1558"/>
    <cellStyle name="쉼표 [0] 4 3 2 4 2" xfId="1559"/>
    <cellStyle name="쉼표 [0] 4 3 2 4 2 2" xfId="1560"/>
    <cellStyle name="쉼표 [0] 4 3 2 4 2 2 2" xfId="1561"/>
    <cellStyle name="쉼표 [0] 4 3 2 4 2 2 2 2" xfId="19734"/>
    <cellStyle name="쉼표 [0] 4 3 2 4 2 2 2 2 2" xfId="13387"/>
    <cellStyle name="쉼표 [0] 4 3 2 4 2 2 2 3" xfId="13388"/>
    <cellStyle name="쉼표 [0] 4 3 2 4 2 2 2 4" xfId="19733"/>
    <cellStyle name="쉼표 [0] 4 3 2 4 2 2 3" xfId="19735"/>
    <cellStyle name="쉼표 [0] 4 3 2 4 2 2 3 2" xfId="13386"/>
    <cellStyle name="쉼표 [0] 4 3 2 4 2 2 4" xfId="13389"/>
    <cellStyle name="쉼표 [0] 4 3 2 4 2 2 5" xfId="19732"/>
    <cellStyle name="쉼표 [0] 4 3 2 4 2 3" xfId="19736"/>
    <cellStyle name="쉼표 [0] 4 3 2 4 2 3 2" xfId="13385"/>
    <cellStyle name="쉼표 [0] 4 3 2 4 2 4" xfId="13390"/>
    <cellStyle name="쉼표 [0] 4 3 2 4 2 5" xfId="28956"/>
    <cellStyle name="쉼표 [0] 4 3 2 4 2 6" xfId="19731"/>
    <cellStyle name="쉼표 [0] 4 3 2 4 3" xfId="1562"/>
    <cellStyle name="쉼표 [0] 4 3 2 4 3 2" xfId="1563"/>
    <cellStyle name="쉼표 [0] 4 3 2 4 3 2 2" xfId="19739"/>
    <cellStyle name="쉼표 [0] 4 3 2 4 3 2 2 2" xfId="13382"/>
    <cellStyle name="쉼표 [0] 4 3 2 4 3 2 3" xfId="13383"/>
    <cellStyle name="쉼표 [0] 4 3 2 4 3 2 4" xfId="19738"/>
    <cellStyle name="쉼표 [0] 4 3 2 4 3 3" xfId="19740"/>
    <cellStyle name="쉼표 [0] 4 3 2 4 3 3 2" xfId="13381"/>
    <cellStyle name="쉼표 [0] 4 3 2 4 3 4" xfId="13384"/>
    <cellStyle name="쉼표 [0] 4 3 2 4 3 5" xfId="19737"/>
    <cellStyle name="쉼표 [0] 4 3 2 4 4" xfId="19741"/>
    <cellStyle name="쉼표 [0] 4 3 2 4 4 2" xfId="19742"/>
    <cellStyle name="쉼표 [0] 4 3 2 4 4 2 2" xfId="13379"/>
    <cellStyle name="쉼표 [0] 4 3 2 4 4 3" xfId="13380"/>
    <cellStyle name="쉼표 [0] 4 3 2 4 5" xfId="19743"/>
    <cellStyle name="쉼표 [0] 4 3 2 4 5 2" xfId="13378"/>
    <cellStyle name="쉼표 [0] 4 3 2 4 6" xfId="13391"/>
    <cellStyle name="쉼표 [0] 4 3 2 4 7" xfId="28957"/>
    <cellStyle name="쉼표 [0] 4 3 2 4 8" xfId="19730"/>
    <cellStyle name="쉼표 [0] 4 3 2 5" xfId="1564"/>
    <cellStyle name="쉼표 [0] 4 3 2 5 2" xfId="1565"/>
    <cellStyle name="쉼표 [0] 4 3 2 5 2 2" xfId="1566"/>
    <cellStyle name="쉼표 [0] 4 3 2 5 2 2 2" xfId="19747"/>
    <cellStyle name="쉼표 [0] 4 3 2 5 2 2 2 2" xfId="13374"/>
    <cellStyle name="쉼표 [0] 4 3 2 5 2 2 3" xfId="13375"/>
    <cellStyle name="쉼표 [0] 4 3 2 5 2 2 4" xfId="28953"/>
    <cellStyle name="쉼표 [0] 4 3 2 5 2 2 5" xfId="19746"/>
    <cellStyle name="쉼표 [0] 4 3 2 5 2 3" xfId="19748"/>
    <cellStyle name="쉼표 [0] 4 3 2 5 2 3 2" xfId="13373"/>
    <cellStyle name="쉼표 [0] 4 3 2 5 2 4" xfId="13376"/>
    <cellStyle name="쉼표 [0] 4 3 2 5 2 5" xfId="28954"/>
    <cellStyle name="쉼표 [0] 4 3 2 5 2 6" xfId="19745"/>
    <cellStyle name="쉼표 [0] 4 3 2 5 3" xfId="1567"/>
    <cellStyle name="쉼표 [0] 4 3 2 5 3 2" xfId="19750"/>
    <cellStyle name="쉼표 [0] 4 3 2 5 3 2 2" xfId="13371"/>
    <cellStyle name="쉼표 [0] 4 3 2 5 3 3" xfId="13372"/>
    <cellStyle name="쉼표 [0] 4 3 2 5 3 4" xfId="28952"/>
    <cellStyle name="쉼표 [0] 4 3 2 5 3 5" xfId="19749"/>
    <cellStyle name="쉼표 [0] 4 3 2 5 4" xfId="1568"/>
    <cellStyle name="쉼표 [0] 4 3 2 5 4 2" xfId="1569"/>
    <cellStyle name="쉼표 [0] 4 3 2 5 4 2 2" xfId="19753"/>
    <cellStyle name="쉼표 [0] 4 3 2 5 4 2 2 2" xfId="13368"/>
    <cellStyle name="쉼표 [0] 4 3 2 5 4 2 3" xfId="13369"/>
    <cellStyle name="쉼표 [0] 4 3 2 5 4 2 4" xfId="19752"/>
    <cellStyle name="쉼표 [0] 4 3 2 5 4 3" xfId="19754"/>
    <cellStyle name="쉼표 [0] 4 3 2 5 4 3 2" xfId="13367"/>
    <cellStyle name="쉼표 [0] 4 3 2 5 4 4" xfId="13370"/>
    <cellStyle name="쉼표 [0] 4 3 2 5 4 5" xfId="19751"/>
    <cellStyle name="쉼표 [0] 4 3 2 5 5" xfId="19755"/>
    <cellStyle name="쉼표 [0] 4 3 2 5 5 2" xfId="19756"/>
    <cellStyle name="쉼표 [0] 4 3 2 5 5 2 2" xfId="13365"/>
    <cellStyle name="쉼표 [0] 4 3 2 5 5 3" xfId="13366"/>
    <cellStyle name="쉼표 [0] 4 3 2 5 6" xfId="19757"/>
    <cellStyle name="쉼표 [0] 4 3 2 5 6 2" xfId="13364"/>
    <cellStyle name="쉼표 [0] 4 3 2 5 7" xfId="13377"/>
    <cellStyle name="쉼표 [0] 4 3 2 5 8" xfId="28955"/>
    <cellStyle name="쉼표 [0] 4 3 2 5 9" xfId="19744"/>
    <cellStyle name="쉼표 [0] 4 3 2 6" xfId="1570"/>
    <cellStyle name="쉼표 [0] 4 3 2 6 2" xfId="1571"/>
    <cellStyle name="쉼표 [0] 4 3 2 6 2 2" xfId="19760"/>
    <cellStyle name="쉼표 [0] 4 3 2 6 2 2 2" xfId="13361"/>
    <cellStyle name="쉼표 [0] 4 3 2 6 2 3" xfId="13362"/>
    <cellStyle name="쉼표 [0] 4 3 2 6 2 4" xfId="28950"/>
    <cellStyle name="쉼표 [0] 4 3 2 6 2 5" xfId="19759"/>
    <cellStyle name="쉼표 [0] 4 3 2 6 3" xfId="19761"/>
    <cellStyle name="쉼표 [0] 4 3 2 6 3 2" xfId="13360"/>
    <cellStyle name="쉼표 [0] 4 3 2 6 4" xfId="13363"/>
    <cellStyle name="쉼표 [0] 4 3 2 6 5" xfId="28951"/>
    <cellStyle name="쉼표 [0] 4 3 2 6 6" xfId="19758"/>
    <cellStyle name="쉼표 [0] 4 3 2 7" xfId="1572"/>
    <cellStyle name="쉼표 [0] 4 3 2 7 2" xfId="1573"/>
    <cellStyle name="쉼표 [0] 4 3 2 7 2 2" xfId="19764"/>
    <cellStyle name="쉼표 [0] 4 3 2 7 2 2 2" xfId="13357"/>
    <cellStyle name="쉼표 [0] 4 3 2 7 2 3" xfId="13358"/>
    <cellStyle name="쉼표 [0] 4 3 2 7 2 4" xfId="28948"/>
    <cellStyle name="쉼표 [0] 4 3 2 7 2 5" xfId="19763"/>
    <cellStyle name="쉼표 [0] 4 3 2 7 3" xfId="19765"/>
    <cellStyle name="쉼표 [0] 4 3 2 7 3 2" xfId="13356"/>
    <cellStyle name="쉼표 [0] 4 3 2 7 4" xfId="13359"/>
    <cellStyle name="쉼표 [0] 4 3 2 7 5" xfId="28949"/>
    <cellStyle name="쉼표 [0] 4 3 2 7 6" xfId="19762"/>
    <cellStyle name="쉼표 [0] 4 3 2 8" xfId="1574"/>
    <cellStyle name="쉼표 [0] 4 3 2 8 2" xfId="19767"/>
    <cellStyle name="쉼표 [0] 4 3 2 8 2 2" xfId="13354"/>
    <cellStyle name="쉼표 [0] 4 3 2 8 3" xfId="13355"/>
    <cellStyle name="쉼표 [0] 4 3 2 8 4" xfId="28947"/>
    <cellStyle name="쉼표 [0] 4 3 2 8 5" xfId="19766"/>
    <cellStyle name="쉼표 [0] 4 3 2 9" xfId="1575"/>
    <cellStyle name="쉼표 [0] 4 3 2 9 2" xfId="1576"/>
    <cellStyle name="쉼표 [0] 4 3 2 9 2 2" xfId="19770"/>
    <cellStyle name="쉼표 [0] 4 3 2 9 2 2 2" xfId="13351"/>
    <cellStyle name="쉼표 [0] 4 3 2 9 2 3" xfId="13352"/>
    <cellStyle name="쉼표 [0] 4 3 2 9 2 4" xfId="19769"/>
    <cellStyle name="쉼표 [0] 4 3 2 9 3" xfId="19771"/>
    <cellStyle name="쉼표 [0] 4 3 2 9 3 2" xfId="13350"/>
    <cellStyle name="쉼표 [0] 4 3 2 9 4" xfId="13353"/>
    <cellStyle name="쉼표 [0] 4 3 2 9 5" xfId="19768"/>
    <cellStyle name="쉼표 [0] 4 3 20" xfId="19772"/>
    <cellStyle name="쉼표 [0] 4 3 20 2" xfId="13349"/>
    <cellStyle name="쉼표 [0] 4 3 21" xfId="13522"/>
    <cellStyle name="쉼표 [0] 4 3 22" xfId="28989"/>
    <cellStyle name="쉼표 [0] 4 3 23" xfId="19599"/>
    <cellStyle name="쉼표 [0] 4 3 24" xfId="31031"/>
    <cellStyle name="쉼표 [0] 4 3 24 2" xfId="32381"/>
    <cellStyle name="쉼표 [0] 4 3 3" xfId="1577"/>
    <cellStyle name="쉼표 [0] 4 3 3 10" xfId="28946"/>
    <cellStyle name="쉼표 [0] 4 3 3 11" xfId="19773"/>
    <cellStyle name="쉼표 [0] 4 3 3 12" xfId="29875"/>
    <cellStyle name="쉼표 [0] 4 3 3 13" xfId="29515"/>
    <cellStyle name="쉼표 [0] 4 3 3 2" xfId="1578"/>
    <cellStyle name="쉼표 [0] 4 3 3 2 2" xfId="1579"/>
    <cellStyle name="쉼표 [0] 4 3 3 2 2 2" xfId="1580"/>
    <cellStyle name="쉼표 [0] 4 3 3 2 2 2 2" xfId="1581"/>
    <cellStyle name="쉼표 [0] 4 3 3 2 2 2 2 2" xfId="19778"/>
    <cellStyle name="쉼표 [0] 4 3 3 2 2 2 2 2 2" xfId="13343"/>
    <cellStyle name="쉼표 [0] 4 3 3 2 2 2 2 3" xfId="13344"/>
    <cellStyle name="쉼표 [0] 4 3 3 2 2 2 2 4" xfId="19777"/>
    <cellStyle name="쉼표 [0] 4 3 3 2 2 2 3" xfId="19779"/>
    <cellStyle name="쉼표 [0] 4 3 3 2 2 2 3 2" xfId="13342"/>
    <cellStyle name="쉼표 [0] 4 3 3 2 2 2 4" xfId="13345"/>
    <cellStyle name="쉼표 [0] 4 3 3 2 2 2 5" xfId="19776"/>
    <cellStyle name="쉼표 [0] 4 3 3 2 2 3" xfId="19780"/>
    <cellStyle name="쉼표 [0] 4 3 3 2 2 3 2" xfId="13341"/>
    <cellStyle name="쉼표 [0] 4 3 3 2 2 4" xfId="13346"/>
    <cellStyle name="쉼표 [0] 4 3 3 2 2 5" xfId="28944"/>
    <cellStyle name="쉼표 [0] 4 3 3 2 2 6" xfId="19775"/>
    <cellStyle name="쉼표 [0] 4 3 3 2 3" xfId="1582"/>
    <cellStyle name="쉼표 [0] 4 3 3 2 3 2" xfId="1583"/>
    <cellStyle name="쉼표 [0] 4 3 3 2 3 2 2" xfId="19783"/>
    <cellStyle name="쉼표 [0] 4 3 3 2 3 2 2 2" xfId="13338"/>
    <cellStyle name="쉼표 [0] 4 3 3 2 3 2 3" xfId="13339"/>
    <cellStyle name="쉼표 [0] 4 3 3 2 3 2 4" xfId="19782"/>
    <cellStyle name="쉼표 [0] 4 3 3 2 3 3" xfId="19784"/>
    <cellStyle name="쉼표 [0] 4 3 3 2 3 3 2" xfId="13337"/>
    <cellStyle name="쉼표 [0] 4 3 3 2 3 4" xfId="13340"/>
    <cellStyle name="쉼표 [0] 4 3 3 2 3 5" xfId="19781"/>
    <cellStyle name="쉼표 [0] 4 3 3 2 4" xfId="1584"/>
    <cellStyle name="쉼표 [0] 4 3 3 2 4 2" xfId="1585"/>
    <cellStyle name="쉼표 [0] 4 3 3 2 4 2 2" xfId="19787"/>
    <cellStyle name="쉼표 [0] 4 3 3 2 4 2 2 2" xfId="13334"/>
    <cellStyle name="쉼표 [0] 4 3 3 2 4 2 3" xfId="13335"/>
    <cellStyle name="쉼표 [0] 4 3 3 2 4 2 4" xfId="19786"/>
    <cellStyle name="쉼표 [0] 4 3 3 2 4 3" xfId="19788"/>
    <cellStyle name="쉼표 [0] 4 3 3 2 4 3 2" xfId="13333"/>
    <cellStyle name="쉼표 [0] 4 3 3 2 4 4" xfId="13336"/>
    <cellStyle name="쉼표 [0] 4 3 3 2 4 5" xfId="19785"/>
    <cellStyle name="쉼표 [0] 4 3 3 2 5" xfId="19789"/>
    <cellStyle name="쉼표 [0] 4 3 3 2 5 2" xfId="13332"/>
    <cellStyle name="쉼표 [0] 4 3 3 2 6" xfId="13347"/>
    <cellStyle name="쉼표 [0] 4 3 3 2 7" xfId="28945"/>
    <cellStyle name="쉼표 [0] 4 3 3 2 8" xfId="19774"/>
    <cellStyle name="쉼표 [0] 4 3 3 3" xfId="1586"/>
    <cellStyle name="쉼표 [0] 4 3 3 3 2" xfId="1587"/>
    <cellStyle name="쉼표 [0] 4 3 3 3 2 2" xfId="1588"/>
    <cellStyle name="쉼표 [0] 4 3 3 3 2 2 2" xfId="1589"/>
    <cellStyle name="쉼표 [0] 4 3 3 3 2 2 2 2" xfId="19794"/>
    <cellStyle name="쉼표 [0] 4 3 3 3 2 2 2 2 2" xfId="13327"/>
    <cellStyle name="쉼표 [0] 4 3 3 3 2 2 2 3" xfId="13328"/>
    <cellStyle name="쉼표 [0] 4 3 3 3 2 2 2 4" xfId="19793"/>
    <cellStyle name="쉼표 [0] 4 3 3 3 2 2 3" xfId="19795"/>
    <cellStyle name="쉼표 [0] 4 3 3 3 2 2 3 2" xfId="13326"/>
    <cellStyle name="쉼표 [0] 4 3 3 3 2 2 4" xfId="13329"/>
    <cellStyle name="쉼표 [0] 4 3 3 3 2 2 5" xfId="19792"/>
    <cellStyle name="쉼표 [0] 4 3 3 3 2 3" xfId="19796"/>
    <cellStyle name="쉼표 [0] 4 3 3 3 2 3 2" xfId="13325"/>
    <cellStyle name="쉼표 [0] 4 3 3 3 2 4" xfId="13330"/>
    <cellStyle name="쉼표 [0] 4 3 3 3 2 5" xfId="28942"/>
    <cellStyle name="쉼표 [0] 4 3 3 3 2 6" xfId="19791"/>
    <cellStyle name="쉼표 [0] 4 3 3 3 3" xfId="1590"/>
    <cellStyle name="쉼표 [0] 4 3 3 3 3 2" xfId="1591"/>
    <cellStyle name="쉼표 [0] 4 3 3 3 3 2 2" xfId="19799"/>
    <cellStyle name="쉼표 [0] 4 3 3 3 3 2 2 2" xfId="13322"/>
    <cellStyle name="쉼표 [0] 4 3 3 3 3 2 3" xfId="13323"/>
    <cellStyle name="쉼표 [0] 4 3 3 3 3 2 4" xfId="19798"/>
    <cellStyle name="쉼표 [0] 4 3 3 3 3 3" xfId="19800"/>
    <cellStyle name="쉼표 [0] 4 3 3 3 3 3 2" xfId="13321"/>
    <cellStyle name="쉼표 [0] 4 3 3 3 3 4" xfId="13324"/>
    <cellStyle name="쉼표 [0] 4 3 3 3 3 5" xfId="19797"/>
    <cellStyle name="쉼표 [0] 4 3 3 3 4" xfId="19801"/>
    <cellStyle name="쉼표 [0] 4 3 3 3 4 2" xfId="13320"/>
    <cellStyle name="쉼표 [0] 4 3 3 3 5" xfId="13331"/>
    <cellStyle name="쉼표 [0] 4 3 3 3 6" xfId="28943"/>
    <cellStyle name="쉼표 [0] 4 3 3 3 7" xfId="19790"/>
    <cellStyle name="쉼표 [0] 4 3 3 4" xfId="1592"/>
    <cellStyle name="쉼표 [0] 4 3 3 4 2" xfId="1593"/>
    <cellStyle name="쉼표 [0] 4 3 3 4 2 2" xfId="1594"/>
    <cellStyle name="쉼표 [0] 4 3 3 4 2 2 2" xfId="19805"/>
    <cellStyle name="쉼표 [0] 4 3 3 4 2 2 2 2" xfId="13316"/>
    <cellStyle name="쉼표 [0] 4 3 3 4 2 2 3" xfId="13317"/>
    <cellStyle name="쉼표 [0] 4 3 3 4 2 2 4" xfId="19804"/>
    <cellStyle name="쉼표 [0] 4 3 3 4 2 3" xfId="19806"/>
    <cellStyle name="쉼표 [0] 4 3 3 4 2 3 2" xfId="13315"/>
    <cellStyle name="쉼표 [0] 4 3 3 4 2 4" xfId="13318"/>
    <cellStyle name="쉼표 [0] 4 3 3 4 2 5" xfId="19803"/>
    <cellStyle name="쉼표 [0] 4 3 3 4 3" xfId="19807"/>
    <cellStyle name="쉼표 [0] 4 3 3 4 3 2" xfId="13314"/>
    <cellStyle name="쉼표 [0] 4 3 3 4 4" xfId="13319"/>
    <cellStyle name="쉼표 [0] 4 3 3 4 5" xfId="28941"/>
    <cellStyle name="쉼표 [0] 4 3 3 4 6" xfId="19802"/>
    <cellStyle name="쉼표 [0] 4 3 3 5" xfId="1595"/>
    <cellStyle name="쉼표 [0] 4 3 3 5 2" xfId="1596"/>
    <cellStyle name="쉼표 [0] 4 3 3 5 2 2" xfId="19810"/>
    <cellStyle name="쉼표 [0] 4 3 3 5 2 2 2" xfId="13311"/>
    <cellStyle name="쉼표 [0] 4 3 3 5 2 3" xfId="13312"/>
    <cellStyle name="쉼표 [0] 4 3 3 5 2 4" xfId="19809"/>
    <cellStyle name="쉼표 [0] 4 3 3 5 3" xfId="19811"/>
    <cellStyle name="쉼표 [0] 4 3 3 5 3 2" xfId="13310"/>
    <cellStyle name="쉼표 [0] 4 3 3 5 4" xfId="13313"/>
    <cellStyle name="쉼표 [0] 4 3 3 5 5" xfId="19808"/>
    <cellStyle name="쉼표 [0] 4 3 3 6" xfId="19812"/>
    <cellStyle name="쉼표 [0] 4 3 3 6 2" xfId="19813"/>
    <cellStyle name="쉼표 [0] 4 3 3 6 2 2" xfId="13308"/>
    <cellStyle name="쉼표 [0] 4 3 3 6 3" xfId="13309"/>
    <cellStyle name="쉼표 [0] 4 3 3 7" xfId="19814"/>
    <cellStyle name="쉼표 [0] 4 3 3 7 2" xfId="13307"/>
    <cellStyle name="쉼표 [0] 4 3 3 8" xfId="19815"/>
    <cellStyle name="쉼표 [0] 4 3 3 8 2" xfId="13306"/>
    <cellStyle name="쉼표 [0] 4 3 3 9" xfId="13348"/>
    <cellStyle name="쉼표 [0] 4 3 4" xfId="1597"/>
    <cellStyle name="쉼표 [0] 4 3 4 10" xfId="19817"/>
    <cellStyle name="쉼표 [0] 4 3 4 10 2" xfId="13304"/>
    <cellStyle name="쉼표 [0] 4 3 4 11" xfId="13305"/>
    <cellStyle name="쉼표 [0] 4 3 4 12" xfId="28940"/>
    <cellStyle name="쉼표 [0] 4 3 4 13" xfId="19816"/>
    <cellStyle name="쉼표 [0] 4 3 4 14" xfId="29876"/>
    <cellStyle name="쉼표 [0] 4 3 4 15" xfId="29534"/>
    <cellStyle name="쉼표 [0] 4 3 4 2" xfId="1598"/>
    <cellStyle name="쉼표 [0] 4 3 4 2 10" xfId="19818"/>
    <cellStyle name="쉼표 [0] 4 3 4 2 11" xfId="29800"/>
    <cellStyle name="쉼표 [0] 4 3 4 2 2" xfId="1599"/>
    <cellStyle name="쉼표 [0] 4 3 4 2 2 2" xfId="1600"/>
    <cellStyle name="쉼표 [0] 4 3 4 2 2 2 2" xfId="19821"/>
    <cellStyle name="쉼표 [0] 4 3 4 2 2 2 2 2" xfId="13300"/>
    <cellStyle name="쉼표 [0] 4 3 4 2 2 2 3" xfId="13301"/>
    <cellStyle name="쉼표 [0] 4 3 4 2 2 2 4" xfId="28937"/>
    <cellStyle name="쉼표 [0] 4 3 4 2 2 2 5" xfId="19820"/>
    <cellStyle name="쉼표 [0] 4 3 4 2 2 3" xfId="19822"/>
    <cellStyle name="쉼표 [0] 4 3 4 2 2 3 2" xfId="13299"/>
    <cellStyle name="쉼표 [0] 4 3 4 2 2 4" xfId="13302"/>
    <cellStyle name="쉼표 [0] 4 3 4 2 2 5" xfId="28938"/>
    <cellStyle name="쉼표 [0] 4 3 4 2 2 6" xfId="19819"/>
    <cellStyle name="쉼표 [0] 4 3 4 2 3" xfId="1601"/>
    <cellStyle name="쉼표 [0] 4 3 4 2 3 2" xfId="1602"/>
    <cellStyle name="쉼표 [0] 4 3 4 2 3 2 2" xfId="1603"/>
    <cellStyle name="쉼표 [0] 4 3 4 2 3 2 2 2" xfId="19826"/>
    <cellStyle name="쉼표 [0] 4 3 4 2 3 2 2 2 2" xfId="13295"/>
    <cellStyle name="쉼표 [0] 4 3 4 2 3 2 2 3" xfId="13296"/>
    <cellStyle name="쉼표 [0] 4 3 4 2 3 2 2 4" xfId="28934"/>
    <cellStyle name="쉼표 [0] 4 3 4 2 3 2 2 5" xfId="19825"/>
    <cellStyle name="쉼표 [0] 4 3 4 2 3 2 3" xfId="19827"/>
    <cellStyle name="쉼표 [0] 4 3 4 2 3 2 3 2" xfId="13294"/>
    <cellStyle name="쉼표 [0] 4 3 4 2 3 2 4" xfId="13297"/>
    <cellStyle name="쉼표 [0] 4 3 4 2 3 2 5" xfId="28935"/>
    <cellStyle name="쉼표 [0] 4 3 4 2 3 2 6" xfId="19824"/>
    <cellStyle name="쉼표 [0] 4 3 4 2 3 3" xfId="1604"/>
    <cellStyle name="쉼표 [0] 4 3 4 2 3 3 2" xfId="19829"/>
    <cellStyle name="쉼표 [0] 4 3 4 2 3 3 2 2" xfId="13292"/>
    <cellStyle name="쉼표 [0] 4 3 4 2 3 3 3" xfId="13293"/>
    <cellStyle name="쉼표 [0] 4 3 4 2 3 3 4" xfId="28933"/>
    <cellStyle name="쉼표 [0] 4 3 4 2 3 3 5" xfId="19828"/>
    <cellStyle name="쉼표 [0] 4 3 4 2 3 4" xfId="19830"/>
    <cellStyle name="쉼표 [0] 4 3 4 2 3 4 2" xfId="13291"/>
    <cellStyle name="쉼표 [0] 4 3 4 2 3 5" xfId="13298"/>
    <cellStyle name="쉼표 [0] 4 3 4 2 3 6" xfId="28936"/>
    <cellStyle name="쉼표 [0] 4 3 4 2 3 7" xfId="19823"/>
    <cellStyle name="쉼표 [0] 4 3 4 2 4" xfId="1605"/>
    <cellStyle name="쉼표 [0] 4 3 4 2 4 2" xfId="1606"/>
    <cellStyle name="쉼표 [0] 4 3 4 2 4 2 2" xfId="19833"/>
    <cellStyle name="쉼표 [0] 4 3 4 2 4 2 2 2" xfId="13288"/>
    <cellStyle name="쉼표 [0] 4 3 4 2 4 2 3" xfId="13289"/>
    <cellStyle name="쉼표 [0] 4 3 4 2 4 2 4" xfId="28931"/>
    <cellStyle name="쉼표 [0] 4 3 4 2 4 2 5" xfId="19832"/>
    <cellStyle name="쉼표 [0] 4 3 4 2 4 3" xfId="19834"/>
    <cellStyle name="쉼표 [0] 4 3 4 2 4 3 2" xfId="13287"/>
    <cellStyle name="쉼표 [0] 4 3 4 2 4 4" xfId="13290"/>
    <cellStyle name="쉼표 [0] 4 3 4 2 4 5" xfId="28932"/>
    <cellStyle name="쉼표 [0] 4 3 4 2 4 6" xfId="19831"/>
    <cellStyle name="쉼표 [0] 4 3 4 2 5" xfId="1607"/>
    <cellStyle name="쉼표 [0] 4 3 4 2 5 2" xfId="19836"/>
    <cellStyle name="쉼표 [0] 4 3 4 2 5 2 2" xfId="13285"/>
    <cellStyle name="쉼표 [0] 4 3 4 2 5 3" xfId="13286"/>
    <cellStyle name="쉼표 [0] 4 3 4 2 5 4" xfId="28930"/>
    <cellStyle name="쉼표 [0] 4 3 4 2 5 5" xfId="19835"/>
    <cellStyle name="쉼표 [0] 4 3 4 2 6" xfId="1608"/>
    <cellStyle name="쉼표 [0] 4 3 4 2 6 2" xfId="1609"/>
    <cellStyle name="쉼표 [0] 4 3 4 2 6 2 2" xfId="19839"/>
    <cellStyle name="쉼표 [0] 4 3 4 2 6 2 2 2" xfId="13282"/>
    <cellStyle name="쉼표 [0] 4 3 4 2 6 2 3" xfId="13283"/>
    <cellStyle name="쉼표 [0] 4 3 4 2 6 2 4" xfId="19838"/>
    <cellStyle name="쉼표 [0] 4 3 4 2 6 3" xfId="19840"/>
    <cellStyle name="쉼표 [0] 4 3 4 2 6 3 2" xfId="13281"/>
    <cellStyle name="쉼표 [0] 4 3 4 2 6 4" xfId="13284"/>
    <cellStyle name="쉼표 [0] 4 3 4 2 6 5" xfId="19837"/>
    <cellStyle name="쉼표 [0] 4 3 4 2 7" xfId="19841"/>
    <cellStyle name="쉼표 [0] 4 3 4 2 7 2" xfId="13280"/>
    <cellStyle name="쉼표 [0] 4 3 4 2 8" xfId="13303"/>
    <cellStyle name="쉼표 [0] 4 3 4 2 9" xfId="28939"/>
    <cellStyle name="쉼표 [0] 4 3 4 3" xfId="1610"/>
    <cellStyle name="쉼표 [0] 4 3 4 3 2" xfId="1611"/>
    <cellStyle name="쉼표 [0] 4 3 4 3 2 2" xfId="19844"/>
    <cellStyle name="쉼표 [0] 4 3 4 3 2 2 2" xfId="13277"/>
    <cellStyle name="쉼표 [0] 4 3 4 3 2 3" xfId="13278"/>
    <cellStyle name="쉼표 [0] 4 3 4 3 2 4" xfId="28928"/>
    <cellStyle name="쉼표 [0] 4 3 4 3 2 5" xfId="19843"/>
    <cellStyle name="쉼표 [0] 4 3 4 3 3" xfId="1612"/>
    <cellStyle name="쉼표 [0] 4 3 4 3 3 2" xfId="1613"/>
    <cellStyle name="쉼표 [0] 4 3 4 3 3 2 2" xfId="19847"/>
    <cellStyle name="쉼표 [0] 4 3 4 3 3 2 2 2" xfId="13274"/>
    <cellStyle name="쉼표 [0] 4 3 4 3 3 2 3" xfId="13275"/>
    <cellStyle name="쉼표 [0] 4 3 4 3 3 2 4" xfId="19846"/>
    <cellStyle name="쉼표 [0] 4 3 4 3 3 3" xfId="19848"/>
    <cellStyle name="쉼표 [0] 4 3 4 3 3 3 2" xfId="13273"/>
    <cellStyle name="쉼표 [0] 4 3 4 3 3 4" xfId="13276"/>
    <cellStyle name="쉼표 [0] 4 3 4 3 3 5" xfId="19845"/>
    <cellStyle name="쉼표 [0] 4 3 4 3 4" xfId="19849"/>
    <cellStyle name="쉼표 [0] 4 3 4 3 4 2" xfId="13272"/>
    <cellStyle name="쉼표 [0] 4 3 4 3 5" xfId="13279"/>
    <cellStyle name="쉼표 [0] 4 3 4 3 6" xfId="28929"/>
    <cellStyle name="쉼표 [0] 4 3 4 3 7" xfId="19842"/>
    <cellStyle name="쉼표 [0] 4 3 4 4" xfId="1614"/>
    <cellStyle name="쉼표 [0] 4 3 4 4 2" xfId="1615"/>
    <cellStyle name="쉼표 [0] 4 3 4 4 2 2" xfId="1616"/>
    <cellStyle name="쉼표 [0] 4 3 4 4 2 2 2" xfId="19853"/>
    <cellStyle name="쉼표 [0] 4 3 4 4 2 2 2 2" xfId="13268"/>
    <cellStyle name="쉼표 [0] 4 3 4 4 2 2 3" xfId="13269"/>
    <cellStyle name="쉼표 [0] 4 3 4 4 2 2 4" xfId="28925"/>
    <cellStyle name="쉼표 [0] 4 3 4 4 2 2 5" xfId="19852"/>
    <cellStyle name="쉼표 [0] 4 3 4 4 2 3" xfId="19854"/>
    <cellStyle name="쉼표 [0] 4 3 4 4 2 3 2" xfId="13267"/>
    <cellStyle name="쉼표 [0] 4 3 4 4 2 4" xfId="13270"/>
    <cellStyle name="쉼표 [0] 4 3 4 4 2 5" xfId="28926"/>
    <cellStyle name="쉼표 [0] 4 3 4 4 2 6" xfId="19851"/>
    <cellStyle name="쉼표 [0] 4 3 4 4 3" xfId="1617"/>
    <cellStyle name="쉼표 [0] 4 3 4 4 3 2" xfId="19856"/>
    <cellStyle name="쉼표 [0] 4 3 4 4 3 2 2" xfId="13265"/>
    <cellStyle name="쉼표 [0] 4 3 4 4 3 3" xfId="13266"/>
    <cellStyle name="쉼표 [0] 4 3 4 4 3 4" xfId="28924"/>
    <cellStyle name="쉼표 [0] 4 3 4 4 3 5" xfId="19855"/>
    <cellStyle name="쉼표 [0] 4 3 4 4 4" xfId="19857"/>
    <cellStyle name="쉼표 [0] 4 3 4 4 4 2" xfId="13264"/>
    <cellStyle name="쉼표 [0] 4 3 4 4 5" xfId="13271"/>
    <cellStyle name="쉼표 [0] 4 3 4 4 6" xfId="28927"/>
    <cellStyle name="쉼표 [0] 4 3 4 4 7" xfId="19850"/>
    <cellStyle name="쉼표 [0] 4 3 4 5" xfId="1618"/>
    <cellStyle name="쉼표 [0] 4 3 4 5 2" xfId="1619"/>
    <cellStyle name="쉼표 [0] 4 3 4 5 2 2" xfId="19860"/>
    <cellStyle name="쉼표 [0] 4 3 4 5 2 2 2" xfId="13261"/>
    <cellStyle name="쉼표 [0] 4 3 4 5 2 3" xfId="13262"/>
    <cellStyle name="쉼표 [0] 4 3 4 5 2 4" xfId="28922"/>
    <cellStyle name="쉼표 [0] 4 3 4 5 2 5" xfId="19859"/>
    <cellStyle name="쉼표 [0] 4 3 4 5 3" xfId="19861"/>
    <cellStyle name="쉼표 [0] 4 3 4 5 3 2" xfId="13260"/>
    <cellStyle name="쉼표 [0] 4 3 4 5 4" xfId="13263"/>
    <cellStyle name="쉼표 [0] 4 3 4 5 5" xfId="28923"/>
    <cellStyle name="쉼표 [0] 4 3 4 5 6" xfId="19858"/>
    <cellStyle name="쉼표 [0] 4 3 4 6" xfId="1620"/>
    <cellStyle name="쉼표 [0] 4 3 4 6 2" xfId="19863"/>
    <cellStyle name="쉼표 [0] 4 3 4 6 2 2" xfId="13258"/>
    <cellStyle name="쉼표 [0] 4 3 4 6 3" xfId="13259"/>
    <cellStyle name="쉼표 [0] 4 3 4 6 4" xfId="28921"/>
    <cellStyle name="쉼표 [0] 4 3 4 6 5" xfId="19862"/>
    <cellStyle name="쉼표 [0] 4 3 4 7" xfId="1621"/>
    <cellStyle name="쉼표 [0] 4 3 4 7 2" xfId="1622"/>
    <cellStyle name="쉼표 [0] 4 3 4 7 2 2" xfId="19866"/>
    <cellStyle name="쉼표 [0] 4 3 4 7 2 2 2" xfId="13255"/>
    <cellStyle name="쉼표 [0] 4 3 4 7 2 3" xfId="13256"/>
    <cellStyle name="쉼표 [0] 4 3 4 7 2 4" xfId="19865"/>
    <cellStyle name="쉼표 [0] 4 3 4 7 3" xfId="19867"/>
    <cellStyle name="쉼표 [0] 4 3 4 7 3 2" xfId="13254"/>
    <cellStyle name="쉼표 [0] 4 3 4 7 4" xfId="13257"/>
    <cellStyle name="쉼표 [0] 4 3 4 7 5" xfId="19864"/>
    <cellStyle name="쉼표 [0] 4 3 4 8" xfId="19868"/>
    <cellStyle name="쉼표 [0] 4 3 4 8 2" xfId="19869"/>
    <cellStyle name="쉼표 [0] 4 3 4 8 2 2" xfId="13252"/>
    <cellStyle name="쉼표 [0] 4 3 4 8 3" xfId="13253"/>
    <cellStyle name="쉼표 [0] 4 3 4 9" xfId="19870"/>
    <cellStyle name="쉼표 [0] 4 3 4 9 2" xfId="13251"/>
    <cellStyle name="쉼표 [0] 4 3 5" xfId="1623"/>
    <cellStyle name="쉼표 [0] 4 3 5 10" xfId="19871"/>
    <cellStyle name="쉼표 [0] 4 3 5 11" xfId="29463"/>
    <cellStyle name="쉼표 [0] 4 3 5 2" xfId="1624"/>
    <cellStyle name="쉼표 [0] 4 3 5 2 2" xfId="1625"/>
    <cellStyle name="쉼표 [0] 4 3 5 2 2 2" xfId="19874"/>
    <cellStyle name="쉼표 [0] 4 3 5 2 2 2 2" xfId="13247"/>
    <cellStyle name="쉼표 [0] 4 3 5 2 2 3" xfId="13248"/>
    <cellStyle name="쉼표 [0] 4 3 5 2 2 4" xfId="28918"/>
    <cellStyle name="쉼표 [0] 4 3 5 2 2 5" xfId="19873"/>
    <cellStyle name="쉼표 [0] 4 3 5 2 3" xfId="1626"/>
    <cellStyle name="쉼표 [0] 4 3 5 2 3 2" xfId="1627"/>
    <cellStyle name="쉼표 [0] 4 3 5 2 3 2 2" xfId="19877"/>
    <cellStyle name="쉼표 [0] 4 3 5 2 3 2 2 2" xfId="13244"/>
    <cellStyle name="쉼표 [0] 4 3 5 2 3 2 3" xfId="13245"/>
    <cellStyle name="쉼표 [0] 4 3 5 2 3 2 4" xfId="19876"/>
    <cellStyle name="쉼표 [0] 4 3 5 2 3 3" xfId="19878"/>
    <cellStyle name="쉼표 [0] 4 3 5 2 3 3 2" xfId="13243"/>
    <cellStyle name="쉼표 [0] 4 3 5 2 3 4" xfId="13246"/>
    <cellStyle name="쉼표 [0] 4 3 5 2 3 5" xfId="19875"/>
    <cellStyle name="쉼표 [0] 4 3 5 2 4" xfId="19879"/>
    <cellStyle name="쉼표 [0] 4 3 5 2 4 2" xfId="13242"/>
    <cellStyle name="쉼표 [0] 4 3 5 2 5" xfId="13249"/>
    <cellStyle name="쉼표 [0] 4 3 5 2 6" xfId="28919"/>
    <cellStyle name="쉼표 [0] 4 3 5 2 7" xfId="19872"/>
    <cellStyle name="쉼표 [0] 4 3 5 3" xfId="1628"/>
    <cellStyle name="쉼표 [0] 4 3 5 3 2" xfId="1629"/>
    <cellStyle name="쉼표 [0] 4 3 5 3 2 2" xfId="1630"/>
    <cellStyle name="쉼표 [0] 4 3 5 3 2 2 2" xfId="19883"/>
    <cellStyle name="쉼표 [0] 4 3 5 3 2 2 2 2" xfId="13238"/>
    <cellStyle name="쉼표 [0] 4 3 5 3 2 2 3" xfId="13239"/>
    <cellStyle name="쉼표 [0] 4 3 5 3 2 2 4" xfId="28915"/>
    <cellStyle name="쉼표 [0] 4 3 5 3 2 2 5" xfId="19882"/>
    <cellStyle name="쉼표 [0] 4 3 5 3 2 3" xfId="19884"/>
    <cellStyle name="쉼표 [0] 4 3 5 3 2 3 2" xfId="13237"/>
    <cellStyle name="쉼표 [0] 4 3 5 3 2 4" xfId="13240"/>
    <cellStyle name="쉼표 [0] 4 3 5 3 2 5" xfId="28916"/>
    <cellStyle name="쉼표 [0] 4 3 5 3 2 6" xfId="19881"/>
    <cellStyle name="쉼표 [0] 4 3 5 3 3" xfId="1631"/>
    <cellStyle name="쉼표 [0] 4 3 5 3 3 2" xfId="19886"/>
    <cellStyle name="쉼표 [0] 4 3 5 3 3 2 2" xfId="13235"/>
    <cellStyle name="쉼표 [0] 4 3 5 3 3 3" xfId="13236"/>
    <cellStyle name="쉼표 [0] 4 3 5 3 3 4" xfId="28914"/>
    <cellStyle name="쉼표 [0] 4 3 5 3 3 5" xfId="19885"/>
    <cellStyle name="쉼표 [0] 4 3 5 3 4" xfId="19887"/>
    <cellStyle name="쉼표 [0] 4 3 5 3 4 2" xfId="13234"/>
    <cellStyle name="쉼표 [0] 4 3 5 3 5" xfId="13241"/>
    <cellStyle name="쉼표 [0] 4 3 5 3 6" xfId="28917"/>
    <cellStyle name="쉼표 [0] 4 3 5 3 7" xfId="19880"/>
    <cellStyle name="쉼표 [0] 4 3 5 4" xfId="1632"/>
    <cellStyle name="쉼표 [0] 4 3 5 4 2" xfId="1633"/>
    <cellStyle name="쉼표 [0] 4 3 5 4 2 2" xfId="19890"/>
    <cellStyle name="쉼표 [0] 4 3 5 4 2 2 2" xfId="13231"/>
    <cellStyle name="쉼표 [0] 4 3 5 4 2 3" xfId="13232"/>
    <cellStyle name="쉼표 [0] 4 3 5 4 2 4" xfId="28912"/>
    <cellStyle name="쉼표 [0] 4 3 5 4 2 5" xfId="19889"/>
    <cellStyle name="쉼표 [0] 4 3 5 4 3" xfId="19891"/>
    <cellStyle name="쉼표 [0] 4 3 5 4 3 2" xfId="13230"/>
    <cellStyle name="쉼표 [0] 4 3 5 4 4" xfId="13233"/>
    <cellStyle name="쉼표 [0] 4 3 5 4 5" xfId="28913"/>
    <cellStyle name="쉼표 [0] 4 3 5 4 6" xfId="19888"/>
    <cellStyle name="쉼표 [0] 4 3 5 5" xfId="1634"/>
    <cellStyle name="쉼표 [0] 4 3 5 5 2" xfId="19893"/>
    <cellStyle name="쉼표 [0] 4 3 5 5 2 2" xfId="13228"/>
    <cellStyle name="쉼표 [0] 4 3 5 5 3" xfId="13229"/>
    <cellStyle name="쉼표 [0] 4 3 5 5 4" xfId="28911"/>
    <cellStyle name="쉼표 [0] 4 3 5 5 5" xfId="19892"/>
    <cellStyle name="쉼표 [0] 4 3 5 6" xfId="1635"/>
    <cellStyle name="쉼표 [0] 4 3 5 6 2" xfId="1636"/>
    <cellStyle name="쉼표 [0] 4 3 5 6 2 2" xfId="19896"/>
    <cellStyle name="쉼표 [0] 4 3 5 6 2 2 2" xfId="13225"/>
    <cellStyle name="쉼표 [0] 4 3 5 6 2 3" xfId="13226"/>
    <cellStyle name="쉼표 [0] 4 3 5 6 2 4" xfId="19895"/>
    <cellStyle name="쉼표 [0] 4 3 5 6 3" xfId="19897"/>
    <cellStyle name="쉼표 [0] 4 3 5 6 3 2" xfId="13224"/>
    <cellStyle name="쉼표 [0] 4 3 5 6 4" xfId="13227"/>
    <cellStyle name="쉼표 [0] 4 3 5 6 5" xfId="19894"/>
    <cellStyle name="쉼표 [0] 4 3 5 7" xfId="19898"/>
    <cellStyle name="쉼표 [0] 4 3 5 7 2" xfId="13223"/>
    <cellStyle name="쉼표 [0] 4 3 5 8" xfId="13250"/>
    <cellStyle name="쉼표 [0] 4 3 5 9" xfId="28920"/>
    <cellStyle name="쉼표 [0] 4 3 6" xfId="1637"/>
    <cellStyle name="쉼표 [0] 4 3 6 2" xfId="1638"/>
    <cellStyle name="쉼표 [0] 4 3 6 2 2" xfId="1639"/>
    <cellStyle name="쉼표 [0] 4 3 6 2 2 2" xfId="19902"/>
    <cellStyle name="쉼표 [0] 4 3 6 2 2 2 2" xfId="13219"/>
    <cellStyle name="쉼표 [0] 4 3 6 2 2 3" xfId="13220"/>
    <cellStyle name="쉼표 [0] 4 3 6 2 2 4" xfId="28908"/>
    <cellStyle name="쉼표 [0] 4 3 6 2 2 5" xfId="19901"/>
    <cellStyle name="쉼표 [0] 4 3 6 2 3" xfId="19903"/>
    <cellStyle name="쉼표 [0] 4 3 6 2 3 2" xfId="13218"/>
    <cellStyle name="쉼표 [0] 4 3 6 2 4" xfId="13221"/>
    <cellStyle name="쉼표 [0] 4 3 6 2 5" xfId="28909"/>
    <cellStyle name="쉼표 [0] 4 3 6 2 6" xfId="19900"/>
    <cellStyle name="쉼표 [0] 4 3 6 3" xfId="1640"/>
    <cellStyle name="쉼표 [0] 4 3 6 3 2" xfId="19905"/>
    <cellStyle name="쉼표 [0] 4 3 6 3 2 2" xfId="13216"/>
    <cellStyle name="쉼표 [0] 4 3 6 3 3" xfId="13217"/>
    <cellStyle name="쉼표 [0] 4 3 6 3 4" xfId="28907"/>
    <cellStyle name="쉼표 [0] 4 3 6 3 5" xfId="19904"/>
    <cellStyle name="쉼표 [0] 4 3 6 4" xfId="1641"/>
    <cellStyle name="쉼표 [0] 4 3 6 4 2" xfId="1642"/>
    <cellStyle name="쉼표 [0] 4 3 6 4 2 2" xfId="19908"/>
    <cellStyle name="쉼표 [0] 4 3 6 4 2 2 2" xfId="13213"/>
    <cellStyle name="쉼표 [0] 4 3 6 4 2 3" xfId="13214"/>
    <cellStyle name="쉼표 [0] 4 3 6 4 2 4" xfId="19907"/>
    <cellStyle name="쉼표 [0] 4 3 6 4 3" xfId="19909"/>
    <cellStyle name="쉼표 [0] 4 3 6 4 3 2" xfId="13212"/>
    <cellStyle name="쉼표 [0] 4 3 6 4 4" xfId="13215"/>
    <cellStyle name="쉼표 [0] 4 3 6 4 5" xfId="19906"/>
    <cellStyle name="쉼표 [0] 4 3 6 5" xfId="19910"/>
    <cellStyle name="쉼표 [0] 4 3 6 5 2" xfId="13211"/>
    <cellStyle name="쉼표 [0] 4 3 6 6" xfId="13222"/>
    <cellStyle name="쉼표 [0] 4 3 6 7" xfId="28910"/>
    <cellStyle name="쉼표 [0] 4 3 6 8" xfId="19899"/>
    <cellStyle name="쉼표 [0] 4 3 6 9" xfId="30262"/>
    <cellStyle name="쉼표 [0] 4 3 7" xfId="1643"/>
    <cellStyle name="쉼표 [0] 4 3 7 2" xfId="1644"/>
    <cellStyle name="쉼표 [0] 4 3 7 2 2" xfId="19913"/>
    <cellStyle name="쉼표 [0] 4 3 7 2 2 2" xfId="13208"/>
    <cellStyle name="쉼표 [0] 4 3 7 2 3" xfId="13209"/>
    <cellStyle name="쉼표 [0] 4 3 7 2 4" xfId="28905"/>
    <cellStyle name="쉼표 [0] 4 3 7 2 5" xfId="19912"/>
    <cellStyle name="쉼표 [0] 4 3 7 3" xfId="19914"/>
    <cellStyle name="쉼표 [0] 4 3 7 3 2" xfId="13207"/>
    <cellStyle name="쉼표 [0] 4 3 7 4" xfId="13210"/>
    <cellStyle name="쉼표 [0] 4 3 7 5" xfId="28906"/>
    <cellStyle name="쉼표 [0] 4 3 7 6" xfId="19911"/>
    <cellStyle name="쉼표 [0] 4 3 7 7" xfId="30305"/>
    <cellStyle name="쉼표 [0] 4 3 8" xfId="1645"/>
    <cellStyle name="쉼표 [0] 4 3 8 2" xfId="1646"/>
    <cellStyle name="쉼표 [0] 4 3 8 2 2" xfId="19917"/>
    <cellStyle name="쉼표 [0] 4 3 8 2 2 2" xfId="13204"/>
    <cellStyle name="쉼표 [0] 4 3 8 2 3" xfId="13205"/>
    <cellStyle name="쉼표 [0] 4 3 8 2 4" xfId="28903"/>
    <cellStyle name="쉼표 [0] 4 3 8 2 5" xfId="19916"/>
    <cellStyle name="쉼표 [0] 4 3 8 2 6" xfId="29767"/>
    <cellStyle name="쉼표 [0] 4 3 8 3" xfId="19918"/>
    <cellStyle name="쉼표 [0] 4 3 8 3 2" xfId="19919"/>
    <cellStyle name="쉼표 [0] 4 3 8 3 2 2" xfId="13202"/>
    <cellStyle name="쉼표 [0] 4 3 8 3 3" xfId="13203"/>
    <cellStyle name="쉼표 [0] 4 3 8 3 4" xfId="29755"/>
    <cellStyle name="쉼표 [0] 4 3 8 4" xfId="19920"/>
    <cellStyle name="쉼표 [0] 4 3 8 4 2" xfId="13201"/>
    <cellStyle name="쉼표 [0] 4 3 8 5" xfId="13206"/>
    <cellStyle name="쉼표 [0] 4 3 8 6" xfId="28904"/>
    <cellStyle name="쉼표 [0] 4 3 8 7" xfId="19915"/>
    <cellStyle name="쉼표 [0] 4 3 8 8" xfId="29907"/>
    <cellStyle name="쉼표 [0] 4 3 9" xfId="1647"/>
    <cellStyle name="쉼표 [0] 4 3 9 2" xfId="19922"/>
    <cellStyle name="쉼표 [0] 4 3 9 2 2" xfId="19923"/>
    <cellStyle name="쉼표 [0] 4 3 9 2 2 2" xfId="13198"/>
    <cellStyle name="쉼표 [0] 4 3 9 2 3" xfId="13199"/>
    <cellStyle name="쉼표 [0] 4 3 9 3" xfId="19924"/>
    <cellStyle name="쉼표 [0] 4 3 9 3 2" xfId="13197"/>
    <cellStyle name="쉼표 [0] 4 3 9 4" xfId="13200"/>
    <cellStyle name="쉼표 [0] 4 3 9 5" xfId="28902"/>
    <cellStyle name="쉼표 [0] 4 3 9 6" xfId="19921"/>
    <cellStyle name="쉼표 [0] 4 4" xfId="1648"/>
    <cellStyle name="쉼표 [0] 4 4 10" xfId="19926"/>
    <cellStyle name="쉼표 [0] 4 4 10 2" xfId="19927"/>
    <cellStyle name="쉼표 [0] 4 4 10 2 2" xfId="13194"/>
    <cellStyle name="쉼표 [0] 4 4 10 3" xfId="13195"/>
    <cellStyle name="쉼표 [0] 4 4 11" xfId="19928"/>
    <cellStyle name="쉼표 [0] 4 4 11 2" xfId="19929"/>
    <cellStyle name="쉼표 [0] 4 4 11 2 2" xfId="13192"/>
    <cellStyle name="쉼표 [0] 4 4 11 3" xfId="13193"/>
    <cellStyle name="쉼표 [0] 4 4 12" xfId="19930"/>
    <cellStyle name="쉼표 [0] 4 4 12 2" xfId="19931"/>
    <cellStyle name="쉼표 [0] 4 4 12 2 2" xfId="13190"/>
    <cellStyle name="쉼표 [0] 4 4 12 3" xfId="13191"/>
    <cellStyle name="쉼표 [0] 4 4 13" xfId="19932"/>
    <cellStyle name="쉼표 [0] 4 4 13 2" xfId="19933"/>
    <cellStyle name="쉼표 [0] 4 4 13 2 2" xfId="13188"/>
    <cellStyle name="쉼표 [0] 4 4 13 3" xfId="13189"/>
    <cellStyle name="쉼표 [0] 4 4 14" xfId="19934"/>
    <cellStyle name="쉼표 [0] 4 4 14 2" xfId="19935"/>
    <cellStyle name="쉼표 [0] 4 4 14 2 2" xfId="13186"/>
    <cellStyle name="쉼표 [0] 4 4 14 3" xfId="13187"/>
    <cellStyle name="쉼표 [0] 4 4 15" xfId="19936"/>
    <cellStyle name="쉼표 [0] 4 4 15 2" xfId="19937"/>
    <cellStyle name="쉼표 [0] 4 4 15 2 2" xfId="13184"/>
    <cellStyle name="쉼표 [0] 4 4 15 3" xfId="13185"/>
    <cellStyle name="쉼표 [0] 4 4 16" xfId="19938"/>
    <cellStyle name="쉼표 [0] 4 4 16 2" xfId="19939"/>
    <cellStyle name="쉼표 [0] 4 4 16 2 2" xfId="13182"/>
    <cellStyle name="쉼표 [0] 4 4 16 3" xfId="13183"/>
    <cellStyle name="쉼표 [0] 4 4 17" xfId="19940"/>
    <cellStyle name="쉼표 [0] 4 4 17 2" xfId="13181"/>
    <cellStyle name="쉼표 [0] 4 4 18" xfId="19941"/>
    <cellStyle name="쉼표 [0] 4 4 18 2" xfId="13180"/>
    <cellStyle name="쉼표 [0] 4 4 19" xfId="13196"/>
    <cellStyle name="쉼표 [0] 4 4 2" xfId="1649"/>
    <cellStyle name="쉼표 [0] 4 4 2 10" xfId="13179"/>
    <cellStyle name="쉼표 [0] 4 4 2 11" xfId="28900"/>
    <cellStyle name="쉼표 [0] 4 4 2 12" xfId="19942"/>
    <cellStyle name="쉼표 [0] 4 4 2 13" xfId="30321"/>
    <cellStyle name="쉼표 [0] 4 4 2 14" xfId="29607"/>
    <cellStyle name="쉼표 [0] 4 4 2 2" xfId="1650"/>
    <cellStyle name="쉼표 [0] 4 4 2 2 10" xfId="19943"/>
    <cellStyle name="쉼표 [0] 4 4 2 2 11" xfId="29497"/>
    <cellStyle name="쉼표 [0] 4 4 2 2 2" xfId="1651"/>
    <cellStyle name="쉼표 [0] 4 4 2 2 2 2" xfId="1652"/>
    <cellStyle name="쉼표 [0] 4 4 2 2 2 2 2" xfId="19946"/>
    <cellStyle name="쉼표 [0] 4 4 2 2 2 2 2 2" xfId="13175"/>
    <cellStyle name="쉼표 [0] 4 4 2 2 2 2 3" xfId="13176"/>
    <cellStyle name="쉼표 [0] 4 4 2 2 2 2 4" xfId="28897"/>
    <cellStyle name="쉼표 [0] 4 4 2 2 2 2 5" xfId="19945"/>
    <cellStyle name="쉼표 [0] 4 4 2 2 2 3" xfId="1653"/>
    <cellStyle name="쉼표 [0] 4 4 2 2 2 3 2" xfId="1654"/>
    <cellStyle name="쉼표 [0] 4 4 2 2 2 3 2 2" xfId="19949"/>
    <cellStyle name="쉼표 [0] 4 4 2 2 2 3 2 2 2" xfId="13172"/>
    <cellStyle name="쉼표 [0] 4 4 2 2 2 3 2 3" xfId="13173"/>
    <cellStyle name="쉼표 [0] 4 4 2 2 2 3 2 4" xfId="19948"/>
    <cellStyle name="쉼표 [0] 4 4 2 2 2 3 3" xfId="19950"/>
    <cellStyle name="쉼표 [0] 4 4 2 2 2 3 3 2" xfId="13171"/>
    <cellStyle name="쉼표 [0] 4 4 2 2 2 3 4" xfId="13174"/>
    <cellStyle name="쉼표 [0] 4 4 2 2 2 3 5" xfId="19947"/>
    <cellStyle name="쉼표 [0] 4 4 2 2 2 4" xfId="19951"/>
    <cellStyle name="쉼표 [0] 4 4 2 2 2 4 2" xfId="13170"/>
    <cellStyle name="쉼표 [0] 4 4 2 2 2 5" xfId="13177"/>
    <cellStyle name="쉼표 [0] 4 4 2 2 2 6" xfId="28898"/>
    <cellStyle name="쉼표 [0] 4 4 2 2 2 7" xfId="19944"/>
    <cellStyle name="쉼표 [0] 4 4 2 2 3" xfId="1655"/>
    <cellStyle name="쉼표 [0] 4 4 2 2 3 2" xfId="1656"/>
    <cellStyle name="쉼표 [0] 4 4 2 2 3 2 2" xfId="1657"/>
    <cellStyle name="쉼표 [0] 4 4 2 2 3 2 2 2" xfId="19955"/>
    <cellStyle name="쉼표 [0] 4 4 2 2 3 2 2 2 2" xfId="13166"/>
    <cellStyle name="쉼표 [0] 4 4 2 2 3 2 2 3" xfId="13167"/>
    <cellStyle name="쉼표 [0] 4 4 2 2 3 2 2 4" xfId="28894"/>
    <cellStyle name="쉼표 [0] 4 4 2 2 3 2 2 5" xfId="19954"/>
    <cellStyle name="쉼표 [0] 4 4 2 2 3 2 3" xfId="19956"/>
    <cellStyle name="쉼표 [0] 4 4 2 2 3 2 3 2" xfId="13165"/>
    <cellStyle name="쉼표 [0] 4 4 2 2 3 2 4" xfId="13168"/>
    <cellStyle name="쉼표 [0] 4 4 2 2 3 2 5" xfId="28895"/>
    <cellStyle name="쉼표 [0] 4 4 2 2 3 2 6" xfId="19953"/>
    <cellStyle name="쉼표 [0] 4 4 2 2 3 3" xfId="1658"/>
    <cellStyle name="쉼표 [0] 4 4 2 2 3 3 2" xfId="19958"/>
    <cellStyle name="쉼표 [0] 4 4 2 2 3 3 2 2" xfId="13163"/>
    <cellStyle name="쉼표 [0] 4 4 2 2 3 3 3" xfId="13164"/>
    <cellStyle name="쉼표 [0] 4 4 2 2 3 3 4" xfId="28893"/>
    <cellStyle name="쉼표 [0] 4 4 2 2 3 3 5" xfId="19957"/>
    <cellStyle name="쉼표 [0] 4 4 2 2 3 4" xfId="1659"/>
    <cellStyle name="쉼표 [0] 4 4 2 2 3 4 2" xfId="1660"/>
    <cellStyle name="쉼표 [0] 4 4 2 2 3 4 2 2" xfId="19961"/>
    <cellStyle name="쉼표 [0] 4 4 2 2 3 4 2 2 2" xfId="13160"/>
    <cellStyle name="쉼표 [0] 4 4 2 2 3 4 2 3" xfId="13161"/>
    <cellStyle name="쉼표 [0] 4 4 2 2 3 4 2 4" xfId="19960"/>
    <cellStyle name="쉼표 [0] 4 4 2 2 3 4 3" xfId="19962"/>
    <cellStyle name="쉼표 [0] 4 4 2 2 3 4 3 2" xfId="13159"/>
    <cellStyle name="쉼표 [0] 4 4 2 2 3 4 4" xfId="13162"/>
    <cellStyle name="쉼표 [0] 4 4 2 2 3 4 5" xfId="19959"/>
    <cellStyle name="쉼표 [0] 4 4 2 2 3 5" xfId="19963"/>
    <cellStyle name="쉼표 [0] 4 4 2 2 3 5 2" xfId="13158"/>
    <cellStyle name="쉼표 [0] 4 4 2 2 3 6" xfId="13169"/>
    <cellStyle name="쉼표 [0] 4 4 2 2 3 7" xfId="28896"/>
    <cellStyle name="쉼표 [0] 4 4 2 2 3 8" xfId="19952"/>
    <cellStyle name="쉼표 [0] 4 4 2 2 4" xfId="1661"/>
    <cellStyle name="쉼표 [0] 4 4 2 2 4 2" xfId="1662"/>
    <cellStyle name="쉼표 [0] 4 4 2 2 4 2 2" xfId="19966"/>
    <cellStyle name="쉼표 [0] 4 4 2 2 4 2 2 2" xfId="13155"/>
    <cellStyle name="쉼표 [0] 4 4 2 2 4 2 3" xfId="13156"/>
    <cellStyle name="쉼표 [0] 4 4 2 2 4 2 4" xfId="28891"/>
    <cellStyle name="쉼표 [0] 4 4 2 2 4 2 5" xfId="19965"/>
    <cellStyle name="쉼표 [0] 4 4 2 2 4 3" xfId="19967"/>
    <cellStyle name="쉼표 [0] 4 4 2 2 4 3 2" xfId="13154"/>
    <cellStyle name="쉼표 [0] 4 4 2 2 4 4" xfId="13157"/>
    <cellStyle name="쉼표 [0] 4 4 2 2 4 5" xfId="28892"/>
    <cellStyle name="쉼표 [0] 4 4 2 2 4 6" xfId="19964"/>
    <cellStyle name="쉼표 [0] 4 4 2 2 5" xfId="1663"/>
    <cellStyle name="쉼표 [0] 4 4 2 2 5 2" xfId="19969"/>
    <cellStyle name="쉼표 [0] 4 4 2 2 5 2 2" xfId="13152"/>
    <cellStyle name="쉼표 [0] 4 4 2 2 5 3" xfId="13153"/>
    <cellStyle name="쉼표 [0] 4 4 2 2 5 4" xfId="28890"/>
    <cellStyle name="쉼표 [0] 4 4 2 2 5 5" xfId="19968"/>
    <cellStyle name="쉼표 [0] 4 4 2 2 6" xfId="1664"/>
    <cellStyle name="쉼표 [0] 4 4 2 2 6 2" xfId="1665"/>
    <cellStyle name="쉼표 [0] 4 4 2 2 6 2 2" xfId="19972"/>
    <cellStyle name="쉼표 [0] 4 4 2 2 6 2 2 2" xfId="13149"/>
    <cellStyle name="쉼표 [0] 4 4 2 2 6 2 3" xfId="13150"/>
    <cellStyle name="쉼표 [0] 4 4 2 2 6 2 4" xfId="19971"/>
    <cellStyle name="쉼표 [0] 4 4 2 2 6 3" xfId="19973"/>
    <cellStyle name="쉼표 [0] 4 4 2 2 6 3 2" xfId="13148"/>
    <cellStyle name="쉼표 [0] 4 4 2 2 6 4" xfId="13151"/>
    <cellStyle name="쉼표 [0] 4 4 2 2 6 5" xfId="19970"/>
    <cellStyle name="쉼표 [0] 4 4 2 2 7" xfId="19974"/>
    <cellStyle name="쉼표 [0] 4 4 2 2 7 2" xfId="13147"/>
    <cellStyle name="쉼표 [0] 4 4 2 2 8" xfId="13178"/>
    <cellStyle name="쉼표 [0] 4 4 2 2 9" xfId="28899"/>
    <cellStyle name="쉼표 [0] 4 4 2 3" xfId="1666"/>
    <cellStyle name="쉼표 [0] 4 4 2 3 2" xfId="1667"/>
    <cellStyle name="쉼표 [0] 4 4 2 3 2 2" xfId="1668"/>
    <cellStyle name="쉼표 [0] 4 4 2 3 2 2 2" xfId="1669"/>
    <cellStyle name="쉼표 [0] 4 4 2 3 2 2 2 2" xfId="19979"/>
    <cellStyle name="쉼표 [0] 4 4 2 3 2 2 2 2 2" xfId="13142"/>
    <cellStyle name="쉼표 [0] 4 4 2 3 2 2 2 3" xfId="13143"/>
    <cellStyle name="쉼표 [0] 4 4 2 3 2 2 2 4" xfId="19978"/>
    <cellStyle name="쉼표 [0] 4 4 2 3 2 2 3" xfId="19980"/>
    <cellStyle name="쉼표 [0] 4 4 2 3 2 2 3 2" xfId="13141"/>
    <cellStyle name="쉼표 [0] 4 4 2 3 2 2 4" xfId="13144"/>
    <cellStyle name="쉼표 [0] 4 4 2 3 2 2 5" xfId="19977"/>
    <cellStyle name="쉼표 [0] 4 4 2 3 2 3" xfId="19981"/>
    <cellStyle name="쉼표 [0] 4 4 2 3 2 3 2" xfId="13140"/>
    <cellStyle name="쉼표 [0] 4 4 2 3 2 4" xfId="13145"/>
    <cellStyle name="쉼표 [0] 4 4 2 3 2 5" xfId="28888"/>
    <cellStyle name="쉼표 [0] 4 4 2 3 2 6" xfId="19976"/>
    <cellStyle name="쉼표 [0] 4 4 2 3 3" xfId="1670"/>
    <cellStyle name="쉼표 [0] 4 4 2 3 3 2" xfId="1671"/>
    <cellStyle name="쉼표 [0] 4 4 2 3 3 2 2" xfId="19984"/>
    <cellStyle name="쉼표 [0] 4 4 2 3 3 2 2 2" xfId="13137"/>
    <cellStyle name="쉼표 [0] 4 4 2 3 3 2 3" xfId="13138"/>
    <cellStyle name="쉼표 [0] 4 4 2 3 3 2 4" xfId="19983"/>
    <cellStyle name="쉼표 [0] 4 4 2 3 3 3" xfId="19985"/>
    <cellStyle name="쉼표 [0] 4 4 2 3 3 3 2" xfId="13136"/>
    <cellStyle name="쉼표 [0] 4 4 2 3 3 4" xfId="13139"/>
    <cellStyle name="쉼표 [0] 4 4 2 3 3 5" xfId="19982"/>
    <cellStyle name="쉼표 [0] 4 4 2 3 4" xfId="19986"/>
    <cellStyle name="쉼표 [0] 4 4 2 3 4 2" xfId="13135"/>
    <cellStyle name="쉼표 [0] 4 4 2 3 5" xfId="13146"/>
    <cellStyle name="쉼표 [0] 4 4 2 3 6" xfId="28889"/>
    <cellStyle name="쉼표 [0] 4 4 2 3 7" xfId="19975"/>
    <cellStyle name="쉼표 [0] 4 4 2 4" xfId="1672"/>
    <cellStyle name="쉼표 [0] 4 4 2 4 2" xfId="1673"/>
    <cellStyle name="쉼표 [0] 4 4 2 4 2 2" xfId="1674"/>
    <cellStyle name="쉼표 [0] 4 4 2 4 2 2 2" xfId="19990"/>
    <cellStyle name="쉼표 [0] 4 4 2 4 2 2 2 2" xfId="13131"/>
    <cellStyle name="쉼표 [0] 4 4 2 4 2 2 3" xfId="13132"/>
    <cellStyle name="쉼표 [0] 4 4 2 4 2 2 4" xfId="28885"/>
    <cellStyle name="쉼표 [0] 4 4 2 4 2 2 5" xfId="19989"/>
    <cellStyle name="쉼표 [0] 4 4 2 4 2 3" xfId="19991"/>
    <cellStyle name="쉼표 [0] 4 4 2 4 2 3 2" xfId="13130"/>
    <cellStyle name="쉼표 [0] 4 4 2 4 2 4" xfId="13133"/>
    <cellStyle name="쉼표 [0] 4 4 2 4 2 5" xfId="28886"/>
    <cellStyle name="쉼표 [0] 4 4 2 4 2 6" xfId="19988"/>
    <cellStyle name="쉼표 [0] 4 4 2 4 3" xfId="1675"/>
    <cellStyle name="쉼표 [0] 4 4 2 4 3 2" xfId="19993"/>
    <cellStyle name="쉼표 [0] 4 4 2 4 3 2 2" xfId="13128"/>
    <cellStyle name="쉼표 [0] 4 4 2 4 3 3" xfId="13129"/>
    <cellStyle name="쉼표 [0] 4 4 2 4 3 4" xfId="28884"/>
    <cellStyle name="쉼표 [0] 4 4 2 4 3 5" xfId="19992"/>
    <cellStyle name="쉼표 [0] 4 4 2 4 4" xfId="1676"/>
    <cellStyle name="쉼표 [0] 4 4 2 4 4 2" xfId="1677"/>
    <cellStyle name="쉼표 [0] 4 4 2 4 4 2 2" xfId="19996"/>
    <cellStyle name="쉼표 [0] 4 4 2 4 4 2 2 2" xfId="13125"/>
    <cellStyle name="쉼표 [0] 4 4 2 4 4 2 3" xfId="13126"/>
    <cellStyle name="쉼표 [0] 4 4 2 4 4 2 4" xfId="19995"/>
    <cellStyle name="쉼표 [0] 4 4 2 4 4 3" xfId="19997"/>
    <cellStyle name="쉼표 [0] 4 4 2 4 4 3 2" xfId="13124"/>
    <cellStyle name="쉼표 [0] 4 4 2 4 4 4" xfId="13127"/>
    <cellStyle name="쉼표 [0] 4 4 2 4 4 5" xfId="19994"/>
    <cellStyle name="쉼표 [0] 4 4 2 4 5" xfId="19998"/>
    <cellStyle name="쉼표 [0] 4 4 2 4 5 2" xfId="13123"/>
    <cellStyle name="쉼표 [0] 4 4 2 4 6" xfId="13134"/>
    <cellStyle name="쉼표 [0] 4 4 2 4 7" xfId="28887"/>
    <cellStyle name="쉼표 [0] 4 4 2 4 8" xfId="19987"/>
    <cellStyle name="쉼표 [0] 4 4 2 5" xfId="1678"/>
    <cellStyle name="쉼표 [0] 4 4 2 5 2" xfId="1679"/>
    <cellStyle name="쉼표 [0] 4 4 2 5 2 2" xfId="20001"/>
    <cellStyle name="쉼표 [0] 4 4 2 5 2 2 2" xfId="13120"/>
    <cellStyle name="쉼표 [0] 4 4 2 5 2 3" xfId="13121"/>
    <cellStyle name="쉼표 [0] 4 4 2 5 2 4" xfId="28882"/>
    <cellStyle name="쉼표 [0] 4 4 2 5 2 5" xfId="20000"/>
    <cellStyle name="쉼표 [0] 4 4 2 5 3" xfId="20002"/>
    <cellStyle name="쉼표 [0] 4 4 2 5 3 2" xfId="13119"/>
    <cellStyle name="쉼표 [0] 4 4 2 5 4" xfId="13122"/>
    <cellStyle name="쉼표 [0] 4 4 2 5 5" xfId="28883"/>
    <cellStyle name="쉼표 [0] 4 4 2 5 6" xfId="19999"/>
    <cellStyle name="쉼표 [0] 4 4 2 6" xfId="1680"/>
    <cellStyle name="쉼표 [0] 4 4 2 6 2" xfId="20004"/>
    <cellStyle name="쉼표 [0] 4 4 2 6 2 2" xfId="20005"/>
    <cellStyle name="쉼표 [0] 4 4 2 6 2 2 2" xfId="13116"/>
    <cellStyle name="쉼표 [0] 4 4 2 6 2 3" xfId="13117"/>
    <cellStyle name="쉼표 [0] 4 4 2 6 3" xfId="20006"/>
    <cellStyle name="쉼표 [0] 4 4 2 6 3 2" xfId="13115"/>
    <cellStyle name="쉼표 [0] 4 4 2 6 4" xfId="13118"/>
    <cellStyle name="쉼표 [0] 4 4 2 6 5" xfId="28881"/>
    <cellStyle name="쉼표 [0] 4 4 2 6 6" xfId="20003"/>
    <cellStyle name="쉼표 [0] 4 4 2 7" xfId="1681"/>
    <cellStyle name="쉼표 [0] 4 4 2 7 2" xfId="1682"/>
    <cellStyle name="쉼표 [0] 4 4 2 7 2 2" xfId="20009"/>
    <cellStyle name="쉼표 [0] 4 4 2 7 2 2 2" xfId="13112"/>
    <cellStyle name="쉼표 [0] 4 4 2 7 2 3" xfId="13113"/>
    <cellStyle name="쉼표 [0] 4 4 2 7 2 4" xfId="20008"/>
    <cellStyle name="쉼표 [0] 4 4 2 7 3" xfId="20010"/>
    <cellStyle name="쉼표 [0] 4 4 2 7 3 2" xfId="13111"/>
    <cellStyle name="쉼표 [0] 4 4 2 7 4" xfId="13114"/>
    <cellStyle name="쉼표 [0] 4 4 2 7 5" xfId="20007"/>
    <cellStyle name="쉼표 [0] 4 4 2 8" xfId="20011"/>
    <cellStyle name="쉼표 [0] 4 4 2 8 2" xfId="13110"/>
    <cellStyle name="쉼표 [0] 4 4 2 9" xfId="20012"/>
    <cellStyle name="쉼표 [0] 4 4 2 9 2" xfId="13109"/>
    <cellStyle name="쉼표 [0] 4 4 20" xfId="28901"/>
    <cellStyle name="쉼표 [0] 4 4 21" xfId="19925"/>
    <cellStyle name="쉼표 [0] 4 4 22" xfId="30938"/>
    <cellStyle name="쉼표 [0] 4 4 22 2" xfId="32291"/>
    <cellStyle name="쉼표 [0] 4 4 3" xfId="1683"/>
    <cellStyle name="쉼표 [0] 4 4 3 10" xfId="20013"/>
    <cellStyle name="쉼표 [0] 4 4 3 11" xfId="29517"/>
    <cellStyle name="쉼표 [0] 4 4 3 2" xfId="1684"/>
    <cellStyle name="쉼표 [0] 4 4 3 2 2" xfId="1685"/>
    <cellStyle name="쉼표 [0] 4 4 3 2 2 2" xfId="20016"/>
    <cellStyle name="쉼표 [0] 4 4 3 2 2 2 2" xfId="13105"/>
    <cellStyle name="쉼표 [0] 4 4 3 2 2 3" xfId="13106"/>
    <cellStyle name="쉼표 [0] 4 4 3 2 2 4" xfId="28878"/>
    <cellStyle name="쉼표 [0] 4 4 3 2 2 5" xfId="20015"/>
    <cellStyle name="쉼표 [0] 4 4 3 2 3" xfId="1686"/>
    <cellStyle name="쉼표 [0] 4 4 3 2 3 2" xfId="1687"/>
    <cellStyle name="쉼표 [0] 4 4 3 2 3 2 2" xfId="20019"/>
    <cellStyle name="쉼표 [0] 4 4 3 2 3 2 2 2" xfId="13102"/>
    <cellStyle name="쉼표 [0] 4 4 3 2 3 2 3" xfId="13103"/>
    <cellStyle name="쉼표 [0] 4 4 3 2 3 2 4" xfId="20018"/>
    <cellStyle name="쉼표 [0] 4 4 3 2 3 3" xfId="20020"/>
    <cellStyle name="쉼표 [0] 4 4 3 2 3 3 2" xfId="13101"/>
    <cellStyle name="쉼표 [0] 4 4 3 2 3 4" xfId="13104"/>
    <cellStyle name="쉼표 [0] 4 4 3 2 3 5" xfId="20017"/>
    <cellStyle name="쉼표 [0] 4 4 3 2 4" xfId="20021"/>
    <cellStyle name="쉼표 [0] 4 4 3 2 4 2" xfId="13100"/>
    <cellStyle name="쉼표 [0] 4 4 3 2 5" xfId="13107"/>
    <cellStyle name="쉼표 [0] 4 4 3 2 6" xfId="28879"/>
    <cellStyle name="쉼표 [0] 4 4 3 2 7" xfId="20014"/>
    <cellStyle name="쉼표 [0] 4 4 3 3" xfId="1688"/>
    <cellStyle name="쉼표 [0] 4 4 3 3 2" xfId="1689"/>
    <cellStyle name="쉼표 [0] 4 4 3 3 2 2" xfId="1690"/>
    <cellStyle name="쉼표 [0] 4 4 3 3 2 2 2" xfId="20025"/>
    <cellStyle name="쉼표 [0] 4 4 3 3 2 2 2 2" xfId="13096"/>
    <cellStyle name="쉼표 [0] 4 4 3 3 2 2 3" xfId="13097"/>
    <cellStyle name="쉼표 [0] 4 4 3 3 2 2 4" xfId="28875"/>
    <cellStyle name="쉼표 [0] 4 4 3 3 2 2 5" xfId="20024"/>
    <cellStyle name="쉼표 [0] 4 4 3 3 2 3" xfId="20026"/>
    <cellStyle name="쉼표 [0] 4 4 3 3 2 3 2" xfId="13095"/>
    <cellStyle name="쉼표 [0] 4 4 3 3 2 4" xfId="13098"/>
    <cellStyle name="쉼표 [0] 4 4 3 3 2 5" xfId="28876"/>
    <cellStyle name="쉼표 [0] 4 4 3 3 2 6" xfId="20023"/>
    <cellStyle name="쉼표 [0] 4 4 3 3 3" xfId="1691"/>
    <cellStyle name="쉼표 [0] 4 4 3 3 3 2" xfId="20028"/>
    <cellStyle name="쉼표 [0] 4 4 3 3 3 2 2" xfId="13093"/>
    <cellStyle name="쉼표 [0] 4 4 3 3 3 3" xfId="13094"/>
    <cellStyle name="쉼표 [0] 4 4 3 3 3 4" xfId="28874"/>
    <cellStyle name="쉼표 [0] 4 4 3 3 3 5" xfId="20027"/>
    <cellStyle name="쉼표 [0] 4 4 3 3 4" xfId="1692"/>
    <cellStyle name="쉼표 [0] 4 4 3 3 4 2" xfId="1693"/>
    <cellStyle name="쉼표 [0] 4 4 3 3 4 2 2" xfId="20031"/>
    <cellStyle name="쉼표 [0] 4 4 3 3 4 2 2 2" xfId="13090"/>
    <cellStyle name="쉼표 [0] 4 4 3 3 4 2 3" xfId="13091"/>
    <cellStyle name="쉼표 [0] 4 4 3 3 4 2 4" xfId="20030"/>
    <cellStyle name="쉼표 [0] 4 4 3 3 4 3" xfId="20032"/>
    <cellStyle name="쉼표 [0] 4 4 3 3 4 3 2" xfId="13089"/>
    <cellStyle name="쉼표 [0] 4 4 3 3 4 4" xfId="13092"/>
    <cellStyle name="쉼표 [0] 4 4 3 3 4 5" xfId="20029"/>
    <cellStyle name="쉼표 [0] 4 4 3 3 5" xfId="20033"/>
    <cellStyle name="쉼표 [0] 4 4 3 3 5 2" xfId="13088"/>
    <cellStyle name="쉼표 [0] 4 4 3 3 6" xfId="13099"/>
    <cellStyle name="쉼표 [0] 4 4 3 3 7" xfId="28877"/>
    <cellStyle name="쉼표 [0] 4 4 3 3 8" xfId="20022"/>
    <cellStyle name="쉼표 [0] 4 4 3 4" xfId="1694"/>
    <cellStyle name="쉼표 [0] 4 4 3 4 2" xfId="1695"/>
    <cellStyle name="쉼표 [0] 4 4 3 4 2 2" xfId="20036"/>
    <cellStyle name="쉼표 [0] 4 4 3 4 2 2 2" xfId="13085"/>
    <cellStyle name="쉼표 [0] 4 4 3 4 2 3" xfId="13086"/>
    <cellStyle name="쉼표 [0] 4 4 3 4 2 4" xfId="28872"/>
    <cellStyle name="쉼표 [0] 4 4 3 4 2 5" xfId="20035"/>
    <cellStyle name="쉼표 [0] 4 4 3 4 3" xfId="20037"/>
    <cellStyle name="쉼표 [0] 4 4 3 4 3 2" xfId="13084"/>
    <cellStyle name="쉼표 [0] 4 4 3 4 4" xfId="13087"/>
    <cellStyle name="쉼표 [0] 4 4 3 4 5" xfId="28873"/>
    <cellStyle name="쉼표 [0] 4 4 3 4 6" xfId="20034"/>
    <cellStyle name="쉼표 [0] 4 4 3 5" xfId="1696"/>
    <cellStyle name="쉼표 [0] 4 4 3 5 2" xfId="20039"/>
    <cellStyle name="쉼표 [0] 4 4 3 5 2 2" xfId="13082"/>
    <cellStyle name="쉼표 [0] 4 4 3 5 3" xfId="13083"/>
    <cellStyle name="쉼표 [0] 4 4 3 5 4" xfId="28871"/>
    <cellStyle name="쉼표 [0] 4 4 3 5 5" xfId="20038"/>
    <cellStyle name="쉼표 [0] 4 4 3 6" xfId="1697"/>
    <cellStyle name="쉼표 [0] 4 4 3 6 2" xfId="1698"/>
    <cellStyle name="쉼표 [0] 4 4 3 6 2 2" xfId="20042"/>
    <cellStyle name="쉼표 [0] 4 4 3 6 2 2 2" xfId="13079"/>
    <cellStyle name="쉼표 [0] 4 4 3 6 2 3" xfId="13080"/>
    <cellStyle name="쉼표 [0] 4 4 3 6 2 4" xfId="20041"/>
    <cellStyle name="쉼표 [0] 4 4 3 6 3" xfId="20043"/>
    <cellStyle name="쉼표 [0] 4 4 3 6 3 2" xfId="13078"/>
    <cellStyle name="쉼표 [0] 4 4 3 6 4" xfId="13081"/>
    <cellStyle name="쉼표 [0] 4 4 3 6 5" xfId="20040"/>
    <cellStyle name="쉼표 [0] 4 4 3 7" xfId="20044"/>
    <cellStyle name="쉼표 [0] 4 4 3 7 2" xfId="13077"/>
    <cellStyle name="쉼표 [0] 4 4 3 8" xfId="13108"/>
    <cellStyle name="쉼표 [0] 4 4 3 9" xfId="28880"/>
    <cellStyle name="쉼표 [0] 4 4 4" xfId="1699"/>
    <cellStyle name="쉼표 [0] 4 4 4 2" xfId="1700"/>
    <cellStyle name="쉼표 [0] 4 4 4 2 2" xfId="1701"/>
    <cellStyle name="쉼표 [0] 4 4 4 2 2 2" xfId="1702"/>
    <cellStyle name="쉼표 [0] 4 4 4 2 2 2 2" xfId="20049"/>
    <cellStyle name="쉼표 [0] 4 4 4 2 2 2 2 2" xfId="13072"/>
    <cellStyle name="쉼표 [0] 4 4 4 2 2 2 3" xfId="13073"/>
    <cellStyle name="쉼표 [0] 4 4 4 2 2 2 4" xfId="20048"/>
    <cellStyle name="쉼표 [0] 4 4 4 2 2 3" xfId="20050"/>
    <cellStyle name="쉼표 [0] 4 4 4 2 2 3 2" xfId="13071"/>
    <cellStyle name="쉼표 [0] 4 4 4 2 2 4" xfId="13074"/>
    <cellStyle name="쉼표 [0] 4 4 4 2 2 5" xfId="20047"/>
    <cellStyle name="쉼표 [0] 4 4 4 2 3" xfId="20051"/>
    <cellStyle name="쉼표 [0] 4 4 4 2 3 2" xfId="13070"/>
    <cellStyle name="쉼표 [0] 4 4 4 2 4" xfId="13075"/>
    <cellStyle name="쉼표 [0] 4 4 4 2 5" xfId="28869"/>
    <cellStyle name="쉼표 [0] 4 4 4 2 6" xfId="20046"/>
    <cellStyle name="쉼표 [0] 4 4 4 3" xfId="1703"/>
    <cellStyle name="쉼표 [0] 4 4 4 3 2" xfId="1704"/>
    <cellStyle name="쉼표 [0] 4 4 4 3 2 2" xfId="20054"/>
    <cellStyle name="쉼표 [0] 4 4 4 3 2 2 2" xfId="13067"/>
    <cellStyle name="쉼표 [0] 4 4 4 3 2 3" xfId="13068"/>
    <cellStyle name="쉼표 [0] 4 4 4 3 2 4" xfId="20053"/>
    <cellStyle name="쉼표 [0] 4 4 4 3 3" xfId="20055"/>
    <cellStyle name="쉼표 [0] 4 4 4 3 3 2" xfId="13066"/>
    <cellStyle name="쉼표 [0] 4 4 4 3 4" xfId="13069"/>
    <cellStyle name="쉼표 [0] 4 4 4 3 5" xfId="20052"/>
    <cellStyle name="쉼표 [0] 4 4 4 4" xfId="20056"/>
    <cellStyle name="쉼표 [0] 4 4 4 4 2" xfId="13065"/>
    <cellStyle name="쉼표 [0] 4 4 4 5" xfId="13076"/>
    <cellStyle name="쉼표 [0] 4 4 4 6" xfId="28870"/>
    <cellStyle name="쉼표 [0] 4 4 4 7" xfId="20045"/>
    <cellStyle name="쉼표 [0] 4 4 4 8" xfId="29626"/>
    <cellStyle name="쉼표 [0] 4 4 5" xfId="1705"/>
    <cellStyle name="쉼표 [0] 4 4 5 2" xfId="1706"/>
    <cellStyle name="쉼표 [0] 4 4 5 2 2" xfId="1707"/>
    <cellStyle name="쉼표 [0] 4 4 5 2 2 2" xfId="20060"/>
    <cellStyle name="쉼표 [0] 4 4 5 2 2 2 2" xfId="13061"/>
    <cellStyle name="쉼표 [0] 4 4 5 2 2 3" xfId="13062"/>
    <cellStyle name="쉼표 [0] 4 4 5 2 2 4" xfId="28866"/>
    <cellStyle name="쉼표 [0] 4 4 5 2 2 5" xfId="20059"/>
    <cellStyle name="쉼표 [0] 4 4 5 2 3" xfId="20061"/>
    <cellStyle name="쉼표 [0] 4 4 5 2 3 2" xfId="13060"/>
    <cellStyle name="쉼표 [0] 4 4 5 2 4" xfId="13063"/>
    <cellStyle name="쉼표 [0] 4 4 5 2 5" xfId="28867"/>
    <cellStyle name="쉼표 [0] 4 4 5 2 6" xfId="20058"/>
    <cellStyle name="쉼표 [0] 4 4 5 3" xfId="1708"/>
    <cellStyle name="쉼표 [0] 4 4 5 3 2" xfId="20063"/>
    <cellStyle name="쉼표 [0] 4 4 5 3 2 2" xfId="13058"/>
    <cellStyle name="쉼표 [0] 4 4 5 3 3" xfId="13059"/>
    <cellStyle name="쉼표 [0] 4 4 5 3 4" xfId="28865"/>
    <cellStyle name="쉼표 [0] 4 4 5 3 5" xfId="20062"/>
    <cellStyle name="쉼표 [0] 4 4 5 4" xfId="1709"/>
    <cellStyle name="쉼표 [0] 4 4 5 4 2" xfId="1710"/>
    <cellStyle name="쉼표 [0] 4 4 5 4 2 2" xfId="20066"/>
    <cellStyle name="쉼표 [0] 4 4 5 4 2 2 2" xfId="13055"/>
    <cellStyle name="쉼표 [0] 4 4 5 4 2 3" xfId="13056"/>
    <cellStyle name="쉼표 [0] 4 4 5 4 2 4" xfId="20065"/>
    <cellStyle name="쉼표 [0] 4 4 5 4 3" xfId="20067"/>
    <cellStyle name="쉼표 [0] 4 4 5 4 3 2" xfId="13054"/>
    <cellStyle name="쉼표 [0] 4 4 5 4 4" xfId="13057"/>
    <cellStyle name="쉼표 [0] 4 4 5 4 5" xfId="20064"/>
    <cellStyle name="쉼표 [0] 4 4 5 5" xfId="20068"/>
    <cellStyle name="쉼표 [0] 4 4 5 5 2" xfId="13053"/>
    <cellStyle name="쉼표 [0] 4 4 5 6" xfId="13064"/>
    <cellStyle name="쉼표 [0] 4 4 5 7" xfId="28868"/>
    <cellStyle name="쉼표 [0] 4 4 5 8" xfId="20057"/>
    <cellStyle name="쉼표 [0] 4 4 6" xfId="1711"/>
    <cellStyle name="쉼표 [0] 4 4 6 2" xfId="1712"/>
    <cellStyle name="쉼표 [0] 4 4 6 2 2" xfId="20071"/>
    <cellStyle name="쉼표 [0] 4 4 6 2 2 2" xfId="13050"/>
    <cellStyle name="쉼표 [0] 4 4 6 2 3" xfId="13051"/>
    <cellStyle name="쉼표 [0] 4 4 6 2 4" xfId="28863"/>
    <cellStyle name="쉼표 [0] 4 4 6 2 5" xfId="20070"/>
    <cellStyle name="쉼표 [0] 4 4 6 3" xfId="20072"/>
    <cellStyle name="쉼표 [0] 4 4 6 3 2" xfId="20073"/>
    <cellStyle name="쉼표 [0] 4 4 6 3 2 2" xfId="13048"/>
    <cellStyle name="쉼표 [0] 4 4 6 3 3" xfId="13049"/>
    <cellStyle name="쉼표 [0] 4 4 6 4" xfId="20074"/>
    <cellStyle name="쉼표 [0] 4 4 6 4 2" xfId="13047"/>
    <cellStyle name="쉼표 [0] 4 4 6 5" xfId="13052"/>
    <cellStyle name="쉼표 [0] 4 4 6 6" xfId="28864"/>
    <cellStyle name="쉼표 [0] 4 4 6 7" xfId="20069"/>
    <cellStyle name="쉼표 [0] 4 4 7" xfId="1713"/>
    <cellStyle name="쉼표 [0] 4 4 7 2" xfId="1714"/>
    <cellStyle name="쉼표 [0] 4 4 7 2 2" xfId="20077"/>
    <cellStyle name="쉼표 [0] 4 4 7 2 2 2" xfId="13044"/>
    <cellStyle name="쉼표 [0] 4 4 7 2 3" xfId="13045"/>
    <cellStyle name="쉼표 [0] 4 4 7 2 4" xfId="28861"/>
    <cellStyle name="쉼표 [0] 4 4 7 2 5" xfId="20076"/>
    <cellStyle name="쉼표 [0] 4 4 7 3" xfId="20078"/>
    <cellStyle name="쉼표 [0] 4 4 7 3 2" xfId="20079"/>
    <cellStyle name="쉼표 [0] 4 4 7 3 2 2" xfId="13042"/>
    <cellStyle name="쉼표 [0] 4 4 7 3 3" xfId="13043"/>
    <cellStyle name="쉼표 [0] 4 4 7 4" xfId="20080"/>
    <cellStyle name="쉼표 [0] 4 4 7 4 2" xfId="13041"/>
    <cellStyle name="쉼표 [0] 4 4 7 5" xfId="13046"/>
    <cellStyle name="쉼표 [0] 4 4 7 6" xfId="28862"/>
    <cellStyle name="쉼표 [0] 4 4 7 7" xfId="20075"/>
    <cellStyle name="쉼표 [0] 4 4 8" xfId="1715"/>
    <cellStyle name="쉼표 [0] 4 4 8 2" xfId="20082"/>
    <cellStyle name="쉼표 [0] 4 4 8 2 2" xfId="20083"/>
    <cellStyle name="쉼표 [0] 4 4 8 2 2 2" xfId="13038"/>
    <cellStyle name="쉼표 [0] 4 4 8 2 3" xfId="13039"/>
    <cellStyle name="쉼표 [0] 4 4 8 3" xfId="20084"/>
    <cellStyle name="쉼표 [0] 4 4 8 3 2" xfId="13037"/>
    <cellStyle name="쉼표 [0] 4 4 8 4" xfId="13040"/>
    <cellStyle name="쉼표 [0] 4 4 8 5" xfId="28860"/>
    <cellStyle name="쉼표 [0] 4 4 8 6" xfId="20081"/>
    <cellStyle name="쉼표 [0] 4 4 9" xfId="1716"/>
    <cellStyle name="쉼표 [0] 4 4 9 2" xfId="1717"/>
    <cellStyle name="쉼표 [0] 4 4 9 2 2" xfId="20087"/>
    <cellStyle name="쉼표 [0] 4 4 9 2 2 2" xfId="13034"/>
    <cellStyle name="쉼표 [0] 4 4 9 2 3" xfId="13035"/>
    <cellStyle name="쉼표 [0] 4 4 9 2 4" xfId="20086"/>
    <cellStyle name="쉼표 [0] 4 4 9 3" xfId="20088"/>
    <cellStyle name="쉼표 [0] 4 4 9 3 2" xfId="13033"/>
    <cellStyle name="쉼표 [0] 4 4 9 4" xfId="13036"/>
    <cellStyle name="쉼표 [0] 4 4 9 5" xfId="20085"/>
    <cellStyle name="쉼표 [0] 4 5" xfId="1718"/>
    <cellStyle name="쉼표 [0] 4 5 10" xfId="20090"/>
    <cellStyle name="쉼표 [0] 4 5 10 2" xfId="20091"/>
    <cellStyle name="쉼표 [0] 4 5 10 2 2" xfId="13030"/>
    <cellStyle name="쉼표 [0] 4 5 10 3" xfId="13031"/>
    <cellStyle name="쉼표 [0] 4 5 11" xfId="20092"/>
    <cellStyle name="쉼표 [0] 4 5 11 2" xfId="20093"/>
    <cellStyle name="쉼표 [0] 4 5 11 2 2" xfId="13028"/>
    <cellStyle name="쉼표 [0] 4 5 11 3" xfId="13029"/>
    <cellStyle name="쉼표 [0] 4 5 12" xfId="20094"/>
    <cellStyle name="쉼표 [0] 4 5 12 2" xfId="20095"/>
    <cellStyle name="쉼표 [0] 4 5 12 2 2" xfId="13026"/>
    <cellStyle name="쉼표 [0] 4 5 12 3" xfId="13027"/>
    <cellStyle name="쉼표 [0] 4 5 13" xfId="20096"/>
    <cellStyle name="쉼표 [0] 4 5 13 2" xfId="20097"/>
    <cellStyle name="쉼표 [0] 4 5 13 2 2" xfId="13024"/>
    <cellStyle name="쉼표 [0] 4 5 13 3" xfId="13025"/>
    <cellStyle name="쉼표 [0] 4 5 14" xfId="20098"/>
    <cellStyle name="쉼표 [0] 4 5 14 2" xfId="13023"/>
    <cellStyle name="쉼표 [0] 4 5 15" xfId="20099"/>
    <cellStyle name="쉼표 [0] 4 5 15 2" xfId="13022"/>
    <cellStyle name="쉼표 [0] 4 5 16" xfId="13032"/>
    <cellStyle name="쉼표 [0] 4 5 17" xfId="28859"/>
    <cellStyle name="쉼표 [0] 4 5 18" xfId="20089"/>
    <cellStyle name="쉼표 [0] 4 5 19" xfId="29537"/>
    <cellStyle name="쉼표 [0] 4 5 2" xfId="1719"/>
    <cellStyle name="쉼표 [0] 4 5 2 10" xfId="28858"/>
    <cellStyle name="쉼표 [0] 4 5 2 11" xfId="20100"/>
    <cellStyle name="쉼표 [0] 4 5 2 12" xfId="29764"/>
    <cellStyle name="쉼표 [0] 4 5 2 2" xfId="1720"/>
    <cellStyle name="쉼표 [0] 4 5 2 2 10" xfId="20101"/>
    <cellStyle name="쉼표 [0] 4 5 2 2 11" xfId="29455"/>
    <cellStyle name="쉼표 [0] 4 5 2 2 2" xfId="1721"/>
    <cellStyle name="쉼표 [0] 4 5 2 2 2 2" xfId="1722"/>
    <cellStyle name="쉼표 [0] 4 5 2 2 2 2 2" xfId="20104"/>
    <cellStyle name="쉼표 [0] 4 5 2 2 2 2 2 2" xfId="13017"/>
    <cellStyle name="쉼표 [0] 4 5 2 2 2 2 3" xfId="13018"/>
    <cellStyle name="쉼표 [0] 4 5 2 2 2 2 4" xfId="28855"/>
    <cellStyle name="쉼표 [0] 4 5 2 2 2 2 5" xfId="20103"/>
    <cellStyle name="쉼표 [0] 4 5 2 2 2 3" xfId="20105"/>
    <cellStyle name="쉼표 [0] 4 5 2 2 2 3 2" xfId="13016"/>
    <cellStyle name="쉼표 [0] 4 5 2 2 2 4" xfId="13019"/>
    <cellStyle name="쉼표 [0] 4 5 2 2 2 5" xfId="28856"/>
    <cellStyle name="쉼표 [0] 4 5 2 2 2 6" xfId="20102"/>
    <cellStyle name="쉼표 [0] 4 5 2 2 3" xfId="1723"/>
    <cellStyle name="쉼표 [0] 4 5 2 2 3 2" xfId="1724"/>
    <cellStyle name="쉼표 [0] 4 5 2 2 3 2 2" xfId="1725"/>
    <cellStyle name="쉼표 [0] 4 5 2 2 3 2 2 2" xfId="20109"/>
    <cellStyle name="쉼표 [0] 4 5 2 2 3 2 2 2 2" xfId="13012"/>
    <cellStyle name="쉼표 [0] 4 5 2 2 3 2 2 3" xfId="13013"/>
    <cellStyle name="쉼표 [0] 4 5 2 2 3 2 2 4" xfId="28852"/>
    <cellStyle name="쉼표 [0] 4 5 2 2 3 2 2 5" xfId="20108"/>
    <cellStyle name="쉼표 [0] 4 5 2 2 3 2 3" xfId="20110"/>
    <cellStyle name="쉼표 [0] 4 5 2 2 3 2 3 2" xfId="13011"/>
    <cellStyle name="쉼표 [0] 4 5 2 2 3 2 4" xfId="13014"/>
    <cellStyle name="쉼표 [0] 4 5 2 2 3 2 5" xfId="28853"/>
    <cellStyle name="쉼표 [0] 4 5 2 2 3 2 6" xfId="20107"/>
    <cellStyle name="쉼표 [0] 4 5 2 2 3 3" xfId="1726"/>
    <cellStyle name="쉼표 [0] 4 5 2 2 3 3 2" xfId="20112"/>
    <cellStyle name="쉼표 [0] 4 5 2 2 3 3 2 2" xfId="13009"/>
    <cellStyle name="쉼표 [0] 4 5 2 2 3 3 3" xfId="13010"/>
    <cellStyle name="쉼표 [0] 4 5 2 2 3 3 4" xfId="28851"/>
    <cellStyle name="쉼표 [0] 4 5 2 2 3 3 5" xfId="20111"/>
    <cellStyle name="쉼표 [0] 4 5 2 2 3 4" xfId="20113"/>
    <cellStyle name="쉼표 [0] 4 5 2 2 3 4 2" xfId="13008"/>
    <cellStyle name="쉼표 [0] 4 5 2 2 3 5" xfId="13015"/>
    <cellStyle name="쉼표 [0] 4 5 2 2 3 6" xfId="28854"/>
    <cellStyle name="쉼표 [0] 4 5 2 2 3 7" xfId="20106"/>
    <cellStyle name="쉼표 [0] 4 5 2 2 4" xfId="1727"/>
    <cellStyle name="쉼표 [0] 4 5 2 2 4 2" xfId="1728"/>
    <cellStyle name="쉼표 [0] 4 5 2 2 4 2 2" xfId="20116"/>
    <cellStyle name="쉼표 [0] 4 5 2 2 4 2 2 2" xfId="13005"/>
    <cellStyle name="쉼표 [0] 4 5 2 2 4 2 3" xfId="13006"/>
    <cellStyle name="쉼표 [0] 4 5 2 2 4 2 4" xfId="28849"/>
    <cellStyle name="쉼표 [0] 4 5 2 2 4 2 5" xfId="20115"/>
    <cellStyle name="쉼표 [0] 4 5 2 2 4 3" xfId="20117"/>
    <cellStyle name="쉼표 [0] 4 5 2 2 4 3 2" xfId="13004"/>
    <cellStyle name="쉼표 [0] 4 5 2 2 4 4" xfId="13007"/>
    <cellStyle name="쉼표 [0] 4 5 2 2 4 5" xfId="28850"/>
    <cellStyle name="쉼표 [0] 4 5 2 2 4 6" xfId="20114"/>
    <cellStyle name="쉼표 [0] 4 5 2 2 5" xfId="1729"/>
    <cellStyle name="쉼표 [0] 4 5 2 2 5 2" xfId="20119"/>
    <cellStyle name="쉼표 [0] 4 5 2 2 5 2 2" xfId="13002"/>
    <cellStyle name="쉼표 [0] 4 5 2 2 5 3" xfId="13003"/>
    <cellStyle name="쉼표 [0] 4 5 2 2 5 4" xfId="28848"/>
    <cellStyle name="쉼표 [0] 4 5 2 2 5 5" xfId="20118"/>
    <cellStyle name="쉼표 [0] 4 5 2 2 6" xfId="1730"/>
    <cellStyle name="쉼표 [0] 4 5 2 2 6 2" xfId="1731"/>
    <cellStyle name="쉼표 [0] 4 5 2 2 6 2 2" xfId="20122"/>
    <cellStyle name="쉼표 [0] 4 5 2 2 6 2 2 2" xfId="12999"/>
    <cellStyle name="쉼표 [0] 4 5 2 2 6 2 3" xfId="13000"/>
    <cellStyle name="쉼표 [0] 4 5 2 2 6 2 4" xfId="20121"/>
    <cellStyle name="쉼표 [0] 4 5 2 2 6 3" xfId="20123"/>
    <cellStyle name="쉼표 [0] 4 5 2 2 6 3 2" xfId="12998"/>
    <cellStyle name="쉼표 [0] 4 5 2 2 6 4" xfId="13001"/>
    <cellStyle name="쉼표 [0] 4 5 2 2 6 5" xfId="20120"/>
    <cellStyle name="쉼표 [0] 4 5 2 2 7" xfId="20124"/>
    <cellStyle name="쉼표 [0] 4 5 2 2 7 2" xfId="12997"/>
    <cellStyle name="쉼표 [0] 4 5 2 2 8" xfId="13020"/>
    <cellStyle name="쉼표 [0] 4 5 2 2 9" xfId="28857"/>
    <cellStyle name="쉼표 [0] 4 5 2 3" xfId="1732"/>
    <cellStyle name="쉼표 [0] 4 5 2 3 2" xfId="1733"/>
    <cellStyle name="쉼표 [0] 4 5 2 3 2 2" xfId="20127"/>
    <cellStyle name="쉼표 [0] 4 5 2 3 2 2 2" xfId="12994"/>
    <cellStyle name="쉼표 [0] 4 5 2 3 2 3" xfId="12995"/>
    <cellStyle name="쉼표 [0] 4 5 2 3 2 4" xfId="28846"/>
    <cellStyle name="쉼표 [0] 4 5 2 3 2 5" xfId="20126"/>
    <cellStyle name="쉼표 [0] 4 5 2 3 3" xfId="1734"/>
    <cellStyle name="쉼표 [0] 4 5 2 3 3 2" xfId="1735"/>
    <cellStyle name="쉼표 [0] 4 5 2 3 3 2 2" xfId="20130"/>
    <cellStyle name="쉼표 [0] 4 5 2 3 3 2 2 2" xfId="12991"/>
    <cellStyle name="쉼표 [0] 4 5 2 3 3 2 3" xfId="12992"/>
    <cellStyle name="쉼표 [0] 4 5 2 3 3 2 4" xfId="20129"/>
    <cellStyle name="쉼표 [0] 4 5 2 3 3 3" xfId="20131"/>
    <cellStyle name="쉼표 [0] 4 5 2 3 3 3 2" xfId="12990"/>
    <cellStyle name="쉼표 [0] 4 5 2 3 3 4" xfId="12993"/>
    <cellStyle name="쉼표 [0] 4 5 2 3 3 5" xfId="20128"/>
    <cellStyle name="쉼표 [0] 4 5 2 3 4" xfId="20132"/>
    <cellStyle name="쉼표 [0] 4 5 2 3 4 2" xfId="12989"/>
    <cellStyle name="쉼표 [0] 4 5 2 3 5" xfId="12996"/>
    <cellStyle name="쉼표 [0] 4 5 2 3 6" xfId="28847"/>
    <cellStyle name="쉼표 [0] 4 5 2 3 7" xfId="20125"/>
    <cellStyle name="쉼표 [0] 4 5 2 4" xfId="1736"/>
    <cellStyle name="쉼표 [0] 4 5 2 4 2" xfId="1737"/>
    <cellStyle name="쉼표 [0] 4 5 2 4 2 2" xfId="1738"/>
    <cellStyle name="쉼표 [0] 4 5 2 4 2 2 2" xfId="20136"/>
    <cellStyle name="쉼표 [0] 4 5 2 4 2 2 2 2" xfId="12985"/>
    <cellStyle name="쉼표 [0] 4 5 2 4 2 2 3" xfId="12986"/>
    <cellStyle name="쉼표 [0] 4 5 2 4 2 2 4" xfId="28843"/>
    <cellStyle name="쉼표 [0] 4 5 2 4 2 2 5" xfId="20135"/>
    <cellStyle name="쉼표 [0] 4 5 2 4 2 3" xfId="20137"/>
    <cellStyle name="쉼표 [0] 4 5 2 4 2 3 2" xfId="12984"/>
    <cellStyle name="쉼표 [0] 4 5 2 4 2 4" xfId="12987"/>
    <cellStyle name="쉼표 [0] 4 5 2 4 2 5" xfId="28844"/>
    <cellStyle name="쉼표 [0] 4 5 2 4 2 6" xfId="20134"/>
    <cellStyle name="쉼표 [0] 4 5 2 4 3" xfId="1739"/>
    <cellStyle name="쉼표 [0] 4 5 2 4 3 2" xfId="20139"/>
    <cellStyle name="쉼표 [0] 4 5 2 4 3 2 2" xfId="12982"/>
    <cellStyle name="쉼표 [0] 4 5 2 4 3 3" xfId="12983"/>
    <cellStyle name="쉼표 [0] 4 5 2 4 3 4" xfId="28842"/>
    <cellStyle name="쉼표 [0] 4 5 2 4 3 5" xfId="20138"/>
    <cellStyle name="쉼표 [0] 4 5 2 4 4" xfId="20140"/>
    <cellStyle name="쉼표 [0] 4 5 2 4 4 2" xfId="12981"/>
    <cellStyle name="쉼표 [0] 4 5 2 4 5" xfId="12988"/>
    <cellStyle name="쉼표 [0] 4 5 2 4 6" xfId="28845"/>
    <cellStyle name="쉼표 [0] 4 5 2 4 7" xfId="20133"/>
    <cellStyle name="쉼표 [0] 4 5 2 5" xfId="1740"/>
    <cellStyle name="쉼표 [0] 4 5 2 5 2" xfId="1741"/>
    <cellStyle name="쉼표 [0] 4 5 2 5 2 2" xfId="20143"/>
    <cellStyle name="쉼표 [0] 4 5 2 5 2 2 2" xfId="12978"/>
    <cellStyle name="쉼표 [0] 4 5 2 5 2 3" xfId="12979"/>
    <cellStyle name="쉼표 [0] 4 5 2 5 2 4" xfId="28840"/>
    <cellStyle name="쉼표 [0] 4 5 2 5 2 5" xfId="20142"/>
    <cellStyle name="쉼표 [0] 4 5 2 5 3" xfId="20144"/>
    <cellStyle name="쉼표 [0] 4 5 2 5 3 2" xfId="12977"/>
    <cellStyle name="쉼표 [0] 4 5 2 5 4" xfId="12980"/>
    <cellStyle name="쉼표 [0] 4 5 2 5 5" xfId="28841"/>
    <cellStyle name="쉼표 [0] 4 5 2 5 6" xfId="20141"/>
    <cellStyle name="쉼표 [0] 4 5 2 6" xfId="1742"/>
    <cellStyle name="쉼표 [0] 4 5 2 6 2" xfId="20146"/>
    <cellStyle name="쉼표 [0] 4 5 2 6 2 2" xfId="12975"/>
    <cellStyle name="쉼표 [0] 4 5 2 6 3" xfId="12976"/>
    <cellStyle name="쉼표 [0] 4 5 2 6 4" xfId="28839"/>
    <cellStyle name="쉼표 [0] 4 5 2 6 5" xfId="20145"/>
    <cellStyle name="쉼표 [0] 4 5 2 7" xfId="1743"/>
    <cellStyle name="쉼표 [0] 4 5 2 7 2" xfId="1744"/>
    <cellStyle name="쉼표 [0] 4 5 2 7 2 2" xfId="20149"/>
    <cellStyle name="쉼표 [0] 4 5 2 7 2 2 2" xfId="12972"/>
    <cellStyle name="쉼표 [0] 4 5 2 7 2 3" xfId="12973"/>
    <cellStyle name="쉼표 [0] 4 5 2 7 2 4" xfId="20148"/>
    <cellStyle name="쉼표 [0] 4 5 2 7 3" xfId="20150"/>
    <cellStyle name="쉼표 [0] 4 5 2 7 3 2" xfId="12971"/>
    <cellStyle name="쉼표 [0] 4 5 2 7 4" xfId="12974"/>
    <cellStyle name="쉼표 [0] 4 5 2 7 5" xfId="20147"/>
    <cellStyle name="쉼표 [0] 4 5 2 8" xfId="20151"/>
    <cellStyle name="쉼표 [0] 4 5 2 8 2" xfId="12970"/>
    <cellStyle name="쉼표 [0] 4 5 2 9" xfId="13021"/>
    <cellStyle name="쉼표 [0] 4 5 3" xfId="1745"/>
    <cellStyle name="쉼표 [0] 4 5 3 10" xfId="20152"/>
    <cellStyle name="쉼표 [0] 4 5 3 11" xfId="29906"/>
    <cellStyle name="쉼표 [0] 4 5 3 2" xfId="1746"/>
    <cellStyle name="쉼표 [0] 4 5 3 2 2" xfId="1747"/>
    <cellStyle name="쉼표 [0] 4 5 3 2 2 2" xfId="20155"/>
    <cellStyle name="쉼표 [0] 4 5 3 2 2 2 2" xfId="12966"/>
    <cellStyle name="쉼표 [0] 4 5 3 2 2 3" xfId="12967"/>
    <cellStyle name="쉼표 [0] 4 5 3 2 2 4" xfId="28836"/>
    <cellStyle name="쉼표 [0] 4 5 3 2 2 5" xfId="20154"/>
    <cellStyle name="쉼표 [0] 4 5 3 2 3" xfId="1748"/>
    <cellStyle name="쉼표 [0] 4 5 3 2 3 2" xfId="1749"/>
    <cellStyle name="쉼표 [0] 4 5 3 2 3 2 2" xfId="20158"/>
    <cellStyle name="쉼표 [0] 4 5 3 2 3 2 2 2" xfId="12963"/>
    <cellStyle name="쉼표 [0] 4 5 3 2 3 2 3" xfId="12964"/>
    <cellStyle name="쉼표 [0] 4 5 3 2 3 2 4" xfId="20157"/>
    <cellStyle name="쉼표 [0] 4 5 3 2 3 3" xfId="20159"/>
    <cellStyle name="쉼표 [0] 4 5 3 2 3 3 2" xfId="12962"/>
    <cellStyle name="쉼표 [0] 4 5 3 2 3 4" xfId="12965"/>
    <cellStyle name="쉼표 [0] 4 5 3 2 3 5" xfId="20156"/>
    <cellStyle name="쉼표 [0] 4 5 3 2 4" xfId="20160"/>
    <cellStyle name="쉼표 [0] 4 5 3 2 4 2" xfId="12961"/>
    <cellStyle name="쉼표 [0] 4 5 3 2 5" xfId="12968"/>
    <cellStyle name="쉼표 [0] 4 5 3 2 6" xfId="28837"/>
    <cellStyle name="쉼표 [0] 4 5 3 2 7" xfId="20153"/>
    <cellStyle name="쉼표 [0] 4 5 3 3" xfId="1750"/>
    <cellStyle name="쉼표 [0] 4 5 3 3 2" xfId="1751"/>
    <cellStyle name="쉼표 [0] 4 5 3 3 2 2" xfId="1752"/>
    <cellStyle name="쉼표 [0] 4 5 3 3 2 2 2" xfId="20164"/>
    <cellStyle name="쉼표 [0] 4 5 3 3 2 2 2 2" xfId="12957"/>
    <cellStyle name="쉼표 [0] 4 5 3 3 2 2 3" xfId="12958"/>
    <cellStyle name="쉼표 [0] 4 5 3 3 2 2 4" xfId="28833"/>
    <cellStyle name="쉼표 [0] 4 5 3 3 2 2 5" xfId="20163"/>
    <cellStyle name="쉼표 [0] 4 5 3 3 2 3" xfId="20165"/>
    <cellStyle name="쉼표 [0] 4 5 3 3 2 3 2" xfId="12956"/>
    <cellStyle name="쉼표 [0] 4 5 3 3 2 4" xfId="12959"/>
    <cellStyle name="쉼표 [0] 4 5 3 3 2 5" xfId="28834"/>
    <cellStyle name="쉼표 [0] 4 5 3 3 2 6" xfId="20162"/>
    <cellStyle name="쉼표 [0] 4 5 3 3 3" xfId="1753"/>
    <cellStyle name="쉼표 [0] 4 5 3 3 3 2" xfId="20167"/>
    <cellStyle name="쉼표 [0] 4 5 3 3 3 2 2" xfId="12954"/>
    <cellStyle name="쉼표 [0] 4 5 3 3 3 3" xfId="12955"/>
    <cellStyle name="쉼표 [0] 4 5 3 3 3 4" xfId="28832"/>
    <cellStyle name="쉼표 [0] 4 5 3 3 3 5" xfId="20166"/>
    <cellStyle name="쉼표 [0] 4 5 3 3 4" xfId="20168"/>
    <cellStyle name="쉼표 [0] 4 5 3 3 4 2" xfId="12953"/>
    <cellStyle name="쉼표 [0] 4 5 3 3 5" xfId="12960"/>
    <cellStyle name="쉼표 [0] 4 5 3 3 6" xfId="28835"/>
    <cellStyle name="쉼표 [0] 4 5 3 3 7" xfId="20161"/>
    <cellStyle name="쉼표 [0] 4 5 3 4" xfId="1754"/>
    <cellStyle name="쉼표 [0] 4 5 3 4 2" xfId="1755"/>
    <cellStyle name="쉼표 [0] 4 5 3 4 2 2" xfId="20171"/>
    <cellStyle name="쉼표 [0] 4 5 3 4 2 2 2" xfId="12950"/>
    <cellStyle name="쉼표 [0] 4 5 3 4 2 3" xfId="12951"/>
    <cellStyle name="쉼표 [0] 4 5 3 4 2 4" xfId="28830"/>
    <cellStyle name="쉼표 [0] 4 5 3 4 2 5" xfId="20170"/>
    <cellStyle name="쉼표 [0] 4 5 3 4 3" xfId="20172"/>
    <cellStyle name="쉼표 [0] 4 5 3 4 3 2" xfId="12949"/>
    <cellStyle name="쉼표 [0] 4 5 3 4 4" xfId="12952"/>
    <cellStyle name="쉼표 [0] 4 5 3 4 5" xfId="28831"/>
    <cellStyle name="쉼표 [0] 4 5 3 4 6" xfId="20169"/>
    <cellStyle name="쉼표 [0] 4 5 3 5" xfId="1756"/>
    <cellStyle name="쉼표 [0] 4 5 3 5 2" xfId="20174"/>
    <cellStyle name="쉼표 [0] 4 5 3 5 2 2" xfId="12947"/>
    <cellStyle name="쉼표 [0] 4 5 3 5 3" xfId="12948"/>
    <cellStyle name="쉼표 [0] 4 5 3 5 4" xfId="28829"/>
    <cellStyle name="쉼표 [0] 4 5 3 5 5" xfId="20173"/>
    <cellStyle name="쉼표 [0] 4 5 3 6" xfId="1757"/>
    <cellStyle name="쉼표 [0] 4 5 3 6 2" xfId="1758"/>
    <cellStyle name="쉼표 [0] 4 5 3 6 2 2" xfId="20177"/>
    <cellStyle name="쉼표 [0] 4 5 3 6 2 2 2" xfId="12944"/>
    <cellStyle name="쉼표 [0] 4 5 3 6 2 3" xfId="12945"/>
    <cellStyle name="쉼표 [0] 4 5 3 6 2 4" xfId="20176"/>
    <cellStyle name="쉼표 [0] 4 5 3 6 3" xfId="20178"/>
    <cellStyle name="쉼표 [0] 4 5 3 6 3 2" xfId="12943"/>
    <cellStyle name="쉼표 [0] 4 5 3 6 4" xfId="12946"/>
    <cellStyle name="쉼표 [0] 4 5 3 6 5" xfId="20175"/>
    <cellStyle name="쉼표 [0] 4 5 3 7" xfId="20179"/>
    <cellStyle name="쉼표 [0] 4 5 3 7 2" xfId="12942"/>
    <cellStyle name="쉼표 [0] 4 5 3 8" xfId="12969"/>
    <cellStyle name="쉼표 [0] 4 5 3 9" xfId="28838"/>
    <cellStyle name="쉼표 [0] 4 5 4" xfId="1759"/>
    <cellStyle name="쉼표 [0] 4 5 4 2" xfId="1760"/>
    <cellStyle name="쉼표 [0] 4 5 4 2 2" xfId="20182"/>
    <cellStyle name="쉼표 [0] 4 5 4 2 2 2" xfId="12939"/>
    <cellStyle name="쉼표 [0] 4 5 4 2 3" xfId="12940"/>
    <cellStyle name="쉼표 [0] 4 5 4 2 4" xfId="28827"/>
    <cellStyle name="쉼표 [0] 4 5 4 2 5" xfId="20181"/>
    <cellStyle name="쉼표 [0] 4 5 4 3" xfId="1761"/>
    <cellStyle name="쉼표 [0] 4 5 4 3 2" xfId="1762"/>
    <cellStyle name="쉼표 [0] 4 5 4 3 2 2" xfId="20185"/>
    <cellStyle name="쉼표 [0] 4 5 4 3 2 2 2" xfId="12936"/>
    <cellStyle name="쉼표 [0] 4 5 4 3 2 3" xfId="12937"/>
    <cellStyle name="쉼표 [0] 4 5 4 3 2 4" xfId="20184"/>
    <cellStyle name="쉼표 [0] 4 5 4 3 3" xfId="20186"/>
    <cellStyle name="쉼표 [0] 4 5 4 3 3 2" xfId="12935"/>
    <cellStyle name="쉼표 [0] 4 5 4 3 4" xfId="12938"/>
    <cellStyle name="쉼표 [0] 4 5 4 3 5" xfId="20183"/>
    <cellStyle name="쉼표 [0] 4 5 4 4" xfId="20187"/>
    <cellStyle name="쉼표 [0] 4 5 4 4 2" xfId="12934"/>
    <cellStyle name="쉼표 [0] 4 5 4 5" xfId="12941"/>
    <cellStyle name="쉼표 [0] 4 5 4 6" xfId="28828"/>
    <cellStyle name="쉼표 [0] 4 5 4 7" xfId="20180"/>
    <cellStyle name="쉼표 [0] 4 5 4 8" xfId="29718"/>
    <cellStyle name="쉼표 [0] 4 5 5" xfId="1763"/>
    <cellStyle name="쉼표 [0] 4 5 5 2" xfId="1764"/>
    <cellStyle name="쉼표 [0] 4 5 5 2 2" xfId="1765"/>
    <cellStyle name="쉼표 [0] 4 5 5 2 2 2" xfId="20191"/>
    <cellStyle name="쉼표 [0] 4 5 5 2 2 2 2" xfId="12930"/>
    <cellStyle name="쉼표 [0] 4 5 5 2 2 3" xfId="12931"/>
    <cellStyle name="쉼표 [0] 4 5 5 2 2 4" xfId="28824"/>
    <cellStyle name="쉼표 [0] 4 5 5 2 2 5" xfId="20190"/>
    <cellStyle name="쉼표 [0] 4 5 5 2 3" xfId="20192"/>
    <cellStyle name="쉼표 [0] 4 5 5 2 3 2" xfId="12929"/>
    <cellStyle name="쉼표 [0] 4 5 5 2 4" xfId="12932"/>
    <cellStyle name="쉼표 [0] 4 5 5 2 5" xfId="28825"/>
    <cellStyle name="쉼표 [0] 4 5 5 2 6" xfId="20189"/>
    <cellStyle name="쉼표 [0] 4 5 5 3" xfId="1766"/>
    <cellStyle name="쉼표 [0] 4 5 5 3 2" xfId="20194"/>
    <cellStyle name="쉼표 [0] 4 5 5 3 2 2" xfId="12927"/>
    <cellStyle name="쉼표 [0] 4 5 5 3 3" xfId="12928"/>
    <cellStyle name="쉼표 [0] 4 5 5 3 4" xfId="28823"/>
    <cellStyle name="쉼표 [0] 4 5 5 3 5" xfId="20193"/>
    <cellStyle name="쉼표 [0] 4 5 5 4" xfId="20195"/>
    <cellStyle name="쉼표 [0] 4 5 5 4 2" xfId="12926"/>
    <cellStyle name="쉼표 [0] 4 5 5 5" xfId="12933"/>
    <cellStyle name="쉼표 [0] 4 5 5 6" xfId="28826"/>
    <cellStyle name="쉼표 [0] 4 5 5 7" xfId="20188"/>
    <cellStyle name="쉼표 [0] 4 5 5 8" xfId="29839"/>
    <cellStyle name="쉼표 [0] 4 5 6" xfId="1767"/>
    <cellStyle name="쉼표 [0] 4 5 6 2" xfId="1768"/>
    <cellStyle name="쉼표 [0] 4 5 6 2 2" xfId="20198"/>
    <cellStyle name="쉼표 [0] 4 5 6 2 2 2" xfId="12923"/>
    <cellStyle name="쉼표 [0] 4 5 6 2 3" xfId="12924"/>
    <cellStyle name="쉼표 [0] 4 5 6 2 4" xfId="28821"/>
    <cellStyle name="쉼표 [0] 4 5 6 2 5" xfId="20197"/>
    <cellStyle name="쉼표 [0] 4 5 6 3" xfId="20199"/>
    <cellStyle name="쉼표 [0] 4 5 6 3 2" xfId="12922"/>
    <cellStyle name="쉼표 [0] 4 5 6 4" xfId="12925"/>
    <cellStyle name="쉼표 [0] 4 5 6 5" xfId="28822"/>
    <cellStyle name="쉼표 [0] 4 5 6 6" xfId="20196"/>
    <cellStyle name="쉼표 [0] 4 5 7" xfId="1769"/>
    <cellStyle name="쉼표 [0] 4 5 7 2" xfId="20201"/>
    <cellStyle name="쉼표 [0] 4 5 7 2 2" xfId="12920"/>
    <cellStyle name="쉼표 [0] 4 5 7 3" xfId="12921"/>
    <cellStyle name="쉼표 [0] 4 5 7 4" xfId="28820"/>
    <cellStyle name="쉼표 [0] 4 5 7 5" xfId="20200"/>
    <cellStyle name="쉼표 [0] 4 5 8" xfId="1770"/>
    <cellStyle name="쉼표 [0] 4 5 8 2" xfId="1771"/>
    <cellStyle name="쉼표 [0] 4 5 8 2 2" xfId="20204"/>
    <cellStyle name="쉼표 [0] 4 5 8 2 2 2" xfId="12917"/>
    <cellStyle name="쉼표 [0] 4 5 8 2 3" xfId="12918"/>
    <cellStyle name="쉼표 [0] 4 5 8 2 4" xfId="20203"/>
    <cellStyle name="쉼표 [0] 4 5 8 3" xfId="20205"/>
    <cellStyle name="쉼표 [0] 4 5 8 3 2" xfId="12916"/>
    <cellStyle name="쉼표 [0] 4 5 8 4" xfId="12919"/>
    <cellStyle name="쉼표 [0] 4 5 8 5" xfId="20202"/>
    <cellStyle name="쉼표 [0] 4 5 9" xfId="20206"/>
    <cellStyle name="쉼표 [0] 4 5 9 2" xfId="20207"/>
    <cellStyle name="쉼표 [0] 4 5 9 2 2" xfId="12914"/>
    <cellStyle name="쉼표 [0] 4 5 9 3" xfId="12915"/>
    <cellStyle name="쉼표 [0] 4 6" xfId="1772"/>
    <cellStyle name="쉼표 [0] 4 6 10" xfId="20209"/>
    <cellStyle name="쉼표 [0] 4 6 10 2" xfId="12912"/>
    <cellStyle name="쉼표 [0] 4 6 11" xfId="12913"/>
    <cellStyle name="쉼표 [0] 4 6 12" xfId="28819"/>
    <cellStyle name="쉼표 [0] 4 6 13" xfId="20208"/>
    <cellStyle name="쉼표 [0] 4 6 14" xfId="30495"/>
    <cellStyle name="쉼표 [0] 4 6 15" xfId="29558"/>
    <cellStyle name="쉼표 [0] 4 6 2" xfId="1773"/>
    <cellStyle name="쉼표 [0] 4 6 2 10" xfId="28818"/>
    <cellStyle name="쉼표 [0] 4 6 2 11" xfId="20210"/>
    <cellStyle name="쉼표 [0] 4 6 2 12" xfId="30331"/>
    <cellStyle name="쉼표 [0] 4 6 2 2" xfId="1774"/>
    <cellStyle name="쉼표 [0] 4 6 2 2 2" xfId="1775"/>
    <cellStyle name="쉼표 [0] 4 6 2 2 2 2" xfId="20213"/>
    <cellStyle name="쉼표 [0] 4 6 2 2 2 2 2" xfId="12908"/>
    <cellStyle name="쉼표 [0] 4 6 2 2 2 3" xfId="12909"/>
    <cellStyle name="쉼표 [0] 4 6 2 2 2 4" xfId="28816"/>
    <cellStyle name="쉼표 [0] 4 6 2 2 2 5" xfId="20212"/>
    <cellStyle name="쉼표 [0] 4 6 2 2 3" xfId="1776"/>
    <cellStyle name="쉼표 [0] 4 6 2 2 3 2" xfId="1777"/>
    <cellStyle name="쉼표 [0] 4 6 2 2 3 2 2" xfId="20216"/>
    <cellStyle name="쉼표 [0] 4 6 2 2 3 2 2 2" xfId="12905"/>
    <cellStyle name="쉼표 [0] 4 6 2 2 3 2 3" xfId="12906"/>
    <cellStyle name="쉼표 [0] 4 6 2 2 3 2 4" xfId="20215"/>
    <cellStyle name="쉼표 [0] 4 6 2 2 3 3" xfId="20217"/>
    <cellStyle name="쉼표 [0] 4 6 2 2 3 3 2" xfId="12904"/>
    <cellStyle name="쉼표 [0] 4 6 2 2 3 4" xfId="12907"/>
    <cellStyle name="쉼표 [0] 4 6 2 2 3 5" xfId="20214"/>
    <cellStyle name="쉼표 [0] 4 6 2 2 4" xfId="20218"/>
    <cellStyle name="쉼표 [0] 4 6 2 2 4 2" xfId="12903"/>
    <cellStyle name="쉼표 [0] 4 6 2 2 5" xfId="12910"/>
    <cellStyle name="쉼표 [0] 4 6 2 2 6" xfId="28817"/>
    <cellStyle name="쉼표 [0] 4 6 2 2 7" xfId="20211"/>
    <cellStyle name="쉼표 [0] 4 6 2 3" xfId="1778"/>
    <cellStyle name="쉼표 [0] 4 6 2 3 2" xfId="1779"/>
    <cellStyle name="쉼표 [0] 4 6 2 3 2 2" xfId="1780"/>
    <cellStyle name="쉼표 [0] 4 6 2 3 2 2 2" xfId="20222"/>
    <cellStyle name="쉼표 [0] 4 6 2 3 2 2 2 2" xfId="12899"/>
    <cellStyle name="쉼표 [0] 4 6 2 3 2 2 3" xfId="12900"/>
    <cellStyle name="쉼표 [0] 4 6 2 3 2 2 4" xfId="28813"/>
    <cellStyle name="쉼표 [0] 4 6 2 3 2 2 5" xfId="20221"/>
    <cellStyle name="쉼표 [0] 4 6 2 3 2 3" xfId="20223"/>
    <cellStyle name="쉼표 [0] 4 6 2 3 2 3 2" xfId="12898"/>
    <cellStyle name="쉼표 [0] 4 6 2 3 2 4" xfId="12901"/>
    <cellStyle name="쉼표 [0] 4 6 2 3 2 5" xfId="28814"/>
    <cellStyle name="쉼표 [0] 4 6 2 3 2 6" xfId="20220"/>
    <cellStyle name="쉼표 [0] 4 6 2 3 3" xfId="1781"/>
    <cellStyle name="쉼표 [0] 4 6 2 3 3 2" xfId="20225"/>
    <cellStyle name="쉼표 [0] 4 6 2 3 3 2 2" xfId="12896"/>
    <cellStyle name="쉼표 [0] 4 6 2 3 3 3" xfId="12897"/>
    <cellStyle name="쉼표 [0] 4 6 2 3 3 4" xfId="28812"/>
    <cellStyle name="쉼표 [0] 4 6 2 3 3 5" xfId="20224"/>
    <cellStyle name="쉼표 [0] 4 6 2 3 4" xfId="20226"/>
    <cellStyle name="쉼표 [0] 4 6 2 3 4 2" xfId="12895"/>
    <cellStyle name="쉼표 [0] 4 6 2 3 5" xfId="12902"/>
    <cellStyle name="쉼표 [0] 4 6 2 3 6" xfId="28815"/>
    <cellStyle name="쉼표 [0] 4 6 2 3 7" xfId="20219"/>
    <cellStyle name="쉼표 [0] 4 6 2 4" xfId="1782"/>
    <cellStyle name="쉼표 [0] 4 6 2 4 2" xfId="1783"/>
    <cellStyle name="쉼표 [0] 4 6 2 4 2 2" xfId="20229"/>
    <cellStyle name="쉼표 [0] 4 6 2 4 2 2 2" xfId="12892"/>
    <cellStyle name="쉼표 [0] 4 6 2 4 2 3" xfId="12893"/>
    <cellStyle name="쉼표 [0] 4 6 2 4 2 4" xfId="28810"/>
    <cellStyle name="쉼표 [0] 4 6 2 4 2 5" xfId="20228"/>
    <cellStyle name="쉼표 [0] 4 6 2 4 3" xfId="20230"/>
    <cellStyle name="쉼표 [0] 4 6 2 4 3 2" xfId="12891"/>
    <cellStyle name="쉼표 [0] 4 6 2 4 4" xfId="12894"/>
    <cellStyle name="쉼표 [0] 4 6 2 4 5" xfId="28811"/>
    <cellStyle name="쉼표 [0] 4 6 2 4 6" xfId="20227"/>
    <cellStyle name="쉼표 [0] 4 6 2 5" xfId="1784"/>
    <cellStyle name="쉼표 [0] 4 6 2 5 2" xfId="20232"/>
    <cellStyle name="쉼표 [0] 4 6 2 5 2 2" xfId="12889"/>
    <cellStyle name="쉼표 [0] 4 6 2 5 3" xfId="12890"/>
    <cellStyle name="쉼표 [0] 4 6 2 5 4" xfId="28809"/>
    <cellStyle name="쉼표 [0] 4 6 2 5 5" xfId="20231"/>
    <cellStyle name="쉼표 [0] 4 6 2 6" xfId="1785"/>
    <cellStyle name="쉼표 [0] 4 6 2 6 2" xfId="1786"/>
    <cellStyle name="쉼표 [0] 4 6 2 6 2 2" xfId="20235"/>
    <cellStyle name="쉼표 [0] 4 6 2 6 2 2 2" xfId="12886"/>
    <cellStyle name="쉼표 [0] 4 6 2 6 2 3" xfId="12887"/>
    <cellStyle name="쉼표 [0] 4 6 2 6 2 4" xfId="20234"/>
    <cellStyle name="쉼표 [0] 4 6 2 6 3" xfId="20236"/>
    <cellStyle name="쉼표 [0] 4 6 2 6 3 2" xfId="12885"/>
    <cellStyle name="쉼표 [0] 4 6 2 6 4" xfId="12888"/>
    <cellStyle name="쉼표 [0] 4 6 2 6 5" xfId="20233"/>
    <cellStyle name="쉼표 [0] 4 6 2 7" xfId="20237"/>
    <cellStyle name="쉼표 [0] 4 6 2 7 2" xfId="20238"/>
    <cellStyle name="쉼표 [0] 4 6 2 7 2 2" xfId="12883"/>
    <cellStyle name="쉼표 [0] 4 6 2 7 3" xfId="12884"/>
    <cellStyle name="쉼표 [0] 4 6 2 8" xfId="20239"/>
    <cellStyle name="쉼표 [0] 4 6 2 8 2" xfId="12882"/>
    <cellStyle name="쉼표 [0] 4 6 2 9" xfId="12911"/>
    <cellStyle name="쉼표 [0] 4 6 3" xfId="1787"/>
    <cellStyle name="쉼표 [0] 4 6 3 2" xfId="1788"/>
    <cellStyle name="쉼표 [0] 4 6 3 2 2" xfId="20242"/>
    <cellStyle name="쉼표 [0] 4 6 3 2 2 2" xfId="12879"/>
    <cellStyle name="쉼표 [0] 4 6 3 2 3" xfId="12880"/>
    <cellStyle name="쉼표 [0] 4 6 3 2 4" xfId="28807"/>
    <cellStyle name="쉼표 [0] 4 6 3 2 5" xfId="20241"/>
    <cellStyle name="쉼표 [0] 4 6 3 3" xfId="1789"/>
    <cellStyle name="쉼표 [0] 4 6 3 3 2" xfId="1790"/>
    <cellStyle name="쉼표 [0] 4 6 3 3 2 2" xfId="20245"/>
    <cellStyle name="쉼표 [0] 4 6 3 3 2 2 2" xfId="12876"/>
    <cellStyle name="쉼표 [0] 4 6 3 3 2 3" xfId="12877"/>
    <cellStyle name="쉼표 [0] 4 6 3 3 2 4" xfId="20244"/>
    <cellStyle name="쉼표 [0] 4 6 3 3 3" xfId="20246"/>
    <cellStyle name="쉼표 [0] 4 6 3 3 3 2" xfId="12875"/>
    <cellStyle name="쉼표 [0] 4 6 3 3 4" xfId="12878"/>
    <cellStyle name="쉼표 [0] 4 6 3 3 5" xfId="20243"/>
    <cellStyle name="쉼표 [0] 4 6 3 4" xfId="20247"/>
    <cellStyle name="쉼표 [0] 4 6 3 4 2" xfId="20248"/>
    <cellStyle name="쉼표 [0] 4 6 3 4 2 2" xfId="12873"/>
    <cellStyle name="쉼표 [0] 4 6 3 4 3" xfId="12874"/>
    <cellStyle name="쉼표 [0] 4 6 3 5" xfId="20249"/>
    <cellStyle name="쉼표 [0] 4 6 3 5 2" xfId="12872"/>
    <cellStyle name="쉼표 [0] 4 6 3 6" xfId="12881"/>
    <cellStyle name="쉼표 [0] 4 6 3 7" xfId="28808"/>
    <cellStyle name="쉼표 [0] 4 6 3 8" xfId="20240"/>
    <cellStyle name="쉼표 [0] 4 6 4" xfId="1791"/>
    <cellStyle name="쉼표 [0] 4 6 4 2" xfId="1792"/>
    <cellStyle name="쉼표 [0] 4 6 4 2 2" xfId="1793"/>
    <cellStyle name="쉼표 [0] 4 6 4 2 2 2" xfId="20253"/>
    <cellStyle name="쉼표 [0] 4 6 4 2 2 2 2" xfId="12868"/>
    <cellStyle name="쉼표 [0] 4 6 4 2 2 3" xfId="12869"/>
    <cellStyle name="쉼표 [0] 4 6 4 2 2 4" xfId="28804"/>
    <cellStyle name="쉼표 [0] 4 6 4 2 2 5" xfId="20252"/>
    <cellStyle name="쉼표 [0] 4 6 4 2 3" xfId="20254"/>
    <cellStyle name="쉼표 [0] 4 6 4 2 3 2" xfId="12867"/>
    <cellStyle name="쉼표 [0] 4 6 4 2 4" xfId="12870"/>
    <cellStyle name="쉼표 [0] 4 6 4 2 5" xfId="28805"/>
    <cellStyle name="쉼표 [0] 4 6 4 2 6" xfId="20251"/>
    <cellStyle name="쉼표 [0] 4 6 4 3" xfId="1794"/>
    <cellStyle name="쉼표 [0] 4 6 4 3 2" xfId="20256"/>
    <cellStyle name="쉼표 [0] 4 6 4 3 2 2" xfId="12865"/>
    <cellStyle name="쉼표 [0] 4 6 4 3 3" xfId="12866"/>
    <cellStyle name="쉼표 [0] 4 6 4 3 4" xfId="28803"/>
    <cellStyle name="쉼표 [0] 4 6 4 3 5" xfId="20255"/>
    <cellStyle name="쉼표 [0] 4 6 4 4" xfId="1795"/>
    <cellStyle name="쉼표 [0] 4 6 4 4 2" xfId="1796"/>
    <cellStyle name="쉼표 [0] 4 6 4 4 2 2" xfId="20259"/>
    <cellStyle name="쉼표 [0] 4 6 4 4 2 2 2" xfId="12862"/>
    <cellStyle name="쉼표 [0] 4 6 4 4 2 3" xfId="12863"/>
    <cellStyle name="쉼표 [0] 4 6 4 4 2 4" xfId="20258"/>
    <cellStyle name="쉼표 [0] 4 6 4 4 3" xfId="20260"/>
    <cellStyle name="쉼표 [0] 4 6 4 4 3 2" xfId="12861"/>
    <cellStyle name="쉼표 [0] 4 6 4 4 4" xfId="12864"/>
    <cellStyle name="쉼표 [0] 4 6 4 4 5" xfId="20257"/>
    <cellStyle name="쉼표 [0] 4 6 4 5" xfId="20261"/>
    <cellStyle name="쉼표 [0] 4 6 4 5 2" xfId="20262"/>
    <cellStyle name="쉼표 [0] 4 6 4 5 2 2" xfId="12859"/>
    <cellStyle name="쉼표 [0] 4 6 4 5 3" xfId="12860"/>
    <cellStyle name="쉼표 [0] 4 6 4 6" xfId="20263"/>
    <cellStyle name="쉼표 [0] 4 6 4 6 2" xfId="12858"/>
    <cellStyle name="쉼표 [0] 4 6 4 7" xfId="12871"/>
    <cellStyle name="쉼표 [0] 4 6 4 8" xfId="28806"/>
    <cellStyle name="쉼표 [0] 4 6 4 9" xfId="20250"/>
    <cellStyle name="쉼표 [0] 4 6 5" xfId="1797"/>
    <cellStyle name="쉼표 [0] 4 6 5 2" xfId="1798"/>
    <cellStyle name="쉼표 [0] 4 6 5 2 2" xfId="20266"/>
    <cellStyle name="쉼표 [0] 4 6 5 2 2 2" xfId="12855"/>
    <cellStyle name="쉼표 [0] 4 6 5 2 3" xfId="12856"/>
    <cellStyle name="쉼표 [0] 4 6 5 2 4" xfId="28801"/>
    <cellStyle name="쉼표 [0] 4 6 5 2 5" xfId="20265"/>
    <cellStyle name="쉼표 [0] 4 6 5 3" xfId="20267"/>
    <cellStyle name="쉼표 [0] 4 6 5 3 2" xfId="20268"/>
    <cellStyle name="쉼표 [0] 4 6 5 3 2 2" xfId="12853"/>
    <cellStyle name="쉼표 [0] 4 6 5 3 3" xfId="12854"/>
    <cellStyle name="쉼표 [0] 4 6 5 4" xfId="20269"/>
    <cellStyle name="쉼표 [0] 4 6 5 4 2" xfId="12852"/>
    <cellStyle name="쉼표 [0] 4 6 5 5" xfId="12857"/>
    <cellStyle name="쉼표 [0] 4 6 5 6" xfId="28802"/>
    <cellStyle name="쉼표 [0] 4 6 5 7" xfId="20264"/>
    <cellStyle name="쉼표 [0] 4 6 6" xfId="1799"/>
    <cellStyle name="쉼표 [0] 4 6 6 2" xfId="20271"/>
    <cellStyle name="쉼표 [0] 4 6 6 2 2" xfId="20272"/>
    <cellStyle name="쉼표 [0] 4 6 6 2 2 2" xfId="12849"/>
    <cellStyle name="쉼표 [0] 4 6 6 2 3" xfId="12850"/>
    <cellStyle name="쉼표 [0] 4 6 6 3" xfId="20273"/>
    <cellStyle name="쉼표 [0] 4 6 6 3 2" xfId="12848"/>
    <cellStyle name="쉼표 [0] 4 6 6 4" xfId="12851"/>
    <cellStyle name="쉼표 [0] 4 6 6 5" xfId="28800"/>
    <cellStyle name="쉼표 [0] 4 6 6 6" xfId="20270"/>
    <cellStyle name="쉼표 [0] 4 6 7" xfId="1800"/>
    <cellStyle name="쉼표 [0] 4 6 7 2" xfId="1801"/>
    <cellStyle name="쉼표 [0] 4 6 7 2 2" xfId="20276"/>
    <cellStyle name="쉼표 [0] 4 6 7 2 2 2" xfId="12845"/>
    <cellStyle name="쉼표 [0] 4 6 7 2 3" xfId="12846"/>
    <cellStyle name="쉼표 [0] 4 6 7 2 4" xfId="20275"/>
    <cellStyle name="쉼표 [0] 4 6 7 3" xfId="20277"/>
    <cellStyle name="쉼표 [0] 4 6 7 3 2" xfId="20278"/>
    <cellStyle name="쉼표 [0] 4 6 7 3 2 2" xfId="12843"/>
    <cellStyle name="쉼표 [0] 4 6 7 3 3" xfId="12844"/>
    <cellStyle name="쉼표 [0] 4 6 7 4" xfId="20279"/>
    <cellStyle name="쉼표 [0] 4 6 7 4 2" xfId="12842"/>
    <cellStyle name="쉼표 [0] 4 6 7 5" xfId="12847"/>
    <cellStyle name="쉼표 [0] 4 6 7 6" xfId="20274"/>
    <cellStyle name="쉼표 [0] 4 6 8" xfId="20280"/>
    <cellStyle name="쉼표 [0] 4 6 8 2" xfId="20281"/>
    <cellStyle name="쉼표 [0] 4 6 8 2 2" xfId="12840"/>
    <cellStyle name="쉼표 [0] 4 6 8 3" xfId="12841"/>
    <cellStyle name="쉼표 [0] 4 6 9" xfId="20282"/>
    <cellStyle name="쉼표 [0] 4 6 9 2" xfId="20283"/>
    <cellStyle name="쉼표 [0] 4 6 9 2 2" xfId="12838"/>
    <cellStyle name="쉼표 [0] 4 6 9 3" xfId="12839"/>
    <cellStyle name="쉼표 [0] 4 7" xfId="1802"/>
    <cellStyle name="쉼표 [0] 4 7 10" xfId="20285"/>
    <cellStyle name="쉼표 [0] 4 7 10 2" xfId="12836"/>
    <cellStyle name="쉼표 [0] 4 7 11" xfId="12837"/>
    <cellStyle name="쉼표 [0] 4 7 12" xfId="28799"/>
    <cellStyle name="쉼표 [0] 4 7 13" xfId="20284"/>
    <cellStyle name="쉼표 [0] 4 7 14" xfId="30496"/>
    <cellStyle name="쉼표 [0] 4 7 2" xfId="1803"/>
    <cellStyle name="쉼표 [0] 4 7 2 2" xfId="1804"/>
    <cellStyle name="쉼표 [0] 4 7 2 2 2" xfId="1805"/>
    <cellStyle name="쉼표 [0] 4 7 2 2 2 2" xfId="20289"/>
    <cellStyle name="쉼표 [0] 4 7 2 2 2 2 2" xfId="12832"/>
    <cellStyle name="쉼표 [0] 4 7 2 2 2 3" xfId="12833"/>
    <cellStyle name="쉼표 [0] 4 7 2 2 2 4" xfId="28796"/>
    <cellStyle name="쉼표 [0] 4 7 2 2 2 5" xfId="20288"/>
    <cellStyle name="쉼표 [0] 4 7 2 2 3" xfId="20290"/>
    <cellStyle name="쉼표 [0] 4 7 2 2 3 2" xfId="12831"/>
    <cellStyle name="쉼표 [0] 4 7 2 2 4" xfId="12834"/>
    <cellStyle name="쉼표 [0] 4 7 2 2 5" xfId="28797"/>
    <cellStyle name="쉼표 [0] 4 7 2 2 6" xfId="20287"/>
    <cellStyle name="쉼표 [0] 4 7 2 3" xfId="1806"/>
    <cellStyle name="쉼표 [0] 4 7 2 3 2" xfId="20292"/>
    <cellStyle name="쉼표 [0] 4 7 2 3 2 2" xfId="12829"/>
    <cellStyle name="쉼표 [0] 4 7 2 3 3" xfId="12830"/>
    <cellStyle name="쉼표 [0] 4 7 2 3 4" xfId="28795"/>
    <cellStyle name="쉼표 [0] 4 7 2 3 5" xfId="20291"/>
    <cellStyle name="쉼표 [0] 4 7 2 4" xfId="1807"/>
    <cellStyle name="쉼표 [0] 4 7 2 4 2" xfId="1808"/>
    <cellStyle name="쉼표 [0] 4 7 2 4 2 2" xfId="20295"/>
    <cellStyle name="쉼표 [0] 4 7 2 4 2 2 2" xfId="12826"/>
    <cellStyle name="쉼표 [0] 4 7 2 4 2 3" xfId="12827"/>
    <cellStyle name="쉼표 [0] 4 7 2 4 2 4" xfId="20294"/>
    <cellStyle name="쉼표 [0] 4 7 2 4 3" xfId="20296"/>
    <cellStyle name="쉼표 [0] 4 7 2 4 3 2" xfId="12825"/>
    <cellStyle name="쉼표 [0] 4 7 2 4 4" xfId="12828"/>
    <cellStyle name="쉼표 [0] 4 7 2 4 5" xfId="20293"/>
    <cellStyle name="쉼표 [0] 4 7 2 5" xfId="20297"/>
    <cellStyle name="쉼표 [0] 4 7 2 5 2" xfId="20298"/>
    <cellStyle name="쉼표 [0] 4 7 2 5 2 2" xfId="12823"/>
    <cellStyle name="쉼표 [0] 4 7 2 5 3" xfId="12824"/>
    <cellStyle name="쉼표 [0] 4 7 2 6" xfId="20299"/>
    <cellStyle name="쉼표 [0] 4 7 2 6 2" xfId="12822"/>
    <cellStyle name="쉼표 [0] 4 7 2 7" xfId="12835"/>
    <cellStyle name="쉼표 [0] 4 7 2 8" xfId="28798"/>
    <cellStyle name="쉼표 [0] 4 7 2 9" xfId="20286"/>
    <cellStyle name="쉼표 [0] 4 7 3" xfId="1809"/>
    <cellStyle name="쉼표 [0] 4 7 3 2" xfId="1810"/>
    <cellStyle name="쉼표 [0] 4 7 3 2 2" xfId="1811"/>
    <cellStyle name="쉼표 [0] 4 7 3 2 2 2" xfId="20303"/>
    <cellStyle name="쉼표 [0] 4 7 3 2 2 2 2" xfId="12818"/>
    <cellStyle name="쉼표 [0] 4 7 3 2 2 3" xfId="12819"/>
    <cellStyle name="쉼표 [0] 4 7 3 2 2 4" xfId="28792"/>
    <cellStyle name="쉼표 [0] 4 7 3 2 2 5" xfId="20302"/>
    <cellStyle name="쉼표 [0] 4 7 3 2 3" xfId="20304"/>
    <cellStyle name="쉼표 [0] 4 7 3 2 3 2" xfId="12817"/>
    <cellStyle name="쉼표 [0] 4 7 3 2 4" xfId="12820"/>
    <cellStyle name="쉼표 [0] 4 7 3 2 5" xfId="28793"/>
    <cellStyle name="쉼표 [0] 4 7 3 2 6" xfId="20301"/>
    <cellStyle name="쉼표 [0] 4 7 3 3" xfId="1812"/>
    <cellStyle name="쉼표 [0] 4 7 3 3 2" xfId="20306"/>
    <cellStyle name="쉼표 [0] 4 7 3 3 2 2" xfId="12815"/>
    <cellStyle name="쉼표 [0] 4 7 3 3 3" xfId="12816"/>
    <cellStyle name="쉼표 [0] 4 7 3 3 4" xfId="28791"/>
    <cellStyle name="쉼표 [0] 4 7 3 3 5" xfId="20305"/>
    <cellStyle name="쉼표 [0] 4 7 3 4" xfId="20307"/>
    <cellStyle name="쉼표 [0] 4 7 3 4 2" xfId="20308"/>
    <cellStyle name="쉼표 [0] 4 7 3 4 2 2" xfId="12813"/>
    <cellStyle name="쉼표 [0] 4 7 3 4 3" xfId="12814"/>
    <cellStyle name="쉼표 [0] 4 7 3 5" xfId="20309"/>
    <cellStyle name="쉼표 [0] 4 7 3 5 2" xfId="12812"/>
    <cellStyle name="쉼표 [0] 4 7 3 6" xfId="12821"/>
    <cellStyle name="쉼표 [0] 4 7 3 7" xfId="28794"/>
    <cellStyle name="쉼표 [0] 4 7 3 8" xfId="20300"/>
    <cellStyle name="쉼표 [0] 4 7 4" xfId="1813"/>
    <cellStyle name="쉼표 [0] 4 7 4 2" xfId="1814"/>
    <cellStyle name="쉼표 [0] 4 7 4 2 2" xfId="20312"/>
    <cellStyle name="쉼표 [0] 4 7 4 2 2 2" xfId="12809"/>
    <cellStyle name="쉼표 [0] 4 7 4 2 3" xfId="12810"/>
    <cellStyle name="쉼표 [0] 4 7 4 2 4" xfId="28789"/>
    <cellStyle name="쉼표 [0] 4 7 4 2 5" xfId="20311"/>
    <cellStyle name="쉼표 [0] 4 7 4 3" xfId="20313"/>
    <cellStyle name="쉼표 [0] 4 7 4 3 2" xfId="20314"/>
    <cellStyle name="쉼표 [0] 4 7 4 3 2 2" xfId="12807"/>
    <cellStyle name="쉼표 [0] 4 7 4 3 3" xfId="12808"/>
    <cellStyle name="쉼표 [0] 4 7 4 4" xfId="20315"/>
    <cellStyle name="쉼표 [0] 4 7 4 4 2" xfId="12806"/>
    <cellStyle name="쉼표 [0] 4 7 4 5" xfId="12811"/>
    <cellStyle name="쉼표 [0] 4 7 4 6" xfId="28790"/>
    <cellStyle name="쉼표 [0] 4 7 4 7" xfId="20310"/>
    <cellStyle name="쉼표 [0] 4 7 5" xfId="1815"/>
    <cellStyle name="쉼표 [0] 4 7 5 2" xfId="20317"/>
    <cellStyle name="쉼표 [0] 4 7 5 2 2" xfId="20318"/>
    <cellStyle name="쉼표 [0] 4 7 5 2 2 2" xfId="12803"/>
    <cellStyle name="쉼표 [0] 4 7 5 2 3" xfId="12804"/>
    <cellStyle name="쉼표 [0] 4 7 5 3" xfId="20319"/>
    <cellStyle name="쉼표 [0] 4 7 5 3 2" xfId="12802"/>
    <cellStyle name="쉼표 [0] 4 7 5 4" xfId="12805"/>
    <cellStyle name="쉼표 [0] 4 7 5 5" xfId="28788"/>
    <cellStyle name="쉼표 [0] 4 7 5 6" xfId="20316"/>
    <cellStyle name="쉼표 [0] 4 7 6" xfId="1816"/>
    <cellStyle name="쉼표 [0] 4 7 6 2" xfId="1817"/>
    <cellStyle name="쉼표 [0] 4 7 6 2 2" xfId="20322"/>
    <cellStyle name="쉼표 [0] 4 7 6 2 2 2" xfId="12799"/>
    <cellStyle name="쉼표 [0] 4 7 6 2 3" xfId="12800"/>
    <cellStyle name="쉼표 [0] 4 7 6 2 4" xfId="20321"/>
    <cellStyle name="쉼표 [0] 4 7 6 3" xfId="20323"/>
    <cellStyle name="쉼표 [0] 4 7 6 3 2" xfId="20324"/>
    <cellStyle name="쉼표 [0] 4 7 6 3 2 2" xfId="12797"/>
    <cellStyle name="쉼표 [0] 4 7 6 3 3" xfId="12798"/>
    <cellStyle name="쉼표 [0] 4 7 6 4" xfId="20325"/>
    <cellStyle name="쉼표 [0] 4 7 6 4 2" xfId="12796"/>
    <cellStyle name="쉼표 [0] 4 7 6 5" xfId="12801"/>
    <cellStyle name="쉼표 [0] 4 7 6 6" xfId="20320"/>
    <cellStyle name="쉼표 [0] 4 7 7" xfId="20326"/>
    <cellStyle name="쉼표 [0] 4 7 7 2" xfId="20327"/>
    <cellStyle name="쉼표 [0] 4 7 7 2 2" xfId="12794"/>
    <cellStyle name="쉼표 [0] 4 7 7 3" xfId="12795"/>
    <cellStyle name="쉼표 [0] 4 7 8" xfId="20328"/>
    <cellStyle name="쉼표 [0] 4 7 8 2" xfId="20329"/>
    <cellStyle name="쉼표 [0] 4 7 8 2 2" xfId="12792"/>
    <cellStyle name="쉼표 [0] 4 7 8 3" xfId="12793"/>
    <cellStyle name="쉼표 [0] 4 7 9" xfId="20330"/>
    <cellStyle name="쉼표 [0] 4 7 9 2" xfId="20331"/>
    <cellStyle name="쉼표 [0] 4 7 9 2 2" xfId="12790"/>
    <cellStyle name="쉼표 [0] 4 7 9 3" xfId="12791"/>
    <cellStyle name="쉼표 [0] 4 8" xfId="1818"/>
    <cellStyle name="쉼표 [0] 4 8 10" xfId="12789"/>
    <cellStyle name="쉼표 [0] 4 8 11" xfId="28787"/>
    <cellStyle name="쉼표 [0] 4 8 12" xfId="20332"/>
    <cellStyle name="쉼표 [0] 4 8 13" xfId="30497"/>
    <cellStyle name="쉼표 [0] 4 8 2" xfId="1819"/>
    <cellStyle name="쉼표 [0] 4 8 2 2" xfId="1820"/>
    <cellStyle name="쉼표 [0] 4 8 2 2 2" xfId="1821"/>
    <cellStyle name="쉼표 [0] 4 8 2 2 2 2" xfId="20336"/>
    <cellStyle name="쉼표 [0] 4 8 2 2 2 2 2" xfId="12785"/>
    <cellStyle name="쉼표 [0] 4 8 2 2 2 3" xfId="12786"/>
    <cellStyle name="쉼표 [0] 4 8 2 2 2 4" xfId="20335"/>
    <cellStyle name="쉼표 [0] 4 8 2 2 3" xfId="20337"/>
    <cellStyle name="쉼표 [0] 4 8 2 2 3 2" xfId="12784"/>
    <cellStyle name="쉼표 [0] 4 8 2 2 4" xfId="12787"/>
    <cellStyle name="쉼표 [0] 4 8 2 2 5" xfId="20334"/>
    <cellStyle name="쉼표 [0] 4 8 2 3" xfId="20338"/>
    <cellStyle name="쉼표 [0] 4 8 2 3 2" xfId="20339"/>
    <cellStyle name="쉼표 [0] 4 8 2 3 2 2" xfId="12782"/>
    <cellStyle name="쉼표 [0] 4 8 2 3 3" xfId="12783"/>
    <cellStyle name="쉼표 [0] 4 8 2 4" xfId="20340"/>
    <cellStyle name="쉼표 [0] 4 8 2 4 2" xfId="12781"/>
    <cellStyle name="쉼표 [0] 4 8 2 5" xfId="12788"/>
    <cellStyle name="쉼표 [0] 4 8 2 6" xfId="28786"/>
    <cellStyle name="쉼표 [0] 4 8 2 7" xfId="20333"/>
    <cellStyle name="쉼표 [0] 4 8 3" xfId="1822"/>
    <cellStyle name="쉼표 [0] 4 8 3 2" xfId="20342"/>
    <cellStyle name="쉼표 [0] 4 8 3 2 2" xfId="20343"/>
    <cellStyle name="쉼표 [0] 4 8 3 2 2 2" xfId="12778"/>
    <cellStyle name="쉼표 [0] 4 8 3 2 3" xfId="12779"/>
    <cellStyle name="쉼표 [0] 4 8 3 3" xfId="20344"/>
    <cellStyle name="쉼표 [0] 4 8 3 3 2" xfId="12777"/>
    <cellStyle name="쉼표 [0] 4 8 3 4" xfId="12780"/>
    <cellStyle name="쉼표 [0] 4 8 3 5" xfId="28785"/>
    <cellStyle name="쉼표 [0] 4 8 3 6" xfId="20341"/>
    <cellStyle name="쉼표 [0] 4 8 4" xfId="1823"/>
    <cellStyle name="쉼표 [0] 4 8 4 2" xfId="1824"/>
    <cellStyle name="쉼표 [0] 4 8 4 2 2" xfId="20347"/>
    <cellStyle name="쉼표 [0] 4 8 4 2 2 2" xfId="12774"/>
    <cellStyle name="쉼표 [0] 4 8 4 2 3" xfId="12775"/>
    <cellStyle name="쉼표 [0] 4 8 4 2 4" xfId="20346"/>
    <cellStyle name="쉼표 [0] 4 8 4 3" xfId="20348"/>
    <cellStyle name="쉼표 [0] 4 8 4 3 2" xfId="20349"/>
    <cellStyle name="쉼표 [0] 4 8 4 3 2 2" xfId="12772"/>
    <cellStyle name="쉼표 [0] 4 8 4 3 3" xfId="12773"/>
    <cellStyle name="쉼표 [0] 4 8 4 4" xfId="20350"/>
    <cellStyle name="쉼표 [0] 4 8 4 4 2" xfId="12771"/>
    <cellStyle name="쉼표 [0] 4 8 4 5" xfId="12776"/>
    <cellStyle name="쉼표 [0] 4 8 4 6" xfId="20345"/>
    <cellStyle name="쉼표 [0] 4 8 5" xfId="20351"/>
    <cellStyle name="쉼표 [0] 4 8 5 2" xfId="20352"/>
    <cellStyle name="쉼표 [0] 4 8 5 2 2" xfId="12769"/>
    <cellStyle name="쉼표 [0] 4 8 5 3" xfId="12770"/>
    <cellStyle name="쉼표 [0] 4 8 6" xfId="20353"/>
    <cellStyle name="쉼표 [0] 4 8 6 2" xfId="20354"/>
    <cellStyle name="쉼표 [0] 4 8 6 2 2" xfId="12767"/>
    <cellStyle name="쉼표 [0] 4 8 6 3" xfId="12768"/>
    <cellStyle name="쉼표 [0] 4 8 7" xfId="20355"/>
    <cellStyle name="쉼표 [0] 4 8 7 2" xfId="20356"/>
    <cellStyle name="쉼표 [0] 4 8 7 2 2" xfId="12765"/>
    <cellStyle name="쉼표 [0] 4 8 7 3" xfId="12766"/>
    <cellStyle name="쉼표 [0] 4 8 8" xfId="20357"/>
    <cellStyle name="쉼표 [0] 4 8 8 2" xfId="20358"/>
    <cellStyle name="쉼표 [0] 4 8 8 2 2" xfId="12763"/>
    <cellStyle name="쉼표 [0] 4 8 8 3" xfId="12764"/>
    <cellStyle name="쉼표 [0] 4 8 9" xfId="20359"/>
    <cellStyle name="쉼표 [0] 4 8 9 2" xfId="12762"/>
    <cellStyle name="쉼표 [0] 4 9" xfId="1825"/>
    <cellStyle name="쉼표 [0] 4 9 10" xfId="12761"/>
    <cellStyle name="쉼표 [0] 4 9 11" xfId="28784"/>
    <cellStyle name="쉼표 [0] 4 9 12" xfId="20360"/>
    <cellStyle name="쉼표 [0] 4 9 2" xfId="1826"/>
    <cellStyle name="쉼표 [0] 4 9 2 2" xfId="1827"/>
    <cellStyle name="쉼표 [0] 4 9 2 2 2" xfId="20363"/>
    <cellStyle name="쉼표 [0] 4 9 2 2 2 2" xfId="12758"/>
    <cellStyle name="쉼표 [0] 4 9 2 2 3" xfId="12759"/>
    <cellStyle name="쉼표 [0] 4 9 2 2 4" xfId="28782"/>
    <cellStyle name="쉼표 [0] 4 9 2 2 5" xfId="20362"/>
    <cellStyle name="쉼표 [0] 4 9 2 3" xfId="20364"/>
    <cellStyle name="쉼표 [0] 4 9 2 3 2" xfId="20365"/>
    <cellStyle name="쉼표 [0] 4 9 2 3 2 2" xfId="12756"/>
    <cellStyle name="쉼표 [0] 4 9 2 3 3" xfId="12757"/>
    <cellStyle name="쉼표 [0] 4 9 2 4" xfId="20366"/>
    <cellStyle name="쉼표 [0] 4 9 2 4 2" xfId="12755"/>
    <cellStyle name="쉼표 [0] 4 9 2 5" xfId="12760"/>
    <cellStyle name="쉼표 [0] 4 9 2 6" xfId="28783"/>
    <cellStyle name="쉼표 [0] 4 9 2 7" xfId="20361"/>
    <cellStyle name="쉼표 [0] 4 9 3" xfId="1828"/>
    <cellStyle name="쉼표 [0] 4 9 3 2" xfId="1829"/>
    <cellStyle name="쉼표 [0] 4 9 3 2 2" xfId="20369"/>
    <cellStyle name="쉼표 [0] 4 9 3 2 2 2" xfId="12752"/>
    <cellStyle name="쉼표 [0] 4 9 3 2 3" xfId="12753"/>
    <cellStyle name="쉼표 [0] 4 9 3 2 4" xfId="28780"/>
    <cellStyle name="쉼표 [0] 4 9 3 2 5" xfId="20368"/>
    <cellStyle name="쉼표 [0] 4 9 3 3" xfId="20370"/>
    <cellStyle name="쉼표 [0] 4 9 3 3 2" xfId="20371"/>
    <cellStyle name="쉼표 [0] 4 9 3 3 2 2" xfId="12750"/>
    <cellStyle name="쉼표 [0] 4 9 3 3 3" xfId="12751"/>
    <cellStyle name="쉼표 [0] 4 9 3 4" xfId="20372"/>
    <cellStyle name="쉼표 [0] 4 9 3 4 2" xfId="12749"/>
    <cellStyle name="쉼표 [0] 4 9 3 5" xfId="12754"/>
    <cellStyle name="쉼표 [0] 4 9 3 6" xfId="28781"/>
    <cellStyle name="쉼표 [0] 4 9 3 7" xfId="20367"/>
    <cellStyle name="쉼표 [0] 4 9 4" xfId="1830"/>
    <cellStyle name="쉼표 [0] 4 9 4 2" xfId="1831"/>
    <cellStyle name="쉼표 [0] 4 9 4 2 2" xfId="20375"/>
    <cellStyle name="쉼표 [0] 4 9 4 2 2 2" xfId="12746"/>
    <cellStyle name="쉼표 [0] 4 9 4 2 3" xfId="12747"/>
    <cellStyle name="쉼표 [0] 4 9 4 2 4" xfId="20374"/>
    <cellStyle name="쉼표 [0] 4 9 4 3" xfId="20376"/>
    <cellStyle name="쉼표 [0] 4 9 4 3 2" xfId="20377"/>
    <cellStyle name="쉼표 [0] 4 9 4 3 2 2" xfId="12744"/>
    <cellStyle name="쉼표 [0] 4 9 4 3 3" xfId="12745"/>
    <cellStyle name="쉼표 [0] 4 9 4 4" xfId="20378"/>
    <cellStyle name="쉼표 [0] 4 9 4 4 2" xfId="12743"/>
    <cellStyle name="쉼표 [0] 4 9 4 5" xfId="12748"/>
    <cellStyle name="쉼표 [0] 4 9 4 6" xfId="20373"/>
    <cellStyle name="쉼표 [0] 4 9 5" xfId="20379"/>
    <cellStyle name="쉼표 [0] 4 9 5 2" xfId="20380"/>
    <cellStyle name="쉼표 [0] 4 9 5 2 2" xfId="12741"/>
    <cellStyle name="쉼표 [0] 4 9 5 3" xfId="12742"/>
    <cellStyle name="쉼표 [0] 4 9 6" xfId="20381"/>
    <cellStyle name="쉼표 [0] 4 9 6 2" xfId="20382"/>
    <cellStyle name="쉼표 [0] 4 9 6 2 2" xfId="12739"/>
    <cellStyle name="쉼표 [0] 4 9 6 3" xfId="12740"/>
    <cellStyle name="쉼표 [0] 4 9 7" xfId="20383"/>
    <cellStyle name="쉼표 [0] 4 9 7 2" xfId="20384"/>
    <cellStyle name="쉼표 [0] 4 9 7 2 2" xfId="12737"/>
    <cellStyle name="쉼표 [0] 4 9 7 3" xfId="12738"/>
    <cellStyle name="쉼표 [0] 4 9 8" xfId="20385"/>
    <cellStyle name="쉼표 [0] 4 9 8 2" xfId="20386"/>
    <cellStyle name="쉼표 [0] 4 9 8 2 2" xfId="12735"/>
    <cellStyle name="쉼표 [0] 4 9 8 3" xfId="12736"/>
    <cellStyle name="쉼표 [0] 4 9 9" xfId="20387"/>
    <cellStyle name="쉼표 [0] 4 9 9 2" xfId="12734"/>
    <cellStyle name="쉼표 [0] 40" xfId="20388"/>
    <cellStyle name="쉼표 [0] 40 2" xfId="20389"/>
    <cellStyle name="쉼표 [0] 40 2 2" xfId="12732"/>
    <cellStyle name="쉼표 [0] 40 3" xfId="12733"/>
    <cellStyle name="쉼표 [0] 41" xfId="30806"/>
    <cellStyle name="쉼표 [0] 42" xfId="20390"/>
    <cellStyle name="쉼표 [0] 42 2" xfId="20391"/>
    <cellStyle name="쉼표 [0] 42 2 2" xfId="12730"/>
    <cellStyle name="쉼표 [0] 42 3" xfId="12731"/>
    <cellStyle name="쉼표 [0] 43" xfId="20392"/>
    <cellStyle name="쉼표 [0] 43 2" xfId="20393"/>
    <cellStyle name="쉼표 [0] 43 2 2" xfId="12728"/>
    <cellStyle name="쉼표 [0] 43 3" xfId="12729"/>
    <cellStyle name="쉼표 [0] 44" xfId="20394"/>
    <cellStyle name="쉼표 [0] 44 2" xfId="20395"/>
    <cellStyle name="쉼표 [0] 44 2 2" xfId="12726"/>
    <cellStyle name="쉼표 [0] 44 3" xfId="12727"/>
    <cellStyle name="쉼표 [0] 45" xfId="32065"/>
    <cellStyle name="쉼표 [0] 46" xfId="32384"/>
    <cellStyle name="쉼표 [0] 47" xfId="20396"/>
    <cellStyle name="쉼표 [0] 47 2" xfId="20397"/>
    <cellStyle name="쉼표 [0] 47 2 2" xfId="12724"/>
    <cellStyle name="쉼표 [0] 47 3" xfId="12725"/>
    <cellStyle name="쉼표 [0] 48" xfId="20398"/>
    <cellStyle name="쉼표 [0] 48 2" xfId="20399"/>
    <cellStyle name="쉼표 [0] 48 2 2" xfId="12722"/>
    <cellStyle name="쉼표 [0] 48 3" xfId="12723"/>
    <cellStyle name="쉼표 [0] 49" xfId="20400"/>
    <cellStyle name="쉼표 [0] 49 2" xfId="20401"/>
    <cellStyle name="쉼표 [0] 49 2 2" xfId="12720"/>
    <cellStyle name="쉼표 [0] 49 3" xfId="12721"/>
    <cellStyle name="쉼표 [0] 5" xfId="1832"/>
    <cellStyle name="쉼표 [0] 5 10" xfId="1833"/>
    <cellStyle name="쉼표 [0] 5 10 2" xfId="1834"/>
    <cellStyle name="쉼표 [0] 5 10 2 2" xfId="20405"/>
    <cellStyle name="쉼표 [0] 5 10 2 2 2" xfId="12716"/>
    <cellStyle name="쉼표 [0] 5 10 2 3" xfId="12717"/>
    <cellStyle name="쉼표 [0] 5 10 2 4" xfId="28777"/>
    <cellStyle name="쉼표 [0] 5 10 2 5" xfId="20404"/>
    <cellStyle name="쉼표 [0] 5 10 3" xfId="1835"/>
    <cellStyle name="쉼표 [0] 5 10 3 2" xfId="1836"/>
    <cellStyle name="쉼표 [0] 5 10 3 2 2" xfId="20408"/>
    <cellStyle name="쉼표 [0] 5 10 3 2 2 2" xfId="12713"/>
    <cellStyle name="쉼표 [0] 5 10 3 2 3" xfId="12714"/>
    <cellStyle name="쉼표 [0] 5 10 3 2 4" xfId="20407"/>
    <cellStyle name="쉼표 [0] 5 10 3 3" xfId="20409"/>
    <cellStyle name="쉼표 [0] 5 10 3 3 2" xfId="12712"/>
    <cellStyle name="쉼표 [0] 5 10 3 4" xfId="12715"/>
    <cellStyle name="쉼표 [0] 5 10 3 5" xfId="20406"/>
    <cellStyle name="쉼표 [0] 5 10 4" xfId="20410"/>
    <cellStyle name="쉼표 [0] 5 10 4 2" xfId="12711"/>
    <cellStyle name="쉼표 [0] 5 10 5" xfId="12718"/>
    <cellStyle name="쉼표 [0] 5 10 6" xfId="28778"/>
    <cellStyle name="쉼표 [0] 5 10 7" xfId="20403"/>
    <cellStyle name="쉼표 [0] 5 11" xfId="1837"/>
    <cellStyle name="쉼표 [0] 5 11 2" xfId="1838"/>
    <cellStyle name="쉼표 [0] 5 11 2 2" xfId="20413"/>
    <cellStyle name="쉼표 [0] 5 11 2 2 2" xfId="12708"/>
    <cellStyle name="쉼표 [0] 5 11 2 3" xfId="12709"/>
    <cellStyle name="쉼표 [0] 5 11 2 4" xfId="28775"/>
    <cellStyle name="쉼표 [0] 5 11 2 5" xfId="20412"/>
    <cellStyle name="쉼표 [0] 5 11 3" xfId="20414"/>
    <cellStyle name="쉼표 [0] 5 11 3 2" xfId="12707"/>
    <cellStyle name="쉼표 [0] 5 11 4" xfId="12710"/>
    <cellStyle name="쉼표 [0] 5 11 5" xfId="28776"/>
    <cellStyle name="쉼표 [0] 5 11 6" xfId="20411"/>
    <cellStyle name="쉼표 [0] 5 12" xfId="1839"/>
    <cellStyle name="쉼표 [0] 5 12 2" xfId="20416"/>
    <cellStyle name="쉼표 [0] 5 12 2 2" xfId="12705"/>
    <cellStyle name="쉼표 [0] 5 12 3" xfId="12706"/>
    <cellStyle name="쉼표 [0] 5 12 4" xfId="28774"/>
    <cellStyle name="쉼표 [0] 5 12 5" xfId="20415"/>
    <cellStyle name="쉼표 [0] 5 13" xfId="1840"/>
    <cellStyle name="쉼표 [0] 5 13 2" xfId="1841"/>
    <cellStyle name="쉼표 [0] 5 13 2 2" xfId="20419"/>
    <cellStyle name="쉼표 [0] 5 13 2 2 2" xfId="12702"/>
    <cellStyle name="쉼표 [0] 5 13 2 3" xfId="12703"/>
    <cellStyle name="쉼표 [0] 5 13 2 4" xfId="20418"/>
    <cellStyle name="쉼표 [0] 5 13 3" xfId="20420"/>
    <cellStyle name="쉼표 [0] 5 13 3 2" xfId="12701"/>
    <cellStyle name="쉼표 [0] 5 13 4" xfId="12704"/>
    <cellStyle name="쉼표 [0] 5 13 5" xfId="20417"/>
    <cellStyle name="쉼표 [0] 5 14" xfId="20421"/>
    <cellStyle name="쉼표 [0] 5 14 2" xfId="20422"/>
    <cellStyle name="쉼표 [0] 5 14 2 2" xfId="20423"/>
    <cellStyle name="쉼표 [0] 5 14 2 2 2" xfId="12698"/>
    <cellStyle name="쉼표 [0] 5 14 2 3" xfId="12699"/>
    <cellStyle name="쉼표 [0] 5 14 3" xfId="20424"/>
    <cellStyle name="쉼표 [0] 5 14 3 2" xfId="12697"/>
    <cellStyle name="쉼표 [0] 5 14 4" xfId="12700"/>
    <cellStyle name="쉼표 [0] 5 15" xfId="20425"/>
    <cellStyle name="쉼표 [0] 5 15 2" xfId="20426"/>
    <cellStyle name="쉼표 [0] 5 15 2 2" xfId="12695"/>
    <cellStyle name="쉼표 [0] 5 15 3" xfId="12696"/>
    <cellStyle name="쉼표 [0] 5 16" xfId="20427"/>
    <cellStyle name="쉼표 [0] 5 16 2" xfId="20428"/>
    <cellStyle name="쉼표 [0] 5 16 2 2" xfId="12693"/>
    <cellStyle name="쉼표 [0] 5 16 3" xfId="12694"/>
    <cellStyle name="쉼표 [0] 5 17" xfId="20429"/>
    <cellStyle name="쉼표 [0] 5 17 2" xfId="20430"/>
    <cellStyle name="쉼표 [0] 5 17 2 2" xfId="12691"/>
    <cellStyle name="쉼표 [0] 5 17 3" xfId="12692"/>
    <cellStyle name="쉼표 [0] 5 18" xfId="20431"/>
    <cellStyle name="쉼표 [0] 5 18 2" xfId="20432"/>
    <cellStyle name="쉼표 [0] 5 18 2 2" xfId="12689"/>
    <cellStyle name="쉼표 [0] 5 18 3" xfId="12690"/>
    <cellStyle name="쉼표 [0] 5 19" xfId="20433"/>
    <cellStyle name="쉼표 [0] 5 19 2" xfId="20434"/>
    <cellStyle name="쉼표 [0] 5 19 2 2" xfId="12687"/>
    <cellStyle name="쉼표 [0] 5 19 3" xfId="12688"/>
    <cellStyle name="쉼표 [0] 5 2" xfId="1842"/>
    <cellStyle name="쉼표 [0] 5 2 10" xfId="20436"/>
    <cellStyle name="쉼표 [0] 5 2 10 2" xfId="20437"/>
    <cellStyle name="쉼표 [0] 5 2 10 2 2" xfId="12684"/>
    <cellStyle name="쉼표 [0] 5 2 10 3" xfId="12685"/>
    <cellStyle name="쉼표 [0] 5 2 11" xfId="20438"/>
    <cellStyle name="쉼표 [0] 5 2 11 2" xfId="20439"/>
    <cellStyle name="쉼표 [0] 5 2 11 2 2" xfId="12682"/>
    <cellStyle name="쉼표 [0] 5 2 11 3" xfId="12683"/>
    <cellStyle name="쉼표 [0] 5 2 12" xfId="20440"/>
    <cellStyle name="쉼표 [0] 5 2 12 2" xfId="20441"/>
    <cellStyle name="쉼표 [0] 5 2 12 2 2" xfId="12680"/>
    <cellStyle name="쉼표 [0] 5 2 12 3" xfId="12681"/>
    <cellStyle name="쉼표 [0] 5 2 13" xfId="20442"/>
    <cellStyle name="쉼표 [0] 5 2 13 2" xfId="20443"/>
    <cellStyle name="쉼표 [0] 5 2 13 2 2" xfId="12678"/>
    <cellStyle name="쉼표 [0] 5 2 13 3" xfId="12679"/>
    <cellStyle name="쉼표 [0] 5 2 14" xfId="20444"/>
    <cellStyle name="쉼표 [0] 5 2 14 2" xfId="20445"/>
    <cellStyle name="쉼표 [0] 5 2 14 2 2" xfId="12676"/>
    <cellStyle name="쉼표 [0] 5 2 14 3" xfId="12677"/>
    <cellStyle name="쉼표 [0] 5 2 15" xfId="20446"/>
    <cellStyle name="쉼표 [0] 5 2 15 2" xfId="20447"/>
    <cellStyle name="쉼표 [0] 5 2 15 2 2" xfId="12674"/>
    <cellStyle name="쉼표 [0] 5 2 15 3" xfId="12675"/>
    <cellStyle name="쉼표 [0] 5 2 16" xfId="20448"/>
    <cellStyle name="쉼표 [0] 5 2 16 2" xfId="20449"/>
    <cellStyle name="쉼표 [0] 5 2 16 2 2" xfId="12672"/>
    <cellStyle name="쉼표 [0] 5 2 16 3" xfId="12673"/>
    <cellStyle name="쉼표 [0] 5 2 17" xfId="20450"/>
    <cellStyle name="쉼표 [0] 5 2 17 2" xfId="20451"/>
    <cellStyle name="쉼표 [0] 5 2 17 2 2" xfId="12670"/>
    <cellStyle name="쉼표 [0] 5 2 17 3" xfId="12671"/>
    <cellStyle name="쉼표 [0] 5 2 18" xfId="20452"/>
    <cellStyle name="쉼표 [0] 5 2 18 2" xfId="20453"/>
    <cellStyle name="쉼표 [0] 5 2 18 2 2" xfId="12668"/>
    <cellStyle name="쉼표 [0] 5 2 18 3" xfId="12669"/>
    <cellStyle name="쉼표 [0] 5 2 19" xfId="20454"/>
    <cellStyle name="쉼표 [0] 5 2 19 2" xfId="20455"/>
    <cellStyle name="쉼표 [0] 5 2 19 2 2" xfId="12666"/>
    <cellStyle name="쉼표 [0] 5 2 19 3" xfId="12667"/>
    <cellStyle name="쉼표 [0] 5 2 2" xfId="1843"/>
    <cellStyle name="쉼표 [0] 5 2 2 10" xfId="12665"/>
    <cellStyle name="쉼표 [0] 5 2 2 11" xfId="28772"/>
    <cellStyle name="쉼표 [0] 5 2 2 12" xfId="20456"/>
    <cellStyle name="쉼표 [0] 5 2 2 13" xfId="29784"/>
    <cellStyle name="쉼표 [0] 5 2 2 14" xfId="30908"/>
    <cellStyle name="쉼표 [0] 5 2 2 14 2" xfId="32262"/>
    <cellStyle name="쉼표 [0] 5 2 2 15" xfId="31505"/>
    <cellStyle name="쉼표 [0] 5 2 2 2" xfId="1844"/>
    <cellStyle name="쉼표 [0] 5 2 2 2 10" xfId="20457"/>
    <cellStyle name="쉼표 [0] 5 2 2 2 2" xfId="1845"/>
    <cellStyle name="쉼표 [0] 5 2 2 2 2 2" xfId="1846"/>
    <cellStyle name="쉼표 [0] 5 2 2 2 2 2 2" xfId="1847"/>
    <cellStyle name="쉼표 [0] 5 2 2 2 2 2 2 2" xfId="1848"/>
    <cellStyle name="쉼표 [0] 5 2 2 2 2 2 2 2 2" xfId="20462"/>
    <cellStyle name="쉼표 [0] 5 2 2 2 2 2 2 2 2 2" xfId="12659"/>
    <cellStyle name="쉼표 [0] 5 2 2 2 2 2 2 2 3" xfId="12660"/>
    <cellStyle name="쉼표 [0] 5 2 2 2 2 2 2 2 4" xfId="20461"/>
    <cellStyle name="쉼표 [0] 5 2 2 2 2 2 2 3" xfId="20463"/>
    <cellStyle name="쉼표 [0] 5 2 2 2 2 2 2 3 2" xfId="12658"/>
    <cellStyle name="쉼표 [0] 5 2 2 2 2 2 2 4" xfId="12661"/>
    <cellStyle name="쉼표 [0] 5 2 2 2 2 2 2 5" xfId="20460"/>
    <cellStyle name="쉼표 [0] 5 2 2 2 2 2 3" xfId="1849"/>
    <cellStyle name="쉼표 [0] 5 2 2 2 2 2 3 2" xfId="1850"/>
    <cellStyle name="쉼표 [0] 5 2 2 2 2 2 3 2 2" xfId="20466"/>
    <cellStyle name="쉼표 [0] 5 2 2 2 2 2 3 2 2 2" xfId="12655"/>
    <cellStyle name="쉼표 [0] 5 2 2 2 2 2 3 2 3" xfId="12656"/>
    <cellStyle name="쉼표 [0] 5 2 2 2 2 2 3 2 4" xfId="20465"/>
    <cellStyle name="쉼표 [0] 5 2 2 2 2 2 3 3" xfId="20467"/>
    <cellStyle name="쉼표 [0] 5 2 2 2 2 2 3 3 2" xfId="12654"/>
    <cellStyle name="쉼표 [0] 5 2 2 2 2 2 3 4" xfId="12657"/>
    <cellStyle name="쉼표 [0] 5 2 2 2 2 2 3 5" xfId="20464"/>
    <cellStyle name="쉼표 [0] 5 2 2 2 2 2 4" xfId="1851"/>
    <cellStyle name="쉼표 [0] 5 2 2 2 2 2 4 2" xfId="20469"/>
    <cellStyle name="쉼표 [0] 5 2 2 2 2 2 4 2 2" xfId="12652"/>
    <cellStyle name="쉼표 [0] 5 2 2 2 2 2 4 3" xfId="12653"/>
    <cellStyle name="쉼표 [0] 5 2 2 2 2 2 4 4" xfId="20468"/>
    <cellStyle name="쉼표 [0] 5 2 2 2 2 2 5" xfId="20470"/>
    <cellStyle name="쉼표 [0] 5 2 2 2 2 2 5 2" xfId="12651"/>
    <cellStyle name="쉼표 [0] 5 2 2 2 2 2 6" xfId="12662"/>
    <cellStyle name="쉼표 [0] 5 2 2 2 2 2 7" xfId="20459"/>
    <cellStyle name="쉼표 [0] 5 2 2 2 2 3" xfId="1852"/>
    <cellStyle name="쉼표 [0] 5 2 2 2 2 3 2" xfId="1853"/>
    <cellStyle name="쉼표 [0] 5 2 2 2 2 3 2 2" xfId="1854"/>
    <cellStyle name="쉼표 [0] 5 2 2 2 2 3 2 2 2" xfId="20474"/>
    <cellStyle name="쉼표 [0] 5 2 2 2 2 3 2 2 2 2" xfId="12647"/>
    <cellStyle name="쉼표 [0] 5 2 2 2 2 3 2 2 3" xfId="12648"/>
    <cellStyle name="쉼표 [0] 5 2 2 2 2 3 2 2 4" xfId="20473"/>
    <cellStyle name="쉼표 [0] 5 2 2 2 2 3 2 3" xfId="20475"/>
    <cellStyle name="쉼표 [0] 5 2 2 2 2 3 2 3 2" xfId="12646"/>
    <cellStyle name="쉼표 [0] 5 2 2 2 2 3 2 4" xfId="12649"/>
    <cellStyle name="쉼표 [0] 5 2 2 2 2 3 2 5" xfId="20472"/>
    <cellStyle name="쉼표 [0] 5 2 2 2 2 3 3" xfId="1855"/>
    <cellStyle name="쉼표 [0] 5 2 2 2 2 3 3 2" xfId="20477"/>
    <cellStyle name="쉼표 [0] 5 2 2 2 2 3 3 2 2" xfId="12644"/>
    <cellStyle name="쉼표 [0] 5 2 2 2 2 3 3 3" xfId="12645"/>
    <cellStyle name="쉼표 [0] 5 2 2 2 2 3 3 4" xfId="20476"/>
    <cellStyle name="쉼표 [0] 5 2 2 2 2 3 4" xfId="20478"/>
    <cellStyle name="쉼표 [0] 5 2 2 2 2 3 4 2" xfId="12643"/>
    <cellStyle name="쉼표 [0] 5 2 2 2 2 3 5" xfId="12650"/>
    <cellStyle name="쉼표 [0] 5 2 2 2 2 3 6" xfId="20471"/>
    <cellStyle name="쉼표 [0] 5 2 2 2 2 4" xfId="1856"/>
    <cellStyle name="쉼표 [0] 5 2 2 2 2 4 2" xfId="1857"/>
    <cellStyle name="쉼표 [0] 5 2 2 2 2 4 2 2" xfId="20481"/>
    <cellStyle name="쉼표 [0] 5 2 2 2 2 4 2 2 2" xfId="12640"/>
    <cellStyle name="쉼표 [0] 5 2 2 2 2 4 2 3" xfId="12641"/>
    <cellStyle name="쉼표 [0] 5 2 2 2 2 4 2 4" xfId="20480"/>
    <cellStyle name="쉼표 [0] 5 2 2 2 2 4 3" xfId="20482"/>
    <cellStyle name="쉼표 [0] 5 2 2 2 2 4 3 2" xfId="12639"/>
    <cellStyle name="쉼표 [0] 5 2 2 2 2 4 4" xfId="12642"/>
    <cellStyle name="쉼표 [0] 5 2 2 2 2 4 5" xfId="20479"/>
    <cellStyle name="쉼표 [0] 5 2 2 2 2 5" xfId="1858"/>
    <cellStyle name="쉼표 [0] 5 2 2 2 2 5 2" xfId="1859"/>
    <cellStyle name="쉼표 [0] 5 2 2 2 2 5 2 2" xfId="20485"/>
    <cellStyle name="쉼표 [0] 5 2 2 2 2 5 2 2 2" xfId="12636"/>
    <cellStyle name="쉼표 [0] 5 2 2 2 2 5 2 3" xfId="12637"/>
    <cellStyle name="쉼표 [0] 5 2 2 2 2 5 2 4" xfId="20484"/>
    <cellStyle name="쉼표 [0] 5 2 2 2 2 5 3" xfId="20486"/>
    <cellStyle name="쉼표 [0] 5 2 2 2 2 5 3 2" xfId="12635"/>
    <cellStyle name="쉼표 [0] 5 2 2 2 2 5 4" xfId="12638"/>
    <cellStyle name="쉼표 [0] 5 2 2 2 2 5 5" xfId="20483"/>
    <cellStyle name="쉼표 [0] 5 2 2 2 2 6" xfId="20487"/>
    <cellStyle name="쉼표 [0] 5 2 2 2 2 6 2" xfId="12634"/>
    <cellStyle name="쉼표 [0] 5 2 2 2 2 7" xfId="12663"/>
    <cellStyle name="쉼표 [0] 5 2 2 2 2 8" xfId="28770"/>
    <cellStyle name="쉼표 [0] 5 2 2 2 2 9" xfId="20458"/>
    <cellStyle name="쉼표 [0] 5 2 2 2 3" xfId="1860"/>
    <cellStyle name="쉼표 [0] 5 2 2 2 3 2" xfId="1861"/>
    <cellStyle name="쉼표 [0] 5 2 2 2 3 2 2" xfId="1862"/>
    <cellStyle name="쉼표 [0] 5 2 2 2 3 2 2 2" xfId="20491"/>
    <cellStyle name="쉼표 [0] 5 2 2 2 3 2 2 2 2" xfId="12630"/>
    <cellStyle name="쉼표 [0] 5 2 2 2 3 2 2 3" xfId="12631"/>
    <cellStyle name="쉼표 [0] 5 2 2 2 3 2 2 4" xfId="20490"/>
    <cellStyle name="쉼표 [0] 5 2 2 2 3 2 3" xfId="20492"/>
    <cellStyle name="쉼표 [0] 5 2 2 2 3 2 3 2" xfId="12629"/>
    <cellStyle name="쉼표 [0] 5 2 2 2 3 2 4" xfId="12632"/>
    <cellStyle name="쉼표 [0] 5 2 2 2 3 2 5" xfId="20489"/>
    <cellStyle name="쉼표 [0] 5 2 2 2 3 3" xfId="1863"/>
    <cellStyle name="쉼표 [0] 5 2 2 2 3 3 2" xfId="1864"/>
    <cellStyle name="쉼표 [0] 5 2 2 2 3 3 2 2" xfId="20495"/>
    <cellStyle name="쉼표 [0] 5 2 2 2 3 3 2 2 2" xfId="12626"/>
    <cellStyle name="쉼표 [0] 5 2 2 2 3 3 2 3" xfId="12627"/>
    <cellStyle name="쉼표 [0] 5 2 2 2 3 3 2 4" xfId="20494"/>
    <cellStyle name="쉼표 [0] 5 2 2 2 3 3 3" xfId="20496"/>
    <cellStyle name="쉼표 [0] 5 2 2 2 3 3 3 2" xfId="12625"/>
    <cellStyle name="쉼표 [0] 5 2 2 2 3 3 4" xfId="12628"/>
    <cellStyle name="쉼표 [0] 5 2 2 2 3 3 5" xfId="20493"/>
    <cellStyle name="쉼표 [0] 5 2 2 2 3 4" xfId="1865"/>
    <cellStyle name="쉼표 [0] 5 2 2 2 3 4 2" xfId="20498"/>
    <cellStyle name="쉼표 [0] 5 2 2 2 3 4 2 2" xfId="12623"/>
    <cellStyle name="쉼표 [0] 5 2 2 2 3 4 3" xfId="12624"/>
    <cellStyle name="쉼표 [0] 5 2 2 2 3 4 4" xfId="20497"/>
    <cellStyle name="쉼표 [0] 5 2 2 2 3 5" xfId="20499"/>
    <cellStyle name="쉼표 [0] 5 2 2 2 3 5 2" xfId="12622"/>
    <cellStyle name="쉼표 [0] 5 2 2 2 3 6" xfId="12633"/>
    <cellStyle name="쉼표 [0] 5 2 2 2 3 7" xfId="20488"/>
    <cellStyle name="쉼표 [0] 5 2 2 2 4" xfId="1866"/>
    <cellStyle name="쉼표 [0] 5 2 2 2 4 2" xfId="1867"/>
    <cellStyle name="쉼표 [0] 5 2 2 2 4 2 2" xfId="1868"/>
    <cellStyle name="쉼표 [0] 5 2 2 2 4 2 2 2" xfId="20503"/>
    <cellStyle name="쉼표 [0] 5 2 2 2 4 2 2 2 2" xfId="12618"/>
    <cellStyle name="쉼표 [0] 5 2 2 2 4 2 2 3" xfId="12619"/>
    <cellStyle name="쉼표 [0] 5 2 2 2 4 2 2 4" xfId="20502"/>
    <cellStyle name="쉼표 [0] 5 2 2 2 4 2 3" xfId="20504"/>
    <cellStyle name="쉼표 [0] 5 2 2 2 4 2 3 2" xfId="12617"/>
    <cellStyle name="쉼표 [0] 5 2 2 2 4 2 4" xfId="12620"/>
    <cellStyle name="쉼표 [0] 5 2 2 2 4 2 5" xfId="20501"/>
    <cellStyle name="쉼표 [0] 5 2 2 2 4 3" xfId="1869"/>
    <cellStyle name="쉼표 [0] 5 2 2 2 4 3 2" xfId="20506"/>
    <cellStyle name="쉼표 [0] 5 2 2 2 4 3 2 2" xfId="12615"/>
    <cellStyle name="쉼표 [0] 5 2 2 2 4 3 3" xfId="12616"/>
    <cellStyle name="쉼표 [0] 5 2 2 2 4 3 4" xfId="20505"/>
    <cellStyle name="쉼표 [0] 5 2 2 2 4 4" xfId="20507"/>
    <cellStyle name="쉼표 [0] 5 2 2 2 4 4 2" xfId="12614"/>
    <cellStyle name="쉼표 [0] 5 2 2 2 4 5" xfId="12621"/>
    <cellStyle name="쉼표 [0] 5 2 2 2 4 6" xfId="20500"/>
    <cellStyle name="쉼표 [0] 5 2 2 2 5" xfId="1870"/>
    <cellStyle name="쉼표 [0] 5 2 2 2 5 2" xfId="1871"/>
    <cellStyle name="쉼표 [0] 5 2 2 2 5 2 2" xfId="20510"/>
    <cellStyle name="쉼표 [0] 5 2 2 2 5 2 2 2" xfId="12611"/>
    <cellStyle name="쉼표 [0] 5 2 2 2 5 2 3" xfId="12612"/>
    <cellStyle name="쉼표 [0] 5 2 2 2 5 2 4" xfId="20509"/>
    <cellStyle name="쉼표 [0] 5 2 2 2 5 3" xfId="20511"/>
    <cellStyle name="쉼표 [0] 5 2 2 2 5 3 2" xfId="12610"/>
    <cellStyle name="쉼표 [0] 5 2 2 2 5 4" xfId="12613"/>
    <cellStyle name="쉼표 [0] 5 2 2 2 5 5" xfId="20508"/>
    <cellStyle name="쉼표 [0] 5 2 2 2 6" xfId="1872"/>
    <cellStyle name="쉼표 [0] 5 2 2 2 6 2" xfId="1873"/>
    <cellStyle name="쉼표 [0] 5 2 2 2 6 2 2" xfId="20514"/>
    <cellStyle name="쉼표 [0] 5 2 2 2 6 2 2 2" xfId="12607"/>
    <cellStyle name="쉼표 [0] 5 2 2 2 6 2 3" xfId="12608"/>
    <cellStyle name="쉼표 [0] 5 2 2 2 6 2 4" xfId="20513"/>
    <cellStyle name="쉼표 [0] 5 2 2 2 6 3" xfId="20515"/>
    <cellStyle name="쉼표 [0] 5 2 2 2 6 3 2" xfId="12606"/>
    <cellStyle name="쉼표 [0] 5 2 2 2 6 4" xfId="12609"/>
    <cellStyle name="쉼표 [0] 5 2 2 2 6 5" xfId="20512"/>
    <cellStyle name="쉼표 [0] 5 2 2 2 7" xfId="20516"/>
    <cellStyle name="쉼표 [0] 5 2 2 2 7 2" xfId="12605"/>
    <cellStyle name="쉼표 [0] 5 2 2 2 8" xfId="12664"/>
    <cellStyle name="쉼표 [0] 5 2 2 2 9" xfId="28771"/>
    <cellStyle name="쉼표 [0] 5 2 2 3" xfId="1874"/>
    <cellStyle name="쉼표 [0] 5 2 2 3 2" xfId="1875"/>
    <cellStyle name="쉼표 [0] 5 2 2 3 2 2" xfId="1876"/>
    <cellStyle name="쉼표 [0] 5 2 2 3 2 2 2" xfId="1877"/>
    <cellStyle name="쉼표 [0] 5 2 2 3 2 2 2 2" xfId="20521"/>
    <cellStyle name="쉼표 [0] 5 2 2 3 2 2 2 2 2" xfId="12600"/>
    <cellStyle name="쉼표 [0] 5 2 2 3 2 2 2 3" xfId="12601"/>
    <cellStyle name="쉼표 [0] 5 2 2 3 2 2 2 4" xfId="20520"/>
    <cellStyle name="쉼표 [0] 5 2 2 3 2 2 3" xfId="20522"/>
    <cellStyle name="쉼표 [0] 5 2 2 3 2 2 3 2" xfId="12599"/>
    <cellStyle name="쉼표 [0] 5 2 2 3 2 2 4" xfId="12602"/>
    <cellStyle name="쉼표 [0] 5 2 2 3 2 2 5" xfId="20519"/>
    <cellStyle name="쉼표 [0] 5 2 2 3 2 3" xfId="1878"/>
    <cellStyle name="쉼표 [0] 5 2 2 3 2 3 2" xfId="1879"/>
    <cellStyle name="쉼표 [0] 5 2 2 3 2 3 2 2" xfId="20525"/>
    <cellStyle name="쉼표 [0] 5 2 2 3 2 3 2 2 2" xfId="12596"/>
    <cellStyle name="쉼표 [0] 5 2 2 3 2 3 2 3" xfId="12597"/>
    <cellStyle name="쉼표 [0] 5 2 2 3 2 3 2 4" xfId="20524"/>
    <cellStyle name="쉼표 [0] 5 2 2 3 2 3 3" xfId="20526"/>
    <cellStyle name="쉼표 [0] 5 2 2 3 2 3 3 2" xfId="12595"/>
    <cellStyle name="쉼표 [0] 5 2 2 3 2 3 4" xfId="12598"/>
    <cellStyle name="쉼표 [0] 5 2 2 3 2 3 5" xfId="20523"/>
    <cellStyle name="쉼표 [0] 5 2 2 3 2 4" xfId="1880"/>
    <cellStyle name="쉼표 [0] 5 2 2 3 2 4 2" xfId="1881"/>
    <cellStyle name="쉼표 [0] 5 2 2 3 2 4 2 2" xfId="20529"/>
    <cellStyle name="쉼표 [0] 5 2 2 3 2 4 2 2 2" xfId="12592"/>
    <cellStyle name="쉼표 [0] 5 2 2 3 2 4 2 3" xfId="12593"/>
    <cellStyle name="쉼표 [0] 5 2 2 3 2 4 2 4" xfId="20528"/>
    <cellStyle name="쉼표 [0] 5 2 2 3 2 4 3" xfId="20530"/>
    <cellStyle name="쉼표 [0] 5 2 2 3 2 4 3 2" xfId="12591"/>
    <cellStyle name="쉼표 [0] 5 2 2 3 2 4 4" xfId="12594"/>
    <cellStyle name="쉼표 [0] 5 2 2 3 2 4 5" xfId="20527"/>
    <cellStyle name="쉼표 [0] 5 2 2 3 2 5" xfId="20531"/>
    <cellStyle name="쉼표 [0] 5 2 2 3 2 5 2" xfId="12590"/>
    <cellStyle name="쉼표 [0] 5 2 2 3 2 6" xfId="12603"/>
    <cellStyle name="쉼표 [0] 5 2 2 3 2 7" xfId="28768"/>
    <cellStyle name="쉼표 [0] 5 2 2 3 2 8" xfId="20518"/>
    <cellStyle name="쉼표 [0] 5 2 2 3 3" xfId="1882"/>
    <cellStyle name="쉼표 [0] 5 2 2 3 3 2" xfId="1883"/>
    <cellStyle name="쉼표 [0] 5 2 2 3 3 2 2" xfId="1884"/>
    <cellStyle name="쉼표 [0] 5 2 2 3 3 2 2 2" xfId="20535"/>
    <cellStyle name="쉼표 [0] 5 2 2 3 3 2 2 2 2" xfId="12586"/>
    <cellStyle name="쉼표 [0] 5 2 2 3 3 2 2 3" xfId="12587"/>
    <cellStyle name="쉼표 [0] 5 2 2 3 3 2 2 4" xfId="20534"/>
    <cellStyle name="쉼표 [0] 5 2 2 3 3 2 3" xfId="20536"/>
    <cellStyle name="쉼표 [0] 5 2 2 3 3 2 3 2" xfId="12585"/>
    <cellStyle name="쉼표 [0] 5 2 2 3 3 2 4" xfId="12588"/>
    <cellStyle name="쉼표 [0] 5 2 2 3 3 2 5" xfId="20533"/>
    <cellStyle name="쉼표 [0] 5 2 2 3 3 3" xfId="1885"/>
    <cellStyle name="쉼표 [0] 5 2 2 3 3 3 2" xfId="20538"/>
    <cellStyle name="쉼표 [0] 5 2 2 3 3 3 2 2" xfId="12583"/>
    <cellStyle name="쉼표 [0] 5 2 2 3 3 3 3" xfId="12584"/>
    <cellStyle name="쉼표 [0] 5 2 2 3 3 3 4" xfId="20537"/>
    <cellStyle name="쉼표 [0] 5 2 2 3 3 4" xfId="20539"/>
    <cellStyle name="쉼표 [0] 5 2 2 3 3 4 2" xfId="12582"/>
    <cellStyle name="쉼표 [0] 5 2 2 3 3 5" xfId="12589"/>
    <cellStyle name="쉼표 [0] 5 2 2 3 3 6" xfId="20532"/>
    <cellStyle name="쉼표 [0] 5 2 2 3 4" xfId="1886"/>
    <cellStyle name="쉼표 [0] 5 2 2 3 4 2" xfId="1887"/>
    <cellStyle name="쉼표 [0] 5 2 2 3 4 2 2" xfId="20542"/>
    <cellStyle name="쉼표 [0] 5 2 2 3 4 2 2 2" xfId="12579"/>
    <cellStyle name="쉼표 [0] 5 2 2 3 4 2 3" xfId="12580"/>
    <cellStyle name="쉼표 [0] 5 2 2 3 4 2 4" xfId="20541"/>
    <cellStyle name="쉼표 [0] 5 2 2 3 4 3" xfId="20543"/>
    <cellStyle name="쉼표 [0] 5 2 2 3 4 3 2" xfId="12578"/>
    <cellStyle name="쉼표 [0] 5 2 2 3 4 4" xfId="12581"/>
    <cellStyle name="쉼표 [0] 5 2 2 3 4 5" xfId="20540"/>
    <cellStyle name="쉼표 [0] 5 2 2 3 5" xfId="1888"/>
    <cellStyle name="쉼표 [0] 5 2 2 3 5 2" xfId="1889"/>
    <cellStyle name="쉼표 [0] 5 2 2 3 5 2 2" xfId="20546"/>
    <cellStyle name="쉼표 [0] 5 2 2 3 5 2 2 2" xfId="12575"/>
    <cellStyle name="쉼표 [0] 5 2 2 3 5 2 3" xfId="12576"/>
    <cellStyle name="쉼표 [0] 5 2 2 3 5 2 4" xfId="20545"/>
    <cellStyle name="쉼표 [0] 5 2 2 3 5 3" xfId="20547"/>
    <cellStyle name="쉼표 [0] 5 2 2 3 5 3 2" xfId="12574"/>
    <cellStyle name="쉼표 [0] 5 2 2 3 5 4" xfId="12577"/>
    <cellStyle name="쉼표 [0] 5 2 2 3 5 5" xfId="20544"/>
    <cellStyle name="쉼표 [0] 5 2 2 3 6" xfId="20548"/>
    <cellStyle name="쉼표 [0] 5 2 2 3 6 2" xfId="12573"/>
    <cellStyle name="쉼표 [0] 5 2 2 3 7" xfId="12604"/>
    <cellStyle name="쉼표 [0] 5 2 2 3 8" xfId="28769"/>
    <cellStyle name="쉼표 [0] 5 2 2 3 9" xfId="20517"/>
    <cellStyle name="쉼표 [0] 5 2 2 4" xfId="1890"/>
    <cellStyle name="쉼표 [0] 5 2 2 4 2" xfId="1891"/>
    <cellStyle name="쉼표 [0] 5 2 2 4 2 2" xfId="1892"/>
    <cellStyle name="쉼표 [0] 5 2 2 4 2 2 2" xfId="20552"/>
    <cellStyle name="쉼표 [0] 5 2 2 4 2 2 2 2" xfId="12569"/>
    <cellStyle name="쉼표 [0] 5 2 2 4 2 2 3" xfId="12570"/>
    <cellStyle name="쉼표 [0] 5 2 2 4 2 2 4" xfId="20551"/>
    <cellStyle name="쉼표 [0] 5 2 2 4 2 3" xfId="20553"/>
    <cellStyle name="쉼표 [0] 5 2 2 4 2 3 2" xfId="12568"/>
    <cellStyle name="쉼표 [0] 5 2 2 4 2 4" xfId="12571"/>
    <cellStyle name="쉼표 [0] 5 2 2 4 2 5" xfId="20550"/>
    <cellStyle name="쉼표 [0] 5 2 2 4 3" xfId="1893"/>
    <cellStyle name="쉼표 [0] 5 2 2 4 3 2" xfId="1894"/>
    <cellStyle name="쉼표 [0] 5 2 2 4 3 2 2" xfId="20556"/>
    <cellStyle name="쉼표 [0] 5 2 2 4 3 2 2 2" xfId="12565"/>
    <cellStyle name="쉼표 [0] 5 2 2 4 3 2 3" xfId="12566"/>
    <cellStyle name="쉼표 [0] 5 2 2 4 3 2 4" xfId="20555"/>
    <cellStyle name="쉼표 [0] 5 2 2 4 3 3" xfId="20557"/>
    <cellStyle name="쉼표 [0] 5 2 2 4 3 3 2" xfId="12564"/>
    <cellStyle name="쉼표 [0] 5 2 2 4 3 4" xfId="12567"/>
    <cellStyle name="쉼표 [0] 5 2 2 4 3 5" xfId="20554"/>
    <cellStyle name="쉼표 [0] 5 2 2 4 4" xfId="1895"/>
    <cellStyle name="쉼표 [0] 5 2 2 4 4 2" xfId="1896"/>
    <cellStyle name="쉼표 [0] 5 2 2 4 4 2 2" xfId="20560"/>
    <cellStyle name="쉼표 [0] 5 2 2 4 4 2 2 2" xfId="12561"/>
    <cellStyle name="쉼표 [0] 5 2 2 4 4 2 3" xfId="12562"/>
    <cellStyle name="쉼표 [0] 5 2 2 4 4 2 4" xfId="20559"/>
    <cellStyle name="쉼표 [0] 5 2 2 4 4 3" xfId="20561"/>
    <cellStyle name="쉼표 [0] 5 2 2 4 4 3 2" xfId="12560"/>
    <cellStyle name="쉼표 [0] 5 2 2 4 4 4" xfId="12563"/>
    <cellStyle name="쉼표 [0] 5 2 2 4 4 5" xfId="20558"/>
    <cellStyle name="쉼표 [0] 5 2 2 4 5" xfId="20562"/>
    <cellStyle name="쉼표 [0] 5 2 2 4 5 2" xfId="12559"/>
    <cellStyle name="쉼표 [0] 5 2 2 4 6" xfId="12572"/>
    <cellStyle name="쉼표 [0] 5 2 2 4 7" xfId="28767"/>
    <cellStyle name="쉼표 [0] 5 2 2 4 8" xfId="20549"/>
    <cellStyle name="쉼표 [0] 5 2 2 5" xfId="1897"/>
    <cellStyle name="쉼표 [0] 5 2 2 5 2" xfId="1898"/>
    <cellStyle name="쉼표 [0] 5 2 2 5 2 2" xfId="1899"/>
    <cellStyle name="쉼표 [0] 5 2 2 5 2 2 2" xfId="20566"/>
    <cellStyle name="쉼표 [0] 5 2 2 5 2 2 2 2" xfId="12555"/>
    <cellStyle name="쉼표 [0] 5 2 2 5 2 2 3" xfId="12556"/>
    <cellStyle name="쉼표 [0] 5 2 2 5 2 2 4" xfId="20565"/>
    <cellStyle name="쉼표 [0] 5 2 2 5 2 3" xfId="20567"/>
    <cellStyle name="쉼표 [0] 5 2 2 5 2 3 2" xfId="12554"/>
    <cellStyle name="쉼표 [0] 5 2 2 5 2 4" xfId="12557"/>
    <cellStyle name="쉼표 [0] 5 2 2 5 2 5" xfId="20564"/>
    <cellStyle name="쉼표 [0] 5 2 2 5 3" xfId="1900"/>
    <cellStyle name="쉼표 [0] 5 2 2 5 3 2" xfId="20569"/>
    <cellStyle name="쉼표 [0] 5 2 2 5 3 2 2" xfId="12552"/>
    <cellStyle name="쉼표 [0] 5 2 2 5 3 3" xfId="12553"/>
    <cellStyle name="쉼표 [0] 5 2 2 5 3 4" xfId="20568"/>
    <cellStyle name="쉼표 [0] 5 2 2 5 4" xfId="20570"/>
    <cellStyle name="쉼표 [0] 5 2 2 5 4 2" xfId="12551"/>
    <cellStyle name="쉼표 [0] 5 2 2 5 5" xfId="12558"/>
    <cellStyle name="쉼표 [0] 5 2 2 5 6" xfId="20563"/>
    <cellStyle name="쉼표 [0] 5 2 2 6" xfId="1901"/>
    <cellStyle name="쉼표 [0] 5 2 2 6 2" xfId="1902"/>
    <cellStyle name="쉼표 [0] 5 2 2 6 2 2" xfId="20573"/>
    <cellStyle name="쉼표 [0] 5 2 2 6 2 2 2" xfId="12548"/>
    <cellStyle name="쉼표 [0] 5 2 2 6 2 3" xfId="12549"/>
    <cellStyle name="쉼표 [0] 5 2 2 6 2 4" xfId="20572"/>
    <cellStyle name="쉼표 [0] 5 2 2 6 3" xfId="20574"/>
    <cellStyle name="쉼표 [0] 5 2 2 6 3 2" xfId="12547"/>
    <cellStyle name="쉼표 [0] 5 2 2 6 4" xfId="12550"/>
    <cellStyle name="쉼표 [0] 5 2 2 6 5" xfId="20571"/>
    <cellStyle name="쉼표 [0] 5 2 2 7" xfId="1903"/>
    <cellStyle name="쉼표 [0] 5 2 2 7 2" xfId="1904"/>
    <cellStyle name="쉼표 [0] 5 2 2 7 2 2" xfId="20577"/>
    <cellStyle name="쉼표 [0] 5 2 2 7 2 2 2" xfId="12544"/>
    <cellStyle name="쉼표 [0] 5 2 2 7 2 3" xfId="12545"/>
    <cellStyle name="쉼표 [0] 5 2 2 7 2 4" xfId="20576"/>
    <cellStyle name="쉼표 [0] 5 2 2 7 3" xfId="20578"/>
    <cellStyle name="쉼표 [0] 5 2 2 7 3 2" xfId="12543"/>
    <cellStyle name="쉼표 [0] 5 2 2 7 4" xfId="12546"/>
    <cellStyle name="쉼표 [0] 5 2 2 7 5" xfId="20575"/>
    <cellStyle name="쉼표 [0] 5 2 2 8" xfId="20579"/>
    <cellStyle name="쉼표 [0] 5 2 2 8 2" xfId="20580"/>
    <cellStyle name="쉼표 [0] 5 2 2 8 2 2" xfId="12541"/>
    <cellStyle name="쉼표 [0] 5 2 2 8 3" xfId="12542"/>
    <cellStyle name="쉼표 [0] 5 2 2 9" xfId="20581"/>
    <cellStyle name="쉼표 [0] 5 2 2 9 2" xfId="12540"/>
    <cellStyle name="쉼표 [0] 5 2 20" xfId="20582"/>
    <cellStyle name="쉼표 [0] 5 2 20 2" xfId="20583"/>
    <cellStyle name="쉼표 [0] 5 2 20 2 2" xfId="12538"/>
    <cellStyle name="쉼표 [0] 5 2 20 3" xfId="12539"/>
    <cellStyle name="쉼표 [0] 5 2 21" xfId="20584"/>
    <cellStyle name="쉼표 [0] 5 2 21 2" xfId="20585"/>
    <cellStyle name="쉼표 [0] 5 2 21 2 2" xfId="12536"/>
    <cellStyle name="쉼표 [0] 5 2 21 3" xfId="12537"/>
    <cellStyle name="쉼표 [0] 5 2 22" xfId="20586"/>
    <cellStyle name="쉼표 [0] 5 2 22 2" xfId="20587"/>
    <cellStyle name="쉼표 [0] 5 2 22 2 2" xfId="12534"/>
    <cellStyle name="쉼표 [0] 5 2 22 3" xfId="12535"/>
    <cellStyle name="쉼표 [0] 5 2 23" xfId="20588"/>
    <cellStyle name="쉼표 [0] 5 2 23 2" xfId="20589"/>
    <cellStyle name="쉼표 [0] 5 2 23 2 2" xfId="12532"/>
    <cellStyle name="쉼표 [0] 5 2 23 3" xfId="12533"/>
    <cellStyle name="쉼표 [0] 5 2 24" xfId="20590"/>
    <cellStyle name="쉼표 [0] 5 2 24 2" xfId="20591"/>
    <cellStyle name="쉼표 [0] 5 2 24 2 2" xfId="12530"/>
    <cellStyle name="쉼표 [0] 5 2 24 3" xfId="12531"/>
    <cellStyle name="쉼표 [0] 5 2 25" xfId="20592"/>
    <cellStyle name="쉼표 [0] 5 2 25 2" xfId="20593"/>
    <cellStyle name="쉼표 [0] 5 2 25 2 2" xfId="12528"/>
    <cellStyle name="쉼표 [0] 5 2 25 3" xfId="12529"/>
    <cellStyle name="쉼표 [0] 5 2 26" xfId="20594"/>
    <cellStyle name="쉼표 [0] 5 2 26 2" xfId="20595"/>
    <cellStyle name="쉼표 [0] 5 2 26 2 2" xfId="12526"/>
    <cellStyle name="쉼표 [0] 5 2 26 3" xfId="12527"/>
    <cellStyle name="쉼표 [0] 5 2 27" xfId="20596"/>
    <cellStyle name="쉼표 [0] 5 2 27 2" xfId="20597"/>
    <cellStyle name="쉼표 [0] 5 2 27 2 2" xfId="12524"/>
    <cellStyle name="쉼표 [0] 5 2 27 3" xfId="12525"/>
    <cellStyle name="쉼표 [0] 5 2 28" xfId="20598"/>
    <cellStyle name="쉼표 [0] 5 2 28 2" xfId="20599"/>
    <cellStyle name="쉼표 [0] 5 2 28 2 2" xfId="12522"/>
    <cellStyle name="쉼표 [0] 5 2 28 3" xfId="12523"/>
    <cellStyle name="쉼표 [0] 5 2 29" xfId="20600"/>
    <cellStyle name="쉼표 [0] 5 2 29 2" xfId="20601"/>
    <cellStyle name="쉼표 [0] 5 2 29 2 2" xfId="12520"/>
    <cellStyle name="쉼표 [0] 5 2 29 3" xfId="12521"/>
    <cellStyle name="쉼표 [0] 5 2 3" xfId="1905"/>
    <cellStyle name="쉼표 [0] 5 2 3 10" xfId="20603"/>
    <cellStyle name="쉼표 [0] 5 2 3 10 2" xfId="12518"/>
    <cellStyle name="쉼표 [0] 5 2 3 11" xfId="12519"/>
    <cellStyle name="쉼표 [0] 5 2 3 12" xfId="28766"/>
    <cellStyle name="쉼표 [0] 5 2 3 13" xfId="20602"/>
    <cellStyle name="쉼표 [0] 5 2 3 14" xfId="29509"/>
    <cellStyle name="쉼표 [0] 5 2 3 15" xfId="32014"/>
    <cellStyle name="쉼표 [0] 5 2 3 2" xfId="1906"/>
    <cellStyle name="쉼표 [0] 5 2 3 2 10" xfId="20604"/>
    <cellStyle name="쉼표 [0] 5 2 3 2 11" xfId="29641"/>
    <cellStyle name="쉼표 [0] 5 2 3 2 2" xfId="1907"/>
    <cellStyle name="쉼표 [0] 5 2 3 2 2 2" xfId="1908"/>
    <cellStyle name="쉼표 [0] 5 2 3 2 2 2 2" xfId="1909"/>
    <cellStyle name="쉼표 [0] 5 2 3 2 2 2 2 2" xfId="1910"/>
    <cellStyle name="쉼표 [0] 5 2 3 2 2 2 2 2 2" xfId="20609"/>
    <cellStyle name="쉼표 [0] 5 2 3 2 2 2 2 2 2 2" xfId="12512"/>
    <cellStyle name="쉼표 [0] 5 2 3 2 2 2 2 2 3" xfId="12513"/>
    <cellStyle name="쉼표 [0] 5 2 3 2 2 2 2 2 4" xfId="20608"/>
    <cellStyle name="쉼표 [0] 5 2 3 2 2 2 2 3" xfId="20610"/>
    <cellStyle name="쉼표 [0] 5 2 3 2 2 2 2 3 2" xfId="12511"/>
    <cellStyle name="쉼표 [0] 5 2 3 2 2 2 2 4" xfId="12514"/>
    <cellStyle name="쉼표 [0] 5 2 3 2 2 2 2 5" xfId="20607"/>
    <cellStyle name="쉼표 [0] 5 2 3 2 2 2 3" xfId="20611"/>
    <cellStyle name="쉼표 [0] 5 2 3 2 2 2 3 2" xfId="12510"/>
    <cellStyle name="쉼표 [0] 5 2 3 2 2 2 4" xfId="12515"/>
    <cellStyle name="쉼표 [0] 5 2 3 2 2 2 5" xfId="28763"/>
    <cellStyle name="쉼표 [0] 5 2 3 2 2 2 6" xfId="20606"/>
    <cellStyle name="쉼표 [0] 5 2 3 2 2 3" xfId="1911"/>
    <cellStyle name="쉼표 [0] 5 2 3 2 2 3 2" xfId="1912"/>
    <cellStyle name="쉼표 [0] 5 2 3 2 2 3 2 2" xfId="20614"/>
    <cellStyle name="쉼표 [0] 5 2 3 2 2 3 2 2 2" xfId="12507"/>
    <cellStyle name="쉼표 [0] 5 2 3 2 2 3 2 3" xfId="12508"/>
    <cellStyle name="쉼표 [0] 5 2 3 2 2 3 2 4" xfId="20613"/>
    <cellStyle name="쉼표 [0] 5 2 3 2 2 3 3" xfId="20615"/>
    <cellStyle name="쉼표 [0] 5 2 3 2 2 3 3 2" xfId="12506"/>
    <cellStyle name="쉼표 [0] 5 2 3 2 2 3 4" xfId="12509"/>
    <cellStyle name="쉼표 [0] 5 2 3 2 2 3 5" xfId="20612"/>
    <cellStyle name="쉼표 [0] 5 2 3 2 2 4" xfId="1913"/>
    <cellStyle name="쉼표 [0] 5 2 3 2 2 4 2" xfId="1914"/>
    <cellStyle name="쉼표 [0] 5 2 3 2 2 4 2 2" xfId="20618"/>
    <cellStyle name="쉼표 [0] 5 2 3 2 2 4 2 2 2" xfId="12503"/>
    <cellStyle name="쉼표 [0] 5 2 3 2 2 4 2 3" xfId="12504"/>
    <cellStyle name="쉼표 [0] 5 2 3 2 2 4 2 4" xfId="20617"/>
    <cellStyle name="쉼표 [0] 5 2 3 2 2 4 3" xfId="20619"/>
    <cellStyle name="쉼표 [0] 5 2 3 2 2 4 3 2" xfId="12502"/>
    <cellStyle name="쉼표 [0] 5 2 3 2 2 4 4" xfId="12505"/>
    <cellStyle name="쉼표 [0] 5 2 3 2 2 4 5" xfId="20616"/>
    <cellStyle name="쉼표 [0] 5 2 3 2 2 5" xfId="20620"/>
    <cellStyle name="쉼표 [0] 5 2 3 2 2 5 2" xfId="12501"/>
    <cellStyle name="쉼표 [0] 5 2 3 2 2 6" xfId="12516"/>
    <cellStyle name="쉼표 [0] 5 2 3 2 2 7" xfId="28764"/>
    <cellStyle name="쉼표 [0] 5 2 3 2 2 8" xfId="20605"/>
    <cellStyle name="쉼표 [0] 5 2 3 2 3" xfId="1915"/>
    <cellStyle name="쉼표 [0] 5 2 3 2 3 2" xfId="1916"/>
    <cellStyle name="쉼표 [0] 5 2 3 2 3 2 2" xfId="1917"/>
    <cellStyle name="쉼표 [0] 5 2 3 2 3 2 2 2" xfId="20624"/>
    <cellStyle name="쉼표 [0] 5 2 3 2 3 2 2 2 2" xfId="12497"/>
    <cellStyle name="쉼표 [0] 5 2 3 2 3 2 2 3" xfId="12498"/>
    <cellStyle name="쉼표 [0] 5 2 3 2 3 2 2 4" xfId="28760"/>
    <cellStyle name="쉼표 [0] 5 2 3 2 3 2 2 5" xfId="20623"/>
    <cellStyle name="쉼표 [0] 5 2 3 2 3 2 3" xfId="1918"/>
    <cellStyle name="쉼표 [0] 5 2 3 2 3 2 3 2" xfId="1919"/>
    <cellStyle name="쉼표 [0] 5 2 3 2 3 2 3 2 2" xfId="20627"/>
    <cellStyle name="쉼표 [0] 5 2 3 2 3 2 3 2 2 2" xfId="12494"/>
    <cellStyle name="쉼표 [0] 5 2 3 2 3 2 3 2 3" xfId="12495"/>
    <cellStyle name="쉼표 [0] 5 2 3 2 3 2 3 2 4" xfId="20626"/>
    <cellStyle name="쉼표 [0] 5 2 3 2 3 2 3 3" xfId="20628"/>
    <cellStyle name="쉼표 [0] 5 2 3 2 3 2 3 3 2" xfId="12493"/>
    <cellStyle name="쉼표 [0] 5 2 3 2 3 2 3 4" xfId="12496"/>
    <cellStyle name="쉼표 [0] 5 2 3 2 3 2 3 5" xfId="20625"/>
    <cellStyle name="쉼표 [0] 5 2 3 2 3 2 4" xfId="20629"/>
    <cellStyle name="쉼표 [0] 5 2 3 2 3 2 4 2" xfId="12492"/>
    <cellStyle name="쉼표 [0] 5 2 3 2 3 2 5" xfId="12499"/>
    <cellStyle name="쉼표 [0] 5 2 3 2 3 2 6" xfId="28761"/>
    <cellStyle name="쉼표 [0] 5 2 3 2 3 2 7" xfId="20622"/>
    <cellStyle name="쉼표 [0] 5 2 3 2 3 3" xfId="1920"/>
    <cellStyle name="쉼표 [0] 5 2 3 2 3 3 2" xfId="20631"/>
    <cellStyle name="쉼표 [0] 5 2 3 2 3 3 2 2" xfId="12490"/>
    <cellStyle name="쉼표 [0] 5 2 3 2 3 3 3" xfId="12491"/>
    <cellStyle name="쉼표 [0] 5 2 3 2 3 3 4" xfId="28759"/>
    <cellStyle name="쉼표 [0] 5 2 3 2 3 3 5" xfId="20630"/>
    <cellStyle name="쉼표 [0] 5 2 3 2 3 4" xfId="1921"/>
    <cellStyle name="쉼표 [0] 5 2 3 2 3 4 2" xfId="1922"/>
    <cellStyle name="쉼표 [0] 5 2 3 2 3 4 2 2" xfId="20634"/>
    <cellStyle name="쉼표 [0] 5 2 3 2 3 4 2 2 2" xfId="12487"/>
    <cellStyle name="쉼표 [0] 5 2 3 2 3 4 2 3" xfId="12488"/>
    <cellStyle name="쉼표 [0] 5 2 3 2 3 4 2 4" xfId="20633"/>
    <cellStyle name="쉼표 [0] 5 2 3 2 3 4 3" xfId="20635"/>
    <cellStyle name="쉼표 [0] 5 2 3 2 3 4 3 2" xfId="12486"/>
    <cellStyle name="쉼표 [0] 5 2 3 2 3 4 4" xfId="12489"/>
    <cellStyle name="쉼표 [0] 5 2 3 2 3 4 5" xfId="20632"/>
    <cellStyle name="쉼표 [0] 5 2 3 2 3 5" xfId="20636"/>
    <cellStyle name="쉼표 [0] 5 2 3 2 3 5 2" xfId="12485"/>
    <cellStyle name="쉼표 [0] 5 2 3 2 3 6" xfId="12500"/>
    <cellStyle name="쉼표 [0] 5 2 3 2 3 7" xfId="28762"/>
    <cellStyle name="쉼표 [0] 5 2 3 2 3 8" xfId="20621"/>
    <cellStyle name="쉼표 [0] 5 2 3 2 4" xfId="1923"/>
    <cellStyle name="쉼표 [0] 5 2 3 2 4 2" xfId="1924"/>
    <cellStyle name="쉼표 [0] 5 2 3 2 4 2 2" xfId="20639"/>
    <cellStyle name="쉼표 [0] 5 2 3 2 4 2 2 2" xfId="12482"/>
    <cellStyle name="쉼표 [0] 5 2 3 2 4 2 3" xfId="12483"/>
    <cellStyle name="쉼표 [0] 5 2 3 2 4 2 4" xfId="28757"/>
    <cellStyle name="쉼표 [0] 5 2 3 2 4 2 5" xfId="20638"/>
    <cellStyle name="쉼표 [0] 5 2 3 2 4 3" xfId="1925"/>
    <cellStyle name="쉼표 [0] 5 2 3 2 4 3 2" xfId="1926"/>
    <cellStyle name="쉼표 [0] 5 2 3 2 4 3 2 2" xfId="20642"/>
    <cellStyle name="쉼표 [0] 5 2 3 2 4 3 2 2 2" xfId="12479"/>
    <cellStyle name="쉼표 [0] 5 2 3 2 4 3 2 3" xfId="12480"/>
    <cellStyle name="쉼표 [0] 5 2 3 2 4 3 2 4" xfId="20641"/>
    <cellStyle name="쉼표 [0] 5 2 3 2 4 3 3" xfId="20643"/>
    <cellStyle name="쉼표 [0] 5 2 3 2 4 3 3 2" xfId="12478"/>
    <cellStyle name="쉼표 [0] 5 2 3 2 4 3 4" xfId="12481"/>
    <cellStyle name="쉼표 [0] 5 2 3 2 4 3 5" xfId="20640"/>
    <cellStyle name="쉼표 [0] 5 2 3 2 4 4" xfId="20644"/>
    <cellStyle name="쉼표 [0] 5 2 3 2 4 4 2" xfId="12477"/>
    <cellStyle name="쉼표 [0] 5 2 3 2 4 5" xfId="12484"/>
    <cellStyle name="쉼표 [0] 5 2 3 2 4 6" xfId="28758"/>
    <cellStyle name="쉼표 [0] 5 2 3 2 4 7" xfId="20637"/>
    <cellStyle name="쉼표 [0] 5 2 3 2 5" xfId="1927"/>
    <cellStyle name="쉼표 [0] 5 2 3 2 5 2" xfId="20646"/>
    <cellStyle name="쉼표 [0] 5 2 3 2 5 2 2" xfId="12475"/>
    <cellStyle name="쉼표 [0] 5 2 3 2 5 3" xfId="12476"/>
    <cellStyle name="쉼표 [0] 5 2 3 2 5 4" xfId="28756"/>
    <cellStyle name="쉼표 [0] 5 2 3 2 5 5" xfId="20645"/>
    <cellStyle name="쉼표 [0] 5 2 3 2 6" xfId="1928"/>
    <cellStyle name="쉼표 [0] 5 2 3 2 6 2" xfId="1929"/>
    <cellStyle name="쉼표 [0] 5 2 3 2 6 2 2" xfId="20649"/>
    <cellStyle name="쉼표 [0] 5 2 3 2 6 2 2 2" xfId="12472"/>
    <cellStyle name="쉼표 [0] 5 2 3 2 6 2 3" xfId="12473"/>
    <cellStyle name="쉼표 [0] 5 2 3 2 6 2 4" xfId="20648"/>
    <cellStyle name="쉼표 [0] 5 2 3 2 6 3" xfId="20650"/>
    <cellStyle name="쉼표 [0] 5 2 3 2 6 3 2" xfId="12471"/>
    <cellStyle name="쉼표 [0] 5 2 3 2 6 4" xfId="12474"/>
    <cellStyle name="쉼표 [0] 5 2 3 2 6 5" xfId="20647"/>
    <cellStyle name="쉼표 [0] 5 2 3 2 7" xfId="20651"/>
    <cellStyle name="쉼표 [0] 5 2 3 2 7 2" xfId="12470"/>
    <cellStyle name="쉼표 [0] 5 2 3 2 8" xfId="12517"/>
    <cellStyle name="쉼표 [0] 5 2 3 2 9" xfId="28765"/>
    <cellStyle name="쉼표 [0] 5 2 3 3" xfId="1930"/>
    <cellStyle name="쉼표 [0] 5 2 3 3 2" xfId="1931"/>
    <cellStyle name="쉼표 [0] 5 2 3 3 2 2" xfId="1932"/>
    <cellStyle name="쉼표 [0] 5 2 3 3 2 2 2" xfId="1933"/>
    <cellStyle name="쉼표 [0] 5 2 3 3 2 2 2 2" xfId="20656"/>
    <cellStyle name="쉼표 [0] 5 2 3 3 2 2 2 2 2" xfId="12465"/>
    <cellStyle name="쉼표 [0] 5 2 3 3 2 2 2 3" xfId="12466"/>
    <cellStyle name="쉼표 [0] 5 2 3 3 2 2 2 4" xfId="20655"/>
    <cellStyle name="쉼표 [0] 5 2 3 3 2 2 3" xfId="20657"/>
    <cellStyle name="쉼표 [0] 5 2 3 3 2 2 3 2" xfId="12464"/>
    <cellStyle name="쉼표 [0] 5 2 3 3 2 2 4" xfId="12467"/>
    <cellStyle name="쉼표 [0] 5 2 3 3 2 2 5" xfId="20654"/>
    <cellStyle name="쉼표 [0] 5 2 3 3 2 3" xfId="20658"/>
    <cellStyle name="쉼표 [0] 5 2 3 3 2 3 2" xfId="12463"/>
    <cellStyle name="쉼표 [0] 5 2 3 3 2 4" xfId="12468"/>
    <cellStyle name="쉼표 [0] 5 2 3 3 2 5" xfId="28754"/>
    <cellStyle name="쉼표 [0] 5 2 3 3 2 6" xfId="20653"/>
    <cellStyle name="쉼표 [0] 5 2 3 3 3" xfId="1934"/>
    <cellStyle name="쉼표 [0] 5 2 3 3 3 2" xfId="1935"/>
    <cellStyle name="쉼표 [0] 5 2 3 3 3 2 2" xfId="20661"/>
    <cellStyle name="쉼표 [0] 5 2 3 3 3 2 2 2" xfId="12460"/>
    <cellStyle name="쉼표 [0] 5 2 3 3 3 2 3" xfId="12461"/>
    <cellStyle name="쉼표 [0] 5 2 3 3 3 2 4" xfId="20660"/>
    <cellStyle name="쉼표 [0] 5 2 3 3 3 3" xfId="20662"/>
    <cellStyle name="쉼표 [0] 5 2 3 3 3 3 2" xfId="12459"/>
    <cellStyle name="쉼표 [0] 5 2 3 3 3 4" xfId="12462"/>
    <cellStyle name="쉼표 [0] 5 2 3 3 3 5" xfId="20659"/>
    <cellStyle name="쉼표 [0] 5 2 3 3 4" xfId="1936"/>
    <cellStyle name="쉼표 [0] 5 2 3 3 4 2" xfId="1937"/>
    <cellStyle name="쉼표 [0] 5 2 3 3 4 2 2" xfId="20665"/>
    <cellStyle name="쉼표 [0] 5 2 3 3 4 2 2 2" xfId="12456"/>
    <cellStyle name="쉼표 [0] 5 2 3 3 4 2 3" xfId="12457"/>
    <cellStyle name="쉼표 [0] 5 2 3 3 4 2 4" xfId="20664"/>
    <cellStyle name="쉼표 [0] 5 2 3 3 4 3" xfId="20666"/>
    <cellStyle name="쉼표 [0] 5 2 3 3 4 3 2" xfId="12455"/>
    <cellStyle name="쉼표 [0] 5 2 3 3 4 4" xfId="12458"/>
    <cellStyle name="쉼표 [0] 5 2 3 3 4 5" xfId="20663"/>
    <cellStyle name="쉼표 [0] 5 2 3 3 5" xfId="20667"/>
    <cellStyle name="쉼표 [0] 5 2 3 3 5 2" xfId="12454"/>
    <cellStyle name="쉼표 [0] 5 2 3 3 6" xfId="12469"/>
    <cellStyle name="쉼표 [0] 5 2 3 3 7" xfId="28755"/>
    <cellStyle name="쉼표 [0] 5 2 3 3 8" xfId="20652"/>
    <cellStyle name="쉼표 [0] 5 2 3 4" xfId="1938"/>
    <cellStyle name="쉼표 [0] 5 2 3 4 2" xfId="1939"/>
    <cellStyle name="쉼표 [0] 5 2 3 4 2 2" xfId="1940"/>
    <cellStyle name="쉼표 [0] 5 2 3 4 2 2 2" xfId="20671"/>
    <cellStyle name="쉼표 [0] 5 2 3 4 2 2 2 2" xfId="12450"/>
    <cellStyle name="쉼표 [0] 5 2 3 4 2 2 3" xfId="12451"/>
    <cellStyle name="쉼표 [0] 5 2 3 4 2 2 4" xfId="28751"/>
    <cellStyle name="쉼표 [0] 5 2 3 4 2 2 5" xfId="20670"/>
    <cellStyle name="쉼표 [0] 5 2 3 4 2 3" xfId="1941"/>
    <cellStyle name="쉼표 [0] 5 2 3 4 2 3 2" xfId="1942"/>
    <cellStyle name="쉼표 [0] 5 2 3 4 2 3 2 2" xfId="20674"/>
    <cellStyle name="쉼표 [0] 5 2 3 4 2 3 2 2 2" xfId="12447"/>
    <cellStyle name="쉼표 [0] 5 2 3 4 2 3 2 3" xfId="12448"/>
    <cellStyle name="쉼표 [0] 5 2 3 4 2 3 2 4" xfId="20673"/>
    <cellStyle name="쉼표 [0] 5 2 3 4 2 3 3" xfId="20675"/>
    <cellStyle name="쉼표 [0] 5 2 3 4 2 3 3 2" xfId="12446"/>
    <cellStyle name="쉼표 [0] 5 2 3 4 2 3 4" xfId="12449"/>
    <cellStyle name="쉼표 [0] 5 2 3 4 2 3 5" xfId="20672"/>
    <cellStyle name="쉼표 [0] 5 2 3 4 2 4" xfId="20676"/>
    <cellStyle name="쉼표 [0] 5 2 3 4 2 4 2" xfId="12445"/>
    <cellStyle name="쉼표 [0] 5 2 3 4 2 5" xfId="12452"/>
    <cellStyle name="쉼표 [0] 5 2 3 4 2 6" xfId="28752"/>
    <cellStyle name="쉼표 [0] 5 2 3 4 2 7" xfId="20669"/>
    <cellStyle name="쉼표 [0] 5 2 3 4 3" xfId="1943"/>
    <cellStyle name="쉼표 [0] 5 2 3 4 3 2" xfId="20678"/>
    <cellStyle name="쉼표 [0] 5 2 3 4 3 2 2" xfId="12443"/>
    <cellStyle name="쉼표 [0] 5 2 3 4 3 3" xfId="12444"/>
    <cellStyle name="쉼표 [0] 5 2 3 4 3 4" xfId="28750"/>
    <cellStyle name="쉼표 [0] 5 2 3 4 3 5" xfId="20677"/>
    <cellStyle name="쉼표 [0] 5 2 3 4 4" xfId="1944"/>
    <cellStyle name="쉼표 [0] 5 2 3 4 4 2" xfId="1945"/>
    <cellStyle name="쉼표 [0] 5 2 3 4 4 2 2" xfId="20681"/>
    <cellStyle name="쉼표 [0] 5 2 3 4 4 2 2 2" xfId="12440"/>
    <cellStyle name="쉼표 [0] 5 2 3 4 4 2 3" xfId="12441"/>
    <cellStyle name="쉼표 [0] 5 2 3 4 4 2 4" xfId="20680"/>
    <cellStyle name="쉼표 [0] 5 2 3 4 4 3" xfId="20682"/>
    <cellStyle name="쉼표 [0] 5 2 3 4 4 3 2" xfId="12439"/>
    <cellStyle name="쉼표 [0] 5 2 3 4 4 4" xfId="12442"/>
    <cellStyle name="쉼표 [0] 5 2 3 4 4 5" xfId="20679"/>
    <cellStyle name="쉼표 [0] 5 2 3 4 5" xfId="20683"/>
    <cellStyle name="쉼표 [0] 5 2 3 4 5 2" xfId="12438"/>
    <cellStyle name="쉼표 [0] 5 2 3 4 6" xfId="12453"/>
    <cellStyle name="쉼표 [0] 5 2 3 4 7" xfId="28753"/>
    <cellStyle name="쉼표 [0] 5 2 3 4 8" xfId="20668"/>
    <cellStyle name="쉼표 [0] 5 2 3 5" xfId="1946"/>
    <cellStyle name="쉼표 [0] 5 2 3 5 2" xfId="1947"/>
    <cellStyle name="쉼표 [0] 5 2 3 5 2 2" xfId="20686"/>
    <cellStyle name="쉼표 [0] 5 2 3 5 2 2 2" xfId="12435"/>
    <cellStyle name="쉼표 [0] 5 2 3 5 2 3" xfId="12436"/>
    <cellStyle name="쉼표 [0] 5 2 3 5 2 4" xfId="28748"/>
    <cellStyle name="쉼표 [0] 5 2 3 5 2 5" xfId="20685"/>
    <cellStyle name="쉼표 [0] 5 2 3 5 3" xfId="1948"/>
    <cellStyle name="쉼표 [0] 5 2 3 5 3 2" xfId="1949"/>
    <cellStyle name="쉼표 [0] 5 2 3 5 3 2 2" xfId="20689"/>
    <cellStyle name="쉼표 [0] 5 2 3 5 3 2 2 2" xfId="12432"/>
    <cellStyle name="쉼표 [0] 5 2 3 5 3 2 3" xfId="12433"/>
    <cellStyle name="쉼표 [0] 5 2 3 5 3 2 4" xfId="20688"/>
    <cellStyle name="쉼표 [0] 5 2 3 5 3 3" xfId="20690"/>
    <cellStyle name="쉼표 [0] 5 2 3 5 3 3 2" xfId="12431"/>
    <cellStyle name="쉼표 [0] 5 2 3 5 3 4" xfId="12434"/>
    <cellStyle name="쉼표 [0] 5 2 3 5 3 5" xfId="20687"/>
    <cellStyle name="쉼표 [0] 5 2 3 5 4" xfId="20691"/>
    <cellStyle name="쉼표 [0] 5 2 3 5 4 2" xfId="12430"/>
    <cellStyle name="쉼표 [0] 5 2 3 5 5" xfId="12437"/>
    <cellStyle name="쉼표 [0] 5 2 3 5 6" xfId="28749"/>
    <cellStyle name="쉼표 [0] 5 2 3 5 7" xfId="20684"/>
    <cellStyle name="쉼표 [0] 5 2 3 6" xfId="1950"/>
    <cellStyle name="쉼표 [0] 5 2 3 6 2" xfId="1951"/>
    <cellStyle name="쉼표 [0] 5 2 3 6 2 2" xfId="20694"/>
    <cellStyle name="쉼표 [0] 5 2 3 6 2 2 2" xfId="12427"/>
    <cellStyle name="쉼표 [0] 5 2 3 6 2 3" xfId="12428"/>
    <cellStyle name="쉼표 [0] 5 2 3 6 2 4" xfId="28746"/>
    <cellStyle name="쉼표 [0] 5 2 3 6 2 5" xfId="20693"/>
    <cellStyle name="쉼표 [0] 5 2 3 6 3" xfId="20695"/>
    <cellStyle name="쉼표 [0] 5 2 3 6 3 2" xfId="12426"/>
    <cellStyle name="쉼표 [0] 5 2 3 6 4" xfId="12429"/>
    <cellStyle name="쉼표 [0] 5 2 3 6 5" xfId="28747"/>
    <cellStyle name="쉼표 [0] 5 2 3 6 6" xfId="20692"/>
    <cellStyle name="쉼표 [0] 5 2 3 7" xfId="1952"/>
    <cellStyle name="쉼표 [0] 5 2 3 7 2" xfId="20697"/>
    <cellStyle name="쉼표 [0] 5 2 3 7 2 2" xfId="12424"/>
    <cellStyle name="쉼표 [0] 5 2 3 7 3" xfId="12425"/>
    <cellStyle name="쉼표 [0] 5 2 3 7 4" xfId="28745"/>
    <cellStyle name="쉼표 [0] 5 2 3 7 5" xfId="20696"/>
    <cellStyle name="쉼표 [0] 5 2 3 8" xfId="1953"/>
    <cellStyle name="쉼표 [0] 5 2 3 8 2" xfId="1954"/>
    <cellStyle name="쉼표 [0] 5 2 3 8 2 2" xfId="20700"/>
    <cellStyle name="쉼표 [0] 5 2 3 8 2 2 2" xfId="12421"/>
    <cellStyle name="쉼표 [0] 5 2 3 8 2 3" xfId="12422"/>
    <cellStyle name="쉼표 [0] 5 2 3 8 2 4" xfId="20699"/>
    <cellStyle name="쉼표 [0] 5 2 3 8 3" xfId="20701"/>
    <cellStyle name="쉼표 [0] 5 2 3 8 3 2" xfId="12420"/>
    <cellStyle name="쉼표 [0] 5 2 3 8 4" xfId="12423"/>
    <cellStyle name="쉼표 [0] 5 2 3 8 5" xfId="20698"/>
    <cellStyle name="쉼표 [0] 5 2 3 9" xfId="20702"/>
    <cellStyle name="쉼표 [0] 5 2 3 9 2" xfId="20703"/>
    <cellStyle name="쉼표 [0] 5 2 3 9 2 2" xfId="12418"/>
    <cellStyle name="쉼표 [0] 5 2 3 9 3" xfId="12419"/>
    <cellStyle name="쉼표 [0] 5 2 30" xfId="20704"/>
    <cellStyle name="쉼표 [0] 5 2 30 2" xfId="20705"/>
    <cellStyle name="쉼표 [0] 5 2 30 2 2" xfId="12416"/>
    <cellStyle name="쉼표 [0] 5 2 30 3" xfId="12417"/>
    <cellStyle name="쉼표 [0] 5 2 31" xfId="20706"/>
    <cellStyle name="쉼표 [0] 5 2 31 2" xfId="20707"/>
    <cellStyle name="쉼표 [0] 5 2 31 2 2" xfId="12414"/>
    <cellStyle name="쉼표 [0] 5 2 31 3" xfId="12415"/>
    <cellStyle name="쉼표 [0] 5 2 32" xfId="20708"/>
    <cellStyle name="쉼표 [0] 5 2 32 2" xfId="20709"/>
    <cellStyle name="쉼표 [0] 5 2 32 2 2" xfId="12412"/>
    <cellStyle name="쉼표 [0] 5 2 32 3" xfId="12413"/>
    <cellStyle name="쉼표 [0] 5 2 33" xfId="20710"/>
    <cellStyle name="쉼표 [0] 5 2 33 2" xfId="20711"/>
    <cellStyle name="쉼표 [0] 5 2 33 2 2" xfId="12410"/>
    <cellStyle name="쉼표 [0] 5 2 33 3" xfId="12411"/>
    <cellStyle name="쉼표 [0] 5 2 34" xfId="20712"/>
    <cellStyle name="쉼표 [0] 5 2 34 2" xfId="20713"/>
    <cellStyle name="쉼표 [0] 5 2 34 2 2" xfId="12408"/>
    <cellStyle name="쉼표 [0] 5 2 34 3" xfId="12409"/>
    <cellStyle name="쉼표 [0] 5 2 35" xfId="20714"/>
    <cellStyle name="쉼표 [0] 5 2 35 2" xfId="20715"/>
    <cellStyle name="쉼표 [0] 5 2 35 2 2" xfId="12406"/>
    <cellStyle name="쉼표 [0] 5 2 35 3" xfId="12407"/>
    <cellStyle name="쉼표 [0] 5 2 36" xfId="20716"/>
    <cellStyle name="쉼표 [0] 5 2 36 2" xfId="20717"/>
    <cellStyle name="쉼표 [0] 5 2 36 2 2" xfId="12404"/>
    <cellStyle name="쉼표 [0] 5 2 36 3" xfId="12405"/>
    <cellStyle name="쉼표 [0] 5 2 37" xfId="20718"/>
    <cellStyle name="쉼표 [0] 5 2 37 2" xfId="20719"/>
    <cellStyle name="쉼표 [0] 5 2 37 2 2" xfId="12402"/>
    <cellStyle name="쉼표 [0] 5 2 37 3" xfId="12403"/>
    <cellStyle name="쉼표 [0] 5 2 38" xfId="20720"/>
    <cellStyle name="쉼표 [0] 5 2 38 2" xfId="20721"/>
    <cellStyle name="쉼표 [0] 5 2 38 2 2" xfId="12400"/>
    <cellStyle name="쉼표 [0] 5 2 38 3" xfId="12401"/>
    <cellStyle name="쉼표 [0] 5 2 39" xfId="20722"/>
    <cellStyle name="쉼표 [0] 5 2 39 2" xfId="20723"/>
    <cellStyle name="쉼표 [0] 5 2 39 2 2" xfId="12398"/>
    <cellStyle name="쉼표 [0] 5 2 39 3" xfId="12399"/>
    <cellStyle name="쉼표 [0] 5 2 4" xfId="1955"/>
    <cellStyle name="쉼표 [0] 5 2 4 10" xfId="28744"/>
    <cellStyle name="쉼표 [0] 5 2 4 11" xfId="20724"/>
    <cellStyle name="쉼표 [0] 5 2 4 12" xfId="29636"/>
    <cellStyle name="쉼표 [0] 5 2 4 13" xfId="31504"/>
    <cellStyle name="쉼표 [0] 5 2 4 2" xfId="1956"/>
    <cellStyle name="쉼표 [0] 5 2 4 2 2" xfId="1957"/>
    <cellStyle name="쉼표 [0] 5 2 4 2 2 2" xfId="1958"/>
    <cellStyle name="쉼표 [0] 5 2 4 2 2 2 2" xfId="1959"/>
    <cellStyle name="쉼표 [0] 5 2 4 2 2 2 2 2" xfId="20729"/>
    <cellStyle name="쉼표 [0] 5 2 4 2 2 2 2 2 2" xfId="12392"/>
    <cellStyle name="쉼표 [0] 5 2 4 2 2 2 2 3" xfId="12393"/>
    <cellStyle name="쉼표 [0] 5 2 4 2 2 2 2 4" xfId="20728"/>
    <cellStyle name="쉼표 [0] 5 2 4 2 2 2 3" xfId="20730"/>
    <cellStyle name="쉼표 [0] 5 2 4 2 2 2 3 2" xfId="12391"/>
    <cellStyle name="쉼표 [0] 5 2 4 2 2 2 4" xfId="12394"/>
    <cellStyle name="쉼표 [0] 5 2 4 2 2 2 5" xfId="20727"/>
    <cellStyle name="쉼표 [0] 5 2 4 2 2 3" xfId="20731"/>
    <cellStyle name="쉼표 [0] 5 2 4 2 2 3 2" xfId="12390"/>
    <cellStyle name="쉼표 [0] 5 2 4 2 2 4" xfId="12395"/>
    <cellStyle name="쉼표 [0] 5 2 4 2 2 5" xfId="28742"/>
    <cellStyle name="쉼표 [0] 5 2 4 2 2 6" xfId="20726"/>
    <cellStyle name="쉼표 [0] 5 2 4 2 3" xfId="1960"/>
    <cellStyle name="쉼표 [0] 5 2 4 2 3 2" xfId="1961"/>
    <cellStyle name="쉼표 [0] 5 2 4 2 3 2 2" xfId="20734"/>
    <cellStyle name="쉼표 [0] 5 2 4 2 3 2 2 2" xfId="12387"/>
    <cellStyle name="쉼표 [0] 5 2 4 2 3 2 3" xfId="12388"/>
    <cellStyle name="쉼표 [0] 5 2 4 2 3 2 4" xfId="20733"/>
    <cellStyle name="쉼표 [0] 5 2 4 2 3 3" xfId="20735"/>
    <cellStyle name="쉼표 [0] 5 2 4 2 3 3 2" xfId="12386"/>
    <cellStyle name="쉼표 [0] 5 2 4 2 3 4" xfId="12389"/>
    <cellStyle name="쉼표 [0] 5 2 4 2 3 5" xfId="20732"/>
    <cellStyle name="쉼표 [0] 5 2 4 2 4" xfId="1962"/>
    <cellStyle name="쉼표 [0] 5 2 4 2 4 2" xfId="1963"/>
    <cellStyle name="쉼표 [0] 5 2 4 2 4 2 2" xfId="20738"/>
    <cellStyle name="쉼표 [0] 5 2 4 2 4 2 2 2" xfId="12383"/>
    <cellStyle name="쉼표 [0] 5 2 4 2 4 2 3" xfId="12384"/>
    <cellStyle name="쉼표 [0] 5 2 4 2 4 2 4" xfId="20737"/>
    <cellStyle name="쉼표 [0] 5 2 4 2 4 3" xfId="20739"/>
    <cellStyle name="쉼표 [0] 5 2 4 2 4 3 2" xfId="12382"/>
    <cellStyle name="쉼표 [0] 5 2 4 2 4 4" xfId="12385"/>
    <cellStyle name="쉼표 [0] 5 2 4 2 4 5" xfId="20736"/>
    <cellStyle name="쉼표 [0] 5 2 4 2 5" xfId="20740"/>
    <cellStyle name="쉼표 [0] 5 2 4 2 5 2" xfId="12381"/>
    <cellStyle name="쉼표 [0] 5 2 4 2 6" xfId="12396"/>
    <cellStyle name="쉼표 [0] 5 2 4 2 7" xfId="28743"/>
    <cellStyle name="쉼표 [0] 5 2 4 2 8" xfId="20725"/>
    <cellStyle name="쉼표 [0] 5 2 4 3" xfId="1964"/>
    <cellStyle name="쉼표 [0] 5 2 4 3 2" xfId="1965"/>
    <cellStyle name="쉼표 [0] 5 2 4 3 2 2" xfId="1966"/>
    <cellStyle name="쉼표 [0] 5 2 4 3 2 2 2" xfId="20744"/>
    <cellStyle name="쉼표 [0] 5 2 4 3 2 2 2 2" xfId="12377"/>
    <cellStyle name="쉼표 [0] 5 2 4 3 2 2 3" xfId="12378"/>
    <cellStyle name="쉼표 [0] 5 2 4 3 2 2 4" xfId="28739"/>
    <cellStyle name="쉼표 [0] 5 2 4 3 2 2 5" xfId="20743"/>
    <cellStyle name="쉼표 [0] 5 2 4 3 2 3" xfId="1967"/>
    <cellStyle name="쉼표 [0] 5 2 4 3 2 3 2" xfId="1968"/>
    <cellStyle name="쉼표 [0] 5 2 4 3 2 3 2 2" xfId="20747"/>
    <cellStyle name="쉼표 [0] 5 2 4 3 2 3 2 2 2" xfId="12374"/>
    <cellStyle name="쉼표 [0] 5 2 4 3 2 3 2 3" xfId="12375"/>
    <cellStyle name="쉼표 [0] 5 2 4 3 2 3 2 4" xfId="20746"/>
    <cellStyle name="쉼표 [0] 5 2 4 3 2 3 3" xfId="20748"/>
    <cellStyle name="쉼표 [0] 5 2 4 3 2 3 3 2" xfId="12373"/>
    <cellStyle name="쉼표 [0] 5 2 4 3 2 3 4" xfId="12376"/>
    <cellStyle name="쉼표 [0] 5 2 4 3 2 3 5" xfId="20745"/>
    <cellStyle name="쉼표 [0] 5 2 4 3 2 4" xfId="20749"/>
    <cellStyle name="쉼표 [0] 5 2 4 3 2 4 2" xfId="12372"/>
    <cellStyle name="쉼표 [0] 5 2 4 3 2 5" xfId="12379"/>
    <cellStyle name="쉼표 [0] 5 2 4 3 2 6" xfId="28740"/>
    <cellStyle name="쉼표 [0] 5 2 4 3 2 7" xfId="20742"/>
    <cellStyle name="쉼표 [0] 5 2 4 3 3" xfId="1969"/>
    <cellStyle name="쉼표 [0] 5 2 4 3 3 2" xfId="20751"/>
    <cellStyle name="쉼표 [0] 5 2 4 3 3 2 2" xfId="12370"/>
    <cellStyle name="쉼표 [0] 5 2 4 3 3 3" xfId="12371"/>
    <cellStyle name="쉼표 [0] 5 2 4 3 3 4" xfId="28738"/>
    <cellStyle name="쉼표 [0] 5 2 4 3 3 5" xfId="20750"/>
    <cellStyle name="쉼표 [0] 5 2 4 3 4" xfId="1970"/>
    <cellStyle name="쉼표 [0] 5 2 4 3 4 2" xfId="1971"/>
    <cellStyle name="쉼표 [0] 5 2 4 3 4 2 2" xfId="20754"/>
    <cellStyle name="쉼표 [0] 5 2 4 3 4 2 2 2" xfId="12367"/>
    <cellStyle name="쉼표 [0] 5 2 4 3 4 2 3" xfId="12368"/>
    <cellStyle name="쉼표 [0] 5 2 4 3 4 2 4" xfId="20753"/>
    <cellStyle name="쉼표 [0] 5 2 4 3 4 3" xfId="20755"/>
    <cellStyle name="쉼표 [0] 5 2 4 3 4 3 2" xfId="12366"/>
    <cellStyle name="쉼표 [0] 5 2 4 3 4 4" xfId="12369"/>
    <cellStyle name="쉼표 [0] 5 2 4 3 4 5" xfId="20752"/>
    <cellStyle name="쉼표 [0] 5 2 4 3 5" xfId="20756"/>
    <cellStyle name="쉼표 [0] 5 2 4 3 5 2" xfId="12365"/>
    <cellStyle name="쉼표 [0] 5 2 4 3 6" xfId="12380"/>
    <cellStyle name="쉼표 [0] 5 2 4 3 7" xfId="28741"/>
    <cellStyle name="쉼표 [0] 5 2 4 3 8" xfId="20741"/>
    <cellStyle name="쉼표 [0] 5 2 4 4" xfId="1972"/>
    <cellStyle name="쉼표 [0] 5 2 4 4 2" xfId="1973"/>
    <cellStyle name="쉼표 [0] 5 2 4 4 2 2" xfId="20759"/>
    <cellStyle name="쉼표 [0] 5 2 4 4 2 2 2" xfId="12362"/>
    <cellStyle name="쉼표 [0] 5 2 4 4 2 3" xfId="12363"/>
    <cellStyle name="쉼표 [0] 5 2 4 4 2 4" xfId="28736"/>
    <cellStyle name="쉼표 [0] 5 2 4 4 2 5" xfId="20758"/>
    <cellStyle name="쉼표 [0] 5 2 4 4 3" xfId="1974"/>
    <cellStyle name="쉼표 [0] 5 2 4 4 3 2" xfId="1975"/>
    <cellStyle name="쉼표 [0] 5 2 4 4 3 2 2" xfId="20762"/>
    <cellStyle name="쉼표 [0] 5 2 4 4 3 2 2 2" xfId="12359"/>
    <cellStyle name="쉼표 [0] 5 2 4 4 3 2 3" xfId="12360"/>
    <cellStyle name="쉼표 [0] 5 2 4 4 3 2 4" xfId="20761"/>
    <cellStyle name="쉼표 [0] 5 2 4 4 3 3" xfId="20763"/>
    <cellStyle name="쉼표 [0] 5 2 4 4 3 3 2" xfId="12358"/>
    <cellStyle name="쉼표 [0] 5 2 4 4 3 4" xfId="12361"/>
    <cellStyle name="쉼표 [0] 5 2 4 4 3 5" xfId="20760"/>
    <cellStyle name="쉼표 [0] 5 2 4 4 4" xfId="20764"/>
    <cellStyle name="쉼표 [0] 5 2 4 4 4 2" xfId="12357"/>
    <cellStyle name="쉼표 [0] 5 2 4 4 5" xfId="12364"/>
    <cellStyle name="쉼표 [0] 5 2 4 4 6" xfId="28737"/>
    <cellStyle name="쉼표 [0] 5 2 4 4 7" xfId="20757"/>
    <cellStyle name="쉼표 [0] 5 2 4 5" xfId="1976"/>
    <cellStyle name="쉼표 [0] 5 2 4 5 2" xfId="20766"/>
    <cellStyle name="쉼표 [0] 5 2 4 5 2 2" xfId="12355"/>
    <cellStyle name="쉼표 [0] 5 2 4 5 3" xfId="12356"/>
    <cellStyle name="쉼표 [0] 5 2 4 5 4" xfId="28735"/>
    <cellStyle name="쉼표 [0] 5 2 4 5 5" xfId="20765"/>
    <cellStyle name="쉼표 [0] 5 2 4 6" xfId="1977"/>
    <cellStyle name="쉼표 [0] 5 2 4 6 2" xfId="1978"/>
    <cellStyle name="쉼표 [0] 5 2 4 6 2 2" xfId="20769"/>
    <cellStyle name="쉼표 [0] 5 2 4 6 2 2 2" xfId="12352"/>
    <cellStyle name="쉼표 [0] 5 2 4 6 2 3" xfId="12353"/>
    <cellStyle name="쉼표 [0] 5 2 4 6 2 4" xfId="20768"/>
    <cellStyle name="쉼표 [0] 5 2 4 6 3" xfId="20770"/>
    <cellStyle name="쉼표 [0] 5 2 4 6 3 2" xfId="12351"/>
    <cellStyle name="쉼표 [0] 5 2 4 6 4" xfId="12354"/>
    <cellStyle name="쉼표 [0] 5 2 4 6 5" xfId="20767"/>
    <cellStyle name="쉼표 [0] 5 2 4 7" xfId="20771"/>
    <cellStyle name="쉼표 [0] 5 2 4 7 2" xfId="20772"/>
    <cellStyle name="쉼표 [0] 5 2 4 7 2 2" xfId="12349"/>
    <cellStyle name="쉼표 [0] 5 2 4 7 3" xfId="12350"/>
    <cellStyle name="쉼표 [0] 5 2 4 8" xfId="20773"/>
    <cellStyle name="쉼표 [0] 5 2 4 8 2" xfId="12348"/>
    <cellStyle name="쉼표 [0] 5 2 4 9" xfId="12397"/>
    <cellStyle name="쉼표 [0] 5 2 40" xfId="20774"/>
    <cellStyle name="쉼표 [0] 5 2 40 2" xfId="20775"/>
    <cellStyle name="쉼표 [0] 5 2 40 2 2" xfId="12346"/>
    <cellStyle name="쉼표 [0] 5 2 40 3" xfId="12347"/>
    <cellStyle name="쉼표 [0] 5 2 41" xfId="20776"/>
    <cellStyle name="쉼표 [0] 5 2 41 2" xfId="20777"/>
    <cellStyle name="쉼표 [0] 5 2 41 2 2" xfId="12344"/>
    <cellStyle name="쉼표 [0] 5 2 41 3" xfId="12345"/>
    <cellStyle name="쉼표 [0] 5 2 42" xfId="20778"/>
    <cellStyle name="쉼표 [0] 5 2 42 2" xfId="20779"/>
    <cellStyle name="쉼표 [0] 5 2 42 2 2" xfId="12342"/>
    <cellStyle name="쉼표 [0] 5 2 42 3" xfId="12343"/>
    <cellStyle name="쉼표 [0] 5 2 43" xfId="20780"/>
    <cellStyle name="쉼표 [0] 5 2 43 2" xfId="20781"/>
    <cellStyle name="쉼표 [0] 5 2 43 2 2" xfId="12340"/>
    <cellStyle name="쉼표 [0] 5 2 43 3" xfId="12341"/>
    <cellStyle name="쉼표 [0] 5 2 44" xfId="20782"/>
    <cellStyle name="쉼표 [0] 5 2 44 2" xfId="20783"/>
    <cellStyle name="쉼표 [0] 5 2 44 2 2" xfId="12338"/>
    <cellStyle name="쉼표 [0] 5 2 44 3" xfId="12339"/>
    <cellStyle name="쉼표 [0] 5 2 45" xfId="20784"/>
    <cellStyle name="쉼표 [0] 5 2 45 2" xfId="20785"/>
    <cellStyle name="쉼표 [0] 5 2 45 2 2" xfId="12336"/>
    <cellStyle name="쉼표 [0] 5 2 45 3" xfId="12337"/>
    <cellStyle name="쉼표 [0] 5 2 46" xfId="20786"/>
    <cellStyle name="쉼표 [0] 5 2 46 2" xfId="20787"/>
    <cellStyle name="쉼표 [0] 5 2 46 2 2" xfId="12334"/>
    <cellStyle name="쉼표 [0] 5 2 46 3" xfId="12335"/>
    <cellStyle name="쉼표 [0] 5 2 47" xfId="20788"/>
    <cellStyle name="쉼표 [0] 5 2 47 2" xfId="20789"/>
    <cellStyle name="쉼표 [0] 5 2 47 2 2" xfId="12332"/>
    <cellStyle name="쉼표 [0] 5 2 47 3" xfId="12333"/>
    <cellStyle name="쉼표 [0] 5 2 48" xfId="20790"/>
    <cellStyle name="쉼표 [0] 5 2 48 2" xfId="12331"/>
    <cellStyle name="쉼표 [0] 5 2 49" xfId="20791"/>
    <cellStyle name="쉼표 [0] 5 2 49 2" xfId="12330"/>
    <cellStyle name="쉼표 [0] 5 2 5" xfId="1979"/>
    <cellStyle name="쉼표 [0] 5 2 5 10" xfId="29496"/>
    <cellStyle name="쉼표 [0] 5 2 5 2" xfId="1980"/>
    <cellStyle name="쉼표 [0] 5 2 5 2 2" xfId="1981"/>
    <cellStyle name="쉼표 [0] 5 2 5 2 2 2" xfId="20795"/>
    <cellStyle name="쉼표 [0] 5 2 5 2 2 2 2" xfId="12326"/>
    <cellStyle name="쉼표 [0] 5 2 5 2 2 3" xfId="12327"/>
    <cellStyle name="쉼표 [0] 5 2 5 2 2 4" xfId="28732"/>
    <cellStyle name="쉼표 [0] 5 2 5 2 2 5" xfId="20794"/>
    <cellStyle name="쉼표 [0] 5 2 5 2 3" xfId="1982"/>
    <cellStyle name="쉼표 [0] 5 2 5 2 3 2" xfId="1983"/>
    <cellStyle name="쉼표 [0] 5 2 5 2 3 2 2" xfId="20798"/>
    <cellStyle name="쉼표 [0] 5 2 5 2 3 2 2 2" xfId="12323"/>
    <cellStyle name="쉼표 [0] 5 2 5 2 3 2 3" xfId="12324"/>
    <cellStyle name="쉼표 [0] 5 2 5 2 3 2 4" xfId="20797"/>
    <cellStyle name="쉼표 [0] 5 2 5 2 3 3" xfId="20799"/>
    <cellStyle name="쉼표 [0] 5 2 5 2 3 3 2" xfId="12322"/>
    <cellStyle name="쉼표 [0] 5 2 5 2 3 4" xfId="12325"/>
    <cellStyle name="쉼표 [0] 5 2 5 2 3 5" xfId="20796"/>
    <cellStyle name="쉼표 [0] 5 2 5 2 4" xfId="20800"/>
    <cellStyle name="쉼표 [0] 5 2 5 2 4 2" xfId="12321"/>
    <cellStyle name="쉼표 [0] 5 2 5 2 5" xfId="12328"/>
    <cellStyle name="쉼표 [0] 5 2 5 2 6" xfId="28733"/>
    <cellStyle name="쉼표 [0] 5 2 5 2 7" xfId="20793"/>
    <cellStyle name="쉼표 [0] 5 2 5 3" xfId="1984"/>
    <cellStyle name="쉼표 [0] 5 2 5 3 2" xfId="1985"/>
    <cellStyle name="쉼표 [0] 5 2 5 3 2 2" xfId="1986"/>
    <cellStyle name="쉼표 [0] 5 2 5 3 2 2 2" xfId="20804"/>
    <cellStyle name="쉼표 [0] 5 2 5 3 2 2 2 2" xfId="12317"/>
    <cellStyle name="쉼표 [0] 5 2 5 3 2 2 3" xfId="12318"/>
    <cellStyle name="쉼표 [0] 5 2 5 3 2 2 4" xfId="20803"/>
    <cellStyle name="쉼표 [0] 5 2 5 3 2 3" xfId="20805"/>
    <cellStyle name="쉼표 [0] 5 2 5 3 2 3 2" xfId="12316"/>
    <cellStyle name="쉼표 [0] 5 2 5 3 2 4" xfId="12319"/>
    <cellStyle name="쉼표 [0] 5 2 5 3 2 5" xfId="20802"/>
    <cellStyle name="쉼표 [0] 5 2 5 3 3" xfId="20806"/>
    <cellStyle name="쉼표 [0] 5 2 5 3 3 2" xfId="12315"/>
    <cellStyle name="쉼표 [0] 5 2 5 3 4" xfId="12320"/>
    <cellStyle name="쉼표 [0] 5 2 5 3 5" xfId="28731"/>
    <cellStyle name="쉼표 [0] 5 2 5 3 6" xfId="20801"/>
    <cellStyle name="쉼표 [0] 5 2 5 4" xfId="1987"/>
    <cellStyle name="쉼표 [0] 5 2 5 4 2" xfId="1988"/>
    <cellStyle name="쉼표 [0] 5 2 5 4 2 2" xfId="20809"/>
    <cellStyle name="쉼표 [0] 5 2 5 4 2 2 2" xfId="12312"/>
    <cellStyle name="쉼표 [0] 5 2 5 4 2 3" xfId="12313"/>
    <cellStyle name="쉼표 [0] 5 2 5 4 2 4" xfId="20808"/>
    <cellStyle name="쉼표 [0] 5 2 5 4 3" xfId="20810"/>
    <cellStyle name="쉼표 [0] 5 2 5 4 3 2" xfId="12311"/>
    <cellStyle name="쉼표 [0] 5 2 5 4 4" xfId="12314"/>
    <cellStyle name="쉼표 [0] 5 2 5 4 5" xfId="20807"/>
    <cellStyle name="쉼표 [0] 5 2 5 5" xfId="20811"/>
    <cellStyle name="쉼표 [0] 5 2 5 5 2" xfId="20812"/>
    <cellStyle name="쉼표 [0] 5 2 5 5 2 2" xfId="12309"/>
    <cellStyle name="쉼표 [0] 5 2 5 5 3" xfId="12310"/>
    <cellStyle name="쉼표 [0] 5 2 5 6" xfId="20813"/>
    <cellStyle name="쉼표 [0] 5 2 5 6 2" xfId="12308"/>
    <cellStyle name="쉼표 [0] 5 2 5 7" xfId="12329"/>
    <cellStyle name="쉼표 [0] 5 2 5 8" xfId="28734"/>
    <cellStyle name="쉼표 [0] 5 2 5 9" xfId="20792"/>
    <cellStyle name="쉼표 [0] 5 2 50" xfId="20814"/>
    <cellStyle name="쉼표 [0] 5 2 50 2" xfId="12307"/>
    <cellStyle name="쉼표 [0] 5 2 51" xfId="12686"/>
    <cellStyle name="쉼표 [0] 5 2 52" xfId="28773"/>
    <cellStyle name="쉼표 [0] 5 2 53" xfId="20435"/>
    <cellStyle name="쉼표 [0] 5 2 54" xfId="29779"/>
    <cellStyle name="쉼표 [0] 5 2 55" xfId="30917"/>
    <cellStyle name="쉼표 [0] 5 2 55 2" xfId="32271"/>
    <cellStyle name="쉼표 [0] 5 2 6" xfId="1989"/>
    <cellStyle name="쉼표 [0] 5 2 6 2" xfId="1990"/>
    <cellStyle name="쉼표 [0] 5 2 6 2 2" xfId="1991"/>
    <cellStyle name="쉼표 [0] 5 2 6 2 2 2" xfId="1992"/>
    <cellStyle name="쉼표 [0] 5 2 6 2 2 2 2" xfId="20819"/>
    <cellStyle name="쉼표 [0] 5 2 6 2 2 2 2 2" xfId="12302"/>
    <cellStyle name="쉼표 [0] 5 2 6 2 2 2 3" xfId="12303"/>
    <cellStyle name="쉼표 [0] 5 2 6 2 2 2 4" xfId="20818"/>
    <cellStyle name="쉼표 [0] 5 2 6 2 2 3" xfId="20820"/>
    <cellStyle name="쉼표 [0] 5 2 6 2 2 3 2" xfId="12301"/>
    <cellStyle name="쉼표 [0] 5 2 6 2 2 4" xfId="12304"/>
    <cellStyle name="쉼표 [0] 5 2 6 2 2 5" xfId="20817"/>
    <cellStyle name="쉼표 [0] 5 2 6 2 3" xfId="20821"/>
    <cellStyle name="쉼표 [0] 5 2 6 2 3 2" xfId="12300"/>
    <cellStyle name="쉼표 [0] 5 2 6 2 4" xfId="12305"/>
    <cellStyle name="쉼표 [0] 5 2 6 2 5" xfId="28729"/>
    <cellStyle name="쉼표 [0] 5 2 6 2 6" xfId="20816"/>
    <cellStyle name="쉼표 [0] 5 2 6 3" xfId="1993"/>
    <cellStyle name="쉼표 [0] 5 2 6 3 2" xfId="1994"/>
    <cellStyle name="쉼표 [0] 5 2 6 3 2 2" xfId="20824"/>
    <cellStyle name="쉼표 [0] 5 2 6 3 2 2 2" xfId="12297"/>
    <cellStyle name="쉼표 [0] 5 2 6 3 2 3" xfId="12298"/>
    <cellStyle name="쉼표 [0] 5 2 6 3 2 4" xfId="20823"/>
    <cellStyle name="쉼표 [0] 5 2 6 3 3" xfId="20825"/>
    <cellStyle name="쉼표 [0] 5 2 6 3 3 2" xfId="12296"/>
    <cellStyle name="쉼표 [0] 5 2 6 3 4" xfId="12299"/>
    <cellStyle name="쉼표 [0] 5 2 6 3 5" xfId="20822"/>
    <cellStyle name="쉼표 [0] 5 2 6 4" xfId="20826"/>
    <cellStyle name="쉼표 [0] 5 2 6 4 2" xfId="20827"/>
    <cellStyle name="쉼표 [0] 5 2 6 4 2 2" xfId="12294"/>
    <cellStyle name="쉼표 [0] 5 2 6 4 3" xfId="12295"/>
    <cellStyle name="쉼표 [0] 5 2 6 5" xfId="20828"/>
    <cellStyle name="쉼표 [0] 5 2 6 5 2" xfId="12293"/>
    <cellStyle name="쉼표 [0] 5 2 6 6" xfId="12306"/>
    <cellStyle name="쉼표 [0] 5 2 6 7" xfId="28730"/>
    <cellStyle name="쉼표 [0] 5 2 6 8" xfId="20815"/>
    <cellStyle name="쉼표 [0] 5 2 6 9" xfId="29606"/>
    <cellStyle name="쉼표 [0] 5 2 7" xfId="1995"/>
    <cellStyle name="쉼표 [0] 5 2 7 2" xfId="1996"/>
    <cellStyle name="쉼표 [0] 5 2 7 2 2" xfId="20831"/>
    <cellStyle name="쉼표 [0] 5 2 7 2 2 2" xfId="12290"/>
    <cellStyle name="쉼표 [0] 5 2 7 2 3" xfId="12291"/>
    <cellStyle name="쉼표 [0] 5 2 7 2 4" xfId="28727"/>
    <cellStyle name="쉼표 [0] 5 2 7 2 5" xfId="20830"/>
    <cellStyle name="쉼표 [0] 5 2 7 3" xfId="1997"/>
    <cellStyle name="쉼표 [0] 5 2 7 3 2" xfId="1998"/>
    <cellStyle name="쉼표 [0] 5 2 7 3 2 2" xfId="20834"/>
    <cellStyle name="쉼표 [0] 5 2 7 3 2 2 2" xfId="12287"/>
    <cellStyle name="쉼표 [0] 5 2 7 3 2 3" xfId="12288"/>
    <cellStyle name="쉼표 [0] 5 2 7 3 2 4" xfId="20833"/>
    <cellStyle name="쉼표 [0] 5 2 7 3 3" xfId="20835"/>
    <cellStyle name="쉼표 [0] 5 2 7 3 3 2" xfId="12286"/>
    <cellStyle name="쉼표 [0] 5 2 7 3 4" xfId="12289"/>
    <cellStyle name="쉼표 [0] 5 2 7 3 5" xfId="20832"/>
    <cellStyle name="쉼표 [0] 5 2 7 4" xfId="20836"/>
    <cellStyle name="쉼표 [0] 5 2 7 4 2" xfId="20837"/>
    <cellStyle name="쉼표 [0] 5 2 7 4 2 2" xfId="12284"/>
    <cellStyle name="쉼표 [0] 5 2 7 4 3" xfId="12285"/>
    <cellStyle name="쉼표 [0] 5 2 7 5" xfId="20838"/>
    <cellStyle name="쉼표 [0] 5 2 7 5 2" xfId="12283"/>
    <cellStyle name="쉼표 [0] 5 2 7 6" xfId="12292"/>
    <cellStyle name="쉼표 [0] 5 2 7 7" xfId="28728"/>
    <cellStyle name="쉼표 [0] 5 2 7 8" xfId="20829"/>
    <cellStyle name="쉼표 [0] 5 2 8" xfId="1999"/>
    <cellStyle name="쉼표 [0] 5 2 8 2" xfId="20840"/>
    <cellStyle name="쉼표 [0] 5 2 8 2 2" xfId="20841"/>
    <cellStyle name="쉼표 [0] 5 2 8 2 2 2" xfId="12280"/>
    <cellStyle name="쉼표 [0] 5 2 8 2 3" xfId="12281"/>
    <cellStyle name="쉼표 [0] 5 2 8 3" xfId="20842"/>
    <cellStyle name="쉼표 [0] 5 2 8 3 2" xfId="12279"/>
    <cellStyle name="쉼표 [0] 5 2 8 4" xfId="12282"/>
    <cellStyle name="쉼표 [0] 5 2 8 5" xfId="28726"/>
    <cellStyle name="쉼표 [0] 5 2 8 6" xfId="20839"/>
    <cellStyle name="쉼표 [0] 5 2 9" xfId="2000"/>
    <cellStyle name="쉼표 [0] 5 2 9 2" xfId="2001"/>
    <cellStyle name="쉼표 [0] 5 2 9 2 2" xfId="20845"/>
    <cellStyle name="쉼표 [0] 5 2 9 2 2 2" xfId="12276"/>
    <cellStyle name="쉼표 [0] 5 2 9 2 3" xfId="12277"/>
    <cellStyle name="쉼표 [0] 5 2 9 2 4" xfId="20844"/>
    <cellStyle name="쉼표 [0] 5 2 9 3" xfId="20846"/>
    <cellStyle name="쉼표 [0] 5 2 9 3 2" xfId="20847"/>
    <cellStyle name="쉼표 [0] 5 2 9 3 2 2" xfId="12274"/>
    <cellStyle name="쉼표 [0] 5 2 9 3 3" xfId="12275"/>
    <cellStyle name="쉼표 [0] 5 2 9 4" xfId="20848"/>
    <cellStyle name="쉼표 [0] 5 2 9 4 2" xfId="12273"/>
    <cellStyle name="쉼표 [0] 5 2 9 5" xfId="12278"/>
    <cellStyle name="쉼표 [0] 5 2 9 6" xfId="20843"/>
    <cellStyle name="쉼표 [0] 5 20" xfId="20849"/>
    <cellStyle name="쉼표 [0] 5 20 2" xfId="20850"/>
    <cellStyle name="쉼표 [0] 5 20 2 2" xfId="12271"/>
    <cellStyle name="쉼표 [0] 5 20 3" xfId="12272"/>
    <cellStyle name="쉼표 [0] 5 21" xfId="20851"/>
    <cellStyle name="쉼표 [0] 5 21 2" xfId="20852"/>
    <cellStyle name="쉼표 [0] 5 21 2 2" xfId="12269"/>
    <cellStyle name="쉼표 [0] 5 21 3" xfId="12270"/>
    <cellStyle name="쉼표 [0] 5 22" xfId="20853"/>
    <cellStyle name="쉼표 [0] 5 22 2" xfId="20854"/>
    <cellStyle name="쉼표 [0] 5 22 2 2" xfId="12267"/>
    <cellStyle name="쉼표 [0] 5 22 3" xfId="12268"/>
    <cellStyle name="쉼표 [0] 5 23" xfId="20855"/>
    <cellStyle name="쉼표 [0] 5 23 2" xfId="20856"/>
    <cellStyle name="쉼표 [0] 5 23 2 2" xfId="12265"/>
    <cellStyle name="쉼표 [0] 5 23 3" xfId="12266"/>
    <cellStyle name="쉼표 [0] 5 24" xfId="20857"/>
    <cellStyle name="쉼표 [0] 5 24 2" xfId="20858"/>
    <cellStyle name="쉼표 [0] 5 24 2 2" xfId="12263"/>
    <cellStyle name="쉼표 [0] 5 24 3" xfId="12264"/>
    <cellStyle name="쉼표 [0] 5 25" xfId="20859"/>
    <cellStyle name="쉼표 [0] 5 25 2" xfId="20860"/>
    <cellStyle name="쉼표 [0] 5 25 2 2" xfId="12261"/>
    <cellStyle name="쉼표 [0] 5 25 3" xfId="12262"/>
    <cellStyle name="쉼표 [0] 5 26" xfId="20861"/>
    <cellStyle name="쉼표 [0] 5 26 2" xfId="20862"/>
    <cellStyle name="쉼표 [0] 5 26 2 2" xfId="12259"/>
    <cellStyle name="쉼표 [0] 5 26 3" xfId="12260"/>
    <cellStyle name="쉼표 [0] 5 27" xfId="20863"/>
    <cellStyle name="쉼표 [0] 5 27 2" xfId="20864"/>
    <cellStyle name="쉼표 [0] 5 27 2 2" xfId="12257"/>
    <cellStyle name="쉼표 [0] 5 27 3" xfId="12258"/>
    <cellStyle name="쉼표 [0] 5 28" xfId="20865"/>
    <cellStyle name="쉼표 [0] 5 28 2" xfId="12256"/>
    <cellStyle name="쉼표 [0] 5 29" xfId="20866"/>
    <cellStyle name="쉼표 [0] 5 29 2" xfId="12255"/>
    <cellStyle name="쉼표 [0] 5 3" xfId="2002"/>
    <cellStyle name="쉼표 [0] 5 3 10" xfId="20868"/>
    <cellStyle name="쉼표 [0] 5 3 10 2" xfId="20869"/>
    <cellStyle name="쉼표 [0] 5 3 10 2 2" xfId="12252"/>
    <cellStyle name="쉼표 [0] 5 3 10 3" xfId="12253"/>
    <cellStyle name="쉼표 [0] 5 3 11" xfId="20870"/>
    <cellStyle name="쉼표 [0] 5 3 11 2" xfId="20871"/>
    <cellStyle name="쉼표 [0] 5 3 11 2 2" xfId="12250"/>
    <cellStyle name="쉼표 [0] 5 3 11 3" xfId="12251"/>
    <cellStyle name="쉼표 [0] 5 3 12" xfId="20872"/>
    <cellStyle name="쉼표 [0] 5 3 12 2" xfId="20873"/>
    <cellStyle name="쉼표 [0] 5 3 12 2 2" xfId="12248"/>
    <cellStyle name="쉼표 [0] 5 3 12 3" xfId="12249"/>
    <cellStyle name="쉼표 [0] 5 3 13" xfId="20874"/>
    <cellStyle name="쉼표 [0] 5 3 13 2" xfId="12247"/>
    <cellStyle name="쉼표 [0] 5 3 14" xfId="20875"/>
    <cellStyle name="쉼표 [0] 5 3 14 2" xfId="12246"/>
    <cellStyle name="쉼표 [0] 5 3 15" xfId="20876"/>
    <cellStyle name="쉼표 [0] 5 3 15 2" xfId="12245"/>
    <cellStyle name="쉼표 [0] 5 3 16" xfId="12254"/>
    <cellStyle name="쉼표 [0] 5 3 17" xfId="28725"/>
    <cellStyle name="쉼표 [0] 5 3 18" xfId="20867"/>
    <cellStyle name="쉼표 [0] 5 3 19" xfId="30991"/>
    <cellStyle name="쉼표 [0] 5 3 19 2" xfId="32342"/>
    <cellStyle name="쉼표 [0] 5 3 2" xfId="2003"/>
    <cellStyle name="쉼표 [0] 5 3 2 10" xfId="20877"/>
    <cellStyle name="쉼표 [0] 5 3 2 2" xfId="2004"/>
    <cellStyle name="쉼표 [0] 5 3 2 2 10" xfId="20878"/>
    <cellStyle name="쉼표 [0] 5 3 2 2 2" xfId="2005"/>
    <cellStyle name="쉼표 [0] 5 3 2 2 2 2" xfId="2006"/>
    <cellStyle name="쉼표 [0] 5 3 2 2 2 2 2" xfId="2007"/>
    <cellStyle name="쉼표 [0] 5 3 2 2 2 2 2 2" xfId="20882"/>
    <cellStyle name="쉼표 [0] 5 3 2 2 2 2 2 2 2" xfId="12239"/>
    <cellStyle name="쉼표 [0] 5 3 2 2 2 2 2 3" xfId="12240"/>
    <cellStyle name="쉼표 [0] 5 3 2 2 2 2 2 4" xfId="20881"/>
    <cellStyle name="쉼표 [0] 5 3 2 2 2 2 3" xfId="20883"/>
    <cellStyle name="쉼표 [0] 5 3 2 2 2 2 3 2" xfId="12238"/>
    <cellStyle name="쉼표 [0] 5 3 2 2 2 2 4" xfId="12241"/>
    <cellStyle name="쉼표 [0] 5 3 2 2 2 2 5" xfId="20880"/>
    <cellStyle name="쉼표 [0] 5 3 2 2 2 3" xfId="2008"/>
    <cellStyle name="쉼표 [0] 5 3 2 2 2 3 2" xfId="2009"/>
    <cellStyle name="쉼표 [0] 5 3 2 2 2 3 2 2" xfId="20886"/>
    <cellStyle name="쉼표 [0] 5 3 2 2 2 3 2 2 2" xfId="12235"/>
    <cellStyle name="쉼표 [0] 5 3 2 2 2 3 2 3" xfId="12236"/>
    <cellStyle name="쉼표 [0] 5 3 2 2 2 3 2 4" xfId="20885"/>
    <cellStyle name="쉼표 [0] 5 3 2 2 2 3 3" xfId="20887"/>
    <cellStyle name="쉼표 [0] 5 3 2 2 2 3 3 2" xfId="12234"/>
    <cellStyle name="쉼표 [0] 5 3 2 2 2 3 4" xfId="12237"/>
    <cellStyle name="쉼표 [0] 5 3 2 2 2 3 5" xfId="20884"/>
    <cellStyle name="쉼표 [0] 5 3 2 2 2 4" xfId="2010"/>
    <cellStyle name="쉼표 [0] 5 3 2 2 2 4 2" xfId="2011"/>
    <cellStyle name="쉼표 [0] 5 3 2 2 2 4 2 2" xfId="20890"/>
    <cellStyle name="쉼표 [0] 5 3 2 2 2 4 2 2 2" xfId="12231"/>
    <cellStyle name="쉼표 [0] 5 3 2 2 2 4 2 3" xfId="12232"/>
    <cellStyle name="쉼표 [0] 5 3 2 2 2 4 2 4" xfId="20889"/>
    <cellStyle name="쉼표 [0] 5 3 2 2 2 4 3" xfId="20891"/>
    <cellStyle name="쉼표 [0] 5 3 2 2 2 4 3 2" xfId="12230"/>
    <cellStyle name="쉼표 [0] 5 3 2 2 2 4 4" xfId="12233"/>
    <cellStyle name="쉼표 [0] 5 3 2 2 2 4 5" xfId="20888"/>
    <cellStyle name="쉼표 [0] 5 3 2 2 2 5" xfId="20892"/>
    <cellStyle name="쉼표 [0] 5 3 2 2 2 5 2" xfId="12229"/>
    <cellStyle name="쉼표 [0] 5 3 2 2 2 6" xfId="12242"/>
    <cellStyle name="쉼표 [0] 5 3 2 2 2 7" xfId="28722"/>
    <cellStyle name="쉼표 [0] 5 3 2 2 2 8" xfId="20879"/>
    <cellStyle name="쉼표 [0] 5 3 2 2 3" xfId="2012"/>
    <cellStyle name="쉼표 [0] 5 3 2 2 3 2" xfId="2013"/>
    <cellStyle name="쉼표 [0] 5 3 2 2 3 2 2" xfId="2014"/>
    <cellStyle name="쉼표 [0] 5 3 2 2 3 2 2 2" xfId="20896"/>
    <cellStyle name="쉼표 [0] 5 3 2 2 3 2 2 2 2" xfId="12225"/>
    <cellStyle name="쉼표 [0] 5 3 2 2 3 2 2 3" xfId="12226"/>
    <cellStyle name="쉼표 [0] 5 3 2 2 3 2 2 4" xfId="20895"/>
    <cellStyle name="쉼표 [0] 5 3 2 2 3 2 3" xfId="20897"/>
    <cellStyle name="쉼표 [0] 5 3 2 2 3 2 3 2" xfId="12224"/>
    <cellStyle name="쉼표 [0] 5 3 2 2 3 2 4" xfId="12227"/>
    <cellStyle name="쉼표 [0] 5 3 2 2 3 2 5" xfId="20894"/>
    <cellStyle name="쉼표 [0] 5 3 2 2 3 3" xfId="2015"/>
    <cellStyle name="쉼표 [0] 5 3 2 2 3 3 2" xfId="20899"/>
    <cellStyle name="쉼표 [0] 5 3 2 2 3 3 2 2" xfId="12222"/>
    <cellStyle name="쉼표 [0] 5 3 2 2 3 3 3" xfId="12223"/>
    <cellStyle name="쉼표 [0] 5 3 2 2 3 3 4" xfId="20898"/>
    <cellStyle name="쉼표 [0] 5 3 2 2 3 4" xfId="20900"/>
    <cellStyle name="쉼표 [0] 5 3 2 2 3 4 2" xfId="12221"/>
    <cellStyle name="쉼표 [0] 5 3 2 2 3 5" xfId="12228"/>
    <cellStyle name="쉼표 [0] 5 3 2 2 3 6" xfId="20893"/>
    <cellStyle name="쉼표 [0] 5 3 2 2 4" xfId="2016"/>
    <cellStyle name="쉼표 [0] 5 3 2 2 4 2" xfId="2017"/>
    <cellStyle name="쉼표 [0] 5 3 2 2 4 2 2" xfId="20903"/>
    <cellStyle name="쉼표 [0] 5 3 2 2 4 2 2 2" xfId="12218"/>
    <cellStyle name="쉼표 [0] 5 3 2 2 4 2 3" xfId="12219"/>
    <cellStyle name="쉼표 [0] 5 3 2 2 4 2 4" xfId="20902"/>
    <cellStyle name="쉼표 [0] 5 3 2 2 4 3" xfId="20904"/>
    <cellStyle name="쉼표 [0] 5 3 2 2 4 3 2" xfId="12217"/>
    <cellStyle name="쉼표 [0] 5 3 2 2 4 4" xfId="12220"/>
    <cellStyle name="쉼표 [0] 5 3 2 2 4 5" xfId="20901"/>
    <cellStyle name="쉼표 [0] 5 3 2 2 5" xfId="2018"/>
    <cellStyle name="쉼표 [0] 5 3 2 2 5 2" xfId="2019"/>
    <cellStyle name="쉼표 [0] 5 3 2 2 5 2 2" xfId="20907"/>
    <cellStyle name="쉼표 [0] 5 3 2 2 5 2 2 2" xfId="12214"/>
    <cellStyle name="쉼표 [0] 5 3 2 2 5 2 3" xfId="12215"/>
    <cellStyle name="쉼표 [0] 5 3 2 2 5 2 4" xfId="20906"/>
    <cellStyle name="쉼표 [0] 5 3 2 2 5 3" xfId="20908"/>
    <cellStyle name="쉼표 [0] 5 3 2 2 5 3 2" xfId="12213"/>
    <cellStyle name="쉼표 [0] 5 3 2 2 5 4" xfId="12216"/>
    <cellStyle name="쉼표 [0] 5 3 2 2 5 5" xfId="20905"/>
    <cellStyle name="쉼표 [0] 5 3 2 2 6" xfId="20909"/>
    <cellStyle name="쉼표 [0] 5 3 2 2 6 2" xfId="20910"/>
    <cellStyle name="쉼표 [0] 5 3 2 2 6 2 2" xfId="12211"/>
    <cellStyle name="쉼표 [0] 5 3 2 2 6 3" xfId="12212"/>
    <cellStyle name="쉼표 [0] 5 3 2 2 7" xfId="20911"/>
    <cellStyle name="쉼표 [0] 5 3 2 2 7 2" xfId="12210"/>
    <cellStyle name="쉼표 [0] 5 3 2 2 8" xfId="12243"/>
    <cellStyle name="쉼표 [0] 5 3 2 2 9" xfId="28723"/>
    <cellStyle name="쉼표 [0] 5 3 2 3" xfId="2020"/>
    <cellStyle name="쉼표 [0] 5 3 2 3 2" xfId="2021"/>
    <cellStyle name="쉼표 [0] 5 3 2 3 2 2" xfId="2022"/>
    <cellStyle name="쉼표 [0] 5 3 2 3 2 2 2" xfId="20915"/>
    <cellStyle name="쉼표 [0] 5 3 2 3 2 2 2 2" xfId="12206"/>
    <cellStyle name="쉼표 [0] 5 3 2 3 2 2 3" xfId="12207"/>
    <cellStyle name="쉼표 [0] 5 3 2 3 2 2 4" xfId="20914"/>
    <cellStyle name="쉼표 [0] 5 3 2 3 2 3" xfId="20916"/>
    <cellStyle name="쉼표 [0] 5 3 2 3 2 3 2" xfId="12205"/>
    <cellStyle name="쉼표 [0] 5 3 2 3 2 4" xfId="12208"/>
    <cellStyle name="쉼표 [0] 5 3 2 3 2 5" xfId="20913"/>
    <cellStyle name="쉼표 [0] 5 3 2 3 3" xfId="2023"/>
    <cellStyle name="쉼표 [0] 5 3 2 3 3 2" xfId="2024"/>
    <cellStyle name="쉼표 [0] 5 3 2 3 3 2 2" xfId="20919"/>
    <cellStyle name="쉼표 [0] 5 3 2 3 3 2 2 2" xfId="12202"/>
    <cellStyle name="쉼표 [0] 5 3 2 3 3 2 3" xfId="12203"/>
    <cellStyle name="쉼표 [0] 5 3 2 3 3 2 4" xfId="20918"/>
    <cellStyle name="쉼표 [0] 5 3 2 3 3 3" xfId="20920"/>
    <cellStyle name="쉼표 [0] 5 3 2 3 3 3 2" xfId="12201"/>
    <cellStyle name="쉼표 [0] 5 3 2 3 3 4" xfId="12204"/>
    <cellStyle name="쉼표 [0] 5 3 2 3 3 5" xfId="20917"/>
    <cellStyle name="쉼표 [0] 5 3 2 3 4" xfId="2025"/>
    <cellStyle name="쉼표 [0] 5 3 2 3 4 2" xfId="2026"/>
    <cellStyle name="쉼표 [0] 5 3 2 3 4 2 2" xfId="20923"/>
    <cellStyle name="쉼표 [0] 5 3 2 3 4 2 2 2" xfId="12198"/>
    <cellStyle name="쉼표 [0] 5 3 2 3 4 2 3" xfId="12199"/>
    <cellStyle name="쉼표 [0] 5 3 2 3 4 2 4" xfId="20922"/>
    <cellStyle name="쉼표 [0] 5 3 2 3 4 3" xfId="20924"/>
    <cellStyle name="쉼표 [0] 5 3 2 3 4 3 2" xfId="12197"/>
    <cellStyle name="쉼표 [0] 5 3 2 3 4 4" xfId="12200"/>
    <cellStyle name="쉼표 [0] 5 3 2 3 4 5" xfId="20921"/>
    <cellStyle name="쉼표 [0] 5 3 2 3 5" xfId="20925"/>
    <cellStyle name="쉼표 [0] 5 3 2 3 5 2" xfId="20926"/>
    <cellStyle name="쉼표 [0] 5 3 2 3 5 2 2" xfId="12195"/>
    <cellStyle name="쉼표 [0] 5 3 2 3 5 3" xfId="12196"/>
    <cellStyle name="쉼표 [0] 5 3 2 3 6" xfId="20927"/>
    <cellStyle name="쉼표 [0] 5 3 2 3 6 2" xfId="12194"/>
    <cellStyle name="쉼표 [0] 5 3 2 3 7" xfId="12209"/>
    <cellStyle name="쉼표 [0] 5 3 2 3 8" xfId="28721"/>
    <cellStyle name="쉼표 [0] 5 3 2 3 9" xfId="20912"/>
    <cellStyle name="쉼표 [0] 5 3 2 4" xfId="2027"/>
    <cellStyle name="쉼표 [0] 5 3 2 4 2" xfId="2028"/>
    <cellStyle name="쉼표 [0] 5 3 2 4 2 2" xfId="2029"/>
    <cellStyle name="쉼표 [0] 5 3 2 4 2 2 2" xfId="20931"/>
    <cellStyle name="쉼표 [0] 5 3 2 4 2 2 2 2" xfId="12190"/>
    <cellStyle name="쉼표 [0] 5 3 2 4 2 2 3" xfId="12191"/>
    <cellStyle name="쉼표 [0] 5 3 2 4 2 2 4" xfId="20930"/>
    <cellStyle name="쉼표 [0] 5 3 2 4 2 3" xfId="20932"/>
    <cellStyle name="쉼표 [0] 5 3 2 4 2 3 2" xfId="12189"/>
    <cellStyle name="쉼표 [0] 5 3 2 4 2 4" xfId="12192"/>
    <cellStyle name="쉼표 [0] 5 3 2 4 2 5" xfId="20929"/>
    <cellStyle name="쉼표 [0] 5 3 2 4 3" xfId="2030"/>
    <cellStyle name="쉼표 [0] 5 3 2 4 3 2" xfId="20934"/>
    <cellStyle name="쉼표 [0] 5 3 2 4 3 2 2" xfId="12187"/>
    <cellStyle name="쉼표 [0] 5 3 2 4 3 3" xfId="12188"/>
    <cellStyle name="쉼표 [0] 5 3 2 4 3 4" xfId="20933"/>
    <cellStyle name="쉼표 [0] 5 3 2 4 4" xfId="20935"/>
    <cellStyle name="쉼표 [0] 5 3 2 4 4 2" xfId="20936"/>
    <cellStyle name="쉼표 [0] 5 3 2 4 4 2 2" xfId="12185"/>
    <cellStyle name="쉼표 [0] 5 3 2 4 4 3" xfId="12186"/>
    <cellStyle name="쉼표 [0] 5 3 2 4 5" xfId="20937"/>
    <cellStyle name="쉼표 [0] 5 3 2 4 5 2" xfId="12184"/>
    <cellStyle name="쉼표 [0] 5 3 2 4 6" xfId="12193"/>
    <cellStyle name="쉼표 [0] 5 3 2 4 7" xfId="20928"/>
    <cellStyle name="쉼표 [0] 5 3 2 5" xfId="2031"/>
    <cellStyle name="쉼표 [0] 5 3 2 5 2" xfId="2032"/>
    <cellStyle name="쉼표 [0] 5 3 2 5 2 2" xfId="20940"/>
    <cellStyle name="쉼표 [0] 5 3 2 5 2 2 2" xfId="12181"/>
    <cellStyle name="쉼표 [0] 5 3 2 5 2 3" xfId="12182"/>
    <cellStyle name="쉼표 [0] 5 3 2 5 2 4" xfId="20939"/>
    <cellStyle name="쉼표 [0] 5 3 2 5 3" xfId="20941"/>
    <cellStyle name="쉼표 [0] 5 3 2 5 3 2" xfId="12180"/>
    <cellStyle name="쉼표 [0] 5 3 2 5 4" xfId="12183"/>
    <cellStyle name="쉼표 [0] 5 3 2 5 5" xfId="20938"/>
    <cellStyle name="쉼표 [0] 5 3 2 6" xfId="2033"/>
    <cellStyle name="쉼표 [0] 5 3 2 6 2" xfId="2034"/>
    <cellStyle name="쉼표 [0] 5 3 2 6 2 2" xfId="20944"/>
    <cellStyle name="쉼표 [0] 5 3 2 6 2 2 2" xfId="12177"/>
    <cellStyle name="쉼표 [0] 5 3 2 6 2 3" xfId="12178"/>
    <cellStyle name="쉼표 [0] 5 3 2 6 2 4" xfId="20943"/>
    <cellStyle name="쉼표 [0] 5 3 2 6 3" xfId="20945"/>
    <cellStyle name="쉼표 [0] 5 3 2 6 3 2" xfId="12176"/>
    <cellStyle name="쉼표 [0] 5 3 2 6 4" xfId="12179"/>
    <cellStyle name="쉼표 [0] 5 3 2 6 5" xfId="20942"/>
    <cellStyle name="쉼표 [0] 5 3 2 7" xfId="20946"/>
    <cellStyle name="쉼표 [0] 5 3 2 7 2" xfId="12175"/>
    <cellStyle name="쉼표 [0] 5 3 2 8" xfId="12244"/>
    <cellStyle name="쉼표 [0] 5 3 2 9" xfId="28724"/>
    <cellStyle name="쉼표 [0] 5 3 3" xfId="2035"/>
    <cellStyle name="쉼표 [0] 5 3 3 2" xfId="2036"/>
    <cellStyle name="쉼표 [0] 5 3 3 2 2" xfId="2037"/>
    <cellStyle name="쉼표 [0] 5 3 3 2 2 2" xfId="2038"/>
    <cellStyle name="쉼표 [0] 5 3 3 2 2 2 2" xfId="2039"/>
    <cellStyle name="쉼표 [0] 5 3 3 2 2 2 2 2" xfId="20952"/>
    <cellStyle name="쉼표 [0] 5 3 3 2 2 2 2 2 2" xfId="12169"/>
    <cellStyle name="쉼표 [0] 5 3 3 2 2 2 2 3" xfId="12170"/>
    <cellStyle name="쉼표 [0] 5 3 3 2 2 2 2 4" xfId="20951"/>
    <cellStyle name="쉼표 [0] 5 3 3 2 2 2 3" xfId="20953"/>
    <cellStyle name="쉼표 [0] 5 3 3 2 2 2 3 2" xfId="12168"/>
    <cellStyle name="쉼표 [0] 5 3 3 2 2 2 4" xfId="12171"/>
    <cellStyle name="쉼표 [0] 5 3 3 2 2 2 5" xfId="20950"/>
    <cellStyle name="쉼표 [0] 5 3 3 2 2 3" xfId="20954"/>
    <cellStyle name="쉼표 [0] 5 3 3 2 2 3 2" xfId="12167"/>
    <cellStyle name="쉼표 [0] 5 3 3 2 2 4" xfId="12172"/>
    <cellStyle name="쉼표 [0] 5 3 3 2 2 5" xfId="28718"/>
    <cellStyle name="쉼표 [0] 5 3 3 2 2 6" xfId="20949"/>
    <cellStyle name="쉼표 [0] 5 3 3 2 3" xfId="2040"/>
    <cellStyle name="쉼표 [0] 5 3 3 2 3 2" xfId="2041"/>
    <cellStyle name="쉼표 [0] 5 3 3 2 3 2 2" xfId="20957"/>
    <cellStyle name="쉼표 [0] 5 3 3 2 3 2 2 2" xfId="12164"/>
    <cellStyle name="쉼표 [0] 5 3 3 2 3 2 3" xfId="12165"/>
    <cellStyle name="쉼표 [0] 5 3 3 2 3 2 4" xfId="20956"/>
    <cellStyle name="쉼표 [0] 5 3 3 2 3 3" xfId="20958"/>
    <cellStyle name="쉼표 [0] 5 3 3 2 3 3 2" xfId="12163"/>
    <cellStyle name="쉼표 [0] 5 3 3 2 3 4" xfId="12166"/>
    <cellStyle name="쉼표 [0] 5 3 3 2 3 5" xfId="20955"/>
    <cellStyle name="쉼표 [0] 5 3 3 2 4" xfId="2042"/>
    <cellStyle name="쉼표 [0] 5 3 3 2 4 2" xfId="2043"/>
    <cellStyle name="쉼표 [0] 5 3 3 2 4 2 2" xfId="20961"/>
    <cellStyle name="쉼표 [0] 5 3 3 2 4 2 2 2" xfId="12160"/>
    <cellStyle name="쉼표 [0] 5 3 3 2 4 2 3" xfId="12161"/>
    <cellStyle name="쉼표 [0] 5 3 3 2 4 2 4" xfId="20960"/>
    <cellStyle name="쉼표 [0] 5 3 3 2 4 3" xfId="20962"/>
    <cellStyle name="쉼표 [0] 5 3 3 2 4 3 2" xfId="12159"/>
    <cellStyle name="쉼표 [0] 5 3 3 2 4 4" xfId="12162"/>
    <cellStyle name="쉼표 [0] 5 3 3 2 4 5" xfId="20959"/>
    <cellStyle name="쉼표 [0] 5 3 3 2 5" xfId="20963"/>
    <cellStyle name="쉼표 [0] 5 3 3 2 5 2" xfId="20964"/>
    <cellStyle name="쉼표 [0] 5 3 3 2 5 2 2" xfId="12157"/>
    <cellStyle name="쉼표 [0] 5 3 3 2 5 3" xfId="12158"/>
    <cellStyle name="쉼표 [0] 5 3 3 2 6" xfId="20965"/>
    <cellStyle name="쉼표 [0] 5 3 3 2 6 2" xfId="12156"/>
    <cellStyle name="쉼표 [0] 5 3 3 2 7" xfId="12173"/>
    <cellStyle name="쉼표 [0] 5 3 3 2 8" xfId="28719"/>
    <cellStyle name="쉼표 [0] 5 3 3 2 9" xfId="20948"/>
    <cellStyle name="쉼표 [0] 5 3 3 3" xfId="2044"/>
    <cellStyle name="쉼표 [0] 5 3 3 3 2" xfId="2045"/>
    <cellStyle name="쉼표 [0] 5 3 3 3 2 2" xfId="2046"/>
    <cellStyle name="쉼표 [0] 5 3 3 3 2 2 2" xfId="20969"/>
    <cellStyle name="쉼표 [0] 5 3 3 3 2 2 2 2" xfId="12152"/>
    <cellStyle name="쉼표 [0] 5 3 3 3 2 2 3" xfId="12153"/>
    <cellStyle name="쉼표 [0] 5 3 3 3 2 2 4" xfId="20968"/>
    <cellStyle name="쉼표 [0] 5 3 3 3 2 3" xfId="20970"/>
    <cellStyle name="쉼표 [0] 5 3 3 3 2 3 2" xfId="12151"/>
    <cellStyle name="쉼표 [0] 5 3 3 3 2 4" xfId="12154"/>
    <cellStyle name="쉼표 [0] 5 3 3 3 2 5" xfId="20967"/>
    <cellStyle name="쉼표 [0] 5 3 3 3 3" xfId="2047"/>
    <cellStyle name="쉼표 [0] 5 3 3 3 3 2" xfId="2048"/>
    <cellStyle name="쉼표 [0] 5 3 3 3 3 2 2" xfId="20973"/>
    <cellStyle name="쉼표 [0] 5 3 3 3 3 2 2 2" xfId="12148"/>
    <cellStyle name="쉼표 [0] 5 3 3 3 3 2 3" xfId="12149"/>
    <cellStyle name="쉼표 [0] 5 3 3 3 3 2 4" xfId="20972"/>
    <cellStyle name="쉼표 [0] 5 3 3 3 3 3" xfId="20974"/>
    <cellStyle name="쉼표 [0] 5 3 3 3 3 3 2" xfId="12147"/>
    <cellStyle name="쉼표 [0] 5 3 3 3 3 4" xfId="12150"/>
    <cellStyle name="쉼표 [0] 5 3 3 3 3 5" xfId="20971"/>
    <cellStyle name="쉼표 [0] 5 3 3 3 4" xfId="20975"/>
    <cellStyle name="쉼표 [0] 5 3 3 3 4 2" xfId="20976"/>
    <cellStyle name="쉼표 [0] 5 3 3 3 4 2 2" xfId="12145"/>
    <cellStyle name="쉼표 [0] 5 3 3 3 4 3" xfId="12146"/>
    <cellStyle name="쉼표 [0] 5 3 3 3 5" xfId="20977"/>
    <cellStyle name="쉼표 [0] 5 3 3 3 5 2" xfId="12144"/>
    <cellStyle name="쉼표 [0] 5 3 3 3 6" xfId="12155"/>
    <cellStyle name="쉼표 [0] 5 3 3 3 7" xfId="28717"/>
    <cellStyle name="쉼표 [0] 5 3 3 3 8" xfId="20966"/>
    <cellStyle name="쉼표 [0] 5 3 3 4" xfId="2049"/>
    <cellStyle name="쉼표 [0] 5 3 3 4 2" xfId="2050"/>
    <cellStyle name="쉼표 [0] 5 3 3 4 2 2" xfId="20980"/>
    <cellStyle name="쉼표 [0] 5 3 3 4 2 2 2" xfId="12141"/>
    <cellStyle name="쉼표 [0] 5 3 3 4 2 3" xfId="12142"/>
    <cellStyle name="쉼표 [0] 5 3 3 4 2 4" xfId="20979"/>
    <cellStyle name="쉼표 [0] 5 3 3 4 3" xfId="20981"/>
    <cellStyle name="쉼표 [0] 5 3 3 4 3 2" xfId="20982"/>
    <cellStyle name="쉼표 [0] 5 3 3 4 3 2 2" xfId="12139"/>
    <cellStyle name="쉼표 [0] 5 3 3 4 3 3" xfId="12140"/>
    <cellStyle name="쉼표 [0] 5 3 3 4 4" xfId="20983"/>
    <cellStyle name="쉼표 [0] 5 3 3 4 4 2" xfId="12138"/>
    <cellStyle name="쉼표 [0] 5 3 3 4 5" xfId="12143"/>
    <cellStyle name="쉼표 [0] 5 3 3 4 6" xfId="20978"/>
    <cellStyle name="쉼표 [0] 5 3 3 5" xfId="2051"/>
    <cellStyle name="쉼표 [0] 5 3 3 5 2" xfId="2052"/>
    <cellStyle name="쉼표 [0] 5 3 3 5 2 2" xfId="20986"/>
    <cellStyle name="쉼표 [0] 5 3 3 5 2 2 2" xfId="12135"/>
    <cellStyle name="쉼표 [0] 5 3 3 5 2 3" xfId="12136"/>
    <cellStyle name="쉼표 [0] 5 3 3 5 2 4" xfId="20985"/>
    <cellStyle name="쉼표 [0] 5 3 3 5 3" xfId="20987"/>
    <cellStyle name="쉼표 [0] 5 3 3 5 3 2" xfId="12134"/>
    <cellStyle name="쉼표 [0] 5 3 3 5 4" xfId="12137"/>
    <cellStyle name="쉼표 [0] 5 3 3 5 5" xfId="20984"/>
    <cellStyle name="쉼표 [0] 5 3 3 6" xfId="20988"/>
    <cellStyle name="쉼표 [0] 5 3 3 6 2" xfId="12133"/>
    <cellStyle name="쉼표 [0] 5 3 3 7" xfId="12174"/>
    <cellStyle name="쉼표 [0] 5 3 3 8" xfId="28720"/>
    <cellStyle name="쉼표 [0] 5 3 3 9" xfId="20947"/>
    <cellStyle name="쉼표 [0] 5 3 4" xfId="2053"/>
    <cellStyle name="쉼표 [0] 5 3 4 2" xfId="2054"/>
    <cellStyle name="쉼표 [0] 5 3 4 2 2" xfId="2055"/>
    <cellStyle name="쉼표 [0] 5 3 4 2 2 2" xfId="2056"/>
    <cellStyle name="쉼표 [0] 5 3 4 2 2 2 2" xfId="20993"/>
    <cellStyle name="쉼표 [0] 5 3 4 2 2 2 2 2" xfId="12128"/>
    <cellStyle name="쉼표 [0] 5 3 4 2 2 2 3" xfId="12129"/>
    <cellStyle name="쉼표 [0] 5 3 4 2 2 2 4" xfId="20992"/>
    <cellStyle name="쉼표 [0] 5 3 4 2 2 3" xfId="20994"/>
    <cellStyle name="쉼표 [0] 5 3 4 2 2 3 2" xfId="12127"/>
    <cellStyle name="쉼표 [0] 5 3 4 2 2 4" xfId="12130"/>
    <cellStyle name="쉼표 [0] 5 3 4 2 2 5" xfId="20991"/>
    <cellStyle name="쉼표 [0] 5 3 4 2 3" xfId="20995"/>
    <cellStyle name="쉼표 [0] 5 3 4 2 3 2" xfId="20996"/>
    <cellStyle name="쉼표 [0] 5 3 4 2 3 2 2" xfId="12125"/>
    <cellStyle name="쉼표 [0] 5 3 4 2 3 3" xfId="12126"/>
    <cellStyle name="쉼표 [0] 5 3 4 2 4" xfId="20997"/>
    <cellStyle name="쉼표 [0] 5 3 4 2 4 2" xfId="12124"/>
    <cellStyle name="쉼표 [0] 5 3 4 2 5" xfId="12131"/>
    <cellStyle name="쉼표 [0] 5 3 4 2 6" xfId="28715"/>
    <cellStyle name="쉼표 [0] 5 3 4 2 7" xfId="20990"/>
    <cellStyle name="쉼표 [0] 5 3 4 3" xfId="2057"/>
    <cellStyle name="쉼표 [0] 5 3 4 3 2" xfId="2058"/>
    <cellStyle name="쉼표 [0] 5 3 4 3 2 2" xfId="21000"/>
    <cellStyle name="쉼표 [0] 5 3 4 3 2 2 2" xfId="12121"/>
    <cellStyle name="쉼표 [0] 5 3 4 3 2 3" xfId="12122"/>
    <cellStyle name="쉼표 [0] 5 3 4 3 2 4" xfId="20999"/>
    <cellStyle name="쉼표 [0] 5 3 4 3 3" xfId="21001"/>
    <cellStyle name="쉼표 [0] 5 3 4 3 3 2" xfId="21002"/>
    <cellStyle name="쉼표 [0] 5 3 4 3 3 2 2" xfId="12119"/>
    <cellStyle name="쉼표 [0] 5 3 4 3 3 3" xfId="12120"/>
    <cellStyle name="쉼표 [0] 5 3 4 3 4" xfId="21003"/>
    <cellStyle name="쉼표 [0] 5 3 4 3 4 2" xfId="12118"/>
    <cellStyle name="쉼표 [0] 5 3 4 3 5" xfId="12123"/>
    <cellStyle name="쉼표 [0] 5 3 4 3 6" xfId="20998"/>
    <cellStyle name="쉼표 [0] 5 3 4 4" xfId="2059"/>
    <cellStyle name="쉼표 [0] 5 3 4 4 2" xfId="2060"/>
    <cellStyle name="쉼표 [0] 5 3 4 4 2 2" xfId="21006"/>
    <cellStyle name="쉼표 [0] 5 3 4 4 2 2 2" xfId="12115"/>
    <cellStyle name="쉼표 [0] 5 3 4 4 2 3" xfId="12116"/>
    <cellStyle name="쉼표 [0] 5 3 4 4 2 4" xfId="21005"/>
    <cellStyle name="쉼표 [0] 5 3 4 4 3" xfId="21007"/>
    <cellStyle name="쉼표 [0] 5 3 4 4 3 2" xfId="21008"/>
    <cellStyle name="쉼표 [0] 5 3 4 4 3 2 2" xfId="12113"/>
    <cellStyle name="쉼표 [0] 5 3 4 4 3 3" xfId="12114"/>
    <cellStyle name="쉼표 [0] 5 3 4 4 4" xfId="21009"/>
    <cellStyle name="쉼표 [0] 5 3 4 4 4 2" xfId="12112"/>
    <cellStyle name="쉼표 [0] 5 3 4 4 5" xfId="12117"/>
    <cellStyle name="쉼표 [0] 5 3 4 4 6" xfId="21004"/>
    <cellStyle name="쉼표 [0] 5 3 4 5" xfId="21010"/>
    <cellStyle name="쉼표 [0] 5 3 4 5 2" xfId="12111"/>
    <cellStyle name="쉼표 [0] 5 3 4 6" xfId="12132"/>
    <cellStyle name="쉼표 [0] 5 3 4 7" xfId="28716"/>
    <cellStyle name="쉼표 [0] 5 3 4 8" xfId="20989"/>
    <cellStyle name="쉼표 [0] 5 3 5" xfId="2061"/>
    <cellStyle name="쉼표 [0] 5 3 5 2" xfId="2062"/>
    <cellStyle name="쉼표 [0] 5 3 5 2 2" xfId="2063"/>
    <cellStyle name="쉼표 [0] 5 3 5 2 2 2" xfId="21014"/>
    <cellStyle name="쉼표 [0] 5 3 5 2 2 2 2" xfId="12107"/>
    <cellStyle name="쉼표 [0] 5 3 5 2 2 3" xfId="12108"/>
    <cellStyle name="쉼표 [0] 5 3 5 2 2 4" xfId="21013"/>
    <cellStyle name="쉼표 [0] 5 3 5 2 3" xfId="21015"/>
    <cellStyle name="쉼표 [0] 5 3 5 2 3 2" xfId="12106"/>
    <cellStyle name="쉼표 [0] 5 3 5 2 4" xfId="12109"/>
    <cellStyle name="쉼표 [0] 5 3 5 2 5" xfId="21012"/>
    <cellStyle name="쉼표 [0] 5 3 5 3" xfId="2064"/>
    <cellStyle name="쉼표 [0] 5 3 5 3 2" xfId="2065"/>
    <cellStyle name="쉼표 [0] 5 3 5 3 2 2" xfId="21018"/>
    <cellStyle name="쉼표 [0] 5 3 5 3 2 2 2" xfId="12103"/>
    <cellStyle name="쉼표 [0] 5 3 5 3 2 3" xfId="12104"/>
    <cellStyle name="쉼표 [0] 5 3 5 3 2 4" xfId="21017"/>
    <cellStyle name="쉼표 [0] 5 3 5 3 3" xfId="21019"/>
    <cellStyle name="쉼표 [0] 5 3 5 3 3 2" xfId="12102"/>
    <cellStyle name="쉼표 [0] 5 3 5 3 4" xfId="12105"/>
    <cellStyle name="쉼표 [0] 5 3 5 3 5" xfId="21016"/>
    <cellStyle name="쉼표 [0] 5 3 5 4" xfId="21020"/>
    <cellStyle name="쉼표 [0] 5 3 5 4 2" xfId="12101"/>
    <cellStyle name="쉼표 [0] 5 3 5 5" xfId="12110"/>
    <cellStyle name="쉼표 [0] 5 3 5 6" xfId="28714"/>
    <cellStyle name="쉼표 [0] 5 3 5 7" xfId="21011"/>
    <cellStyle name="쉼표 [0] 5 3 6" xfId="2066"/>
    <cellStyle name="쉼표 [0] 5 3 6 2" xfId="2067"/>
    <cellStyle name="쉼표 [0] 5 3 6 2 2" xfId="21023"/>
    <cellStyle name="쉼표 [0] 5 3 6 2 2 2" xfId="12098"/>
    <cellStyle name="쉼표 [0] 5 3 6 2 3" xfId="12099"/>
    <cellStyle name="쉼표 [0] 5 3 6 2 4" xfId="28712"/>
    <cellStyle name="쉼표 [0] 5 3 6 2 5" xfId="21022"/>
    <cellStyle name="쉼표 [0] 5 3 6 3" xfId="2068"/>
    <cellStyle name="쉼표 [0] 5 3 6 3 2" xfId="2069"/>
    <cellStyle name="쉼표 [0] 5 3 6 3 2 2" xfId="21026"/>
    <cellStyle name="쉼표 [0] 5 3 6 3 2 2 2" xfId="12095"/>
    <cellStyle name="쉼표 [0] 5 3 6 3 2 3" xfId="12096"/>
    <cellStyle name="쉼표 [0] 5 3 6 3 2 4" xfId="21025"/>
    <cellStyle name="쉼표 [0] 5 3 6 3 3" xfId="21027"/>
    <cellStyle name="쉼표 [0] 5 3 6 3 3 2" xfId="12094"/>
    <cellStyle name="쉼표 [0] 5 3 6 3 4" xfId="12097"/>
    <cellStyle name="쉼표 [0] 5 3 6 3 5" xfId="21024"/>
    <cellStyle name="쉼표 [0] 5 3 6 4" xfId="21028"/>
    <cellStyle name="쉼표 [0] 5 3 6 4 2" xfId="12093"/>
    <cellStyle name="쉼표 [0] 5 3 6 5" xfId="12100"/>
    <cellStyle name="쉼표 [0] 5 3 6 6" xfId="28713"/>
    <cellStyle name="쉼표 [0] 5 3 6 7" xfId="21021"/>
    <cellStyle name="쉼표 [0] 5 3 7" xfId="2070"/>
    <cellStyle name="쉼표 [0] 5 3 7 2" xfId="21030"/>
    <cellStyle name="쉼표 [0] 5 3 7 2 2" xfId="12091"/>
    <cellStyle name="쉼표 [0] 5 3 7 3" xfId="12092"/>
    <cellStyle name="쉼표 [0] 5 3 7 4" xfId="28711"/>
    <cellStyle name="쉼표 [0] 5 3 7 5" xfId="21029"/>
    <cellStyle name="쉼표 [0] 5 3 8" xfId="2071"/>
    <cellStyle name="쉼표 [0] 5 3 8 2" xfId="2072"/>
    <cellStyle name="쉼표 [0] 5 3 8 2 2" xfId="21033"/>
    <cellStyle name="쉼표 [0] 5 3 8 2 2 2" xfId="12088"/>
    <cellStyle name="쉼표 [0] 5 3 8 2 3" xfId="12089"/>
    <cellStyle name="쉼표 [0] 5 3 8 2 4" xfId="21032"/>
    <cellStyle name="쉼표 [0] 5 3 8 3" xfId="21034"/>
    <cellStyle name="쉼표 [0] 5 3 8 3 2" xfId="12087"/>
    <cellStyle name="쉼표 [0] 5 3 8 4" xfId="12090"/>
    <cellStyle name="쉼표 [0] 5 3 8 5" xfId="21031"/>
    <cellStyle name="쉼표 [0] 5 3 9" xfId="21035"/>
    <cellStyle name="쉼표 [0] 5 3 9 2" xfId="21036"/>
    <cellStyle name="쉼표 [0] 5 3 9 2 2" xfId="21037"/>
    <cellStyle name="쉼표 [0] 5 3 9 2 2 2" xfId="12084"/>
    <cellStyle name="쉼표 [0] 5 3 9 2 3" xfId="12085"/>
    <cellStyle name="쉼표 [0] 5 3 9 3" xfId="21038"/>
    <cellStyle name="쉼표 [0] 5 3 9 3 2" xfId="12083"/>
    <cellStyle name="쉼표 [0] 5 3 9 4" xfId="12086"/>
    <cellStyle name="쉼표 [0] 5 30" xfId="12719"/>
    <cellStyle name="쉼표 [0] 5 31" xfId="28779"/>
    <cellStyle name="쉼표 [0] 5 32" xfId="20402"/>
    <cellStyle name="쉼표 [0] 5 33" xfId="30706"/>
    <cellStyle name="쉼표 [0] 5 34" xfId="30931"/>
    <cellStyle name="쉼표 [0] 5 34 2" xfId="32284"/>
    <cellStyle name="쉼표 [0] 5 35" xfId="31506"/>
    <cellStyle name="쉼표 [0] 5 4" xfId="2073"/>
    <cellStyle name="쉼표 [0] 5 4 10" xfId="21040"/>
    <cellStyle name="쉼표 [0] 5 4 10 2" xfId="21041"/>
    <cellStyle name="쉼표 [0] 5 4 10 2 2" xfId="12080"/>
    <cellStyle name="쉼표 [0] 5 4 10 3" xfId="12081"/>
    <cellStyle name="쉼표 [0] 5 4 11" xfId="21042"/>
    <cellStyle name="쉼표 [0] 5 4 11 2" xfId="21043"/>
    <cellStyle name="쉼표 [0] 5 4 11 2 2" xfId="12078"/>
    <cellStyle name="쉼표 [0] 5 4 11 3" xfId="12079"/>
    <cellStyle name="쉼표 [0] 5 4 12" xfId="21044"/>
    <cellStyle name="쉼표 [0] 5 4 12 2" xfId="21045"/>
    <cellStyle name="쉼표 [0] 5 4 12 2 2" xfId="12076"/>
    <cellStyle name="쉼표 [0] 5 4 12 3" xfId="12077"/>
    <cellStyle name="쉼표 [0] 5 4 13" xfId="21046"/>
    <cellStyle name="쉼표 [0] 5 4 13 2" xfId="12075"/>
    <cellStyle name="쉼표 [0] 5 4 14" xfId="21047"/>
    <cellStyle name="쉼표 [0] 5 4 14 2" xfId="12074"/>
    <cellStyle name="쉼표 [0] 5 4 15" xfId="21048"/>
    <cellStyle name="쉼표 [0] 5 4 15 2" xfId="12073"/>
    <cellStyle name="쉼표 [0] 5 4 16" xfId="12082"/>
    <cellStyle name="쉼표 [0] 5 4 17" xfId="28710"/>
    <cellStyle name="쉼표 [0] 5 4 18" xfId="21039"/>
    <cellStyle name="쉼표 [0] 5 4 19" xfId="29541"/>
    <cellStyle name="쉼표 [0] 5 4 2" xfId="2074"/>
    <cellStyle name="쉼표 [0] 5 4 2 2" xfId="2075"/>
    <cellStyle name="쉼표 [0] 5 4 2 2 2" xfId="2076"/>
    <cellStyle name="쉼표 [0] 5 4 2 2 2 2" xfId="2077"/>
    <cellStyle name="쉼표 [0] 5 4 2 2 2 2 2" xfId="21053"/>
    <cellStyle name="쉼표 [0] 5 4 2 2 2 2 2 2" xfId="12068"/>
    <cellStyle name="쉼표 [0] 5 4 2 2 2 2 3" xfId="12069"/>
    <cellStyle name="쉼표 [0] 5 4 2 2 2 2 4" xfId="21052"/>
    <cellStyle name="쉼표 [0] 5 4 2 2 2 3" xfId="21054"/>
    <cellStyle name="쉼표 [0] 5 4 2 2 2 3 2" xfId="12067"/>
    <cellStyle name="쉼표 [0] 5 4 2 2 2 4" xfId="12070"/>
    <cellStyle name="쉼표 [0] 5 4 2 2 2 5" xfId="21051"/>
    <cellStyle name="쉼표 [0] 5 4 2 2 3" xfId="2078"/>
    <cellStyle name="쉼표 [0] 5 4 2 2 3 2" xfId="2079"/>
    <cellStyle name="쉼표 [0] 5 4 2 2 3 2 2" xfId="21057"/>
    <cellStyle name="쉼표 [0] 5 4 2 2 3 2 2 2" xfId="12064"/>
    <cellStyle name="쉼표 [0] 5 4 2 2 3 2 3" xfId="12065"/>
    <cellStyle name="쉼표 [0] 5 4 2 2 3 2 4" xfId="21056"/>
    <cellStyle name="쉼표 [0] 5 4 2 2 3 3" xfId="21058"/>
    <cellStyle name="쉼표 [0] 5 4 2 2 3 3 2" xfId="12063"/>
    <cellStyle name="쉼표 [0] 5 4 2 2 3 4" xfId="12066"/>
    <cellStyle name="쉼표 [0] 5 4 2 2 3 5" xfId="21055"/>
    <cellStyle name="쉼표 [0] 5 4 2 2 4" xfId="2080"/>
    <cellStyle name="쉼표 [0] 5 4 2 2 4 2" xfId="2081"/>
    <cellStyle name="쉼표 [0] 5 4 2 2 4 2 2" xfId="21061"/>
    <cellStyle name="쉼표 [0] 5 4 2 2 4 2 2 2" xfId="12060"/>
    <cellStyle name="쉼표 [0] 5 4 2 2 4 2 3" xfId="12061"/>
    <cellStyle name="쉼표 [0] 5 4 2 2 4 2 4" xfId="21060"/>
    <cellStyle name="쉼표 [0] 5 4 2 2 4 3" xfId="21062"/>
    <cellStyle name="쉼표 [0] 5 4 2 2 4 3 2" xfId="12059"/>
    <cellStyle name="쉼표 [0] 5 4 2 2 4 4" xfId="12062"/>
    <cellStyle name="쉼표 [0] 5 4 2 2 4 5" xfId="21059"/>
    <cellStyle name="쉼표 [0] 5 4 2 2 5" xfId="21063"/>
    <cellStyle name="쉼표 [0] 5 4 2 2 5 2" xfId="21064"/>
    <cellStyle name="쉼표 [0] 5 4 2 2 5 2 2" xfId="12057"/>
    <cellStyle name="쉼표 [0] 5 4 2 2 5 3" xfId="12058"/>
    <cellStyle name="쉼표 [0] 5 4 2 2 6" xfId="21065"/>
    <cellStyle name="쉼표 [0] 5 4 2 2 6 2" xfId="12056"/>
    <cellStyle name="쉼표 [0] 5 4 2 2 7" xfId="12071"/>
    <cellStyle name="쉼표 [0] 5 4 2 2 8" xfId="28708"/>
    <cellStyle name="쉼표 [0] 5 4 2 2 9" xfId="21050"/>
    <cellStyle name="쉼표 [0] 5 4 2 3" xfId="2082"/>
    <cellStyle name="쉼표 [0] 5 4 2 3 2" xfId="2083"/>
    <cellStyle name="쉼표 [0] 5 4 2 3 2 2" xfId="2084"/>
    <cellStyle name="쉼표 [0] 5 4 2 3 2 2 2" xfId="21069"/>
    <cellStyle name="쉼표 [0] 5 4 2 3 2 2 2 2" xfId="12052"/>
    <cellStyle name="쉼표 [0] 5 4 2 3 2 2 3" xfId="12053"/>
    <cellStyle name="쉼표 [0] 5 4 2 3 2 2 4" xfId="21068"/>
    <cellStyle name="쉼표 [0] 5 4 2 3 2 3" xfId="21070"/>
    <cellStyle name="쉼표 [0] 5 4 2 3 2 3 2" xfId="12051"/>
    <cellStyle name="쉼표 [0] 5 4 2 3 2 4" xfId="12054"/>
    <cellStyle name="쉼표 [0] 5 4 2 3 2 5" xfId="21067"/>
    <cellStyle name="쉼표 [0] 5 4 2 3 3" xfId="2085"/>
    <cellStyle name="쉼표 [0] 5 4 2 3 3 2" xfId="21072"/>
    <cellStyle name="쉼표 [0] 5 4 2 3 3 2 2" xfId="12049"/>
    <cellStyle name="쉼표 [0] 5 4 2 3 3 3" xfId="12050"/>
    <cellStyle name="쉼표 [0] 5 4 2 3 3 4" xfId="21071"/>
    <cellStyle name="쉼표 [0] 5 4 2 3 4" xfId="21073"/>
    <cellStyle name="쉼표 [0] 5 4 2 3 4 2" xfId="21074"/>
    <cellStyle name="쉼표 [0] 5 4 2 3 4 2 2" xfId="12047"/>
    <cellStyle name="쉼표 [0] 5 4 2 3 4 3" xfId="12048"/>
    <cellStyle name="쉼표 [0] 5 4 2 3 5" xfId="21075"/>
    <cellStyle name="쉼표 [0] 5 4 2 3 5 2" xfId="12046"/>
    <cellStyle name="쉼표 [0] 5 4 2 3 6" xfId="12055"/>
    <cellStyle name="쉼표 [0] 5 4 2 3 7" xfId="21066"/>
    <cellStyle name="쉼표 [0] 5 4 2 4" xfId="2086"/>
    <cellStyle name="쉼표 [0] 5 4 2 4 2" xfId="2087"/>
    <cellStyle name="쉼표 [0] 5 4 2 4 2 2" xfId="21078"/>
    <cellStyle name="쉼표 [0] 5 4 2 4 2 2 2" xfId="12043"/>
    <cellStyle name="쉼표 [0] 5 4 2 4 2 3" xfId="12044"/>
    <cellStyle name="쉼표 [0] 5 4 2 4 2 4" xfId="21077"/>
    <cellStyle name="쉼표 [0] 5 4 2 4 3" xfId="21079"/>
    <cellStyle name="쉼표 [0] 5 4 2 4 3 2" xfId="21080"/>
    <cellStyle name="쉼표 [0] 5 4 2 4 3 2 2" xfId="12041"/>
    <cellStyle name="쉼표 [0] 5 4 2 4 3 3" xfId="12042"/>
    <cellStyle name="쉼표 [0] 5 4 2 4 4" xfId="21081"/>
    <cellStyle name="쉼표 [0] 5 4 2 4 4 2" xfId="12040"/>
    <cellStyle name="쉼표 [0] 5 4 2 4 5" xfId="12045"/>
    <cellStyle name="쉼표 [0] 5 4 2 4 6" xfId="21076"/>
    <cellStyle name="쉼표 [0] 5 4 2 5" xfId="2088"/>
    <cellStyle name="쉼표 [0] 5 4 2 5 2" xfId="2089"/>
    <cellStyle name="쉼표 [0] 5 4 2 5 2 2" xfId="21084"/>
    <cellStyle name="쉼표 [0] 5 4 2 5 2 2 2" xfId="12037"/>
    <cellStyle name="쉼표 [0] 5 4 2 5 2 3" xfId="12038"/>
    <cellStyle name="쉼표 [0] 5 4 2 5 2 4" xfId="21083"/>
    <cellStyle name="쉼표 [0] 5 4 2 5 3" xfId="21085"/>
    <cellStyle name="쉼표 [0] 5 4 2 5 3 2" xfId="12036"/>
    <cellStyle name="쉼표 [0] 5 4 2 5 4" xfId="12039"/>
    <cellStyle name="쉼표 [0] 5 4 2 5 5" xfId="21082"/>
    <cellStyle name="쉼표 [0] 5 4 2 6" xfId="21086"/>
    <cellStyle name="쉼표 [0] 5 4 2 6 2" xfId="12035"/>
    <cellStyle name="쉼표 [0] 5 4 2 7" xfId="12072"/>
    <cellStyle name="쉼표 [0] 5 4 2 8" xfId="28709"/>
    <cellStyle name="쉼표 [0] 5 4 2 9" xfId="21049"/>
    <cellStyle name="쉼표 [0] 5 4 20" xfId="31503"/>
    <cellStyle name="쉼표 [0] 5 4 3" xfId="2090"/>
    <cellStyle name="쉼표 [0] 5 4 3 2" xfId="2091"/>
    <cellStyle name="쉼표 [0] 5 4 3 2 2" xfId="2092"/>
    <cellStyle name="쉼표 [0] 5 4 3 2 2 2" xfId="21090"/>
    <cellStyle name="쉼표 [0] 5 4 3 2 2 2 2" xfId="12031"/>
    <cellStyle name="쉼표 [0] 5 4 3 2 2 3" xfId="12032"/>
    <cellStyle name="쉼표 [0] 5 4 3 2 2 4" xfId="21089"/>
    <cellStyle name="쉼표 [0] 5 4 3 2 3" xfId="21091"/>
    <cellStyle name="쉼표 [0] 5 4 3 2 3 2" xfId="21092"/>
    <cellStyle name="쉼표 [0] 5 4 3 2 3 2 2" xfId="12029"/>
    <cellStyle name="쉼표 [0] 5 4 3 2 3 3" xfId="12030"/>
    <cellStyle name="쉼표 [0] 5 4 3 2 4" xfId="21093"/>
    <cellStyle name="쉼표 [0] 5 4 3 2 4 2" xfId="12028"/>
    <cellStyle name="쉼표 [0] 5 4 3 2 5" xfId="12033"/>
    <cellStyle name="쉼표 [0] 5 4 3 2 6" xfId="21088"/>
    <cellStyle name="쉼표 [0] 5 4 3 3" xfId="2093"/>
    <cellStyle name="쉼표 [0] 5 4 3 3 2" xfId="2094"/>
    <cellStyle name="쉼표 [0] 5 4 3 3 2 2" xfId="21096"/>
    <cellStyle name="쉼표 [0] 5 4 3 3 2 2 2" xfId="12025"/>
    <cellStyle name="쉼표 [0] 5 4 3 3 2 3" xfId="12026"/>
    <cellStyle name="쉼표 [0] 5 4 3 3 2 4" xfId="21095"/>
    <cellStyle name="쉼표 [0] 5 4 3 3 3" xfId="21097"/>
    <cellStyle name="쉼표 [0] 5 4 3 3 3 2" xfId="21098"/>
    <cellStyle name="쉼표 [0] 5 4 3 3 3 2 2" xfId="12023"/>
    <cellStyle name="쉼표 [0] 5 4 3 3 3 3" xfId="12024"/>
    <cellStyle name="쉼표 [0] 5 4 3 3 4" xfId="21099"/>
    <cellStyle name="쉼표 [0] 5 4 3 3 4 2" xfId="12022"/>
    <cellStyle name="쉼표 [0] 5 4 3 3 5" xfId="12027"/>
    <cellStyle name="쉼표 [0] 5 4 3 3 6" xfId="21094"/>
    <cellStyle name="쉼표 [0] 5 4 3 4" xfId="2095"/>
    <cellStyle name="쉼표 [0] 5 4 3 4 2" xfId="2096"/>
    <cellStyle name="쉼표 [0] 5 4 3 4 2 2" xfId="21102"/>
    <cellStyle name="쉼표 [0] 5 4 3 4 2 2 2" xfId="12019"/>
    <cellStyle name="쉼표 [0] 5 4 3 4 2 3" xfId="12020"/>
    <cellStyle name="쉼표 [0] 5 4 3 4 2 4" xfId="21101"/>
    <cellStyle name="쉼표 [0] 5 4 3 4 3" xfId="21103"/>
    <cellStyle name="쉼표 [0] 5 4 3 4 3 2" xfId="21104"/>
    <cellStyle name="쉼표 [0] 5 4 3 4 3 2 2" xfId="12017"/>
    <cellStyle name="쉼표 [0] 5 4 3 4 3 3" xfId="12018"/>
    <cellStyle name="쉼표 [0] 5 4 3 4 4" xfId="21105"/>
    <cellStyle name="쉼표 [0] 5 4 3 4 4 2" xfId="12016"/>
    <cellStyle name="쉼표 [0] 5 4 3 4 5" xfId="12021"/>
    <cellStyle name="쉼표 [0] 5 4 3 4 6" xfId="21100"/>
    <cellStyle name="쉼표 [0] 5 4 3 5" xfId="21106"/>
    <cellStyle name="쉼표 [0] 5 4 3 5 2" xfId="12015"/>
    <cellStyle name="쉼표 [0] 5 4 3 6" xfId="12034"/>
    <cellStyle name="쉼표 [0] 5 4 3 7" xfId="28707"/>
    <cellStyle name="쉼표 [0] 5 4 3 8" xfId="21087"/>
    <cellStyle name="쉼표 [0] 5 4 4" xfId="2097"/>
    <cellStyle name="쉼표 [0] 5 4 4 2" xfId="2098"/>
    <cellStyle name="쉼표 [0] 5 4 4 2 2" xfId="2099"/>
    <cellStyle name="쉼표 [0] 5 4 4 2 2 2" xfId="21110"/>
    <cellStyle name="쉼표 [0] 5 4 4 2 2 2 2" xfId="12011"/>
    <cellStyle name="쉼표 [0] 5 4 4 2 2 3" xfId="12012"/>
    <cellStyle name="쉼표 [0] 5 4 4 2 2 4" xfId="21109"/>
    <cellStyle name="쉼표 [0] 5 4 4 2 3" xfId="21111"/>
    <cellStyle name="쉼표 [0] 5 4 4 2 3 2" xfId="21112"/>
    <cellStyle name="쉼표 [0] 5 4 4 2 3 2 2" xfId="12009"/>
    <cellStyle name="쉼표 [0] 5 4 4 2 3 3" xfId="12010"/>
    <cellStyle name="쉼표 [0] 5 4 4 2 4" xfId="21113"/>
    <cellStyle name="쉼표 [0] 5 4 4 2 4 2" xfId="12008"/>
    <cellStyle name="쉼표 [0] 5 4 4 2 5" xfId="12013"/>
    <cellStyle name="쉼표 [0] 5 4 4 2 6" xfId="21108"/>
    <cellStyle name="쉼표 [0] 5 4 4 3" xfId="2100"/>
    <cellStyle name="쉼표 [0] 5 4 4 3 2" xfId="21115"/>
    <cellStyle name="쉼표 [0] 5 4 4 3 2 2" xfId="21116"/>
    <cellStyle name="쉼표 [0] 5 4 4 3 2 2 2" xfId="12005"/>
    <cellStyle name="쉼표 [0] 5 4 4 3 2 3" xfId="12006"/>
    <cellStyle name="쉼표 [0] 5 4 4 3 3" xfId="21117"/>
    <cellStyle name="쉼표 [0] 5 4 4 3 3 2" xfId="12004"/>
    <cellStyle name="쉼표 [0] 5 4 4 3 4" xfId="12007"/>
    <cellStyle name="쉼표 [0] 5 4 4 3 5" xfId="21114"/>
    <cellStyle name="쉼표 [0] 5 4 4 4" xfId="21118"/>
    <cellStyle name="쉼표 [0] 5 4 4 4 2" xfId="21119"/>
    <cellStyle name="쉼표 [0] 5 4 4 4 2 2" xfId="12002"/>
    <cellStyle name="쉼표 [0] 5 4 4 4 3" xfId="12003"/>
    <cellStyle name="쉼표 [0] 5 4 4 5" xfId="21120"/>
    <cellStyle name="쉼표 [0] 5 4 4 5 2" xfId="12001"/>
    <cellStyle name="쉼표 [0] 5 4 4 6" xfId="12014"/>
    <cellStyle name="쉼표 [0] 5 4 4 7" xfId="21107"/>
    <cellStyle name="쉼표 [0] 5 4 5" xfId="2101"/>
    <cellStyle name="쉼표 [0] 5 4 5 2" xfId="2102"/>
    <cellStyle name="쉼표 [0] 5 4 5 2 2" xfId="21123"/>
    <cellStyle name="쉼표 [0] 5 4 5 2 2 2" xfId="11998"/>
    <cellStyle name="쉼표 [0] 5 4 5 2 3" xfId="11999"/>
    <cellStyle name="쉼표 [0] 5 4 5 2 4" xfId="21122"/>
    <cellStyle name="쉼표 [0] 5 4 5 3" xfId="21124"/>
    <cellStyle name="쉼표 [0] 5 4 5 3 2" xfId="11997"/>
    <cellStyle name="쉼표 [0] 5 4 5 4" xfId="12000"/>
    <cellStyle name="쉼표 [0] 5 4 5 5" xfId="21121"/>
    <cellStyle name="쉼표 [0] 5 4 6" xfId="2103"/>
    <cellStyle name="쉼표 [0] 5 4 6 2" xfId="2104"/>
    <cellStyle name="쉼표 [0] 5 4 6 2 2" xfId="21127"/>
    <cellStyle name="쉼표 [0] 5 4 6 2 2 2" xfId="11994"/>
    <cellStyle name="쉼표 [0] 5 4 6 2 3" xfId="11995"/>
    <cellStyle name="쉼표 [0] 5 4 6 2 4" xfId="21126"/>
    <cellStyle name="쉼표 [0] 5 4 6 3" xfId="21128"/>
    <cellStyle name="쉼표 [0] 5 4 6 3 2" xfId="11993"/>
    <cellStyle name="쉼표 [0] 5 4 6 4" xfId="11996"/>
    <cellStyle name="쉼표 [0] 5 4 6 5" xfId="21125"/>
    <cellStyle name="쉼표 [0] 5 4 7" xfId="21129"/>
    <cellStyle name="쉼표 [0] 5 4 7 2" xfId="21130"/>
    <cellStyle name="쉼표 [0] 5 4 7 2 2" xfId="21131"/>
    <cellStyle name="쉼표 [0] 5 4 7 2 2 2" xfId="11990"/>
    <cellStyle name="쉼표 [0] 5 4 7 2 3" xfId="11991"/>
    <cellStyle name="쉼표 [0] 5 4 7 3" xfId="21132"/>
    <cellStyle name="쉼표 [0] 5 4 7 3 2" xfId="11989"/>
    <cellStyle name="쉼표 [0] 5 4 7 4" xfId="11992"/>
    <cellStyle name="쉼표 [0] 5 4 8" xfId="21133"/>
    <cellStyle name="쉼표 [0] 5 4 8 2" xfId="21134"/>
    <cellStyle name="쉼표 [0] 5 4 8 2 2" xfId="11987"/>
    <cellStyle name="쉼표 [0] 5 4 8 3" xfId="11988"/>
    <cellStyle name="쉼표 [0] 5 4 9" xfId="21135"/>
    <cellStyle name="쉼표 [0] 5 4 9 2" xfId="21136"/>
    <cellStyle name="쉼표 [0] 5 4 9 2 2" xfId="11985"/>
    <cellStyle name="쉼표 [0] 5 4 9 3" xfId="11986"/>
    <cellStyle name="쉼표 [0] 5 5" xfId="2105"/>
    <cellStyle name="쉼표 [0] 5 5 10" xfId="28706"/>
    <cellStyle name="쉼표 [0] 5 5 11" xfId="21137"/>
    <cellStyle name="쉼표 [0] 5 5 12" xfId="31502"/>
    <cellStyle name="쉼표 [0] 5 5 2" xfId="2106"/>
    <cellStyle name="쉼표 [0] 5 5 2 2" xfId="2107"/>
    <cellStyle name="쉼표 [0] 5 5 2 2 2" xfId="2108"/>
    <cellStyle name="쉼표 [0] 5 5 2 2 2 2" xfId="2109"/>
    <cellStyle name="쉼표 [0] 5 5 2 2 2 2 2" xfId="21142"/>
    <cellStyle name="쉼표 [0] 5 5 2 2 2 2 2 2" xfId="11979"/>
    <cellStyle name="쉼표 [0] 5 5 2 2 2 2 3" xfId="11980"/>
    <cellStyle name="쉼표 [0] 5 5 2 2 2 2 4" xfId="21141"/>
    <cellStyle name="쉼표 [0] 5 5 2 2 2 3" xfId="21143"/>
    <cellStyle name="쉼표 [0] 5 5 2 2 2 3 2" xfId="11978"/>
    <cellStyle name="쉼표 [0] 5 5 2 2 2 4" xfId="11981"/>
    <cellStyle name="쉼표 [0] 5 5 2 2 2 5" xfId="21140"/>
    <cellStyle name="쉼표 [0] 5 5 2 2 3" xfId="21144"/>
    <cellStyle name="쉼표 [0] 5 5 2 2 3 2" xfId="11977"/>
    <cellStyle name="쉼표 [0] 5 5 2 2 4" xfId="11982"/>
    <cellStyle name="쉼표 [0] 5 5 2 2 5" xfId="28704"/>
    <cellStyle name="쉼표 [0] 5 5 2 2 6" xfId="21139"/>
    <cellStyle name="쉼표 [0] 5 5 2 3" xfId="2110"/>
    <cellStyle name="쉼표 [0] 5 5 2 3 2" xfId="2111"/>
    <cellStyle name="쉼표 [0] 5 5 2 3 2 2" xfId="21147"/>
    <cellStyle name="쉼표 [0] 5 5 2 3 2 2 2" xfId="11974"/>
    <cellStyle name="쉼표 [0] 5 5 2 3 2 3" xfId="11975"/>
    <cellStyle name="쉼표 [0] 5 5 2 3 2 4" xfId="21146"/>
    <cellStyle name="쉼표 [0] 5 5 2 3 3" xfId="21148"/>
    <cellStyle name="쉼표 [0] 5 5 2 3 3 2" xfId="11973"/>
    <cellStyle name="쉼표 [0] 5 5 2 3 4" xfId="11976"/>
    <cellStyle name="쉼표 [0] 5 5 2 3 5" xfId="21145"/>
    <cellStyle name="쉼표 [0] 5 5 2 4" xfId="2112"/>
    <cellStyle name="쉼표 [0] 5 5 2 4 2" xfId="2113"/>
    <cellStyle name="쉼표 [0] 5 5 2 4 2 2" xfId="21151"/>
    <cellStyle name="쉼표 [0] 5 5 2 4 2 2 2" xfId="11970"/>
    <cellStyle name="쉼표 [0] 5 5 2 4 2 3" xfId="11971"/>
    <cellStyle name="쉼표 [0] 5 5 2 4 2 4" xfId="21150"/>
    <cellStyle name="쉼표 [0] 5 5 2 4 3" xfId="21152"/>
    <cellStyle name="쉼표 [0] 5 5 2 4 3 2" xfId="11969"/>
    <cellStyle name="쉼표 [0] 5 5 2 4 4" xfId="11972"/>
    <cellStyle name="쉼표 [0] 5 5 2 4 5" xfId="21149"/>
    <cellStyle name="쉼표 [0] 5 5 2 5" xfId="21153"/>
    <cellStyle name="쉼표 [0] 5 5 2 5 2" xfId="11968"/>
    <cellStyle name="쉼표 [0] 5 5 2 6" xfId="11983"/>
    <cellStyle name="쉼표 [0] 5 5 2 7" xfId="28705"/>
    <cellStyle name="쉼표 [0] 5 5 2 8" xfId="21138"/>
    <cellStyle name="쉼표 [0] 5 5 3" xfId="2114"/>
    <cellStyle name="쉼표 [0] 5 5 3 2" xfId="2115"/>
    <cellStyle name="쉼표 [0] 5 5 3 2 2" xfId="2116"/>
    <cellStyle name="쉼표 [0] 5 5 3 2 2 2" xfId="21157"/>
    <cellStyle name="쉼표 [0] 5 5 3 2 2 2 2" xfId="11964"/>
    <cellStyle name="쉼표 [0] 5 5 3 2 2 3" xfId="11965"/>
    <cellStyle name="쉼표 [0] 5 5 3 2 2 4" xfId="21156"/>
    <cellStyle name="쉼표 [0] 5 5 3 2 3" xfId="21158"/>
    <cellStyle name="쉼표 [0] 5 5 3 2 3 2" xfId="11963"/>
    <cellStyle name="쉼표 [0] 5 5 3 2 4" xfId="11966"/>
    <cellStyle name="쉼표 [0] 5 5 3 2 5" xfId="21155"/>
    <cellStyle name="쉼표 [0] 5 5 3 3" xfId="2117"/>
    <cellStyle name="쉼표 [0] 5 5 3 3 2" xfId="2118"/>
    <cellStyle name="쉼표 [0] 5 5 3 3 2 2" xfId="21161"/>
    <cellStyle name="쉼표 [0] 5 5 3 3 2 2 2" xfId="11960"/>
    <cellStyle name="쉼표 [0] 5 5 3 3 2 3" xfId="11961"/>
    <cellStyle name="쉼표 [0] 5 5 3 3 2 4" xfId="21160"/>
    <cellStyle name="쉼표 [0] 5 5 3 3 3" xfId="21162"/>
    <cellStyle name="쉼표 [0] 5 5 3 3 3 2" xfId="11959"/>
    <cellStyle name="쉼표 [0] 5 5 3 3 4" xfId="11962"/>
    <cellStyle name="쉼표 [0] 5 5 3 3 5" xfId="21159"/>
    <cellStyle name="쉼표 [0] 5 5 3 4" xfId="21163"/>
    <cellStyle name="쉼표 [0] 5 5 3 4 2" xfId="11958"/>
    <cellStyle name="쉼표 [0] 5 5 3 5" xfId="11967"/>
    <cellStyle name="쉼표 [0] 5 5 3 6" xfId="28703"/>
    <cellStyle name="쉼표 [0] 5 5 3 7" xfId="21154"/>
    <cellStyle name="쉼표 [0] 5 5 4" xfId="2119"/>
    <cellStyle name="쉼표 [0] 5 5 4 2" xfId="2120"/>
    <cellStyle name="쉼표 [0] 5 5 4 2 2" xfId="21166"/>
    <cellStyle name="쉼표 [0] 5 5 4 2 2 2" xfId="11955"/>
    <cellStyle name="쉼표 [0] 5 5 4 2 3" xfId="11956"/>
    <cellStyle name="쉼표 [0] 5 5 4 2 4" xfId="21165"/>
    <cellStyle name="쉼표 [0] 5 5 4 3" xfId="21167"/>
    <cellStyle name="쉼표 [0] 5 5 4 3 2" xfId="11954"/>
    <cellStyle name="쉼표 [0] 5 5 4 4" xfId="11957"/>
    <cellStyle name="쉼표 [0] 5 5 4 5" xfId="21164"/>
    <cellStyle name="쉼표 [0] 5 5 5" xfId="2121"/>
    <cellStyle name="쉼표 [0] 5 5 5 2" xfId="2122"/>
    <cellStyle name="쉼표 [0] 5 5 5 2 2" xfId="21170"/>
    <cellStyle name="쉼표 [0] 5 5 5 2 2 2" xfId="11951"/>
    <cellStyle name="쉼표 [0] 5 5 5 2 3" xfId="11952"/>
    <cellStyle name="쉼표 [0] 5 5 5 2 4" xfId="21169"/>
    <cellStyle name="쉼표 [0] 5 5 5 3" xfId="21171"/>
    <cellStyle name="쉼표 [0] 5 5 5 3 2" xfId="11950"/>
    <cellStyle name="쉼표 [0] 5 5 5 4" xfId="11953"/>
    <cellStyle name="쉼표 [0] 5 5 5 5" xfId="21168"/>
    <cellStyle name="쉼표 [0] 5 5 6" xfId="21172"/>
    <cellStyle name="쉼표 [0] 5 5 6 2" xfId="21173"/>
    <cellStyle name="쉼표 [0] 5 5 6 2 2" xfId="11948"/>
    <cellStyle name="쉼표 [0] 5 5 6 3" xfId="11949"/>
    <cellStyle name="쉼표 [0] 5 5 7" xfId="21174"/>
    <cellStyle name="쉼표 [0] 5 5 7 2" xfId="11947"/>
    <cellStyle name="쉼표 [0] 5 5 8" xfId="21175"/>
    <cellStyle name="쉼표 [0] 5 5 8 2" xfId="11946"/>
    <cellStyle name="쉼표 [0] 5 5 9" xfId="11984"/>
    <cellStyle name="쉼표 [0] 5 6" xfId="2123"/>
    <cellStyle name="쉼표 [0] 5 6 10" xfId="21176"/>
    <cellStyle name="쉼표 [0] 5 6 11" xfId="30498"/>
    <cellStyle name="쉼표 [0] 5 6 12" xfId="31501"/>
    <cellStyle name="쉼표 [0] 5 6 2" xfId="2124"/>
    <cellStyle name="쉼표 [0] 5 6 2 2" xfId="2125"/>
    <cellStyle name="쉼표 [0] 5 6 2 2 2" xfId="2126"/>
    <cellStyle name="쉼표 [0] 5 6 2 2 2 2" xfId="21180"/>
    <cellStyle name="쉼표 [0] 5 6 2 2 2 2 2" xfId="11941"/>
    <cellStyle name="쉼표 [0] 5 6 2 2 2 3" xfId="11942"/>
    <cellStyle name="쉼표 [0] 5 6 2 2 2 4" xfId="21179"/>
    <cellStyle name="쉼표 [0] 5 6 2 2 3" xfId="21181"/>
    <cellStyle name="쉼표 [0] 5 6 2 2 3 2" xfId="11940"/>
    <cellStyle name="쉼표 [0] 5 6 2 2 4" xfId="11943"/>
    <cellStyle name="쉼표 [0] 5 6 2 2 5" xfId="21178"/>
    <cellStyle name="쉼표 [0] 5 6 2 3" xfId="2127"/>
    <cellStyle name="쉼표 [0] 5 6 2 3 2" xfId="2128"/>
    <cellStyle name="쉼표 [0] 5 6 2 3 2 2" xfId="21184"/>
    <cellStyle name="쉼표 [0] 5 6 2 3 2 2 2" xfId="11937"/>
    <cellStyle name="쉼표 [0] 5 6 2 3 2 3" xfId="11938"/>
    <cellStyle name="쉼표 [0] 5 6 2 3 2 4" xfId="21183"/>
    <cellStyle name="쉼표 [0] 5 6 2 3 3" xfId="21185"/>
    <cellStyle name="쉼표 [0] 5 6 2 3 3 2" xfId="11936"/>
    <cellStyle name="쉼표 [0] 5 6 2 3 4" xfId="11939"/>
    <cellStyle name="쉼표 [0] 5 6 2 3 5" xfId="21182"/>
    <cellStyle name="쉼표 [0] 5 6 2 4" xfId="21186"/>
    <cellStyle name="쉼표 [0] 5 6 2 4 2" xfId="11935"/>
    <cellStyle name="쉼표 [0] 5 6 2 5" xfId="11944"/>
    <cellStyle name="쉼표 [0] 5 6 2 6" xfId="28701"/>
    <cellStyle name="쉼표 [0] 5 6 2 7" xfId="21177"/>
    <cellStyle name="쉼표 [0] 5 6 3" xfId="2129"/>
    <cellStyle name="쉼표 [0] 5 6 3 2" xfId="2130"/>
    <cellStyle name="쉼표 [0] 5 6 3 2 2" xfId="21189"/>
    <cellStyle name="쉼표 [0] 5 6 3 2 2 2" xfId="11932"/>
    <cellStyle name="쉼표 [0] 5 6 3 2 3" xfId="11933"/>
    <cellStyle name="쉼표 [0] 5 6 3 2 4" xfId="21188"/>
    <cellStyle name="쉼표 [0] 5 6 3 3" xfId="21190"/>
    <cellStyle name="쉼표 [0] 5 6 3 3 2" xfId="11931"/>
    <cellStyle name="쉼표 [0] 5 6 3 4" xfId="11934"/>
    <cellStyle name="쉼표 [0] 5 6 3 5" xfId="21187"/>
    <cellStyle name="쉼표 [0] 5 6 4" xfId="2131"/>
    <cellStyle name="쉼표 [0] 5 6 4 2" xfId="2132"/>
    <cellStyle name="쉼표 [0] 5 6 4 2 2" xfId="21193"/>
    <cellStyle name="쉼표 [0] 5 6 4 2 2 2" xfId="11928"/>
    <cellStyle name="쉼표 [0] 5 6 4 2 3" xfId="11929"/>
    <cellStyle name="쉼표 [0] 5 6 4 2 4" xfId="21192"/>
    <cellStyle name="쉼표 [0] 5 6 4 3" xfId="21194"/>
    <cellStyle name="쉼표 [0] 5 6 4 3 2" xfId="11927"/>
    <cellStyle name="쉼표 [0] 5 6 4 4" xfId="11930"/>
    <cellStyle name="쉼표 [0] 5 6 4 5" xfId="21191"/>
    <cellStyle name="쉼표 [0] 5 6 5" xfId="2133"/>
    <cellStyle name="쉼표 [0] 5 6 5 2" xfId="2134"/>
    <cellStyle name="쉼표 [0] 5 6 5 2 2" xfId="21197"/>
    <cellStyle name="쉼표 [0] 5 6 5 2 2 2" xfId="11924"/>
    <cellStyle name="쉼표 [0] 5 6 5 2 3" xfId="11925"/>
    <cellStyle name="쉼표 [0] 5 6 5 2 4" xfId="21196"/>
    <cellStyle name="쉼표 [0] 5 6 5 3" xfId="21198"/>
    <cellStyle name="쉼표 [0] 5 6 5 3 2" xfId="11923"/>
    <cellStyle name="쉼표 [0] 5 6 5 4" xfId="11926"/>
    <cellStyle name="쉼표 [0] 5 6 5 5" xfId="21195"/>
    <cellStyle name="쉼표 [0] 5 6 6" xfId="21199"/>
    <cellStyle name="쉼표 [0] 5 6 6 2" xfId="11922"/>
    <cellStyle name="쉼표 [0] 5 6 7" xfId="21200"/>
    <cellStyle name="쉼표 [0] 5 6 7 2" xfId="11921"/>
    <cellStyle name="쉼표 [0] 5 6 8" xfId="11945"/>
    <cellStyle name="쉼표 [0] 5 6 9" xfId="28702"/>
    <cellStyle name="쉼표 [0] 5 7" xfId="2135"/>
    <cellStyle name="쉼표 [0] 5 7 10" xfId="21202"/>
    <cellStyle name="쉼표 [0] 5 7 10 2" xfId="21203"/>
    <cellStyle name="쉼표 [0] 5 7 10 2 2" xfId="11918"/>
    <cellStyle name="쉼표 [0] 5 7 10 3" xfId="11919"/>
    <cellStyle name="쉼표 [0] 5 7 11" xfId="21204"/>
    <cellStyle name="쉼표 [0] 5 7 11 2" xfId="11917"/>
    <cellStyle name="쉼표 [0] 5 7 12" xfId="11920"/>
    <cellStyle name="쉼표 [0] 5 7 13" xfId="28700"/>
    <cellStyle name="쉼표 [0] 5 7 14" xfId="21201"/>
    <cellStyle name="쉼표 [0] 5 7 2" xfId="2136"/>
    <cellStyle name="쉼표 [0] 5 7 2 2" xfId="2137"/>
    <cellStyle name="쉼표 [0] 5 7 2 2 2" xfId="21207"/>
    <cellStyle name="쉼표 [0] 5 7 2 2 2 2" xfId="11914"/>
    <cellStyle name="쉼표 [0] 5 7 2 2 3" xfId="11915"/>
    <cellStyle name="쉼표 [0] 5 7 2 2 4" xfId="28698"/>
    <cellStyle name="쉼표 [0] 5 7 2 2 5" xfId="21206"/>
    <cellStyle name="쉼표 [0] 5 7 2 3" xfId="2138"/>
    <cellStyle name="쉼표 [0] 5 7 2 3 2" xfId="2139"/>
    <cellStyle name="쉼표 [0] 5 7 2 3 2 2" xfId="21210"/>
    <cellStyle name="쉼표 [0] 5 7 2 3 2 2 2" xfId="11911"/>
    <cellStyle name="쉼표 [0] 5 7 2 3 2 3" xfId="11912"/>
    <cellStyle name="쉼표 [0] 5 7 2 3 2 4" xfId="21209"/>
    <cellStyle name="쉼표 [0] 5 7 2 3 3" xfId="21211"/>
    <cellStyle name="쉼표 [0] 5 7 2 3 3 2" xfId="11910"/>
    <cellStyle name="쉼표 [0] 5 7 2 3 4" xfId="11913"/>
    <cellStyle name="쉼표 [0] 5 7 2 3 5" xfId="21208"/>
    <cellStyle name="쉼표 [0] 5 7 2 4" xfId="21212"/>
    <cellStyle name="쉼표 [0] 5 7 2 4 2" xfId="21213"/>
    <cellStyle name="쉼표 [0] 5 7 2 4 2 2" xfId="11908"/>
    <cellStyle name="쉼표 [0] 5 7 2 4 3" xfId="11909"/>
    <cellStyle name="쉼표 [0] 5 7 2 5" xfId="21214"/>
    <cellStyle name="쉼표 [0] 5 7 2 5 2" xfId="11907"/>
    <cellStyle name="쉼표 [0] 5 7 2 6" xfId="11916"/>
    <cellStyle name="쉼표 [0] 5 7 2 7" xfId="28699"/>
    <cellStyle name="쉼표 [0] 5 7 2 8" xfId="21205"/>
    <cellStyle name="쉼표 [0] 5 7 3" xfId="2140"/>
    <cellStyle name="쉼표 [0] 5 7 3 2" xfId="21216"/>
    <cellStyle name="쉼표 [0] 5 7 3 2 2" xfId="21217"/>
    <cellStyle name="쉼표 [0] 5 7 3 2 2 2" xfId="11904"/>
    <cellStyle name="쉼표 [0] 5 7 3 2 3" xfId="11905"/>
    <cellStyle name="쉼표 [0] 5 7 3 3" xfId="21218"/>
    <cellStyle name="쉼표 [0] 5 7 3 3 2" xfId="11903"/>
    <cellStyle name="쉼표 [0] 5 7 3 4" xfId="11906"/>
    <cellStyle name="쉼표 [0] 5 7 3 5" xfId="28697"/>
    <cellStyle name="쉼표 [0] 5 7 3 6" xfId="21215"/>
    <cellStyle name="쉼표 [0] 5 7 4" xfId="2141"/>
    <cellStyle name="쉼표 [0] 5 7 4 2" xfId="2142"/>
    <cellStyle name="쉼표 [0] 5 7 4 2 2" xfId="21221"/>
    <cellStyle name="쉼표 [0] 5 7 4 2 2 2" xfId="11900"/>
    <cellStyle name="쉼표 [0] 5 7 4 2 3" xfId="11901"/>
    <cellStyle name="쉼표 [0] 5 7 4 2 4" xfId="21220"/>
    <cellStyle name="쉼표 [0] 5 7 4 3" xfId="21222"/>
    <cellStyle name="쉼표 [0] 5 7 4 3 2" xfId="21223"/>
    <cellStyle name="쉼표 [0] 5 7 4 3 2 2" xfId="11898"/>
    <cellStyle name="쉼표 [0] 5 7 4 3 3" xfId="11899"/>
    <cellStyle name="쉼표 [0] 5 7 4 4" xfId="21224"/>
    <cellStyle name="쉼표 [0] 5 7 4 4 2" xfId="11897"/>
    <cellStyle name="쉼표 [0] 5 7 4 5" xfId="11902"/>
    <cellStyle name="쉼표 [0] 5 7 4 6" xfId="21219"/>
    <cellStyle name="쉼표 [0] 5 7 5" xfId="21225"/>
    <cellStyle name="쉼표 [0] 5 7 5 2" xfId="21226"/>
    <cellStyle name="쉼표 [0] 5 7 5 2 2" xfId="11895"/>
    <cellStyle name="쉼표 [0] 5 7 5 3" xfId="11896"/>
    <cellStyle name="쉼표 [0] 5 7 6" xfId="21227"/>
    <cellStyle name="쉼표 [0] 5 7 6 2" xfId="21228"/>
    <cellStyle name="쉼표 [0] 5 7 6 2 2" xfId="11893"/>
    <cellStyle name="쉼표 [0] 5 7 6 3" xfId="11894"/>
    <cellStyle name="쉼표 [0] 5 7 7" xfId="21229"/>
    <cellStyle name="쉼표 [0] 5 7 7 2" xfId="21230"/>
    <cellStyle name="쉼표 [0] 5 7 7 2 2" xfId="11891"/>
    <cellStyle name="쉼표 [0] 5 7 7 3" xfId="11892"/>
    <cellStyle name="쉼표 [0] 5 7 8" xfId="21231"/>
    <cellStyle name="쉼표 [0] 5 7 8 2" xfId="21232"/>
    <cellStyle name="쉼표 [0] 5 7 8 2 2" xfId="11889"/>
    <cellStyle name="쉼표 [0] 5 7 8 3" xfId="11890"/>
    <cellStyle name="쉼표 [0] 5 7 9" xfId="21233"/>
    <cellStyle name="쉼표 [0] 5 7 9 2" xfId="21234"/>
    <cellStyle name="쉼표 [0] 5 7 9 2 2" xfId="11887"/>
    <cellStyle name="쉼표 [0] 5 7 9 3" xfId="11888"/>
    <cellStyle name="쉼표 [0] 5 8" xfId="2143"/>
    <cellStyle name="쉼표 [0] 5 8 2" xfId="2144"/>
    <cellStyle name="쉼표 [0] 5 8 2 2" xfId="2145"/>
    <cellStyle name="쉼표 [0] 5 8 2 2 2" xfId="2146"/>
    <cellStyle name="쉼표 [0] 5 8 2 2 2 2" xfId="21239"/>
    <cellStyle name="쉼표 [0] 5 8 2 2 2 2 2" xfId="11882"/>
    <cellStyle name="쉼표 [0] 5 8 2 2 2 3" xfId="11883"/>
    <cellStyle name="쉼표 [0] 5 8 2 2 2 4" xfId="21238"/>
    <cellStyle name="쉼표 [0] 5 8 2 2 3" xfId="21240"/>
    <cellStyle name="쉼표 [0] 5 8 2 2 3 2" xfId="11881"/>
    <cellStyle name="쉼표 [0] 5 8 2 2 4" xfId="11884"/>
    <cellStyle name="쉼표 [0] 5 8 2 2 5" xfId="21237"/>
    <cellStyle name="쉼표 [0] 5 8 2 3" xfId="21241"/>
    <cellStyle name="쉼표 [0] 5 8 2 3 2" xfId="21242"/>
    <cellStyle name="쉼표 [0] 5 8 2 3 2 2" xfId="11879"/>
    <cellStyle name="쉼표 [0] 5 8 2 3 3" xfId="11880"/>
    <cellStyle name="쉼표 [0] 5 8 2 4" xfId="21243"/>
    <cellStyle name="쉼표 [0] 5 8 2 4 2" xfId="11878"/>
    <cellStyle name="쉼표 [0] 5 8 2 5" xfId="11885"/>
    <cellStyle name="쉼표 [0] 5 8 2 6" xfId="28695"/>
    <cellStyle name="쉼표 [0] 5 8 2 7" xfId="21236"/>
    <cellStyle name="쉼표 [0] 5 8 3" xfId="2147"/>
    <cellStyle name="쉼표 [0] 5 8 3 2" xfId="2148"/>
    <cellStyle name="쉼표 [0] 5 8 3 2 2" xfId="21246"/>
    <cellStyle name="쉼표 [0] 5 8 3 2 2 2" xfId="11875"/>
    <cellStyle name="쉼표 [0] 5 8 3 2 3" xfId="11876"/>
    <cellStyle name="쉼표 [0] 5 8 3 2 4" xfId="21245"/>
    <cellStyle name="쉼표 [0] 5 8 3 3" xfId="21247"/>
    <cellStyle name="쉼표 [0] 5 8 3 3 2" xfId="21248"/>
    <cellStyle name="쉼표 [0] 5 8 3 3 2 2" xfId="11873"/>
    <cellStyle name="쉼표 [0] 5 8 3 3 3" xfId="11874"/>
    <cellStyle name="쉼표 [0] 5 8 3 4" xfId="21249"/>
    <cellStyle name="쉼표 [0] 5 8 3 4 2" xfId="11872"/>
    <cellStyle name="쉼표 [0] 5 8 3 5" xfId="11877"/>
    <cellStyle name="쉼표 [0] 5 8 3 6" xfId="21244"/>
    <cellStyle name="쉼표 [0] 5 8 4" xfId="21250"/>
    <cellStyle name="쉼표 [0] 5 8 4 2" xfId="21251"/>
    <cellStyle name="쉼표 [0] 5 8 4 2 2" xfId="11870"/>
    <cellStyle name="쉼표 [0] 5 8 4 3" xfId="11871"/>
    <cellStyle name="쉼표 [0] 5 8 5" xfId="21252"/>
    <cellStyle name="쉼표 [0] 5 8 5 2" xfId="11869"/>
    <cellStyle name="쉼표 [0] 5 8 6" xfId="11886"/>
    <cellStyle name="쉼표 [0] 5 8 7" xfId="28696"/>
    <cellStyle name="쉼표 [0] 5 8 8" xfId="21235"/>
    <cellStyle name="쉼표 [0] 5 9" xfId="2149"/>
    <cellStyle name="쉼표 [0] 5 9 2" xfId="2150"/>
    <cellStyle name="쉼표 [0] 5 9 2 2" xfId="2151"/>
    <cellStyle name="쉼표 [0] 5 9 2 2 2" xfId="21256"/>
    <cellStyle name="쉼표 [0] 5 9 2 2 2 2" xfId="11865"/>
    <cellStyle name="쉼표 [0] 5 9 2 2 3" xfId="11866"/>
    <cellStyle name="쉼표 [0] 5 9 2 2 4" xfId="21255"/>
    <cellStyle name="쉼표 [0] 5 9 2 3" xfId="21257"/>
    <cellStyle name="쉼표 [0] 5 9 2 3 2" xfId="11864"/>
    <cellStyle name="쉼표 [0] 5 9 2 4" xfId="11867"/>
    <cellStyle name="쉼표 [0] 5 9 2 5" xfId="21254"/>
    <cellStyle name="쉼표 [0] 5 9 3" xfId="21258"/>
    <cellStyle name="쉼표 [0] 5 9 3 2" xfId="11863"/>
    <cellStyle name="쉼표 [0] 5 9 4" xfId="11868"/>
    <cellStyle name="쉼표 [0] 5 9 5" xfId="28694"/>
    <cellStyle name="쉼표 [0] 5 9 6" xfId="21253"/>
    <cellStyle name="쉼표 [0] 50" xfId="21259"/>
    <cellStyle name="쉼표 [0] 50 2" xfId="21260"/>
    <cellStyle name="쉼표 [0] 50 2 2" xfId="11861"/>
    <cellStyle name="쉼표 [0] 50 3" xfId="11862"/>
    <cellStyle name="쉼표 [0] 51" xfId="21261"/>
    <cellStyle name="쉼표 [0] 51 2" xfId="21262"/>
    <cellStyle name="쉼표 [0] 51 2 2" xfId="11859"/>
    <cellStyle name="쉼표 [0] 51 3" xfId="11860"/>
    <cellStyle name="쉼표 [0] 52" xfId="21263"/>
    <cellStyle name="쉼표 [0] 52 2" xfId="21264"/>
    <cellStyle name="쉼표 [0] 52 2 2" xfId="11857"/>
    <cellStyle name="쉼표 [0] 52 3" xfId="11858"/>
    <cellStyle name="쉼표 [0] 53" xfId="21265"/>
    <cellStyle name="쉼표 [0] 53 2" xfId="21266"/>
    <cellStyle name="쉼표 [0] 53 2 2" xfId="11855"/>
    <cellStyle name="쉼표 [0] 53 3" xfId="11856"/>
    <cellStyle name="쉼표 [0] 54" xfId="21267"/>
    <cellStyle name="쉼표 [0] 54 2" xfId="21268"/>
    <cellStyle name="쉼표 [0] 54 2 2" xfId="11853"/>
    <cellStyle name="쉼표 [0] 54 3" xfId="11854"/>
    <cellStyle name="쉼표 [0] 55" xfId="21269"/>
    <cellStyle name="쉼표 [0] 55 2" xfId="21270"/>
    <cellStyle name="쉼표 [0] 55 2 2" xfId="11851"/>
    <cellStyle name="쉼표 [0] 55 3" xfId="11852"/>
    <cellStyle name="쉼표 [0] 56" xfId="21271"/>
    <cellStyle name="쉼표 [0] 56 2" xfId="21272"/>
    <cellStyle name="쉼표 [0] 56 2 2" xfId="11849"/>
    <cellStyle name="쉼표 [0] 56 3" xfId="11850"/>
    <cellStyle name="쉼표 [0] 6" xfId="2152"/>
    <cellStyle name="쉼표 [0] 6 10" xfId="2153"/>
    <cellStyle name="쉼표 [0] 6 10 2" xfId="2154"/>
    <cellStyle name="쉼표 [0] 6 10 2 2" xfId="21276"/>
    <cellStyle name="쉼표 [0] 6 10 2 2 2" xfId="11845"/>
    <cellStyle name="쉼표 [0] 6 10 2 3" xfId="11846"/>
    <cellStyle name="쉼표 [0] 6 10 2 4" xfId="21275"/>
    <cellStyle name="쉼표 [0] 6 10 3" xfId="21277"/>
    <cellStyle name="쉼표 [0] 6 10 3 2" xfId="21278"/>
    <cellStyle name="쉼표 [0] 6 10 3 2 2" xfId="11843"/>
    <cellStyle name="쉼표 [0] 6 10 3 3" xfId="11844"/>
    <cellStyle name="쉼표 [0] 6 10 4" xfId="21279"/>
    <cellStyle name="쉼표 [0] 6 10 4 2" xfId="11842"/>
    <cellStyle name="쉼표 [0] 6 10 5" xfId="11847"/>
    <cellStyle name="쉼표 [0] 6 10 6" xfId="21274"/>
    <cellStyle name="쉼표 [0] 6 11" xfId="21280"/>
    <cellStyle name="쉼표 [0] 6 11 2" xfId="21281"/>
    <cellStyle name="쉼표 [0] 6 11 2 2" xfId="21282"/>
    <cellStyle name="쉼표 [0] 6 11 2 2 2" xfId="11839"/>
    <cellStyle name="쉼표 [0] 6 11 2 3" xfId="11840"/>
    <cellStyle name="쉼표 [0] 6 11 3" xfId="21283"/>
    <cellStyle name="쉼표 [0] 6 11 3 2" xfId="11838"/>
    <cellStyle name="쉼표 [0] 6 11 4" xfId="11841"/>
    <cellStyle name="쉼표 [0] 6 11 5" xfId="31500"/>
    <cellStyle name="쉼표 [0] 6 12" xfId="21284"/>
    <cellStyle name="쉼표 [0] 6 12 2" xfId="21285"/>
    <cellStyle name="쉼표 [0] 6 12 2 2" xfId="11836"/>
    <cellStyle name="쉼표 [0] 6 12 3" xfId="11837"/>
    <cellStyle name="쉼표 [0] 6 12 4" xfId="31499"/>
    <cellStyle name="쉼표 [0] 6 13" xfId="21286"/>
    <cellStyle name="쉼표 [0] 6 13 2" xfId="21287"/>
    <cellStyle name="쉼표 [0] 6 13 2 2" xfId="11834"/>
    <cellStyle name="쉼표 [0] 6 13 3" xfId="11835"/>
    <cellStyle name="쉼표 [0] 6 13 4" xfId="31498"/>
    <cellStyle name="쉼표 [0] 6 14" xfId="21288"/>
    <cellStyle name="쉼표 [0] 6 14 2" xfId="21289"/>
    <cellStyle name="쉼표 [0] 6 14 2 2" xfId="11832"/>
    <cellStyle name="쉼표 [0] 6 14 3" xfId="11833"/>
    <cellStyle name="쉼표 [0] 6 14 4" xfId="31497"/>
    <cellStyle name="쉼표 [0] 6 15" xfId="21290"/>
    <cellStyle name="쉼표 [0] 6 15 2" xfId="21291"/>
    <cellStyle name="쉼표 [0] 6 15 2 2" xfId="11830"/>
    <cellStyle name="쉼표 [0] 6 15 3" xfId="11831"/>
    <cellStyle name="쉼표 [0] 6 15 4" xfId="31496"/>
    <cellStyle name="쉼표 [0] 6 16" xfId="21292"/>
    <cellStyle name="쉼표 [0] 6 16 2" xfId="21293"/>
    <cellStyle name="쉼표 [0] 6 16 2 2" xfId="11828"/>
    <cellStyle name="쉼표 [0] 6 16 3" xfId="11829"/>
    <cellStyle name="쉼표 [0] 6 16 4" xfId="31495"/>
    <cellStyle name="쉼표 [0] 6 17" xfId="21294"/>
    <cellStyle name="쉼표 [0] 6 17 2" xfId="21295"/>
    <cellStyle name="쉼표 [0] 6 17 2 2" xfId="11826"/>
    <cellStyle name="쉼표 [0] 6 17 3" xfId="11827"/>
    <cellStyle name="쉼표 [0] 6 17 4" xfId="31494"/>
    <cellStyle name="쉼표 [0] 6 18" xfId="21296"/>
    <cellStyle name="쉼표 [0] 6 18 2" xfId="21297"/>
    <cellStyle name="쉼표 [0] 6 18 2 2" xfId="11824"/>
    <cellStyle name="쉼표 [0] 6 18 3" xfId="11825"/>
    <cellStyle name="쉼표 [0] 6 18 4" xfId="31493"/>
    <cellStyle name="쉼표 [0] 6 19" xfId="21298"/>
    <cellStyle name="쉼표 [0] 6 19 2" xfId="21299"/>
    <cellStyle name="쉼표 [0] 6 19 2 2" xfId="11822"/>
    <cellStyle name="쉼표 [0] 6 19 3" xfId="11823"/>
    <cellStyle name="쉼표 [0] 6 2" xfId="2155"/>
    <cellStyle name="쉼표 [0] 6 2 10" xfId="2156"/>
    <cellStyle name="쉼표 [0] 6 2 10 2" xfId="21302"/>
    <cellStyle name="쉼표 [0] 6 2 10 2 2" xfId="21303"/>
    <cellStyle name="쉼표 [0] 6 2 10 2 2 2" xfId="11818"/>
    <cellStyle name="쉼표 [0] 6 2 10 2 3" xfId="11819"/>
    <cellStyle name="쉼표 [0] 6 2 10 3" xfId="21304"/>
    <cellStyle name="쉼표 [0] 6 2 10 3 2" xfId="11817"/>
    <cellStyle name="쉼표 [0] 6 2 10 4" xfId="11820"/>
    <cellStyle name="쉼표 [0] 6 2 10 5" xfId="28691"/>
    <cellStyle name="쉼표 [0] 6 2 10 6" xfId="21301"/>
    <cellStyle name="쉼표 [0] 6 2 11" xfId="2157"/>
    <cellStyle name="쉼표 [0] 6 2 11 2" xfId="2158"/>
    <cellStyle name="쉼표 [0] 6 2 11 2 2" xfId="21307"/>
    <cellStyle name="쉼표 [0] 6 2 11 2 2 2" xfId="11814"/>
    <cellStyle name="쉼표 [0] 6 2 11 2 3" xfId="11815"/>
    <cellStyle name="쉼표 [0] 6 2 11 2 4" xfId="21306"/>
    <cellStyle name="쉼표 [0] 6 2 11 3" xfId="21308"/>
    <cellStyle name="쉼표 [0] 6 2 11 3 2" xfId="21309"/>
    <cellStyle name="쉼표 [0] 6 2 11 3 2 2" xfId="11812"/>
    <cellStyle name="쉼표 [0] 6 2 11 3 3" xfId="11813"/>
    <cellStyle name="쉼표 [0] 6 2 11 4" xfId="21310"/>
    <cellStyle name="쉼표 [0] 6 2 11 4 2" xfId="11811"/>
    <cellStyle name="쉼표 [0] 6 2 11 5" xfId="11816"/>
    <cellStyle name="쉼표 [0] 6 2 11 6" xfId="21305"/>
    <cellStyle name="쉼표 [0] 6 2 12" xfId="21311"/>
    <cellStyle name="쉼표 [0] 6 2 12 2" xfId="21312"/>
    <cellStyle name="쉼표 [0] 6 2 12 2 2" xfId="11809"/>
    <cellStyle name="쉼표 [0] 6 2 12 3" xfId="11810"/>
    <cellStyle name="쉼표 [0] 6 2 13" xfId="21313"/>
    <cellStyle name="쉼표 [0] 6 2 13 2" xfId="21314"/>
    <cellStyle name="쉼표 [0] 6 2 13 2 2" xfId="11807"/>
    <cellStyle name="쉼표 [0] 6 2 13 3" xfId="11808"/>
    <cellStyle name="쉼표 [0] 6 2 14" xfId="21315"/>
    <cellStyle name="쉼표 [0] 6 2 14 2" xfId="21316"/>
    <cellStyle name="쉼표 [0] 6 2 14 2 2" xfId="11805"/>
    <cellStyle name="쉼표 [0] 6 2 14 3" xfId="11806"/>
    <cellStyle name="쉼표 [0] 6 2 15" xfId="21317"/>
    <cellStyle name="쉼표 [0] 6 2 15 2" xfId="21318"/>
    <cellStyle name="쉼표 [0] 6 2 15 2 2" xfId="11803"/>
    <cellStyle name="쉼표 [0] 6 2 15 3" xfId="11804"/>
    <cellStyle name="쉼표 [0] 6 2 16" xfId="21319"/>
    <cellStyle name="쉼표 [0] 6 2 16 2" xfId="21320"/>
    <cellStyle name="쉼표 [0] 6 2 16 2 2" xfId="11801"/>
    <cellStyle name="쉼표 [0] 6 2 16 3" xfId="11802"/>
    <cellStyle name="쉼표 [0] 6 2 17" xfId="21321"/>
    <cellStyle name="쉼표 [0] 6 2 17 2" xfId="21322"/>
    <cellStyle name="쉼표 [0] 6 2 17 2 2" xfId="11799"/>
    <cellStyle name="쉼표 [0] 6 2 17 3" xfId="11800"/>
    <cellStyle name="쉼표 [0] 6 2 18" xfId="21323"/>
    <cellStyle name="쉼표 [0] 6 2 18 2" xfId="21324"/>
    <cellStyle name="쉼표 [0] 6 2 18 2 2" xfId="11797"/>
    <cellStyle name="쉼표 [0] 6 2 18 3" xfId="11798"/>
    <cellStyle name="쉼표 [0] 6 2 19" xfId="21325"/>
    <cellStyle name="쉼표 [0] 6 2 19 2" xfId="21326"/>
    <cellStyle name="쉼표 [0] 6 2 19 2 2" xfId="11795"/>
    <cellStyle name="쉼표 [0] 6 2 19 3" xfId="11796"/>
    <cellStyle name="쉼표 [0] 6 2 2" xfId="2159"/>
    <cellStyle name="쉼표 [0] 6 2 2 10" xfId="21328"/>
    <cellStyle name="쉼표 [0] 6 2 2 10 2" xfId="21329"/>
    <cellStyle name="쉼표 [0] 6 2 2 10 2 2" xfId="11792"/>
    <cellStyle name="쉼표 [0] 6 2 2 10 3" xfId="11793"/>
    <cellStyle name="쉼표 [0] 6 2 2 11" xfId="21330"/>
    <cellStyle name="쉼표 [0] 6 2 2 11 2" xfId="11791"/>
    <cellStyle name="쉼표 [0] 6 2 2 12" xfId="11794"/>
    <cellStyle name="쉼표 [0] 6 2 2 13" xfId="28690"/>
    <cellStyle name="쉼표 [0] 6 2 2 14" xfId="21327"/>
    <cellStyle name="쉼표 [0] 6 2 2 15" xfId="30261"/>
    <cellStyle name="쉼표 [0] 6 2 2 2" xfId="2160"/>
    <cellStyle name="쉼표 [0] 6 2 2 2 10" xfId="11790"/>
    <cellStyle name="쉼표 [0] 6 2 2 2 11" xfId="28689"/>
    <cellStyle name="쉼표 [0] 6 2 2 2 12" xfId="21331"/>
    <cellStyle name="쉼표 [0] 6 2 2 2 13" xfId="29796"/>
    <cellStyle name="쉼표 [0] 6 2 2 2 2" xfId="2161"/>
    <cellStyle name="쉼표 [0] 6 2 2 2 2 10" xfId="21332"/>
    <cellStyle name="쉼표 [0] 6 2 2 2 2 11" xfId="29590"/>
    <cellStyle name="쉼표 [0] 6 2 2 2 2 2" xfId="2162"/>
    <cellStyle name="쉼표 [0] 6 2 2 2 2 2 2" xfId="2163"/>
    <cellStyle name="쉼표 [0] 6 2 2 2 2 2 2 2" xfId="2164"/>
    <cellStyle name="쉼표 [0] 6 2 2 2 2 2 2 2 2" xfId="2165"/>
    <cellStyle name="쉼표 [0] 6 2 2 2 2 2 2 2 2 2" xfId="21337"/>
    <cellStyle name="쉼표 [0] 6 2 2 2 2 2 2 2 2 2 2" xfId="11784"/>
    <cellStyle name="쉼표 [0] 6 2 2 2 2 2 2 2 2 3" xfId="11785"/>
    <cellStyle name="쉼표 [0] 6 2 2 2 2 2 2 2 2 4" xfId="21336"/>
    <cellStyle name="쉼표 [0] 6 2 2 2 2 2 2 2 3" xfId="21338"/>
    <cellStyle name="쉼표 [0] 6 2 2 2 2 2 2 2 3 2" xfId="11783"/>
    <cellStyle name="쉼표 [0] 6 2 2 2 2 2 2 2 4" xfId="11786"/>
    <cellStyle name="쉼표 [0] 6 2 2 2 2 2 2 2 5" xfId="21335"/>
    <cellStyle name="쉼표 [0] 6 2 2 2 2 2 2 3" xfId="21339"/>
    <cellStyle name="쉼표 [0] 6 2 2 2 2 2 2 3 2" xfId="11782"/>
    <cellStyle name="쉼표 [0] 6 2 2 2 2 2 2 4" xfId="11787"/>
    <cellStyle name="쉼표 [0] 6 2 2 2 2 2 2 5" xfId="28686"/>
    <cellStyle name="쉼표 [0] 6 2 2 2 2 2 2 6" xfId="21334"/>
    <cellStyle name="쉼표 [0] 6 2 2 2 2 2 3" xfId="2166"/>
    <cellStyle name="쉼표 [0] 6 2 2 2 2 2 3 2" xfId="2167"/>
    <cellStyle name="쉼표 [0] 6 2 2 2 2 2 3 2 2" xfId="21342"/>
    <cellStyle name="쉼표 [0] 6 2 2 2 2 2 3 2 2 2" xfId="11779"/>
    <cellStyle name="쉼표 [0] 6 2 2 2 2 2 3 2 3" xfId="11780"/>
    <cellStyle name="쉼표 [0] 6 2 2 2 2 2 3 2 4" xfId="21341"/>
    <cellStyle name="쉼표 [0] 6 2 2 2 2 2 3 3" xfId="21343"/>
    <cellStyle name="쉼표 [0] 6 2 2 2 2 2 3 3 2" xfId="11778"/>
    <cellStyle name="쉼표 [0] 6 2 2 2 2 2 3 4" xfId="11781"/>
    <cellStyle name="쉼표 [0] 6 2 2 2 2 2 3 5" xfId="21340"/>
    <cellStyle name="쉼표 [0] 6 2 2 2 2 2 4" xfId="2168"/>
    <cellStyle name="쉼표 [0] 6 2 2 2 2 2 4 2" xfId="2169"/>
    <cellStyle name="쉼표 [0] 6 2 2 2 2 2 4 2 2" xfId="21346"/>
    <cellStyle name="쉼표 [0] 6 2 2 2 2 2 4 2 2 2" xfId="11775"/>
    <cellStyle name="쉼표 [0] 6 2 2 2 2 2 4 2 3" xfId="11776"/>
    <cellStyle name="쉼표 [0] 6 2 2 2 2 2 4 2 4" xfId="21345"/>
    <cellStyle name="쉼표 [0] 6 2 2 2 2 2 4 3" xfId="21347"/>
    <cellStyle name="쉼표 [0] 6 2 2 2 2 2 4 3 2" xfId="11774"/>
    <cellStyle name="쉼표 [0] 6 2 2 2 2 2 4 4" xfId="11777"/>
    <cellStyle name="쉼표 [0] 6 2 2 2 2 2 4 5" xfId="21344"/>
    <cellStyle name="쉼표 [0] 6 2 2 2 2 2 5" xfId="21348"/>
    <cellStyle name="쉼표 [0] 6 2 2 2 2 2 5 2" xfId="11773"/>
    <cellStyle name="쉼표 [0] 6 2 2 2 2 2 6" xfId="11788"/>
    <cellStyle name="쉼표 [0] 6 2 2 2 2 2 7" xfId="28687"/>
    <cellStyle name="쉼표 [0] 6 2 2 2 2 2 8" xfId="21333"/>
    <cellStyle name="쉼표 [0] 6 2 2 2 2 3" xfId="2170"/>
    <cellStyle name="쉼표 [0] 6 2 2 2 2 3 2" xfId="2171"/>
    <cellStyle name="쉼표 [0] 6 2 2 2 2 3 2 2" xfId="2172"/>
    <cellStyle name="쉼표 [0] 6 2 2 2 2 3 2 2 2" xfId="21352"/>
    <cellStyle name="쉼표 [0] 6 2 2 2 2 3 2 2 2 2" xfId="11769"/>
    <cellStyle name="쉼표 [0] 6 2 2 2 2 3 2 2 3" xfId="11770"/>
    <cellStyle name="쉼표 [0] 6 2 2 2 2 3 2 2 4" xfId="28683"/>
    <cellStyle name="쉼표 [0] 6 2 2 2 2 3 2 2 5" xfId="21351"/>
    <cellStyle name="쉼표 [0] 6 2 2 2 2 3 2 3" xfId="2173"/>
    <cellStyle name="쉼표 [0] 6 2 2 2 2 3 2 3 2" xfId="2174"/>
    <cellStyle name="쉼표 [0] 6 2 2 2 2 3 2 3 2 2" xfId="21355"/>
    <cellStyle name="쉼표 [0] 6 2 2 2 2 3 2 3 2 2 2" xfId="11766"/>
    <cellStyle name="쉼표 [0] 6 2 2 2 2 3 2 3 2 3" xfId="11767"/>
    <cellStyle name="쉼표 [0] 6 2 2 2 2 3 2 3 2 4" xfId="21354"/>
    <cellStyle name="쉼표 [0] 6 2 2 2 2 3 2 3 3" xfId="21356"/>
    <cellStyle name="쉼표 [0] 6 2 2 2 2 3 2 3 3 2" xfId="11765"/>
    <cellStyle name="쉼표 [0] 6 2 2 2 2 3 2 3 4" xfId="11768"/>
    <cellStyle name="쉼표 [0] 6 2 2 2 2 3 2 3 5" xfId="21353"/>
    <cellStyle name="쉼표 [0] 6 2 2 2 2 3 2 4" xfId="21357"/>
    <cellStyle name="쉼표 [0] 6 2 2 2 2 3 2 4 2" xfId="11764"/>
    <cellStyle name="쉼표 [0] 6 2 2 2 2 3 2 5" xfId="11771"/>
    <cellStyle name="쉼표 [0] 6 2 2 2 2 3 2 6" xfId="28684"/>
    <cellStyle name="쉼표 [0] 6 2 2 2 2 3 2 7" xfId="21350"/>
    <cellStyle name="쉼표 [0] 6 2 2 2 2 3 3" xfId="2175"/>
    <cellStyle name="쉼표 [0] 6 2 2 2 2 3 3 2" xfId="21359"/>
    <cellStyle name="쉼표 [0] 6 2 2 2 2 3 3 2 2" xfId="11762"/>
    <cellStyle name="쉼표 [0] 6 2 2 2 2 3 3 3" xfId="11763"/>
    <cellStyle name="쉼표 [0] 6 2 2 2 2 3 3 4" xfId="28682"/>
    <cellStyle name="쉼표 [0] 6 2 2 2 2 3 3 5" xfId="21358"/>
    <cellStyle name="쉼표 [0] 6 2 2 2 2 3 4" xfId="2176"/>
    <cellStyle name="쉼표 [0] 6 2 2 2 2 3 4 2" xfId="2177"/>
    <cellStyle name="쉼표 [0] 6 2 2 2 2 3 4 2 2" xfId="21362"/>
    <cellStyle name="쉼표 [0] 6 2 2 2 2 3 4 2 2 2" xfId="11759"/>
    <cellStyle name="쉼표 [0] 6 2 2 2 2 3 4 2 3" xfId="11760"/>
    <cellStyle name="쉼표 [0] 6 2 2 2 2 3 4 2 4" xfId="21361"/>
    <cellStyle name="쉼표 [0] 6 2 2 2 2 3 4 3" xfId="21363"/>
    <cellStyle name="쉼표 [0] 6 2 2 2 2 3 4 3 2" xfId="11758"/>
    <cellStyle name="쉼표 [0] 6 2 2 2 2 3 4 4" xfId="11761"/>
    <cellStyle name="쉼표 [0] 6 2 2 2 2 3 4 5" xfId="21360"/>
    <cellStyle name="쉼표 [0] 6 2 2 2 2 3 5" xfId="21364"/>
    <cellStyle name="쉼표 [0] 6 2 2 2 2 3 5 2" xfId="11757"/>
    <cellStyle name="쉼표 [0] 6 2 2 2 2 3 6" xfId="11772"/>
    <cellStyle name="쉼표 [0] 6 2 2 2 2 3 7" xfId="28685"/>
    <cellStyle name="쉼표 [0] 6 2 2 2 2 3 8" xfId="21349"/>
    <cellStyle name="쉼표 [0] 6 2 2 2 2 4" xfId="2178"/>
    <cellStyle name="쉼표 [0] 6 2 2 2 2 4 2" xfId="2179"/>
    <cellStyle name="쉼표 [0] 6 2 2 2 2 4 2 2" xfId="21367"/>
    <cellStyle name="쉼표 [0] 6 2 2 2 2 4 2 2 2" xfId="11754"/>
    <cellStyle name="쉼표 [0] 6 2 2 2 2 4 2 3" xfId="11755"/>
    <cellStyle name="쉼표 [0] 6 2 2 2 2 4 2 4" xfId="28680"/>
    <cellStyle name="쉼표 [0] 6 2 2 2 2 4 2 5" xfId="21366"/>
    <cellStyle name="쉼표 [0] 6 2 2 2 2 4 3" xfId="2180"/>
    <cellStyle name="쉼표 [0] 6 2 2 2 2 4 3 2" xfId="2181"/>
    <cellStyle name="쉼표 [0] 6 2 2 2 2 4 3 2 2" xfId="21370"/>
    <cellStyle name="쉼표 [0] 6 2 2 2 2 4 3 2 2 2" xfId="11751"/>
    <cellStyle name="쉼표 [0] 6 2 2 2 2 4 3 2 3" xfId="11752"/>
    <cellStyle name="쉼표 [0] 6 2 2 2 2 4 3 2 4" xfId="21369"/>
    <cellStyle name="쉼표 [0] 6 2 2 2 2 4 3 3" xfId="21371"/>
    <cellStyle name="쉼표 [0] 6 2 2 2 2 4 3 3 2" xfId="11750"/>
    <cellStyle name="쉼표 [0] 6 2 2 2 2 4 3 4" xfId="11753"/>
    <cellStyle name="쉼표 [0] 6 2 2 2 2 4 3 5" xfId="21368"/>
    <cellStyle name="쉼표 [0] 6 2 2 2 2 4 4" xfId="21372"/>
    <cellStyle name="쉼표 [0] 6 2 2 2 2 4 4 2" xfId="11749"/>
    <cellStyle name="쉼표 [0] 6 2 2 2 2 4 5" xfId="11756"/>
    <cellStyle name="쉼표 [0] 6 2 2 2 2 4 6" xfId="28681"/>
    <cellStyle name="쉼표 [0] 6 2 2 2 2 4 7" xfId="21365"/>
    <cellStyle name="쉼표 [0] 6 2 2 2 2 5" xfId="2182"/>
    <cellStyle name="쉼표 [0] 6 2 2 2 2 5 2" xfId="21374"/>
    <cellStyle name="쉼표 [0] 6 2 2 2 2 5 2 2" xfId="11747"/>
    <cellStyle name="쉼표 [0] 6 2 2 2 2 5 3" xfId="11748"/>
    <cellStyle name="쉼표 [0] 6 2 2 2 2 5 4" xfId="28679"/>
    <cellStyle name="쉼표 [0] 6 2 2 2 2 5 5" xfId="21373"/>
    <cellStyle name="쉼표 [0] 6 2 2 2 2 6" xfId="2183"/>
    <cellStyle name="쉼표 [0] 6 2 2 2 2 6 2" xfId="2184"/>
    <cellStyle name="쉼표 [0] 6 2 2 2 2 6 2 2" xfId="21377"/>
    <cellStyle name="쉼표 [0] 6 2 2 2 2 6 2 2 2" xfId="11744"/>
    <cellStyle name="쉼표 [0] 6 2 2 2 2 6 2 3" xfId="11745"/>
    <cellStyle name="쉼표 [0] 6 2 2 2 2 6 2 4" xfId="21376"/>
    <cellStyle name="쉼표 [0] 6 2 2 2 2 6 3" xfId="21378"/>
    <cellStyle name="쉼표 [0] 6 2 2 2 2 6 3 2" xfId="11743"/>
    <cellStyle name="쉼표 [0] 6 2 2 2 2 6 4" xfId="11746"/>
    <cellStyle name="쉼표 [0] 6 2 2 2 2 6 5" xfId="21375"/>
    <cellStyle name="쉼표 [0] 6 2 2 2 2 7" xfId="21379"/>
    <cellStyle name="쉼표 [0] 6 2 2 2 2 7 2" xfId="11742"/>
    <cellStyle name="쉼표 [0] 6 2 2 2 2 8" xfId="11789"/>
    <cellStyle name="쉼표 [0] 6 2 2 2 2 9" xfId="28688"/>
    <cellStyle name="쉼표 [0] 6 2 2 2 3" xfId="2185"/>
    <cellStyle name="쉼표 [0] 6 2 2 2 3 2" xfId="2186"/>
    <cellStyle name="쉼표 [0] 6 2 2 2 3 2 2" xfId="2187"/>
    <cellStyle name="쉼표 [0] 6 2 2 2 3 2 2 2" xfId="2188"/>
    <cellStyle name="쉼표 [0] 6 2 2 2 3 2 2 2 2" xfId="21384"/>
    <cellStyle name="쉼표 [0] 6 2 2 2 3 2 2 2 2 2" xfId="11737"/>
    <cellStyle name="쉼표 [0] 6 2 2 2 3 2 2 2 3" xfId="11738"/>
    <cellStyle name="쉼표 [0] 6 2 2 2 3 2 2 2 4" xfId="21383"/>
    <cellStyle name="쉼표 [0] 6 2 2 2 3 2 2 3" xfId="21385"/>
    <cellStyle name="쉼표 [0] 6 2 2 2 3 2 2 3 2" xfId="11736"/>
    <cellStyle name="쉼표 [0] 6 2 2 2 3 2 2 4" xfId="11739"/>
    <cellStyle name="쉼표 [0] 6 2 2 2 3 2 2 5" xfId="21382"/>
    <cellStyle name="쉼표 [0] 6 2 2 2 3 2 3" xfId="21386"/>
    <cellStyle name="쉼표 [0] 6 2 2 2 3 2 3 2" xfId="11735"/>
    <cellStyle name="쉼표 [0] 6 2 2 2 3 2 4" xfId="11740"/>
    <cellStyle name="쉼표 [0] 6 2 2 2 3 2 5" xfId="28677"/>
    <cellStyle name="쉼표 [0] 6 2 2 2 3 2 6" xfId="21381"/>
    <cellStyle name="쉼표 [0] 6 2 2 2 3 3" xfId="2189"/>
    <cellStyle name="쉼표 [0] 6 2 2 2 3 3 2" xfId="2190"/>
    <cellStyle name="쉼표 [0] 6 2 2 2 3 3 2 2" xfId="21389"/>
    <cellStyle name="쉼표 [0] 6 2 2 2 3 3 2 2 2" xfId="11732"/>
    <cellStyle name="쉼표 [0] 6 2 2 2 3 3 2 3" xfId="11733"/>
    <cellStyle name="쉼표 [0] 6 2 2 2 3 3 2 4" xfId="21388"/>
    <cellStyle name="쉼표 [0] 6 2 2 2 3 3 3" xfId="21390"/>
    <cellStyle name="쉼표 [0] 6 2 2 2 3 3 3 2" xfId="11731"/>
    <cellStyle name="쉼표 [0] 6 2 2 2 3 3 4" xfId="11734"/>
    <cellStyle name="쉼표 [0] 6 2 2 2 3 3 5" xfId="21387"/>
    <cellStyle name="쉼표 [0] 6 2 2 2 3 4" xfId="2191"/>
    <cellStyle name="쉼표 [0] 6 2 2 2 3 4 2" xfId="2192"/>
    <cellStyle name="쉼표 [0] 6 2 2 2 3 4 2 2" xfId="21393"/>
    <cellStyle name="쉼표 [0] 6 2 2 2 3 4 2 2 2" xfId="11728"/>
    <cellStyle name="쉼표 [0] 6 2 2 2 3 4 2 3" xfId="11729"/>
    <cellStyle name="쉼표 [0] 6 2 2 2 3 4 2 4" xfId="21392"/>
    <cellStyle name="쉼표 [0] 6 2 2 2 3 4 3" xfId="21394"/>
    <cellStyle name="쉼표 [0] 6 2 2 2 3 4 3 2" xfId="11727"/>
    <cellStyle name="쉼표 [0] 6 2 2 2 3 4 4" xfId="11730"/>
    <cellStyle name="쉼표 [0] 6 2 2 2 3 4 5" xfId="21391"/>
    <cellStyle name="쉼표 [0] 6 2 2 2 3 5" xfId="21395"/>
    <cellStyle name="쉼표 [0] 6 2 2 2 3 5 2" xfId="11726"/>
    <cellStyle name="쉼표 [0] 6 2 2 2 3 6" xfId="11741"/>
    <cellStyle name="쉼표 [0] 6 2 2 2 3 7" xfId="28678"/>
    <cellStyle name="쉼표 [0] 6 2 2 2 3 8" xfId="21380"/>
    <cellStyle name="쉼표 [0] 6 2 2 2 4" xfId="2193"/>
    <cellStyle name="쉼표 [0] 6 2 2 2 4 2" xfId="2194"/>
    <cellStyle name="쉼표 [0] 6 2 2 2 4 2 2" xfId="2195"/>
    <cellStyle name="쉼표 [0] 6 2 2 2 4 2 2 2" xfId="21399"/>
    <cellStyle name="쉼표 [0] 6 2 2 2 4 2 2 2 2" xfId="11722"/>
    <cellStyle name="쉼표 [0] 6 2 2 2 4 2 2 3" xfId="11723"/>
    <cellStyle name="쉼표 [0] 6 2 2 2 4 2 2 4" xfId="28674"/>
    <cellStyle name="쉼표 [0] 6 2 2 2 4 2 2 5" xfId="21398"/>
    <cellStyle name="쉼표 [0] 6 2 2 2 4 2 3" xfId="2196"/>
    <cellStyle name="쉼표 [0] 6 2 2 2 4 2 3 2" xfId="2197"/>
    <cellStyle name="쉼표 [0] 6 2 2 2 4 2 3 2 2" xfId="21402"/>
    <cellStyle name="쉼표 [0] 6 2 2 2 4 2 3 2 2 2" xfId="11719"/>
    <cellStyle name="쉼표 [0] 6 2 2 2 4 2 3 2 3" xfId="11720"/>
    <cellStyle name="쉼표 [0] 6 2 2 2 4 2 3 2 4" xfId="21401"/>
    <cellStyle name="쉼표 [0] 6 2 2 2 4 2 3 3" xfId="21403"/>
    <cellStyle name="쉼표 [0] 6 2 2 2 4 2 3 3 2" xfId="11718"/>
    <cellStyle name="쉼표 [0] 6 2 2 2 4 2 3 4" xfId="11721"/>
    <cellStyle name="쉼표 [0] 6 2 2 2 4 2 3 5" xfId="21400"/>
    <cellStyle name="쉼표 [0] 6 2 2 2 4 2 4" xfId="21404"/>
    <cellStyle name="쉼표 [0] 6 2 2 2 4 2 4 2" xfId="11717"/>
    <cellStyle name="쉼표 [0] 6 2 2 2 4 2 5" xfId="11724"/>
    <cellStyle name="쉼표 [0] 6 2 2 2 4 2 6" xfId="28675"/>
    <cellStyle name="쉼표 [0] 6 2 2 2 4 2 7" xfId="21397"/>
    <cellStyle name="쉼표 [0] 6 2 2 2 4 3" xfId="2198"/>
    <cellStyle name="쉼표 [0] 6 2 2 2 4 3 2" xfId="21406"/>
    <cellStyle name="쉼표 [0] 6 2 2 2 4 3 2 2" xfId="11715"/>
    <cellStyle name="쉼표 [0] 6 2 2 2 4 3 3" xfId="11716"/>
    <cellStyle name="쉼표 [0] 6 2 2 2 4 3 4" xfId="28673"/>
    <cellStyle name="쉼표 [0] 6 2 2 2 4 3 5" xfId="21405"/>
    <cellStyle name="쉼표 [0] 6 2 2 2 4 4" xfId="2199"/>
    <cellStyle name="쉼표 [0] 6 2 2 2 4 4 2" xfId="2200"/>
    <cellStyle name="쉼표 [0] 6 2 2 2 4 4 2 2" xfId="21409"/>
    <cellStyle name="쉼표 [0] 6 2 2 2 4 4 2 2 2" xfId="11712"/>
    <cellStyle name="쉼표 [0] 6 2 2 2 4 4 2 3" xfId="11713"/>
    <cellStyle name="쉼표 [0] 6 2 2 2 4 4 2 4" xfId="21408"/>
    <cellStyle name="쉼표 [0] 6 2 2 2 4 4 3" xfId="21410"/>
    <cellStyle name="쉼표 [0] 6 2 2 2 4 4 3 2" xfId="11711"/>
    <cellStyle name="쉼표 [0] 6 2 2 2 4 4 4" xfId="11714"/>
    <cellStyle name="쉼표 [0] 6 2 2 2 4 4 5" xfId="21407"/>
    <cellStyle name="쉼표 [0] 6 2 2 2 4 5" xfId="21411"/>
    <cellStyle name="쉼표 [0] 6 2 2 2 4 5 2" xfId="11710"/>
    <cellStyle name="쉼표 [0] 6 2 2 2 4 6" xfId="11725"/>
    <cellStyle name="쉼표 [0] 6 2 2 2 4 7" xfId="28676"/>
    <cellStyle name="쉼표 [0] 6 2 2 2 4 8" xfId="21396"/>
    <cellStyle name="쉼표 [0] 6 2 2 2 5" xfId="2201"/>
    <cellStyle name="쉼표 [0] 6 2 2 2 5 2" xfId="2202"/>
    <cellStyle name="쉼표 [0] 6 2 2 2 5 2 2" xfId="21414"/>
    <cellStyle name="쉼표 [0] 6 2 2 2 5 2 2 2" xfId="11707"/>
    <cellStyle name="쉼표 [0] 6 2 2 2 5 2 3" xfId="11708"/>
    <cellStyle name="쉼표 [0] 6 2 2 2 5 2 4" xfId="28671"/>
    <cellStyle name="쉼표 [0] 6 2 2 2 5 2 5" xfId="21413"/>
    <cellStyle name="쉼표 [0] 6 2 2 2 5 3" xfId="2203"/>
    <cellStyle name="쉼표 [0] 6 2 2 2 5 3 2" xfId="2204"/>
    <cellStyle name="쉼표 [0] 6 2 2 2 5 3 2 2" xfId="21417"/>
    <cellStyle name="쉼표 [0] 6 2 2 2 5 3 2 2 2" xfId="11704"/>
    <cellStyle name="쉼표 [0] 6 2 2 2 5 3 2 3" xfId="11705"/>
    <cellStyle name="쉼표 [0] 6 2 2 2 5 3 2 4" xfId="21416"/>
    <cellStyle name="쉼표 [0] 6 2 2 2 5 3 3" xfId="21418"/>
    <cellStyle name="쉼표 [0] 6 2 2 2 5 3 3 2" xfId="11703"/>
    <cellStyle name="쉼표 [0] 6 2 2 2 5 3 4" xfId="11706"/>
    <cellStyle name="쉼표 [0] 6 2 2 2 5 3 5" xfId="21415"/>
    <cellStyle name="쉼표 [0] 6 2 2 2 5 4" xfId="21419"/>
    <cellStyle name="쉼표 [0] 6 2 2 2 5 4 2" xfId="11702"/>
    <cellStyle name="쉼표 [0] 6 2 2 2 5 5" xfId="11709"/>
    <cellStyle name="쉼표 [0] 6 2 2 2 5 6" xfId="28672"/>
    <cellStyle name="쉼표 [0] 6 2 2 2 5 7" xfId="21412"/>
    <cellStyle name="쉼표 [0] 6 2 2 2 6" xfId="2205"/>
    <cellStyle name="쉼표 [0] 6 2 2 2 6 2" xfId="2206"/>
    <cellStyle name="쉼표 [0] 6 2 2 2 6 2 2" xfId="21422"/>
    <cellStyle name="쉼표 [0] 6 2 2 2 6 2 2 2" xfId="11699"/>
    <cellStyle name="쉼표 [0] 6 2 2 2 6 2 3" xfId="11700"/>
    <cellStyle name="쉼표 [0] 6 2 2 2 6 2 4" xfId="28669"/>
    <cellStyle name="쉼표 [0] 6 2 2 2 6 2 5" xfId="21421"/>
    <cellStyle name="쉼표 [0] 6 2 2 2 6 3" xfId="21423"/>
    <cellStyle name="쉼표 [0] 6 2 2 2 6 3 2" xfId="11698"/>
    <cellStyle name="쉼표 [0] 6 2 2 2 6 4" xfId="11701"/>
    <cellStyle name="쉼표 [0] 6 2 2 2 6 5" xfId="28670"/>
    <cellStyle name="쉼표 [0] 6 2 2 2 6 6" xfId="21420"/>
    <cellStyle name="쉼표 [0] 6 2 2 2 7" xfId="2207"/>
    <cellStyle name="쉼표 [0] 6 2 2 2 7 2" xfId="21425"/>
    <cellStyle name="쉼표 [0] 6 2 2 2 7 2 2" xfId="11696"/>
    <cellStyle name="쉼표 [0] 6 2 2 2 7 3" xfId="11697"/>
    <cellStyle name="쉼표 [0] 6 2 2 2 7 4" xfId="28668"/>
    <cellStyle name="쉼표 [0] 6 2 2 2 7 5" xfId="21424"/>
    <cellStyle name="쉼표 [0] 6 2 2 2 8" xfId="2208"/>
    <cellStyle name="쉼표 [0] 6 2 2 2 8 2" xfId="2209"/>
    <cellStyle name="쉼표 [0] 6 2 2 2 8 2 2" xfId="21428"/>
    <cellStyle name="쉼표 [0] 6 2 2 2 8 2 2 2" xfId="11693"/>
    <cellStyle name="쉼표 [0] 6 2 2 2 8 2 3" xfId="11694"/>
    <cellStyle name="쉼표 [0] 6 2 2 2 8 2 4" xfId="21427"/>
    <cellStyle name="쉼표 [0] 6 2 2 2 8 3" xfId="21429"/>
    <cellStyle name="쉼표 [0] 6 2 2 2 8 3 2" xfId="11692"/>
    <cellStyle name="쉼표 [0] 6 2 2 2 8 4" xfId="11695"/>
    <cellStyle name="쉼표 [0] 6 2 2 2 8 5" xfId="21426"/>
    <cellStyle name="쉼표 [0] 6 2 2 2 9" xfId="21430"/>
    <cellStyle name="쉼표 [0] 6 2 2 2 9 2" xfId="11691"/>
    <cellStyle name="쉼표 [0] 6 2 2 3" xfId="2210"/>
    <cellStyle name="쉼표 [0] 6 2 2 3 10" xfId="21431"/>
    <cellStyle name="쉼표 [0] 6 2 2 3 11" xfId="29536"/>
    <cellStyle name="쉼표 [0] 6 2 2 3 2" xfId="2211"/>
    <cellStyle name="쉼표 [0] 6 2 2 3 2 2" xfId="2212"/>
    <cellStyle name="쉼표 [0] 6 2 2 3 2 2 2" xfId="2213"/>
    <cellStyle name="쉼표 [0] 6 2 2 3 2 2 2 2" xfId="2214"/>
    <cellStyle name="쉼표 [0] 6 2 2 3 2 2 2 2 2" xfId="21436"/>
    <cellStyle name="쉼표 [0] 6 2 2 3 2 2 2 2 2 2" xfId="11685"/>
    <cellStyle name="쉼표 [0] 6 2 2 3 2 2 2 2 3" xfId="11686"/>
    <cellStyle name="쉼표 [0] 6 2 2 3 2 2 2 2 4" xfId="21435"/>
    <cellStyle name="쉼표 [0] 6 2 2 3 2 2 2 3" xfId="21437"/>
    <cellStyle name="쉼표 [0] 6 2 2 3 2 2 2 3 2" xfId="11684"/>
    <cellStyle name="쉼표 [0] 6 2 2 3 2 2 2 4" xfId="11687"/>
    <cellStyle name="쉼표 [0] 6 2 2 3 2 2 2 5" xfId="21434"/>
    <cellStyle name="쉼표 [0] 6 2 2 3 2 2 3" xfId="21438"/>
    <cellStyle name="쉼표 [0] 6 2 2 3 2 2 3 2" xfId="11683"/>
    <cellStyle name="쉼표 [0] 6 2 2 3 2 2 4" xfId="11688"/>
    <cellStyle name="쉼표 [0] 6 2 2 3 2 2 5" xfId="28665"/>
    <cellStyle name="쉼표 [0] 6 2 2 3 2 2 6" xfId="21433"/>
    <cellStyle name="쉼표 [0] 6 2 2 3 2 3" xfId="2215"/>
    <cellStyle name="쉼표 [0] 6 2 2 3 2 3 2" xfId="2216"/>
    <cellStyle name="쉼표 [0] 6 2 2 3 2 3 2 2" xfId="21441"/>
    <cellStyle name="쉼표 [0] 6 2 2 3 2 3 2 2 2" xfId="11680"/>
    <cellStyle name="쉼표 [0] 6 2 2 3 2 3 2 3" xfId="11681"/>
    <cellStyle name="쉼표 [0] 6 2 2 3 2 3 2 4" xfId="21440"/>
    <cellStyle name="쉼표 [0] 6 2 2 3 2 3 3" xfId="21442"/>
    <cellStyle name="쉼표 [0] 6 2 2 3 2 3 3 2" xfId="11679"/>
    <cellStyle name="쉼표 [0] 6 2 2 3 2 3 4" xfId="11682"/>
    <cellStyle name="쉼표 [0] 6 2 2 3 2 3 5" xfId="21439"/>
    <cellStyle name="쉼표 [0] 6 2 2 3 2 4" xfId="2217"/>
    <cellStyle name="쉼표 [0] 6 2 2 3 2 4 2" xfId="2218"/>
    <cellStyle name="쉼표 [0] 6 2 2 3 2 4 2 2" xfId="21445"/>
    <cellStyle name="쉼표 [0] 6 2 2 3 2 4 2 2 2" xfId="11676"/>
    <cellStyle name="쉼표 [0] 6 2 2 3 2 4 2 3" xfId="11677"/>
    <cellStyle name="쉼표 [0] 6 2 2 3 2 4 2 4" xfId="21444"/>
    <cellStyle name="쉼표 [0] 6 2 2 3 2 4 3" xfId="21446"/>
    <cellStyle name="쉼표 [0] 6 2 2 3 2 4 3 2" xfId="11675"/>
    <cellStyle name="쉼표 [0] 6 2 2 3 2 4 4" xfId="11678"/>
    <cellStyle name="쉼표 [0] 6 2 2 3 2 4 5" xfId="21443"/>
    <cellStyle name="쉼표 [0] 6 2 2 3 2 5" xfId="21447"/>
    <cellStyle name="쉼표 [0] 6 2 2 3 2 5 2" xfId="11674"/>
    <cellStyle name="쉼표 [0] 6 2 2 3 2 6" xfId="11689"/>
    <cellStyle name="쉼표 [0] 6 2 2 3 2 7" xfId="28666"/>
    <cellStyle name="쉼표 [0] 6 2 2 3 2 8" xfId="21432"/>
    <cellStyle name="쉼표 [0] 6 2 2 3 3" xfId="2219"/>
    <cellStyle name="쉼표 [0] 6 2 2 3 3 2" xfId="2220"/>
    <cellStyle name="쉼표 [0] 6 2 2 3 3 2 2" xfId="2221"/>
    <cellStyle name="쉼표 [0] 6 2 2 3 3 2 2 2" xfId="21451"/>
    <cellStyle name="쉼표 [0] 6 2 2 3 3 2 2 2 2" xfId="11670"/>
    <cellStyle name="쉼표 [0] 6 2 2 3 3 2 2 3" xfId="11671"/>
    <cellStyle name="쉼표 [0] 6 2 2 3 3 2 2 4" xfId="28662"/>
    <cellStyle name="쉼표 [0] 6 2 2 3 3 2 2 5" xfId="21450"/>
    <cellStyle name="쉼표 [0] 6 2 2 3 3 2 3" xfId="2222"/>
    <cellStyle name="쉼표 [0] 6 2 2 3 3 2 3 2" xfId="2223"/>
    <cellStyle name="쉼표 [0] 6 2 2 3 3 2 3 2 2" xfId="21454"/>
    <cellStyle name="쉼표 [0] 6 2 2 3 3 2 3 2 2 2" xfId="11667"/>
    <cellStyle name="쉼표 [0] 6 2 2 3 3 2 3 2 3" xfId="11668"/>
    <cellStyle name="쉼표 [0] 6 2 2 3 3 2 3 2 4" xfId="21453"/>
    <cellStyle name="쉼표 [0] 6 2 2 3 3 2 3 3" xfId="21455"/>
    <cellStyle name="쉼표 [0] 6 2 2 3 3 2 3 3 2" xfId="11666"/>
    <cellStyle name="쉼표 [0] 6 2 2 3 3 2 3 4" xfId="11669"/>
    <cellStyle name="쉼표 [0] 6 2 2 3 3 2 3 5" xfId="21452"/>
    <cellStyle name="쉼표 [0] 6 2 2 3 3 2 4" xfId="21456"/>
    <cellStyle name="쉼표 [0] 6 2 2 3 3 2 4 2" xfId="11665"/>
    <cellStyle name="쉼표 [0] 6 2 2 3 3 2 5" xfId="11672"/>
    <cellStyle name="쉼표 [0] 6 2 2 3 3 2 6" xfId="28663"/>
    <cellStyle name="쉼표 [0] 6 2 2 3 3 2 7" xfId="21449"/>
    <cellStyle name="쉼표 [0] 6 2 2 3 3 3" xfId="2224"/>
    <cellStyle name="쉼표 [0] 6 2 2 3 3 3 2" xfId="21458"/>
    <cellStyle name="쉼표 [0] 6 2 2 3 3 3 2 2" xfId="11663"/>
    <cellStyle name="쉼표 [0] 6 2 2 3 3 3 3" xfId="11664"/>
    <cellStyle name="쉼표 [0] 6 2 2 3 3 3 4" xfId="28661"/>
    <cellStyle name="쉼표 [0] 6 2 2 3 3 3 5" xfId="21457"/>
    <cellStyle name="쉼표 [0] 6 2 2 3 3 4" xfId="2225"/>
    <cellStyle name="쉼표 [0] 6 2 2 3 3 4 2" xfId="2226"/>
    <cellStyle name="쉼표 [0] 6 2 2 3 3 4 2 2" xfId="21461"/>
    <cellStyle name="쉼표 [0] 6 2 2 3 3 4 2 2 2" xfId="11660"/>
    <cellStyle name="쉼표 [0] 6 2 2 3 3 4 2 3" xfId="11661"/>
    <cellStyle name="쉼표 [0] 6 2 2 3 3 4 2 4" xfId="21460"/>
    <cellStyle name="쉼표 [0] 6 2 2 3 3 4 3" xfId="21462"/>
    <cellStyle name="쉼표 [0] 6 2 2 3 3 4 3 2" xfId="11659"/>
    <cellStyle name="쉼표 [0] 6 2 2 3 3 4 4" xfId="11662"/>
    <cellStyle name="쉼표 [0] 6 2 2 3 3 4 5" xfId="21459"/>
    <cellStyle name="쉼표 [0] 6 2 2 3 3 5" xfId="21463"/>
    <cellStyle name="쉼표 [0] 6 2 2 3 3 5 2" xfId="11658"/>
    <cellStyle name="쉼표 [0] 6 2 2 3 3 6" xfId="11673"/>
    <cellStyle name="쉼표 [0] 6 2 2 3 3 7" xfId="28664"/>
    <cellStyle name="쉼표 [0] 6 2 2 3 3 8" xfId="21448"/>
    <cellStyle name="쉼표 [0] 6 2 2 3 4" xfId="2227"/>
    <cellStyle name="쉼표 [0] 6 2 2 3 4 2" xfId="2228"/>
    <cellStyle name="쉼표 [0] 6 2 2 3 4 2 2" xfId="21466"/>
    <cellStyle name="쉼표 [0] 6 2 2 3 4 2 2 2" xfId="11655"/>
    <cellStyle name="쉼표 [0] 6 2 2 3 4 2 3" xfId="11656"/>
    <cellStyle name="쉼표 [0] 6 2 2 3 4 2 4" xfId="28659"/>
    <cellStyle name="쉼표 [0] 6 2 2 3 4 2 5" xfId="21465"/>
    <cellStyle name="쉼표 [0] 6 2 2 3 4 3" xfId="2229"/>
    <cellStyle name="쉼표 [0] 6 2 2 3 4 3 2" xfId="2230"/>
    <cellStyle name="쉼표 [0] 6 2 2 3 4 3 2 2" xfId="21469"/>
    <cellStyle name="쉼표 [0] 6 2 2 3 4 3 2 2 2" xfId="11652"/>
    <cellStyle name="쉼표 [0] 6 2 2 3 4 3 2 3" xfId="11653"/>
    <cellStyle name="쉼표 [0] 6 2 2 3 4 3 2 4" xfId="21468"/>
    <cellStyle name="쉼표 [0] 6 2 2 3 4 3 3" xfId="21470"/>
    <cellStyle name="쉼표 [0] 6 2 2 3 4 3 3 2" xfId="11651"/>
    <cellStyle name="쉼표 [0] 6 2 2 3 4 3 4" xfId="11654"/>
    <cellStyle name="쉼표 [0] 6 2 2 3 4 3 5" xfId="21467"/>
    <cellStyle name="쉼표 [0] 6 2 2 3 4 4" xfId="21471"/>
    <cellStyle name="쉼표 [0] 6 2 2 3 4 4 2" xfId="11650"/>
    <cellStyle name="쉼표 [0] 6 2 2 3 4 5" xfId="11657"/>
    <cellStyle name="쉼표 [0] 6 2 2 3 4 6" xfId="28660"/>
    <cellStyle name="쉼표 [0] 6 2 2 3 4 7" xfId="21464"/>
    <cellStyle name="쉼표 [0] 6 2 2 3 5" xfId="2231"/>
    <cellStyle name="쉼표 [0] 6 2 2 3 5 2" xfId="21473"/>
    <cellStyle name="쉼표 [0] 6 2 2 3 5 2 2" xfId="11648"/>
    <cellStyle name="쉼표 [0] 6 2 2 3 5 3" xfId="11649"/>
    <cellStyle name="쉼표 [0] 6 2 2 3 5 4" xfId="28658"/>
    <cellStyle name="쉼표 [0] 6 2 2 3 5 5" xfId="21472"/>
    <cellStyle name="쉼표 [0] 6 2 2 3 6" xfId="2232"/>
    <cellStyle name="쉼표 [0] 6 2 2 3 6 2" xfId="2233"/>
    <cellStyle name="쉼표 [0] 6 2 2 3 6 2 2" xfId="21476"/>
    <cellStyle name="쉼표 [0] 6 2 2 3 6 2 2 2" xfId="11645"/>
    <cellStyle name="쉼표 [0] 6 2 2 3 6 2 3" xfId="11646"/>
    <cellStyle name="쉼표 [0] 6 2 2 3 6 2 4" xfId="21475"/>
    <cellStyle name="쉼표 [0] 6 2 2 3 6 3" xfId="21477"/>
    <cellStyle name="쉼표 [0] 6 2 2 3 6 3 2" xfId="11644"/>
    <cellStyle name="쉼표 [0] 6 2 2 3 6 4" xfId="11647"/>
    <cellStyle name="쉼표 [0] 6 2 2 3 6 5" xfId="21474"/>
    <cellStyle name="쉼표 [0] 6 2 2 3 7" xfId="21478"/>
    <cellStyle name="쉼표 [0] 6 2 2 3 7 2" xfId="11643"/>
    <cellStyle name="쉼표 [0] 6 2 2 3 8" xfId="11690"/>
    <cellStyle name="쉼표 [0] 6 2 2 3 9" xfId="28667"/>
    <cellStyle name="쉼표 [0] 6 2 2 4" xfId="2234"/>
    <cellStyle name="쉼표 [0] 6 2 2 4 2" xfId="2235"/>
    <cellStyle name="쉼표 [0] 6 2 2 4 2 2" xfId="2236"/>
    <cellStyle name="쉼표 [0] 6 2 2 4 2 2 2" xfId="2237"/>
    <cellStyle name="쉼표 [0] 6 2 2 4 2 2 2 2" xfId="21483"/>
    <cellStyle name="쉼표 [0] 6 2 2 4 2 2 2 2 2" xfId="11638"/>
    <cellStyle name="쉼표 [0] 6 2 2 4 2 2 2 3" xfId="11639"/>
    <cellStyle name="쉼표 [0] 6 2 2 4 2 2 2 4" xfId="21482"/>
    <cellStyle name="쉼표 [0] 6 2 2 4 2 2 3" xfId="21484"/>
    <cellStyle name="쉼표 [0] 6 2 2 4 2 2 3 2" xfId="11637"/>
    <cellStyle name="쉼표 [0] 6 2 2 4 2 2 4" xfId="11640"/>
    <cellStyle name="쉼표 [0] 6 2 2 4 2 2 5" xfId="21481"/>
    <cellStyle name="쉼표 [0] 6 2 2 4 2 3" xfId="21485"/>
    <cellStyle name="쉼표 [0] 6 2 2 4 2 3 2" xfId="11636"/>
    <cellStyle name="쉼표 [0] 6 2 2 4 2 4" xfId="11641"/>
    <cellStyle name="쉼표 [0] 6 2 2 4 2 5" xfId="28656"/>
    <cellStyle name="쉼표 [0] 6 2 2 4 2 6" xfId="21480"/>
    <cellStyle name="쉼표 [0] 6 2 2 4 3" xfId="2238"/>
    <cellStyle name="쉼표 [0] 6 2 2 4 3 2" xfId="2239"/>
    <cellStyle name="쉼표 [0] 6 2 2 4 3 2 2" xfId="21488"/>
    <cellStyle name="쉼표 [0] 6 2 2 4 3 2 2 2" xfId="11633"/>
    <cellStyle name="쉼표 [0] 6 2 2 4 3 2 3" xfId="11634"/>
    <cellStyle name="쉼표 [0] 6 2 2 4 3 2 4" xfId="21487"/>
    <cellStyle name="쉼표 [0] 6 2 2 4 3 3" xfId="21489"/>
    <cellStyle name="쉼표 [0] 6 2 2 4 3 3 2" xfId="11632"/>
    <cellStyle name="쉼표 [0] 6 2 2 4 3 4" xfId="11635"/>
    <cellStyle name="쉼표 [0] 6 2 2 4 3 5" xfId="21486"/>
    <cellStyle name="쉼표 [0] 6 2 2 4 4" xfId="2240"/>
    <cellStyle name="쉼표 [0] 6 2 2 4 4 2" xfId="2241"/>
    <cellStyle name="쉼표 [0] 6 2 2 4 4 2 2" xfId="21492"/>
    <cellStyle name="쉼표 [0] 6 2 2 4 4 2 2 2" xfId="11629"/>
    <cellStyle name="쉼표 [0] 6 2 2 4 4 2 3" xfId="11630"/>
    <cellStyle name="쉼표 [0] 6 2 2 4 4 2 4" xfId="21491"/>
    <cellStyle name="쉼표 [0] 6 2 2 4 4 3" xfId="21493"/>
    <cellStyle name="쉼표 [0] 6 2 2 4 4 3 2" xfId="11628"/>
    <cellStyle name="쉼표 [0] 6 2 2 4 4 4" xfId="11631"/>
    <cellStyle name="쉼표 [0] 6 2 2 4 4 5" xfId="21490"/>
    <cellStyle name="쉼표 [0] 6 2 2 4 5" xfId="21494"/>
    <cellStyle name="쉼표 [0] 6 2 2 4 5 2" xfId="11627"/>
    <cellStyle name="쉼표 [0] 6 2 2 4 6" xfId="11642"/>
    <cellStyle name="쉼표 [0] 6 2 2 4 7" xfId="28657"/>
    <cellStyle name="쉼표 [0] 6 2 2 4 8" xfId="21479"/>
    <cellStyle name="쉼표 [0] 6 2 2 5" xfId="2242"/>
    <cellStyle name="쉼표 [0] 6 2 2 5 2" xfId="2243"/>
    <cellStyle name="쉼표 [0] 6 2 2 5 2 2" xfId="2244"/>
    <cellStyle name="쉼표 [0] 6 2 2 5 2 2 2" xfId="21498"/>
    <cellStyle name="쉼표 [0] 6 2 2 5 2 2 2 2" xfId="11623"/>
    <cellStyle name="쉼표 [0] 6 2 2 5 2 2 3" xfId="11624"/>
    <cellStyle name="쉼표 [0] 6 2 2 5 2 2 4" xfId="28653"/>
    <cellStyle name="쉼표 [0] 6 2 2 5 2 2 5" xfId="21497"/>
    <cellStyle name="쉼표 [0] 6 2 2 5 2 3" xfId="2245"/>
    <cellStyle name="쉼표 [0] 6 2 2 5 2 3 2" xfId="2246"/>
    <cellStyle name="쉼표 [0] 6 2 2 5 2 3 2 2" xfId="21501"/>
    <cellStyle name="쉼표 [0] 6 2 2 5 2 3 2 2 2" xfId="11620"/>
    <cellStyle name="쉼표 [0] 6 2 2 5 2 3 2 3" xfId="11621"/>
    <cellStyle name="쉼표 [0] 6 2 2 5 2 3 2 4" xfId="21500"/>
    <cellStyle name="쉼표 [0] 6 2 2 5 2 3 3" xfId="21502"/>
    <cellStyle name="쉼표 [0] 6 2 2 5 2 3 3 2" xfId="11619"/>
    <cellStyle name="쉼표 [0] 6 2 2 5 2 3 4" xfId="11622"/>
    <cellStyle name="쉼표 [0] 6 2 2 5 2 3 5" xfId="21499"/>
    <cellStyle name="쉼표 [0] 6 2 2 5 2 4" xfId="21503"/>
    <cellStyle name="쉼표 [0] 6 2 2 5 2 4 2" xfId="11618"/>
    <cellStyle name="쉼표 [0] 6 2 2 5 2 5" xfId="11625"/>
    <cellStyle name="쉼표 [0] 6 2 2 5 2 6" xfId="28654"/>
    <cellStyle name="쉼표 [0] 6 2 2 5 2 7" xfId="21496"/>
    <cellStyle name="쉼표 [0] 6 2 2 5 3" xfId="2247"/>
    <cellStyle name="쉼표 [0] 6 2 2 5 3 2" xfId="21505"/>
    <cellStyle name="쉼표 [0] 6 2 2 5 3 2 2" xfId="11616"/>
    <cellStyle name="쉼표 [0] 6 2 2 5 3 3" xfId="11617"/>
    <cellStyle name="쉼표 [0] 6 2 2 5 3 4" xfId="28652"/>
    <cellStyle name="쉼표 [0] 6 2 2 5 3 5" xfId="21504"/>
    <cellStyle name="쉼표 [0] 6 2 2 5 4" xfId="2248"/>
    <cellStyle name="쉼표 [0] 6 2 2 5 4 2" xfId="2249"/>
    <cellStyle name="쉼표 [0] 6 2 2 5 4 2 2" xfId="21508"/>
    <cellStyle name="쉼표 [0] 6 2 2 5 4 2 2 2" xfId="11613"/>
    <cellStyle name="쉼표 [0] 6 2 2 5 4 2 3" xfId="11614"/>
    <cellStyle name="쉼표 [0] 6 2 2 5 4 2 4" xfId="21507"/>
    <cellStyle name="쉼표 [0] 6 2 2 5 4 3" xfId="21509"/>
    <cellStyle name="쉼표 [0] 6 2 2 5 4 3 2" xfId="11612"/>
    <cellStyle name="쉼표 [0] 6 2 2 5 4 4" xfId="11615"/>
    <cellStyle name="쉼표 [0] 6 2 2 5 4 5" xfId="21506"/>
    <cellStyle name="쉼표 [0] 6 2 2 5 5" xfId="21510"/>
    <cellStyle name="쉼표 [0] 6 2 2 5 5 2" xfId="11611"/>
    <cellStyle name="쉼표 [0] 6 2 2 5 6" xfId="11626"/>
    <cellStyle name="쉼표 [0] 6 2 2 5 7" xfId="28655"/>
    <cellStyle name="쉼표 [0] 6 2 2 5 8" xfId="21495"/>
    <cellStyle name="쉼표 [0] 6 2 2 6" xfId="2250"/>
    <cellStyle name="쉼표 [0] 6 2 2 6 2" xfId="2251"/>
    <cellStyle name="쉼표 [0] 6 2 2 6 2 2" xfId="21513"/>
    <cellStyle name="쉼표 [0] 6 2 2 6 2 2 2" xfId="11608"/>
    <cellStyle name="쉼표 [0] 6 2 2 6 2 3" xfId="11609"/>
    <cellStyle name="쉼표 [0] 6 2 2 6 2 4" xfId="28650"/>
    <cellStyle name="쉼표 [0] 6 2 2 6 2 5" xfId="21512"/>
    <cellStyle name="쉼표 [0] 6 2 2 6 3" xfId="2252"/>
    <cellStyle name="쉼표 [0] 6 2 2 6 3 2" xfId="2253"/>
    <cellStyle name="쉼표 [0] 6 2 2 6 3 2 2" xfId="21516"/>
    <cellStyle name="쉼표 [0] 6 2 2 6 3 2 2 2" xfId="11605"/>
    <cellStyle name="쉼표 [0] 6 2 2 6 3 2 3" xfId="11606"/>
    <cellStyle name="쉼표 [0] 6 2 2 6 3 2 4" xfId="21515"/>
    <cellStyle name="쉼표 [0] 6 2 2 6 3 3" xfId="21517"/>
    <cellStyle name="쉼표 [0] 6 2 2 6 3 3 2" xfId="11604"/>
    <cellStyle name="쉼표 [0] 6 2 2 6 3 4" xfId="11607"/>
    <cellStyle name="쉼표 [0] 6 2 2 6 3 5" xfId="21514"/>
    <cellStyle name="쉼표 [0] 6 2 2 6 4" xfId="21518"/>
    <cellStyle name="쉼표 [0] 6 2 2 6 4 2" xfId="11603"/>
    <cellStyle name="쉼표 [0] 6 2 2 6 5" xfId="11610"/>
    <cellStyle name="쉼표 [0] 6 2 2 6 6" xfId="28651"/>
    <cellStyle name="쉼표 [0] 6 2 2 6 7" xfId="21511"/>
    <cellStyle name="쉼표 [0] 6 2 2 7" xfId="2254"/>
    <cellStyle name="쉼표 [0] 6 2 2 7 2" xfId="2255"/>
    <cellStyle name="쉼표 [0] 6 2 2 7 2 2" xfId="21521"/>
    <cellStyle name="쉼표 [0] 6 2 2 7 2 2 2" xfId="11600"/>
    <cellStyle name="쉼표 [0] 6 2 2 7 2 3" xfId="11601"/>
    <cellStyle name="쉼표 [0] 6 2 2 7 2 4" xfId="28648"/>
    <cellStyle name="쉼표 [0] 6 2 2 7 2 5" xfId="21520"/>
    <cellStyle name="쉼표 [0] 6 2 2 7 3" xfId="21522"/>
    <cellStyle name="쉼표 [0] 6 2 2 7 3 2" xfId="11599"/>
    <cellStyle name="쉼표 [0] 6 2 2 7 4" xfId="11602"/>
    <cellStyle name="쉼표 [0] 6 2 2 7 5" xfId="28649"/>
    <cellStyle name="쉼표 [0] 6 2 2 7 6" xfId="21519"/>
    <cellStyle name="쉼표 [0] 6 2 2 8" xfId="2256"/>
    <cellStyle name="쉼표 [0] 6 2 2 8 2" xfId="21524"/>
    <cellStyle name="쉼표 [0] 6 2 2 8 2 2" xfId="11597"/>
    <cellStyle name="쉼표 [0] 6 2 2 8 3" xfId="11598"/>
    <cellStyle name="쉼표 [0] 6 2 2 8 4" xfId="28647"/>
    <cellStyle name="쉼표 [0] 6 2 2 8 5" xfId="21523"/>
    <cellStyle name="쉼표 [0] 6 2 2 9" xfId="2257"/>
    <cellStyle name="쉼표 [0] 6 2 2 9 2" xfId="2258"/>
    <cellStyle name="쉼표 [0] 6 2 2 9 2 2" xfId="21527"/>
    <cellStyle name="쉼표 [0] 6 2 2 9 2 2 2" xfId="11594"/>
    <cellStyle name="쉼표 [0] 6 2 2 9 2 3" xfId="11595"/>
    <cellStyle name="쉼표 [0] 6 2 2 9 2 4" xfId="21526"/>
    <cellStyle name="쉼표 [0] 6 2 2 9 3" xfId="21528"/>
    <cellStyle name="쉼표 [0] 6 2 2 9 3 2" xfId="11593"/>
    <cellStyle name="쉼표 [0] 6 2 2 9 4" xfId="11596"/>
    <cellStyle name="쉼표 [0] 6 2 2 9 5" xfId="21525"/>
    <cellStyle name="쉼표 [0] 6 2 20" xfId="21529"/>
    <cellStyle name="쉼표 [0] 6 2 20 2" xfId="21530"/>
    <cellStyle name="쉼표 [0] 6 2 20 2 2" xfId="11591"/>
    <cellStyle name="쉼표 [0] 6 2 20 3" xfId="11592"/>
    <cellStyle name="쉼표 [0] 6 2 21" xfId="21531"/>
    <cellStyle name="쉼표 [0] 6 2 21 2" xfId="21532"/>
    <cellStyle name="쉼표 [0] 6 2 21 2 2" xfId="11589"/>
    <cellStyle name="쉼표 [0] 6 2 21 3" xfId="11590"/>
    <cellStyle name="쉼표 [0] 6 2 22" xfId="21533"/>
    <cellStyle name="쉼표 [0] 6 2 22 2" xfId="21534"/>
    <cellStyle name="쉼표 [0] 6 2 22 2 2" xfId="11587"/>
    <cellStyle name="쉼표 [0] 6 2 22 3" xfId="11588"/>
    <cellStyle name="쉼표 [0] 6 2 23" xfId="21535"/>
    <cellStyle name="쉼표 [0] 6 2 23 2" xfId="21536"/>
    <cellStyle name="쉼표 [0] 6 2 23 2 2" xfId="11585"/>
    <cellStyle name="쉼표 [0] 6 2 23 3" xfId="11586"/>
    <cellStyle name="쉼표 [0] 6 2 24" xfId="21537"/>
    <cellStyle name="쉼표 [0] 6 2 24 2" xfId="21538"/>
    <cellStyle name="쉼표 [0] 6 2 24 2 2" xfId="11583"/>
    <cellStyle name="쉼표 [0] 6 2 24 3" xfId="11584"/>
    <cellStyle name="쉼표 [0] 6 2 25" xfId="21539"/>
    <cellStyle name="쉼표 [0] 6 2 25 2" xfId="21540"/>
    <cellStyle name="쉼표 [0] 6 2 25 2 2" xfId="11581"/>
    <cellStyle name="쉼표 [0] 6 2 25 3" xfId="11582"/>
    <cellStyle name="쉼표 [0] 6 2 26" xfId="21541"/>
    <cellStyle name="쉼표 [0] 6 2 26 2" xfId="21542"/>
    <cellStyle name="쉼표 [0] 6 2 26 2 2" xfId="11579"/>
    <cellStyle name="쉼표 [0] 6 2 26 3" xfId="11580"/>
    <cellStyle name="쉼표 [0] 6 2 27" xfId="21543"/>
    <cellStyle name="쉼표 [0] 6 2 27 2" xfId="21544"/>
    <cellStyle name="쉼표 [0] 6 2 27 2 2" xfId="11577"/>
    <cellStyle name="쉼표 [0] 6 2 27 3" xfId="11578"/>
    <cellStyle name="쉼표 [0] 6 2 28" xfId="21545"/>
    <cellStyle name="쉼표 [0] 6 2 28 2" xfId="21546"/>
    <cellStyle name="쉼표 [0] 6 2 28 2 2" xfId="11575"/>
    <cellStyle name="쉼표 [0] 6 2 28 3" xfId="11576"/>
    <cellStyle name="쉼표 [0] 6 2 29" xfId="21547"/>
    <cellStyle name="쉼표 [0] 6 2 29 2" xfId="21548"/>
    <cellStyle name="쉼표 [0] 6 2 29 2 2" xfId="11573"/>
    <cellStyle name="쉼표 [0] 6 2 29 3" xfId="11574"/>
    <cellStyle name="쉼표 [0] 6 2 3" xfId="2259"/>
    <cellStyle name="쉼표 [0] 6 2 3 10" xfId="28646"/>
    <cellStyle name="쉼표 [0] 6 2 3 11" xfId="21549"/>
    <cellStyle name="쉼표 [0] 6 2 3 2" xfId="2260"/>
    <cellStyle name="쉼표 [0] 6 2 3 2 2" xfId="2261"/>
    <cellStyle name="쉼표 [0] 6 2 3 2 2 2" xfId="2262"/>
    <cellStyle name="쉼표 [0] 6 2 3 2 2 2 2" xfId="2263"/>
    <cellStyle name="쉼표 [0] 6 2 3 2 2 2 2 2" xfId="21554"/>
    <cellStyle name="쉼표 [0] 6 2 3 2 2 2 2 2 2" xfId="11567"/>
    <cellStyle name="쉼표 [0] 6 2 3 2 2 2 2 3" xfId="11568"/>
    <cellStyle name="쉼표 [0] 6 2 3 2 2 2 2 4" xfId="21553"/>
    <cellStyle name="쉼표 [0] 6 2 3 2 2 2 3" xfId="21555"/>
    <cellStyle name="쉼표 [0] 6 2 3 2 2 2 3 2" xfId="11566"/>
    <cellStyle name="쉼표 [0] 6 2 3 2 2 2 4" xfId="11569"/>
    <cellStyle name="쉼표 [0] 6 2 3 2 2 2 5" xfId="21552"/>
    <cellStyle name="쉼표 [0] 6 2 3 2 2 3" xfId="2264"/>
    <cellStyle name="쉼표 [0] 6 2 3 2 2 3 2" xfId="2265"/>
    <cellStyle name="쉼표 [0] 6 2 3 2 2 3 2 2" xfId="21558"/>
    <cellStyle name="쉼표 [0] 6 2 3 2 2 3 2 2 2" xfId="11563"/>
    <cellStyle name="쉼표 [0] 6 2 3 2 2 3 2 3" xfId="11564"/>
    <cellStyle name="쉼표 [0] 6 2 3 2 2 3 2 4" xfId="21557"/>
    <cellStyle name="쉼표 [0] 6 2 3 2 2 3 3" xfId="21559"/>
    <cellStyle name="쉼표 [0] 6 2 3 2 2 3 3 2" xfId="11562"/>
    <cellStyle name="쉼표 [0] 6 2 3 2 2 3 4" xfId="11565"/>
    <cellStyle name="쉼표 [0] 6 2 3 2 2 3 5" xfId="21556"/>
    <cellStyle name="쉼표 [0] 6 2 3 2 2 4" xfId="2266"/>
    <cellStyle name="쉼표 [0] 6 2 3 2 2 4 2" xfId="2267"/>
    <cellStyle name="쉼표 [0] 6 2 3 2 2 4 2 2" xfId="21562"/>
    <cellStyle name="쉼표 [0] 6 2 3 2 2 4 2 2 2" xfId="11559"/>
    <cellStyle name="쉼표 [0] 6 2 3 2 2 4 2 3" xfId="11560"/>
    <cellStyle name="쉼표 [0] 6 2 3 2 2 4 2 4" xfId="21561"/>
    <cellStyle name="쉼표 [0] 6 2 3 2 2 4 3" xfId="21563"/>
    <cellStyle name="쉼표 [0] 6 2 3 2 2 4 3 2" xfId="11558"/>
    <cellStyle name="쉼표 [0] 6 2 3 2 2 4 4" xfId="11561"/>
    <cellStyle name="쉼표 [0] 6 2 3 2 2 4 5" xfId="21560"/>
    <cellStyle name="쉼표 [0] 6 2 3 2 2 5" xfId="21564"/>
    <cellStyle name="쉼표 [0] 6 2 3 2 2 5 2" xfId="11557"/>
    <cellStyle name="쉼표 [0] 6 2 3 2 2 6" xfId="11570"/>
    <cellStyle name="쉼표 [0] 6 2 3 2 2 7" xfId="28644"/>
    <cellStyle name="쉼표 [0] 6 2 3 2 2 8" xfId="21551"/>
    <cellStyle name="쉼표 [0] 6 2 3 2 3" xfId="2268"/>
    <cellStyle name="쉼표 [0] 6 2 3 2 3 2" xfId="2269"/>
    <cellStyle name="쉼표 [0] 6 2 3 2 3 2 2" xfId="2270"/>
    <cellStyle name="쉼표 [0] 6 2 3 2 3 2 2 2" xfId="21568"/>
    <cellStyle name="쉼표 [0] 6 2 3 2 3 2 2 2 2" xfId="11553"/>
    <cellStyle name="쉼표 [0] 6 2 3 2 3 2 2 3" xfId="11554"/>
    <cellStyle name="쉼표 [0] 6 2 3 2 3 2 2 4" xfId="21567"/>
    <cellStyle name="쉼표 [0] 6 2 3 2 3 2 3" xfId="21569"/>
    <cellStyle name="쉼표 [0] 6 2 3 2 3 2 3 2" xfId="11552"/>
    <cellStyle name="쉼표 [0] 6 2 3 2 3 2 4" xfId="11555"/>
    <cellStyle name="쉼표 [0] 6 2 3 2 3 2 5" xfId="21566"/>
    <cellStyle name="쉼표 [0] 6 2 3 2 3 3" xfId="2271"/>
    <cellStyle name="쉼표 [0] 6 2 3 2 3 3 2" xfId="21571"/>
    <cellStyle name="쉼표 [0] 6 2 3 2 3 3 2 2" xfId="11550"/>
    <cellStyle name="쉼표 [0] 6 2 3 2 3 3 3" xfId="11551"/>
    <cellStyle name="쉼표 [0] 6 2 3 2 3 3 4" xfId="21570"/>
    <cellStyle name="쉼표 [0] 6 2 3 2 3 4" xfId="21572"/>
    <cellStyle name="쉼표 [0] 6 2 3 2 3 4 2" xfId="11549"/>
    <cellStyle name="쉼표 [0] 6 2 3 2 3 5" xfId="11556"/>
    <cellStyle name="쉼표 [0] 6 2 3 2 3 6" xfId="21565"/>
    <cellStyle name="쉼표 [0] 6 2 3 2 4" xfId="2272"/>
    <cellStyle name="쉼표 [0] 6 2 3 2 4 2" xfId="2273"/>
    <cellStyle name="쉼표 [0] 6 2 3 2 4 2 2" xfId="21575"/>
    <cellStyle name="쉼표 [0] 6 2 3 2 4 2 2 2" xfId="11546"/>
    <cellStyle name="쉼표 [0] 6 2 3 2 4 2 3" xfId="11547"/>
    <cellStyle name="쉼표 [0] 6 2 3 2 4 2 4" xfId="21574"/>
    <cellStyle name="쉼표 [0] 6 2 3 2 4 3" xfId="21576"/>
    <cellStyle name="쉼표 [0] 6 2 3 2 4 3 2" xfId="11545"/>
    <cellStyle name="쉼표 [0] 6 2 3 2 4 4" xfId="11548"/>
    <cellStyle name="쉼표 [0] 6 2 3 2 4 5" xfId="21573"/>
    <cellStyle name="쉼표 [0] 6 2 3 2 5" xfId="2274"/>
    <cellStyle name="쉼표 [0] 6 2 3 2 5 2" xfId="2275"/>
    <cellStyle name="쉼표 [0] 6 2 3 2 5 2 2" xfId="21579"/>
    <cellStyle name="쉼표 [0] 6 2 3 2 5 2 2 2" xfId="11542"/>
    <cellStyle name="쉼표 [0] 6 2 3 2 5 2 3" xfId="11543"/>
    <cellStyle name="쉼표 [0] 6 2 3 2 5 2 4" xfId="21578"/>
    <cellStyle name="쉼표 [0] 6 2 3 2 5 3" xfId="21580"/>
    <cellStyle name="쉼표 [0] 6 2 3 2 5 3 2" xfId="11541"/>
    <cellStyle name="쉼표 [0] 6 2 3 2 5 4" xfId="11544"/>
    <cellStyle name="쉼표 [0] 6 2 3 2 5 5" xfId="21577"/>
    <cellStyle name="쉼표 [0] 6 2 3 2 6" xfId="21581"/>
    <cellStyle name="쉼표 [0] 6 2 3 2 6 2" xfId="11540"/>
    <cellStyle name="쉼표 [0] 6 2 3 2 7" xfId="11571"/>
    <cellStyle name="쉼표 [0] 6 2 3 2 8" xfId="28645"/>
    <cellStyle name="쉼표 [0] 6 2 3 2 9" xfId="21550"/>
    <cellStyle name="쉼표 [0] 6 2 3 3" xfId="2276"/>
    <cellStyle name="쉼표 [0] 6 2 3 3 2" xfId="2277"/>
    <cellStyle name="쉼표 [0] 6 2 3 3 2 2" xfId="2278"/>
    <cellStyle name="쉼표 [0] 6 2 3 3 2 2 2" xfId="21585"/>
    <cellStyle name="쉼표 [0] 6 2 3 3 2 2 2 2" xfId="11536"/>
    <cellStyle name="쉼표 [0] 6 2 3 3 2 2 3" xfId="11537"/>
    <cellStyle name="쉼표 [0] 6 2 3 3 2 2 4" xfId="21584"/>
    <cellStyle name="쉼표 [0] 6 2 3 3 2 3" xfId="21586"/>
    <cellStyle name="쉼표 [0] 6 2 3 3 2 3 2" xfId="11535"/>
    <cellStyle name="쉼표 [0] 6 2 3 3 2 4" xfId="11538"/>
    <cellStyle name="쉼표 [0] 6 2 3 3 2 5" xfId="21583"/>
    <cellStyle name="쉼표 [0] 6 2 3 3 3" xfId="2279"/>
    <cellStyle name="쉼표 [0] 6 2 3 3 3 2" xfId="2280"/>
    <cellStyle name="쉼표 [0] 6 2 3 3 3 2 2" xfId="21589"/>
    <cellStyle name="쉼표 [0] 6 2 3 3 3 2 2 2" xfId="11532"/>
    <cellStyle name="쉼표 [0] 6 2 3 3 3 2 3" xfId="11533"/>
    <cellStyle name="쉼표 [0] 6 2 3 3 3 2 4" xfId="21588"/>
    <cellStyle name="쉼표 [0] 6 2 3 3 3 3" xfId="21590"/>
    <cellStyle name="쉼표 [0] 6 2 3 3 3 3 2" xfId="11531"/>
    <cellStyle name="쉼표 [0] 6 2 3 3 3 4" xfId="11534"/>
    <cellStyle name="쉼표 [0] 6 2 3 3 3 5" xfId="21587"/>
    <cellStyle name="쉼표 [0] 6 2 3 3 4" xfId="2281"/>
    <cellStyle name="쉼표 [0] 6 2 3 3 4 2" xfId="2282"/>
    <cellStyle name="쉼표 [0] 6 2 3 3 4 2 2" xfId="21593"/>
    <cellStyle name="쉼표 [0] 6 2 3 3 4 2 2 2" xfId="11528"/>
    <cellStyle name="쉼표 [0] 6 2 3 3 4 2 3" xfId="11529"/>
    <cellStyle name="쉼표 [0] 6 2 3 3 4 2 4" xfId="21592"/>
    <cellStyle name="쉼표 [0] 6 2 3 3 4 3" xfId="21594"/>
    <cellStyle name="쉼표 [0] 6 2 3 3 4 3 2" xfId="11527"/>
    <cellStyle name="쉼표 [0] 6 2 3 3 4 4" xfId="11530"/>
    <cellStyle name="쉼표 [0] 6 2 3 3 4 5" xfId="21591"/>
    <cellStyle name="쉼표 [0] 6 2 3 3 5" xfId="21595"/>
    <cellStyle name="쉼표 [0] 6 2 3 3 5 2" xfId="11526"/>
    <cellStyle name="쉼표 [0] 6 2 3 3 6" xfId="11539"/>
    <cellStyle name="쉼표 [0] 6 2 3 3 7" xfId="28643"/>
    <cellStyle name="쉼표 [0] 6 2 3 3 8" xfId="21582"/>
    <cellStyle name="쉼표 [0] 6 2 3 4" xfId="2283"/>
    <cellStyle name="쉼표 [0] 6 2 3 4 2" xfId="2284"/>
    <cellStyle name="쉼표 [0] 6 2 3 4 2 2" xfId="2285"/>
    <cellStyle name="쉼표 [0] 6 2 3 4 2 2 2" xfId="2286"/>
    <cellStyle name="쉼표 [0] 6 2 3 4 2 2 2 2" xfId="21600"/>
    <cellStyle name="쉼표 [0] 6 2 3 4 2 2 2 2 2" xfId="11521"/>
    <cellStyle name="쉼표 [0] 6 2 3 4 2 2 2 3" xfId="11522"/>
    <cellStyle name="쉼표 [0] 6 2 3 4 2 2 2 4" xfId="21599"/>
    <cellStyle name="쉼표 [0] 6 2 3 4 2 2 3" xfId="21601"/>
    <cellStyle name="쉼표 [0] 6 2 3 4 2 2 3 2" xfId="11520"/>
    <cellStyle name="쉼표 [0] 6 2 3 4 2 2 4" xfId="11523"/>
    <cellStyle name="쉼표 [0] 6 2 3 4 2 2 5" xfId="21598"/>
    <cellStyle name="쉼표 [0] 6 2 3 4 2 3" xfId="21602"/>
    <cellStyle name="쉼표 [0] 6 2 3 4 2 3 2" xfId="11519"/>
    <cellStyle name="쉼표 [0] 6 2 3 4 2 4" xfId="11524"/>
    <cellStyle name="쉼표 [0] 6 2 3 4 2 5" xfId="28641"/>
    <cellStyle name="쉼표 [0] 6 2 3 4 2 6" xfId="21597"/>
    <cellStyle name="쉼표 [0] 6 2 3 4 3" xfId="2287"/>
    <cellStyle name="쉼표 [0] 6 2 3 4 3 2" xfId="2288"/>
    <cellStyle name="쉼표 [0] 6 2 3 4 3 2 2" xfId="21605"/>
    <cellStyle name="쉼표 [0] 6 2 3 4 3 2 2 2" xfId="11516"/>
    <cellStyle name="쉼표 [0] 6 2 3 4 3 2 3" xfId="11517"/>
    <cellStyle name="쉼표 [0] 6 2 3 4 3 2 4" xfId="21604"/>
    <cellStyle name="쉼표 [0] 6 2 3 4 3 3" xfId="21606"/>
    <cellStyle name="쉼표 [0] 6 2 3 4 3 3 2" xfId="11515"/>
    <cellStyle name="쉼표 [0] 6 2 3 4 3 4" xfId="11518"/>
    <cellStyle name="쉼표 [0] 6 2 3 4 3 5" xfId="21603"/>
    <cellStyle name="쉼표 [0] 6 2 3 4 4" xfId="21607"/>
    <cellStyle name="쉼표 [0] 6 2 3 4 4 2" xfId="11514"/>
    <cellStyle name="쉼표 [0] 6 2 3 4 5" xfId="11525"/>
    <cellStyle name="쉼표 [0] 6 2 3 4 6" xfId="28642"/>
    <cellStyle name="쉼표 [0] 6 2 3 4 7" xfId="21596"/>
    <cellStyle name="쉼표 [0] 6 2 3 5" xfId="2289"/>
    <cellStyle name="쉼표 [0] 6 2 3 5 2" xfId="2290"/>
    <cellStyle name="쉼표 [0] 6 2 3 5 2 2" xfId="2291"/>
    <cellStyle name="쉼표 [0] 6 2 3 5 2 2 2" xfId="21611"/>
    <cellStyle name="쉼표 [0] 6 2 3 5 2 2 2 2" xfId="11510"/>
    <cellStyle name="쉼표 [0] 6 2 3 5 2 2 3" xfId="11511"/>
    <cellStyle name="쉼표 [0] 6 2 3 5 2 2 4" xfId="21610"/>
    <cellStyle name="쉼표 [0] 6 2 3 5 2 3" xfId="21612"/>
    <cellStyle name="쉼표 [0] 6 2 3 5 2 3 2" xfId="11509"/>
    <cellStyle name="쉼표 [0] 6 2 3 5 2 4" xfId="11512"/>
    <cellStyle name="쉼표 [0] 6 2 3 5 2 5" xfId="21609"/>
    <cellStyle name="쉼표 [0] 6 2 3 5 3" xfId="21613"/>
    <cellStyle name="쉼표 [0] 6 2 3 5 3 2" xfId="11508"/>
    <cellStyle name="쉼표 [0] 6 2 3 5 4" xfId="11513"/>
    <cellStyle name="쉼표 [0] 6 2 3 5 5" xfId="28640"/>
    <cellStyle name="쉼표 [0] 6 2 3 5 6" xfId="21608"/>
    <cellStyle name="쉼표 [0] 6 2 3 6" xfId="2292"/>
    <cellStyle name="쉼표 [0] 6 2 3 6 2" xfId="2293"/>
    <cellStyle name="쉼표 [0] 6 2 3 6 2 2" xfId="21616"/>
    <cellStyle name="쉼표 [0] 6 2 3 6 2 2 2" xfId="11505"/>
    <cellStyle name="쉼표 [0] 6 2 3 6 2 3" xfId="11506"/>
    <cellStyle name="쉼표 [0] 6 2 3 6 2 4" xfId="21615"/>
    <cellStyle name="쉼표 [0] 6 2 3 6 3" xfId="21617"/>
    <cellStyle name="쉼표 [0] 6 2 3 6 3 2" xfId="11504"/>
    <cellStyle name="쉼표 [0] 6 2 3 6 4" xfId="11507"/>
    <cellStyle name="쉼표 [0] 6 2 3 6 5" xfId="21614"/>
    <cellStyle name="쉼표 [0] 6 2 3 7" xfId="21618"/>
    <cellStyle name="쉼표 [0] 6 2 3 7 2" xfId="21619"/>
    <cellStyle name="쉼표 [0] 6 2 3 7 2 2" xfId="11502"/>
    <cellStyle name="쉼표 [0] 6 2 3 7 3" xfId="11503"/>
    <cellStyle name="쉼표 [0] 6 2 3 8" xfId="21620"/>
    <cellStyle name="쉼표 [0] 6 2 3 8 2" xfId="11501"/>
    <cellStyle name="쉼표 [0] 6 2 3 9" xfId="11572"/>
    <cellStyle name="쉼표 [0] 6 2 30" xfId="21621"/>
    <cellStyle name="쉼표 [0] 6 2 30 2" xfId="21622"/>
    <cellStyle name="쉼표 [0] 6 2 30 2 2" xfId="11499"/>
    <cellStyle name="쉼표 [0] 6 2 30 3" xfId="11500"/>
    <cellStyle name="쉼표 [0] 6 2 31" xfId="21623"/>
    <cellStyle name="쉼표 [0] 6 2 31 2" xfId="21624"/>
    <cellStyle name="쉼표 [0] 6 2 31 2 2" xfId="11497"/>
    <cellStyle name="쉼표 [0] 6 2 31 3" xfId="11498"/>
    <cellStyle name="쉼표 [0] 6 2 32" xfId="21625"/>
    <cellStyle name="쉼표 [0] 6 2 32 2" xfId="21626"/>
    <cellStyle name="쉼표 [0] 6 2 32 2 2" xfId="11495"/>
    <cellStyle name="쉼표 [0] 6 2 32 3" xfId="11496"/>
    <cellStyle name="쉼표 [0] 6 2 33" xfId="21627"/>
    <cellStyle name="쉼표 [0] 6 2 33 2" xfId="21628"/>
    <cellStyle name="쉼표 [0] 6 2 33 2 2" xfId="11493"/>
    <cellStyle name="쉼표 [0] 6 2 33 3" xfId="11494"/>
    <cellStyle name="쉼표 [0] 6 2 34" xfId="21629"/>
    <cellStyle name="쉼표 [0] 6 2 34 2" xfId="21630"/>
    <cellStyle name="쉼표 [0] 6 2 34 2 2" xfId="11491"/>
    <cellStyle name="쉼표 [0] 6 2 34 3" xfId="11492"/>
    <cellStyle name="쉼표 [0] 6 2 35" xfId="21631"/>
    <cellStyle name="쉼표 [0] 6 2 35 2" xfId="21632"/>
    <cellStyle name="쉼표 [0] 6 2 35 2 2" xfId="11489"/>
    <cellStyle name="쉼표 [0] 6 2 35 3" xfId="11490"/>
    <cellStyle name="쉼표 [0] 6 2 36" xfId="21633"/>
    <cellStyle name="쉼표 [0] 6 2 36 2" xfId="21634"/>
    <cellStyle name="쉼표 [0] 6 2 36 2 2" xfId="11487"/>
    <cellStyle name="쉼표 [0] 6 2 36 3" xfId="11488"/>
    <cellStyle name="쉼표 [0] 6 2 37" xfId="21635"/>
    <cellStyle name="쉼표 [0] 6 2 37 2" xfId="21636"/>
    <cellStyle name="쉼표 [0] 6 2 37 2 2" xfId="11485"/>
    <cellStyle name="쉼표 [0] 6 2 37 3" xfId="11486"/>
    <cellStyle name="쉼표 [0] 6 2 38" xfId="21637"/>
    <cellStyle name="쉼표 [0] 6 2 38 2" xfId="21638"/>
    <cellStyle name="쉼표 [0] 6 2 38 2 2" xfId="11483"/>
    <cellStyle name="쉼표 [0] 6 2 38 3" xfId="11484"/>
    <cellStyle name="쉼표 [0] 6 2 39" xfId="21639"/>
    <cellStyle name="쉼표 [0] 6 2 39 2" xfId="21640"/>
    <cellStyle name="쉼표 [0] 6 2 39 2 2" xfId="11481"/>
    <cellStyle name="쉼표 [0] 6 2 39 3" xfId="11482"/>
    <cellStyle name="쉼표 [0] 6 2 4" xfId="2294"/>
    <cellStyle name="쉼표 [0] 6 2 4 10" xfId="11480"/>
    <cellStyle name="쉼표 [0] 6 2 4 11" xfId="28639"/>
    <cellStyle name="쉼표 [0] 6 2 4 12" xfId="21641"/>
    <cellStyle name="쉼표 [0] 6 2 4 13" xfId="29724"/>
    <cellStyle name="쉼표 [0] 6 2 4 2" xfId="2295"/>
    <cellStyle name="쉼표 [0] 6 2 4 2 10" xfId="21642"/>
    <cellStyle name="쉼표 [0] 6 2 4 2 11" xfId="30269"/>
    <cellStyle name="쉼표 [0] 6 2 4 2 2" xfId="2296"/>
    <cellStyle name="쉼표 [0] 6 2 4 2 2 2" xfId="2297"/>
    <cellStyle name="쉼표 [0] 6 2 4 2 2 2 2" xfId="21645"/>
    <cellStyle name="쉼표 [0] 6 2 4 2 2 2 2 2" xfId="11476"/>
    <cellStyle name="쉼표 [0] 6 2 4 2 2 2 3" xfId="11477"/>
    <cellStyle name="쉼표 [0] 6 2 4 2 2 2 4" xfId="28636"/>
    <cellStyle name="쉼표 [0] 6 2 4 2 2 2 5" xfId="21644"/>
    <cellStyle name="쉼표 [0] 6 2 4 2 2 3" xfId="2298"/>
    <cellStyle name="쉼표 [0] 6 2 4 2 2 3 2" xfId="2299"/>
    <cellStyle name="쉼표 [0] 6 2 4 2 2 3 2 2" xfId="21648"/>
    <cellStyle name="쉼표 [0] 6 2 4 2 2 3 2 2 2" xfId="11473"/>
    <cellStyle name="쉼표 [0] 6 2 4 2 2 3 2 3" xfId="11474"/>
    <cellStyle name="쉼표 [0] 6 2 4 2 2 3 2 4" xfId="21647"/>
    <cellStyle name="쉼표 [0] 6 2 4 2 2 3 3" xfId="21649"/>
    <cellStyle name="쉼표 [0] 6 2 4 2 2 3 3 2" xfId="11472"/>
    <cellStyle name="쉼표 [0] 6 2 4 2 2 3 4" xfId="11475"/>
    <cellStyle name="쉼표 [0] 6 2 4 2 2 3 5" xfId="21646"/>
    <cellStyle name="쉼표 [0] 6 2 4 2 2 4" xfId="21650"/>
    <cellStyle name="쉼표 [0] 6 2 4 2 2 4 2" xfId="11471"/>
    <cellStyle name="쉼표 [0] 6 2 4 2 2 5" xfId="11478"/>
    <cellStyle name="쉼표 [0] 6 2 4 2 2 6" xfId="28637"/>
    <cellStyle name="쉼표 [0] 6 2 4 2 2 7" xfId="21643"/>
    <cellStyle name="쉼표 [0] 6 2 4 2 3" xfId="2300"/>
    <cellStyle name="쉼표 [0] 6 2 4 2 3 2" xfId="2301"/>
    <cellStyle name="쉼표 [0] 6 2 4 2 3 2 2" xfId="2302"/>
    <cellStyle name="쉼표 [0] 6 2 4 2 3 2 2 2" xfId="21654"/>
    <cellStyle name="쉼표 [0] 6 2 4 2 3 2 2 2 2" xfId="11467"/>
    <cellStyle name="쉼표 [0] 6 2 4 2 3 2 2 3" xfId="11468"/>
    <cellStyle name="쉼표 [0] 6 2 4 2 3 2 2 4" xfId="28633"/>
    <cellStyle name="쉼표 [0] 6 2 4 2 3 2 2 5" xfId="21653"/>
    <cellStyle name="쉼표 [0] 6 2 4 2 3 2 3" xfId="21655"/>
    <cellStyle name="쉼표 [0] 6 2 4 2 3 2 3 2" xfId="11466"/>
    <cellStyle name="쉼표 [0] 6 2 4 2 3 2 4" xfId="11469"/>
    <cellStyle name="쉼표 [0] 6 2 4 2 3 2 5" xfId="28634"/>
    <cellStyle name="쉼표 [0] 6 2 4 2 3 2 6" xfId="21652"/>
    <cellStyle name="쉼표 [0] 6 2 4 2 3 3" xfId="2303"/>
    <cellStyle name="쉼표 [0] 6 2 4 2 3 3 2" xfId="21657"/>
    <cellStyle name="쉼표 [0] 6 2 4 2 3 3 2 2" xfId="11464"/>
    <cellStyle name="쉼표 [0] 6 2 4 2 3 3 3" xfId="11465"/>
    <cellStyle name="쉼표 [0] 6 2 4 2 3 3 4" xfId="28632"/>
    <cellStyle name="쉼표 [0] 6 2 4 2 3 3 5" xfId="21656"/>
    <cellStyle name="쉼표 [0] 6 2 4 2 3 4" xfId="2304"/>
    <cellStyle name="쉼표 [0] 6 2 4 2 3 4 2" xfId="2305"/>
    <cellStyle name="쉼표 [0] 6 2 4 2 3 4 2 2" xfId="21660"/>
    <cellStyle name="쉼표 [0] 6 2 4 2 3 4 2 2 2" xfId="11461"/>
    <cellStyle name="쉼표 [0] 6 2 4 2 3 4 2 3" xfId="11462"/>
    <cellStyle name="쉼표 [0] 6 2 4 2 3 4 2 4" xfId="21659"/>
    <cellStyle name="쉼표 [0] 6 2 4 2 3 4 3" xfId="21661"/>
    <cellStyle name="쉼표 [0] 6 2 4 2 3 4 3 2" xfId="11460"/>
    <cellStyle name="쉼표 [0] 6 2 4 2 3 4 4" xfId="11463"/>
    <cellStyle name="쉼표 [0] 6 2 4 2 3 4 5" xfId="21658"/>
    <cellStyle name="쉼표 [0] 6 2 4 2 3 5" xfId="21662"/>
    <cellStyle name="쉼표 [0] 6 2 4 2 3 5 2" xfId="11459"/>
    <cellStyle name="쉼표 [0] 6 2 4 2 3 6" xfId="11470"/>
    <cellStyle name="쉼표 [0] 6 2 4 2 3 7" xfId="28635"/>
    <cellStyle name="쉼표 [0] 6 2 4 2 3 8" xfId="21651"/>
    <cellStyle name="쉼표 [0] 6 2 4 2 4" xfId="2306"/>
    <cellStyle name="쉼표 [0] 6 2 4 2 4 2" xfId="2307"/>
    <cellStyle name="쉼표 [0] 6 2 4 2 4 2 2" xfId="21665"/>
    <cellStyle name="쉼표 [0] 6 2 4 2 4 2 2 2" xfId="11456"/>
    <cellStyle name="쉼표 [0] 6 2 4 2 4 2 3" xfId="11457"/>
    <cellStyle name="쉼표 [0] 6 2 4 2 4 2 4" xfId="28630"/>
    <cellStyle name="쉼표 [0] 6 2 4 2 4 2 5" xfId="21664"/>
    <cellStyle name="쉼표 [0] 6 2 4 2 4 3" xfId="21666"/>
    <cellStyle name="쉼표 [0] 6 2 4 2 4 3 2" xfId="11455"/>
    <cellStyle name="쉼표 [0] 6 2 4 2 4 4" xfId="11458"/>
    <cellStyle name="쉼표 [0] 6 2 4 2 4 5" xfId="28631"/>
    <cellStyle name="쉼표 [0] 6 2 4 2 4 6" xfId="21663"/>
    <cellStyle name="쉼표 [0] 6 2 4 2 5" xfId="2308"/>
    <cellStyle name="쉼표 [0] 6 2 4 2 5 2" xfId="21668"/>
    <cellStyle name="쉼표 [0] 6 2 4 2 5 2 2" xfId="11453"/>
    <cellStyle name="쉼표 [0] 6 2 4 2 5 3" xfId="11454"/>
    <cellStyle name="쉼표 [0] 6 2 4 2 5 4" xfId="28629"/>
    <cellStyle name="쉼표 [0] 6 2 4 2 5 5" xfId="21667"/>
    <cellStyle name="쉼표 [0] 6 2 4 2 6" xfId="2309"/>
    <cellStyle name="쉼표 [0] 6 2 4 2 6 2" xfId="2310"/>
    <cellStyle name="쉼표 [0] 6 2 4 2 6 2 2" xfId="21671"/>
    <cellStyle name="쉼표 [0] 6 2 4 2 6 2 2 2" xfId="11450"/>
    <cellStyle name="쉼표 [0] 6 2 4 2 6 2 3" xfId="11451"/>
    <cellStyle name="쉼표 [0] 6 2 4 2 6 2 4" xfId="21670"/>
    <cellStyle name="쉼표 [0] 6 2 4 2 6 3" xfId="21672"/>
    <cellStyle name="쉼표 [0] 6 2 4 2 6 3 2" xfId="11449"/>
    <cellStyle name="쉼표 [0] 6 2 4 2 6 4" xfId="11452"/>
    <cellStyle name="쉼표 [0] 6 2 4 2 6 5" xfId="21669"/>
    <cellStyle name="쉼표 [0] 6 2 4 2 7" xfId="21673"/>
    <cellStyle name="쉼표 [0] 6 2 4 2 7 2" xfId="11448"/>
    <cellStyle name="쉼표 [0] 6 2 4 2 8" xfId="11479"/>
    <cellStyle name="쉼표 [0] 6 2 4 2 9" xfId="28638"/>
    <cellStyle name="쉼표 [0] 6 2 4 3" xfId="2311"/>
    <cellStyle name="쉼표 [0] 6 2 4 3 2" xfId="2312"/>
    <cellStyle name="쉼표 [0] 6 2 4 3 2 2" xfId="2313"/>
    <cellStyle name="쉼표 [0] 6 2 4 3 2 2 2" xfId="2314"/>
    <cellStyle name="쉼표 [0] 6 2 4 3 2 2 2 2" xfId="21678"/>
    <cellStyle name="쉼표 [0] 6 2 4 3 2 2 2 2 2" xfId="11443"/>
    <cellStyle name="쉼표 [0] 6 2 4 3 2 2 2 3" xfId="11444"/>
    <cellStyle name="쉼표 [0] 6 2 4 3 2 2 2 4" xfId="21677"/>
    <cellStyle name="쉼표 [0] 6 2 4 3 2 2 3" xfId="21679"/>
    <cellStyle name="쉼표 [0] 6 2 4 3 2 2 3 2" xfId="11442"/>
    <cellStyle name="쉼표 [0] 6 2 4 3 2 2 4" xfId="11445"/>
    <cellStyle name="쉼표 [0] 6 2 4 3 2 2 5" xfId="21676"/>
    <cellStyle name="쉼표 [0] 6 2 4 3 2 3" xfId="21680"/>
    <cellStyle name="쉼표 [0] 6 2 4 3 2 3 2" xfId="11441"/>
    <cellStyle name="쉼표 [0] 6 2 4 3 2 4" xfId="11446"/>
    <cellStyle name="쉼표 [0] 6 2 4 3 2 5" xfId="28627"/>
    <cellStyle name="쉼표 [0] 6 2 4 3 2 6" xfId="21675"/>
    <cellStyle name="쉼표 [0] 6 2 4 3 3" xfId="2315"/>
    <cellStyle name="쉼표 [0] 6 2 4 3 3 2" xfId="2316"/>
    <cellStyle name="쉼표 [0] 6 2 4 3 3 2 2" xfId="21683"/>
    <cellStyle name="쉼표 [0] 6 2 4 3 3 2 2 2" xfId="11438"/>
    <cellStyle name="쉼표 [0] 6 2 4 3 3 2 3" xfId="11439"/>
    <cellStyle name="쉼표 [0] 6 2 4 3 3 2 4" xfId="21682"/>
    <cellStyle name="쉼표 [0] 6 2 4 3 3 3" xfId="21684"/>
    <cellStyle name="쉼표 [0] 6 2 4 3 3 3 2" xfId="11437"/>
    <cellStyle name="쉼표 [0] 6 2 4 3 3 4" xfId="11440"/>
    <cellStyle name="쉼표 [0] 6 2 4 3 3 5" xfId="21681"/>
    <cellStyle name="쉼표 [0] 6 2 4 3 4" xfId="21685"/>
    <cellStyle name="쉼표 [0] 6 2 4 3 4 2" xfId="11436"/>
    <cellStyle name="쉼표 [0] 6 2 4 3 5" xfId="11447"/>
    <cellStyle name="쉼표 [0] 6 2 4 3 6" xfId="28628"/>
    <cellStyle name="쉼표 [0] 6 2 4 3 7" xfId="21674"/>
    <cellStyle name="쉼표 [0] 6 2 4 4" xfId="2317"/>
    <cellStyle name="쉼표 [0] 6 2 4 4 2" xfId="2318"/>
    <cellStyle name="쉼표 [0] 6 2 4 4 2 2" xfId="2319"/>
    <cellStyle name="쉼표 [0] 6 2 4 4 2 2 2" xfId="21689"/>
    <cellStyle name="쉼표 [0] 6 2 4 4 2 2 2 2" xfId="11432"/>
    <cellStyle name="쉼표 [0] 6 2 4 4 2 2 3" xfId="11433"/>
    <cellStyle name="쉼표 [0] 6 2 4 4 2 2 4" xfId="28624"/>
    <cellStyle name="쉼표 [0] 6 2 4 4 2 2 5" xfId="21688"/>
    <cellStyle name="쉼표 [0] 6 2 4 4 2 3" xfId="21690"/>
    <cellStyle name="쉼표 [0] 6 2 4 4 2 3 2" xfId="11431"/>
    <cellStyle name="쉼표 [0] 6 2 4 4 2 4" xfId="11434"/>
    <cellStyle name="쉼표 [0] 6 2 4 4 2 5" xfId="28625"/>
    <cellStyle name="쉼표 [0] 6 2 4 4 2 6" xfId="21687"/>
    <cellStyle name="쉼표 [0] 6 2 4 4 3" xfId="2320"/>
    <cellStyle name="쉼표 [0] 6 2 4 4 3 2" xfId="21692"/>
    <cellStyle name="쉼표 [0] 6 2 4 4 3 2 2" xfId="11429"/>
    <cellStyle name="쉼표 [0] 6 2 4 4 3 3" xfId="11430"/>
    <cellStyle name="쉼표 [0] 6 2 4 4 3 4" xfId="28623"/>
    <cellStyle name="쉼표 [0] 6 2 4 4 3 5" xfId="21691"/>
    <cellStyle name="쉼표 [0] 6 2 4 4 4" xfId="2321"/>
    <cellStyle name="쉼표 [0] 6 2 4 4 4 2" xfId="2322"/>
    <cellStyle name="쉼표 [0] 6 2 4 4 4 2 2" xfId="21695"/>
    <cellStyle name="쉼표 [0] 6 2 4 4 4 2 2 2" xfId="11426"/>
    <cellStyle name="쉼표 [0] 6 2 4 4 4 2 3" xfId="11427"/>
    <cellStyle name="쉼표 [0] 6 2 4 4 4 2 4" xfId="21694"/>
    <cellStyle name="쉼표 [0] 6 2 4 4 4 3" xfId="21696"/>
    <cellStyle name="쉼표 [0] 6 2 4 4 4 3 2" xfId="11425"/>
    <cellStyle name="쉼표 [0] 6 2 4 4 4 4" xfId="11428"/>
    <cellStyle name="쉼표 [0] 6 2 4 4 4 5" xfId="21693"/>
    <cellStyle name="쉼표 [0] 6 2 4 4 5" xfId="21697"/>
    <cellStyle name="쉼표 [0] 6 2 4 4 5 2" xfId="11424"/>
    <cellStyle name="쉼표 [0] 6 2 4 4 6" xfId="11435"/>
    <cellStyle name="쉼표 [0] 6 2 4 4 7" xfId="28626"/>
    <cellStyle name="쉼표 [0] 6 2 4 4 8" xfId="21686"/>
    <cellStyle name="쉼표 [0] 6 2 4 5" xfId="2323"/>
    <cellStyle name="쉼표 [0] 6 2 4 5 2" xfId="2324"/>
    <cellStyle name="쉼표 [0] 6 2 4 5 2 2" xfId="21700"/>
    <cellStyle name="쉼표 [0] 6 2 4 5 2 2 2" xfId="11421"/>
    <cellStyle name="쉼표 [0] 6 2 4 5 2 3" xfId="11422"/>
    <cellStyle name="쉼표 [0] 6 2 4 5 2 4" xfId="28621"/>
    <cellStyle name="쉼표 [0] 6 2 4 5 2 5" xfId="21699"/>
    <cellStyle name="쉼표 [0] 6 2 4 5 3" xfId="21701"/>
    <cellStyle name="쉼표 [0] 6 2 4 5 3 2" xfId="11420"/>
    <cellStyle name="쉼표 [0] 6 2 4 5 4" xfId="11423"/>
    <cellStyle name="쉼표 [0] 6 2 4 5 5" xfId="28622"/>
    <cellStyle name="쉼표 [0] 6 2 4 5 6" xfId="21698"/>
    <cellStyle name="쉼표 [0] 6 2 4 6" xfId="2325"/>
    <cellStyle name="쉼표 [0] 6 2 4 6 2" xfId="21703"/>
    <cellStyle name="쉼표 [0] 6 2 4 6 2 2" xfId="11418"/>
    <cellStyle name="쉼표 [0] 6 2 4 6 3" xfId="11419"/>
    <cellStyle name="쉼표 [0] 6 2 4 6 4" xfId="28620"/>
    <cellStyle name="쉼표 [0] 6 2 4 6 5" xfId="21702"/>
    <cellStyle name="쉼표 [0] 6 2 4 7" xfId="2326"/>
    <cellStyle name="쉼표 [0] 6 2 4 7 2" xfId="2327"/>
    <cellStyle name="쉼표 [0] 6 2 4 7 2 2" xfId="21706"/>
    <cellStyle name="쉼표 [0] 6 2 4 7 2 2 2" xfId="11415"/>
    <cellStyle name="쉼표 [0] 6 2 4 7 2 3" xfId="11416"/>
    <cellStyle name="쉼표 [0] 6 2 4 7 2 4" xfId="21705"/>
    <cellStyle name="쉼표 [0] 6 2 4 7 3" xfId="21707"/>
    <cellStyle name="쉼표 [0] 6 2 4 7 3 2" xfId="11414"/>
    <cellStyle name="쉼표 [0] 6 2 4 7 4" xfId="11417"/>
    <cellStyle name="쉼표 [0] 6 2 4 7 5" xfId="21704"/>
    <cellStyle name="쉼표 [0] 6 2 4 8" xfId="21708"/>
    <cellStyle name="쉼표 [0] 6 2 4 8 2" xfId="21709"/>
    <cellStyle name="쉼표 [0] 6 2 4 8 2 2" xfId="11412"/>
    <cellStyle name="쉼표 [0] 6 2 4 8 3" xfId="11413"/>
    <cellStyle name="쉼표 [0] 6 2 4 9" xfId="21710"/>
    <cellStyle name="쉼표 [0] 6 2 4 9 2" xfId="11411"/>
    <cellStyle name="쉼표 [0] 6 2 40" xfId="21711"/>
    <cellStyle name="쉼표 [0] 6 2 40 2" xfId="21712"/>
    <cellStyle name="쉼표 [0] 6 2 40 2 2" xfId="11409"/>
    <cellStyle name="쉼표 [0] 6 2 40 3" xfId="11410"/>
    <cellStyle name="쉼표 [0] 6 2 41" xfId="21713"/>
    <cellStyle name="쉼표 [0] 6 2 41 2" xfId="21714"/>
    <cellStyle name="쉼표 [0] 6 2 41 2 2" xfId="11407"/>
    <cellStyle name="쉼표 [0] 6 2 41 3" xfId="11408"/>
    <cellStyle name="쉼표 [0] 6 2 42" xfId="21715"/>
    <cellStyle name="쉼표 [0] 6 2 42 2" xfId="21716"/>
    <cellStyle name="쉼표 [0] 6 2 42 2 2" xfId="11405"/>
    <cellStyle name="쉼표 [0] 6 2 42 3" xfId="11406"/>
    <cellStyle name="쉼표 [0] 6 2 43" xfId="21717"/>
    <cellStyle name="쉼표 [0] 6 2 43 2" xfId="21718"/>
    <cellStyle name="쉼표 [0] 6 2 43 2 2" xfId="11403"/>
    <cellStyle name="쉼표 [0] 6 2 43 3" xfId="11404"/>
    <cellStyle name="쉼표 [0] 6 2 44" xfId="21719"/>
    <cellStyle name="쉼표 [0] 6 2 44 2" xfId="21720"/>
    <cellStyle name="쉼표 [0] 6 2 44 2 2" xfId="11401"/>
    <cellStyle name="쉼표 [0] 6 2 44 3" xfId="11402"/>
    <cellStyle name="쉼표 [0] 6 2 45" xfId="21721"/>
    <cellStyle name="쉼표 [0] 6 2 45 2" xfId="21722"/>
    <cellStyle name="쉼표 [0] 6 2 45 2 2" xfId="11399"/>
    <cellStyle name="쉼표 [0] 6 2 45 3" xfId="11400"/>
    <cellStyle name="쉼표 [0] 6 2 46" xfId="21723"/>
    <cellStyle name="쉼표 [0] 6 2 46 2" xfId="21724"/>
    <cellStyle name="쉼표 [0] 6 2 46 2 2" xfId="11397"/>
    <cellStyle name="쉼표 [0] 6 2 46 3" xfId="11398"/>
    <cellStyle name="쉼표 [0] 6 2 47" xfId="21725"/>
    <cellStyle name="쉼표 [0] 6 2 47 2" xfId="21726"/>
    <cellStyle name="쉼표 [0] 6 2 47 2 2" xfId="11395"/>
    <cellStyle name="쉼표 [0] 6 2 47 3" xfId="11396"/>
    <cellStyle name="쉼표 [0] 6 2 48" xfId="21727"/>
    <cellStyle name="쉼표 [0] 6 2 48 2" xfId="21728"/>
    <cellStyle name="쉼표 [0] 6 2 48 2 2" xfId="11393"/>
    <cellStyle name="쉼표 [0] 6 2 48 3" xfId="11394"/>
    <cellStyle name="쉼표 [0] 6 2 49" xfId="21729"/>
    <cellStyle name="쉼표 [0] 6 2 49 2" xfId="21730"/>
    <cellStyle name="쉼표 [0] 6 2 49 2 2" xfId="11391"/>
    <cellStyle name="쉼표 [0] 6 2 49 3" xfId="11392"/>
    <cellStyle name="쉼표 [0] 6 2 5" xfId="2328"/>
    <cellStyle name="쉼표 [0] 6 2 5 10" xfId="28619"/>
    <cellStyle name="쉼표 [0] 6 2 5 11" xfId="21731"/>
    <cellStyle name="쉼표 [0] 6 2 5 12" xfId="29495"/>
    <cellStyle name="쉼표 [0] 6 2 5 2" xfId="2329"/>
    <cellStyle name="쉼표 [0] 6 2 5 2 2" xfId="2330"/>
    <cellStyle name="쉼표 [0] 6 2 5 2 2 2" xfId="21734"/>
    <cellStyle name="쉼표 [0] 6 2 5 2 2 2 2" xfId="11387"/>
    <cellStyle name="쉼표 [0] 6 2 5 2 2 3" xfId="11388"/>
    <cellStyle name="쉼표 [0] 6 2 5 2 2 4" xfId="28617"/>
    <cellStyle name="쉼표 [0] 6 2 5 2 2 5" xfId="21733"/>
    <cellStyle name="쉼표 [0] 6 2 5 2 3" xfId="2331"/>
    <cellStyle name="쉼표 [0] 6 2 5 2 3 2" xfId="2332"/>
    <cellStyle name="쉼표 [0] 6 2 5 2 3 2 2" xfId="21737"/>
    <cellStyle name="쉼표 [0] 6 2 5 2 3 2 2 2" xfId="11384"/>
    <cellStyle name="쉼표 [0] 6 2 5 2 3 2 3" xfId="11385"/>
    <cellStyle name="쉼표 [0] 6 2 5 2 3 2 4" xfId="21736"/>
    <cellStyle name="쉼표 [0] 6 2 5 2 3 3" xfId="21738"/>
    <cellStyle name="쉼표 [0] 6 2 5 2 3 3 2" xfId="11383"/>
    <cellStyle name="쉼표 [0] 6 2 5 2 3 4" xfId="11386"/>
    <cellStyle name="쉼표 [0] 6 2 5 2 3 5" xfId="21735"/>
    <cellStyle name="쉼표 [0] 6 2 5 2 4" xfId="21739"/>
    <cellStyle name="쉼표 [0] 6 2 5 2 4 2" xfId="11382"/>
    <cellStyle name="쉼표 [0] 6 2 5 2 5" xfId="11389"/>
    <cellStyle name="쉼표 [0] 6 2 5 2 6" xfId="28618"/>
    <cellStyle name="쉼표 [0] 6 2 5 2 7" xfId="21732"/>
    <cellStyle name="쉼표 [0] 6 2 5 3" xfId="2333"/>
    <cellStyle name="쉼표 [0] 6 2 5 3 2" xfId="2334"/>
    <cellStyle name="쉼표 [0] 6 2 5 3 2 2" xfId="2335"/>
    <cellStyle name="쉼표 [0] 6 2 5 3 2 2 2" xfId="21743"/>
    <cellStyle name="쉼표 [0] 6 2 5 3 2 2 2 2" xfId="11378"/>
    <cellStyle name="쉼표 [0] 6 2 5 3 2 2 3" xfId="11379"/>
    <cellStyle name="쉼표 [0] 6 2 5 3 2 2 4" xfId="28614"/>
    <cellStyle name="쉼표 [0] 6 2 5 3 2 2 5" xfId="21742"/>
    <cellStyle name="쉼표 [0] 6 2 5 3 2 3" xfId="21744"/>
    <cellStyle name="쉼표 [0] 6 2 5 3 2 3 2" xfId="11377"/>
    <cellStyle name="쉼표 [0] 6 2 5 3 2 4" xfId="11380"/>
    <cellStyle name="쉼표 [0] 6 2 5 3 2 5" xfId="28615"/>
    <cellStyle name="쉼표 [0] 6 2 5 3 2 6" xfId="21741"/>
    <cellStyle name="쉼표 [0] 6 2 5 3 3" xfId="2336"/>
    <cellStyle name="쉼표 [0] 6 2 5 3 3 2" xfId="21746"/>
    <cellStyle name="쉼표 [0] 6 2 5 3 3 2 2" xfId="11375"/>
    <cellStyle name="쉼표 [0] 6 2 5 3 3 3" xfId="11376"/>
    <cellStyle name="쉼표 [0] 6 2 5 3 3 4" xfId="28613"/>
    <cellStyle name="쉼표 [0] 6 2 5 3 3 5" xfId="21745"/>
    <cellStyle name="쉼표 [0] 6 2 5 3 4" xfId="2337"/>
    <cellStyle name="쉼표 [0] 6 2 5 3 4 2" xfId="2338"/>
    <cellStyle name="쉼표 [0] 6 2 5 3 4 2 2" xfId="21749"/>
    <cellStyle name="쉼표 [0] 6 2 5 3 4 2 2 2" xfId="11372"/>
    <cellStyle name="쉼표 [0] 6 2 5 3 4 2 3" xfId="11373"/>
    <cellStyle name="쉼표 [0] 6 2 5 3 4 2 4" xfId="21748"/>
    <cellStyle name="쉼표 [0] 6 2 5 3 4 3" xfId="21750"/>
    <cellStyle name="쉼표 [0] 6 2 5 3 4 3 2" xfId="11371"/>
    <cellStyle name="쉼표 [0] 6 2 5 3 4 4" xfId="11374"/>
    <cellStyle name="쉼표 [0] 6 2 5 3 4 5" xfId="21747"/>
    <cellStyle name="쉼표 [0] 6 2 5 3 5" xfId="21751"/>
    <cellStyle name="쉼표 [0] 6 2 5 3 5 2" xfId="11370"/>
    <cellStyle name="쉼표 [0] 6 2 5 3 6" xfId="11381"/>
    <cellStyle name="쉼표 [0] 6 2 5 3 7" xfId="28616"/>
    <cellStyle name="쉼표 [0] 6 2 5 3 8" xfId="21740"/>
    <cellStyle name="쉼표 [0] 6 2 5 4" xfId="2339"/>
    <cellStyle name="쉼표 [0] 6 2 5 4 2" xfId="2340"/>
    <cellStyle name="쉼표 [0] 6 2 5 4 2 2" xfId="21754"/>
    <cellStyle name="쉼표 [0] 6 2 5 4 2 2 2" xfId="11367"/>
    <cellStyle name="쉼표 [0] 6 2 5 4 2 3" xfId="11368"/>
    <cellStyle name="쉼표 [0] 6 2 5 4 2 4" xfId="28611"/>
    <cellStyle name="쉼표 [0] 6 2 5 4 2 5" xfId="21753"/>
    <cellStyle name="쉼표 [0] 6 2 5 4 3" xfId="21755"/>
    <cellStyle name="쉼표 [0] 6 2 5 4 3 2" xfId="11366"/>
    <cellStyle name="쉼표 [0] 6 2 5 4 4" xfId="11369"/>
    <cellStyle name="쉼표 [0] 6 2 5 4 5" xfId="28612"/>
    <cellStyle name="쉼표 [0] 6 2 5 4 6" xfId="21752"/>
    <cellStyle name="쉼표 [0] 6 2 5 5" xfId="2341"/>
    <cellStyle name="쉼표 [0] 6 2 5 5 2" xfId="21757"/>
    <cellStyle name="쉼표 [0] 6 2 5 5 2 2" xfId="11364"/>
    <cellStyle name="쉼표 [0] 6 2 5 5 3" xfId="11365"/>
    <cellStyle name="쉼표 [0] 6 2 5 5 4" xfId="28610"/>
    <cellStyle name="쉼표 [0] 6 2 5 5 5" xfId="21756"/>
    <cellStyle name="쉼표 [0] 6 2 5 6" xfId="2342"/>
    <cellStyle name="쉼표 [0] 6 2 5 6 2" xfId="2343"/>
    <cellStyle name="쉼표 [0] 6 2 5 6 2 2" xfId="21760"/>
    <cellStyle name="쉼표 [0] 6 2 5 6 2 2 2" xfId="11361"/>
    <cellStyle name="쉼표 [0] 6 2 5 6 2 3" xfId="11362"/>
    <cellStyle name="쉼표 [0] 6 2 5 6 2 4" xfId="21759"/>
    <cellStyle name="쉼표 [0] 6 2 5 6 3" xfId="21761"/>
    <cellStyle name="쉼표 [0] 6 2 5 6 3 2" xfId="11360"/>
    <cellStyle name="쉼표 [0] 6 2 5 6 4" xfId="11363"/>
    <cellStyle name="쉼표 [0] 6 2 5 6 5" xfId="21758"/>
    <cellStyle name="쉼표 [0] 6 2 5 7" xfId="21762"/>
    <cellStyle name="쉼표 [0] 6 2 5 7 2" xfId="21763"/>
    <cellStyle name="쉼표 [0] 6 2 5 7 2 2" xfId="11358"/>
    <cellStyle name="쉼표 [0] 6 2 5 7 3" xfId="11359"/>
    <cellStyle name="쉼표 [0] 6 2 5 8" xfId="21764"/>
    <cellStyle name="쉼표 [0] 6 2 5 8 2" xfId="11357"/>
    <cellStyle name="쉼표 [0] 6 2 5 9" xfId="11390"/>
    <cellStyle name="쉼표 [0] 6 2 50" xfId="21765"/>
    <cellStyle name="쉼표 [0] 6 2 50 2" xfId="21766"/>
    <cellStyle name="쉼표 [0] 6 2 50 2 2" xfId="11355"/>
    <cellStyle name="쉼표 [0] 6 2 50 3" xfId="11356"/>
    <cellStyle name="쉼표 [0] 6 2 51" xfId="21767"/>
    <cellStyle name="쉼표 [0] 6 2 51 2" xfId="11354"/>
    <cellStyle name="쉼표 [0] 6 2 52" xfId="21768"/>
    <cellStyle name="쉼표 [0] 6 2 52 2" xfId="11353"/>
    <cellStyle name="쉼표 [0] 6 2 53" xfId="21769"/>
    <cellStyle name="쉼표 [0] 6 2 53 2" xfId="11352"/>
    <cellStyle name="쉼표 [0] 6 2 54" xfId="11821"/>
    <cellStyle name="쉼표 [0] 6 2 55" xfId="28692"/>
    <cellStyle name="쉼표 [0] 6 2 56" xfId="21300"/>
    <cellStyle name="쉼표 [0] 6 2 57" xfId="29742"/>
    <cellStyle name="쉼표 [0] 6 2 6" xfId="2344"/>
    <cellStyle name="쉼표 [0] 6 2 6 2" xfId="2345"/>
    <cellStyle name="쉼표 [0] 6 2 6 2 2" xfId="2346"/>
    <cellStyle name="쉼표 [0] 6 2 6 2 2 2" xfId="2347"/>
    <cellStyle name="쉼표 [0] 6 2 6 2 2 2 2" xfId="21774"/>
    <cellStyle name="쉼표 [0] 6 2 6 2 2 2 2 2" xfId="11347"/>
    <cellStyle name="쉼표 [0] 6 2 6 2 2 2 3" xfId="11348"/>
    <cellStyle name="쉼표 [0] 6 2 6 2 2 2 4" xfId="21773"/>
    <cellStyle name="쉼표 [0] 6 2 6 2 2 3" xfId="21775"/>
    <cellStyle name="쉼표 [0] 6 2 6 2 2 3 2" xfId="11346"/>
    <cellStyle name="쉼표 [0] 6 2 6 2 2 4" xfId="11349"/>
    <cellStyle name="쉼표 [0] 6 2 6 2 2 5" xfId="21772"/>
    <cellStyle name="쉼표 [0] 6 2 6 2 3" xfId="21776"/>
    <cellStyle name="쉼표 [0] 6 2 6 2 3 2" xfId="11345"/>
    <cellStyle name="쉼표 [0] 6 2 6 2 4" xfId="11350"/>
    <cellStyle name="쉼표 [0] 6 2 6 2 5" xfId="28608"/>
    <cellStyle name="쉼표 [0] 6 2 6 2 6" xfId="21771"/>
    <cellStyle name="쉼표 [0] 6 2 6 3" xfId="2348"/>
    <cellStyle name="쉼표 [0] 6 2 6 3 2" xfId="2349"/>
    <cellStyle name="쉼표 [0] 6 2 6 3 2 2" xfId="21779"/>
    <cellStyle name="쉼표 [0] 6 2 6 3 2 2 2" xfId="11342"/>
    <cellStyle name="쉼표 [0] 6 2 6 3 2 3" xfId="11343"/>
    <cellStyle name="쉼표 [0] 6 2 6 3 2 4" xfId="21778"/>
    <cellStyle name="쉼표 [0] 6 2 6 3 3" xfId="21780"/>
    <cellStyle name="쉼표 [0] 6 2 6 3 3 2" xfId="11341"/>
    <cellStyle name="쉼표 [0] 6 2 6 3 4" xfId="11344"/>
    <cellStyle name="쉼표 [0] 6 2 6 3 5" xfId="21777"/>
    <cellStyle name="쉼표 [0] 6 2 6 4" xfId="21781"/>
    <cellStyle name="쉼표 [0] 6 2 6 4 2" xfId="21782"/>
    <cellStyle name="쉼표 [0] 6 2 6 4 2 2" xfId="11339"/>
    <cellStyle name="쉼표 [0] 6 2 6 4 3" xfId="11340"/>
    <cellStyle name="쉼표 [0] 6 2 6 5" xfId="21783"/>
    <cellStyle name="쉼표 [0] 6 2 6 5 2" xfId="11338"/>
    <cellStyle name="쉼표 [0] 6 2 6 6" xfId="11351"/>
    <cellStyle name="쉼표 [0] 6 2 6 7" xfId="28609"/>
    <cellStyle name="쉼표 [0] 6 2 6 8" xfId="21770"/>
    <cellStyle name="쉼표 [0] 6 2 7" xfId="2350"/>
    <cellStyle name="쉼표 [0] 6 2 7 2" xfId="2351"/>
    <cellStyle name="쉼표 [0] 6 2 7 2 2" xfId="2352"/>
    <cellStyle name="쉼표 [0] 6 2 7 2 2 2" xfId="21787"/>
    <cellStyle name="쉼표 [0] 6 2 7 2 2 2 2" xfId="11334"/>
    <cellStyle name="쉼표 [0] 6 2 7 2 2 3" xfId="11335"/>
    <cellStyle name="쉼표 [0] 6 2 7 2 2 4" xfId="28605"/>
    <cellStyle name="쉼표 [0] 6 2 7 2 2 5" xfId="21786"/>
    <cellStyle name="쉼표 [0] 6 2 7 2 3" xfId="21788"/>
    <cellStyle name="쉼표 [0] 6 2 7 2 3 2" xfId="11333"/>
    <cellStyle name="쉼표 [0] 6 2 7 2 4" xfId="11336"/>
    <cellStyle name="쉼표 [0] 6 2 7 2 5" xfId="28606"/>
    <cellStyle name="쉼표 [0] 6 2 7 2 6" xfId="21785"/>
    <cellStyle name="쉼표 [0] 6 2 7 3" xfId="2353"/>
    <cellStyle name="쉼표 [0] 6 2 7 3 2" xfId="21790"/>
    <cellStyle name="쉼표 [0] 6 2 7 3 2 2" xfId="11331"/>
    <cellStyle name="쉼표 [0] 6 2 7 3 3" xfId="11332"/>
    <cellStyle name="쉼표 [0] 6 2 7 3 4" xfId="28604"/>
    <cellStyle name="쉼표 [0] 6 2 7 3 5" xfId="21789"/>
    <cellStyle name="쉼표 [0] 6 2 7 4" xfId="2354"/>
    <cellStyle name="쉼표 [0] 6 2 7 4 2" xfId="2355"/>
    <cellStyle name="쉼표 [0] 6 2 7 4 2 2" xfId="21793"/>
    <cellStyle name="쉼표 [0] 6 2 7 4 2 2 2" xfId="11328"/>
    <cellStyle name="쉼표 [0] 6 2 7 4 2 3" xfId="11329"/>
    <cellStyle name="쉼표 [0] 6 2 7 4 2 4" xfId="21792"/>
    <cellStyle name="쉼표 [0] 6 2 7 4 3" xfId="21794"/>
    <cellStyle name="쉼표 [0] 6 2 7 4 3 2" xfId="11327"/>
    <cellStyle name="쉼표 [0] 6 2 7 4 4" xfId="11330"/>
    <cellStyle name="쉼표 [0] 6 2 7 4 5" xfId="21791"/>
    <cellStyle name="쉼표 [0] 6 2 7 5" xfId="21795"/>
    <cellStyle name="쉼표 [0] 6 2 7 5 2" xfId="21796"/>
    <cellStyle name="쉼표 [0] 6 2 7 5 2 2" xfId="11325"/>
    <cellStyle name="쉼표 [0] 6 2 7 5 3" xfId="11326"/>
    <cellStyle name="쉼표 [0] 6 2 7 6" xfId="21797"/>
    <cellStyle name="쉼표 [0] 6 2 7 6 2" xfId="11324"/>
    <cellStyle name="쉼표 [0] 6 2 7 7" xfId="11337"/>
    <cellStyle name="쉼표 [0] 6 2 7 8" xfId="28607"/>
    <cellStyle name="쉼표 [0] 6 2 7 9" xfId="21784"/>
    <cellStyle name="쉼표 [0] 6 2 8" xfId="2356"/>
    <cellStyle name="쉼표 [0] 6 2 8 2" xfId="2357"/>
    <cellStyle name="쉼표 [0] 6 2 8 2 2" xfId="21800"/>
    <cellStyle name="쉼표 [0] 6 2 8 2 2 2" xfId="11321"/>
    <cellStyle name="쉼표 [0] 6 2 8 2 3" xfId="11322"/>
    <cellStyle name="쉼표 [0] 6 2 8 2 4" xfId="28602"/>
    <cellStyle name="쉼표 [0] 6 2 8 2 5" xfId="21799"/>
    <cellStyle name="쉼표 [0] 6 2 8 3" xfId="21801"/>
    <cellStyle name="쉼표 [0] 6 2 8 3 2" xfId="21802"/>
    <cellStyle name="쉼표 [0] 6 2 8 3 2 2" xfId="11319"/>
    <cellStyle name="쉼표 [0] 6 2 8 3 3" xfId="11320"/>
    <cellStyle name="쉼표 [0] 6 2 8 4" xfId="21803"/>
    <cellStyle name="쉼표 [0] 6 2 8 4 2" xfId="11318"/>
    <cellStyle name="쉼표 [0] 6 2 8 5" xfId="11323"/>
    <cellStyle name="쉼표 [0] 6 2 8 6" xfId="28603"/>
    <cellStyle name="쉼표 [0] 6 2 8 7" xfId="21798"/>
    <cellStyle name="쉼표 [0] 6 2 9" xfId="2358"/>
    <cellStyle name="쉼표 [0] 6 2 9 2" xfId="2359"/>
    <cellStyle name="쉼표 [0] 6 2 9 2 2" xfId="21806"/>
    <cellStyle name="쉼표 [0] 6 2 9 2 2 2" xfId="11315"/>
    <cellStyle name="쉼표 [0] 6 2 9 2 3" xfId="11316"/>
    <cellStyle name="쉼표 [0] 6 2 9 2 4" xfId="28600"/>
    <cellStyle name="쉼표 [0] 6 2 9 2 5" xfId="21805"/>
    <cellStyle name="쉼표 [0] 6 2 9 3" xfId="21807"/>
    <cellStyle name="쉼표 [0] 6 2 9 3 2" xfId="21808"/>
    <cellStyle name="쉼표 [0] 6 2 9 3 2 2" xfId="11313"/>
    <cellStyle name="쉼표 [0] 6 2 9 3 3" xfId="11314"/>
    <cellStyle name="쉼표 [0] 6 2 9 4" xfId="21809"/>
    <cellStyle name="쉼표 [0] 6 2 9 4 2" xfId="11312"/>
    <cellStyle name="쉼표 [0] 6 2 9 5" xfId="11317"/>
    <cellStyle name="쉼표 [0] 6 2 9 6" xfId="28601"/>
    <cellStyle name="쉼표 [0] 6 2 9 7" xfId="21804"/>
    <cellStyle name="쉼표 [0] 6 20" xfId="21810"/>
    <cellStyle name="쉼표 [0] 6 20 2" xfId="21811"/>
    <cellStyle name="쉼표 [0] 6 20 2 2" xfId="11310"/>
    <cellStyle name="쉼표 [0] 6 20 3" xfId="11311"/>
    <cellStyle name="쉼표 [0] 6 21" xfId="21812"/>
    <cellStyle name="쉼표 [0] 6 21 2" xfId="21813"/>
    <cellStyle name="쉼표 [0] 6 21 2 2" xfId="11308"/>
    <cellStyle name="쉼표 [0] 6 21 3" xfId="11309"/>
    <cellStyle name="쉼표 [0] 6 22" xfId="21814"/>
    <cellStyle name="쉼표 [0] 6 22 2" xfId="21815"/>
    <cellStyle name="쉼표 [0] 6 22 2 2" xfId="11306"/>
    <cellStyle name="쉼표 [0] 6 22 3" xfId="11307"/>
    <cellStyle name="쉼표 [0] 6 23" xfId="21816"/>
    <cellStyle name="쉼표 [0] 6 23 2" xfId="21817"/>
    <cellStyle name="쉼표 [0] 6 23 2 2" xfId="11304"/>
    <cellStyle name="쉼표 [0] 6 23 3" xfId="11305"/>
    <cellStyle name="쉼표 [0] 6 24" xfId="21818"/>
    <cellStyle name="쉼표 [0] 6 24 2" xfId="21819"/>
    <cellStyle name="쉼표 [0] 6 24 2 2" xfId="11302"/>
    <cellStyle name="쉼표 [0] 6 24 3" xfId="11303"/>
    <cellStyle name="쉼표 [0] 6 25" xfId="21820"/>
    <cellStyle name="쉼표 [0] 6 25 2" xfId="21821"/>
    <cellStyle name="쉼표 [0] 6 25 2 2" xfId="11300"/>
    <cellStyle name="쉼표 [0] 6 25 3" xfId="11301"/>
    <cellStyle name="쉼표 [0] 6 26" xfId="21822"/>
    <cellStyle name="쉼표 [0] 6 26 2" xfId="21823"/>
    <cellStyle name="쉼표 [0] 6 26 2 2" xfId="11298"/>
    <cellStyle name="쉼표 [0] 6 26 3" xfId="11299"/>
    <cellStyle name="쉼표 [0] 6 27" xfId="21824"/>
    <cellStyle name="쉼표 [0] 6 27 2" xfId="21825"/>
    <cellStyle name="쉼표 [0] 6 27 2 2" xfId="11296"/>
    <cellStyle name="쉼표 [0] 6 27 3" xfId="11297"/>
    <cellStyle name="쉼표 [0] 6 28" xfId="21826"/>
    <cellStyle name="쉼표 [0] 6 28 2" xfId="21827"/>
    <cellStyle name="쉼표 [0] 6 28 2 2" xfId="11294"/>
    <cellStyle name="쉼표 [0] 6 28 3" xfId="11295"/>
    <cellStyle name="쉼표 [0] 6 29" xfId="21828"/>
    <cellStyle name="쉼표 [0] 6 29 2" xfId="21829"/>
    <cellStyle name="쉼표 [0] 6 29 2 2" xfId="11292"/>
    <cellStyle name="쉼표 [0] 6 29 3" xfId="11293"/>
    <cellStyle name="쉼표 [0] 6 3" xfId="2360"/>
    <cellStyle name="쉼표 [0] 6 3 10" xfId="21831"/>
    <cellStyle name="쉼표 [0] 6 3 10 2" xfId="11290"/>
    <cellStyle name="쉼표 [0] 6 3 11" xfId="21832"/>
    <cellStyle name="쉼표 [0] 6 3 11 2" xfId="11289"/>
    <cellStyle name="쉼표 [0] 6 3 12" xfId="11291"/>
    <cellStyle name="쉼표 [0] 6 3 13" xfId="28599"/>
    <cellStyle name="쉼표 [0] 6 3 14" xfId="21830"/>
    <cellStyle name="쉼표 [0] 6 3 15" xfId="29762"/>
    <cellStyle name="쉼표 [0] 6 3 2" xfId="2361"/>
    <cellStyle name="쉼표 [0] 6 3 2 10" xfId="21833"/>
    <cellStyle name="쉼표 [0] 6 3 2 11" xfId="29557"/>
    <cellStyle name="쉼표 [0] 6 3 2 2" xfId="2362"/>
    <cellStyle name="쉼표 [0] 6 3 2 2 2" xfId="2363"/>
    <cellStyle name="쉼표 [0] 6 3 2 2 2 2" xfId="2364"/>
    <cellStyle name="쉼표 [0] 6 3 2 2 2 2 2" xfId="2365"/>
    <cellStyle name="쉼표 [0] 6 3 2 2 2 2 2 2" xfId="21838"/>
    <cellStyle name="쉼표 [0] 6 3 2 2 2 2 2 2 2" xfId="11283"/>
    <cellStyle name="쉼표 [0] 6 3 2 2 2 2 2 3" xfId="11284"/>
    <cellStyle name="쉼표 [0] 6 3 2 2 2 2 2 4" xfId="21837"/>
    <cellStyle name="쉼표 [0] 6 3 2 2 2 2 3" xfId="21839"/>
    <cellStyle name="쉼표 [0] 6 3 2 2 2 2 3 2" xfId="11282"/>
    <cellStyle name="쉼표 [0] 6 3 2 2 2 2 4" xfId="11285"/>
    <cellStyle name="쉼표 [0] 6 3 2 2 2 2 5" xfId="21836"/>
    <cellStyle name="쉼표 [0] 6 3 2 2 2 3" xfId="2366"/>
    <cellStyle name="쉼표 [0] 6 3 2 2 2 3 2" xfId="2367"/>
    <cellStyle name="쉼표 [0] 6 3 2 2 2 3 2 2" xfId="21842"/>
    <cellStyle name="쉼표 [0] 6 3 2 2 2 3 2 2 2" xfId="11279"/>
    <cellStyle name="쉼표 [0] 6 3 2 2 2 3 2 3" xfId="11280"/>
    <cellStyle name="쉼표 [0] 6 3 2 2 2 3 2 4" xfId="21841"/>
    <cellStyle name="쉼표 [0] 6 3 2 2 2 3 3" xfId="21843"/>
    <cellStyle name="쉼표 [0] 6 3 2 2 2 3 3 2" xfId="11278"/>
    <cellStyle name="쉼표 [0] 6 3 2 2 2 3 4" xfId="11281"/>
    <cellStyle name="쉼표 [0] 6 3 2 2 2 3 5" xfId="21840"/>
    <cellStyle name="쉼표 [0] 6 3 2 2 2 4" xfId="2368"/>
    <cellStyle name="쉼표 [0] 6 3 2 2 2 4 2" xfId="2369"/>
    <cellStyle name="쉼표 [0] 6 3 2 2 2 4 2 2" xfId="21846"/>
    <cellStyle name="쉼표 [0] 6 3 2 2 2 4 2 2 2" xfId="11275"/>
    <cellStyle name="쉼표 [0] 6 3 2 2 2 4 2 3" xfId="11276"/>
    <cellStyle name="쉼표 [0] 6 3 2 2 2 4 2 4" xfId="21845"/>
    <cellStyle name="쉼표 [0] 6 3 2 2 2 4 3" xfId="21847"/>
    <cellStyle name="쉼표 [0] 6 3 2 2 2 4 3 2" xfId="11274"/>
    <cellStyle name="쉼표 [0] 6 3 2 2 2 4 4" xfId="11277"/>
    <cellStyle name="쉼표 [0] 6 3 2 2 2 4 5" xfId="21844"/>
    <cellStyle name="쉼표 [0] 6 3 2 2 2 5" xfId="21848"/>
    <cellStyle name="쉼표 [0] 6 3 2 2 2 5 2" xfId="11273"/>
    <cellStyle name="쉼표 [0] 6 3 2 2 2 6" xfId="11286"/>
    <cellStyle name="쉼표 [0] 6 3 2 2 2 7" xfId="28596"/>
    <cellStyle name="쉼표 [0] 6 3 2 2 2 8" xfId="21835"/>
    <cellStyle name="쉼표 [0] 6 3 2 2 3" xfId="2370"/>
    <cellStyle name="쉼표 [0] 6 3 2 2 3 2" xfId="2371"/>
    <cellStyle name="쉼표 [0] 6 3 2 2 3 2 2" xfId="2372"/>
    <cellStyle name="쉼표 [0] 6 3 2 2 3 2 2 2" xfId="21852"/>
    <cellStyle name="쉼표 [0] 6 3 2 2 3 2 2 2 2" xfId="11269"/>
    <cellStyle name="쉼표 [0] 6 3 2 2 3 2 2 3" xfId="11270"/>
    <cellStyle name="쉼표 [0] 6 3 2 2 3 2 2 4" xfId="21851"/>
    <cellStyle name="쉼표 [0] 6 3 2 2 3 2 3" xfId="21853"/>
    <cellStyle name="쉼표 [0] 6 3 2 2 3 2 3 2" xfId="11268"/>
    <cellStyle name="쉼표 [0] 6 3 2 2 3 2 4" xfId="11271"/>
    <cellStyle name="쉼표 [0] 6 3 2 2 3 2 5" xfId="21850"/>
    <cellStyle name="쉼표 [0] 6 3 2 2 3 3" xfId="2373"/>
    <cellStyle name="쉼표 [0] 6 3 2 2 3 3 2" xfId="21855"/>
    <cellStyle name="쉼표 [0] 6 3 2 2 3 3 2 2" xfId="11266"/>
    <cellStyle name="쉼표 [0] 6 3 2 2 3 3 3" xfId="11267"/>
    <cellStyle name="쉼표 [0] 6 3 2 2 3 3 4" xfId="21854"/>
    <cellStyle name="쉼표 [0] 6 3 2 2 3 4" xfId="21856"/>
    <cellStyle name="쉼표 [0] 6 3 2 2 3 4 2" xfId="11265"/>
    <cellStyle name="쉼표 [0] 6 3 2 2 3 5" xfId="11272"/>
    <cellStyle name="쉼표 [0] 6 3 2 2 3 6" xfId="21849"/>
    <cellStyle name="쉼표 [0] 6 3 2 2 4" xfId="2374"/>
    <cellStyle name="쉼표 [0] 6 3 2 2 4 2" xfId="2375"/>
    <cellStyle name="쉼표 [0] 6 3 2 2 4 2 2" xfId="21859"/>
    <cellStyle name="쉼표 [0] 6 3 2 2 4 2 2 2" xfId="11262"/>
    <cellStyle name="쉼표 [0] 6 3 2 2 4 2 3" xfId="11263"/>
    <cellStyle name="쉼표 [0] 6 3 2 2 4 2 4" xfId="21858"/>
    <cellStyle name="쉼표 [0] 6 3 2 2 4 3" xfId="21860"/>
    <cellStyle name="쉼표 [0] 6 3 2 2 4 3 2" xfId="11261"/>
    <cellStyle name="쉼표 [0] 6 3 2 2 4 4" xfId="11264"/>
    <cellStyle name="쉼표 [0] 6 3 2 2 4 5" xfId="21857"/>
    <cellStyle name="쉼표 [0] 6 3 2 2 5" xfId="2376"/>
    <cellStyle name="쉼표 [0] 6 3 2 2 5 2" xfId="2377"/>
    <cellStyle name="쉼표 [0] 6 3 2 2 5 2 2" xfId="21863"/>
    <cellStyle name="쉼표 [0] 6 3 2 2 5 2 2 2" xfId="11258"/>
    <cellStyle name="쉼표 [0] 6 3 2 2 5 2 3" xfId="11259"/>
    <cellStyle name="쉼표 [0] 6 3 2 2 5 2 4" xfId="21862"/>
    <cellStyle name="쉼표 [0] 6 3 2 2 5 3" xfId="21864"/>
    <cellStyle name="쉼표 [0] 6 3 2 2 5 3 2" xfId="11257"/>
    <cellStyle name="쉼표 [0] 6 3 2 2 5 4" xfId="11260"/>
    <cellStyle name="쉼표 [0] 6 3 2 2 5 5" xfId="21861"/>
    <cellStyle name="쉼표 [0] 6 3 2 2 6" xfId="21865"/>
    <cellStyle name="쉼표 [0] 6 3 2 2 6 2" xfId="11256"/>
    <cellStyle name="쉼표 [0] 6 3 2 2 7" xfId="11287"/>
    <cellStyle name="쉼표 [0] 6 3 2 2 8" xfId="28597"/>
    <cellStyle name="쉼표 [0] 6 3 2 2 9" xfId="21834"/>
    <cellStyle name="쉼표 [0] 6 3 2 3" xfId="2378"/>
    <cellStyle name="쉼표 [0] 6 3 2 3 2" xfId="2379"/>
    <cellStyle name="쉼표 [0] 6 3 2 3 2 2" xfId="2380"/>
    <cellStyle name="쉼표 [0] 6 3 2 3 2 2 2" xfId="21869"/>
    <cellStyle name="쉼표 [0] 6 3 2 3 2 2 2 2" xfId="11252"/>
    <cellStyle name="쉼표 [0] 6 3 2 3 2 2 3" xfId="11253"/>
    <cellStyle name="쉼표 [0] 6 3 2 3 2 2 4" xfId="21868"/>
    <cellStyle name="쉼표 [0] 6 3 2 3 2 3" xfId="21870"/>
    <cellStyle name="쉼표 [0] 6 3 2 3 2 3 2" xfId="11251"/>
    <cellStyle name="쉼표 [0] 6 3 2 3 2 4" xfId="11254"/>
    <cellStyle name="쉼표 [0] 6 3 2 3 2 5" xfId="21867"/>
    <cellStyle name="쉼표 [0] 6 3 2 3 3" xfId="2381"/>
    <cellStyle name="쉼표 [0] 6 3 2 3 3 2" xfId="2382"/>
    <cellStyle name="쉼표 [0] 6 3 2 3 3 2 2" xfId="21873"/>
    <cellStyle name="쉼표 [0] 6 3 2 3 3 2 2 2" xfId="11248"/>
    <cellStyle name="쉼표 [0] 6 3 2 3 3 2 3" xfId="11249"/>
    <cellStyle name="쉼표 [0] 6 3 2 3 3 2 4" xfId="21872"/>
    <cellStyle name="쉼표 [0] 6 3 2 3 3 3" xfId="21874"/>
    <cellStyle name="쉼표 [0] 6 3 2 3 3 3 2" xfId="11247"/>
    <cellStyle name="쉼표 [0] 6 3 2 3 3 4" xfId="11250"/>
    <cellStyle name="쉼표 [0] 6 3 2 3 3 5" xfId="21871"/>
    <cellStyle name="쉼표 [0] 6 3 2 3 4" xfId="2383"/>
    <cellStyle name="쉼표 [0] 6 3 2 3 4 2" xfId="2384"/>
    <cellStyle name="쉼표 [0] 6 3 2 3 4 2 2" xfId="21877"/>
    <cellStyle name="쉼표 [0] 6 3 2 3 4 2 2 2" xfId="11244"/>
    <cellStyle name="쉼표 [0] 6 3 2 3 4 2 3" xfId="11245"/>
    <cellStyle name="쉼표 [0] 6 3 2 3 4 2 4" xfId="21876"/>
    <cellStyle name="쉼표 [0] 6 3 2 3 4 3" xfId="21878"/>
    <cellStyle name="쉼표 [0] 6 3 2 3 4 3 2" xfId="11243"/>
    <cellStyle name="쉼표 [0] 6 3 2 3 4 4" xfId="11246"/>
    <cellStyle name="쉼표 [0] 6 3 2 3 4 5" xfId="21875"/>
    <cellStyle name="쉼표 [0] 6 3 2 3 5" xfId="21879"/>
    <cellStyle name="쉼표 [0] 6 3 2 3 5 2" xfId="11242"/>
    <cellStyle name="쉼표 [0] 6 3 2 3 6" xfId="11255"/>
    <cellStyle name="쉼표 [0] 6 3 2 3 7" xfId="28595"/>
    <cellStyle name="쉼표 [0] 6 3 2 3 8" xfId="21866"/>
    <cellStyle name="쉼표 [0] 6 3 2 4" xfId="2385"/>
    <cellStyle name="쉼표 [0] 6 3 2 4 2" xfId="2386"/>
    <cellStyle name="쉼표 [0] 6 3 2 4 2 2" xfId="2387"/>
    <cellStyle name="쉼표 [0] 6 3 2 4 2 2 2" xfId="21883"/>
    <cellStyle name="쉼표 [0] 6 3 2 4 2 2 2 2" xfId="11238"/>
    <cellStyle name="쉼표 [0] 6 3 2 4 2 2 3" xfId="11239"/>
    <cellStyle name="쉼표 [0] 6 3 2 4 2 2 4" xfId="21882"/>
    <cellStyle name="쉼표 [0] 6 3 2 4 2 3" xfId="21884"/>
    <cellStyle name="쉼표 [0] 6 3 2 4 2 3 2" xfId="11237"/>
    <cellStyle name="쉼표 [0] 6 3 2 4 2 4" xfId="11240"/>
    <cellStyle name="쉼표 [0] 6 3 2 4 2 5" xfId="21881"/>
    <cellStyle name="쉼표 [0] 6 3 2 4 3" xfId="2388"/>
    <cellStyle name="쉼표 [0] 6 3 2 4 3 2" xfId="21886"/>
    <cellStyle name="쉼표 [0] 6 3 2 4 3 2 2" xfId="11235"/>
    <cellStyle name="쉼표 [0] 6 3 2 4 3 3" xfId="11236"/>
    <cellStyle name="쉼표 [0] 6 3 2 4 3 4" xfId="21885"/>
    <cellStyle name="쉼표 [0] 6 3 2 4 4" xfId="21887"/>
    <cellStyle name="쉼표 [0] 6 3 2 4 4 2" xfId="11234"/>
    <cellStyle name="쉼표 [0] 6 3 2 4 5" xfId="11241"/>
    <cellStyle name="쉼표 [0] 6 3 2 4 6" xfId="21880"/>
    <cellStyle name="쉼표 [0] 6 3 2 5" xfId="2389"/>
    <cellStyle name="쉼표 [0] 6 3 2 5 2" xfId="2390"/>
    <cellStyle name="쉼표 [0] 6 3 2 5 2 2" xfId="21890"/>
    <cellStyle name="쉼표 [0] 6 3 2 5 2 2 2" xfId="11231"/>
    <cellStyle name="쉼표 [0] 6 3 2 5 2 3" xfId="11232"/>
    <cellStyle name="쉼표 [0] 6 3 2 5 2 4" xfId="21889"/>
    <cellStyle name="쉼표 [0] 6 3 2 5 3" xfId="21891"/>
    <cellStyle name="쉼표 [0] 6 3 2 5 3 2" xfId="11230"/>
    <cellStyle name="쉼표 [0] 6 3 2 5 4" xfId="11233"/>
    <cellStyle name="쉼표 [0] 6 3 2 5 5" xfId="21888"/>
    <cellStyle name="쉼표 [0] 6 3 2 6" xfId="2391"/>
    <cellStyle name="쉼표 [0] 6 3 2 6 2" xfId="2392"/>
    <cellStyle name="쉼표 [0] 6 3 2 6 2 2" xfId="21894"/>
    <cellStyle name="쉼표 [0] 6 3 2 6 2 2 2" xfId="11227"/>
    <cellStyle name="쉼표 [0] 6 3 2 6 2 3" xfId="11228"/>
    <cellStyle name="쉼표 [0] 6 3 2 6 2 4" xfId="21893"/>
    <cellStyle name="쉼표 [0] 6 3 2 6 3" xfId="21895"/>
    <cellStyle name="쉼표 [0] 6 3 2 6 3 2" xfId="11226"/>
    <cellStyle name="쉼표 [0] 6 3 2 6 4" xfId="11229"/>
    <cellStyle name="쉼표 [0] 6 3 2 6 5" xfId="21892"/>
    <cellStyle name="쉼표 [0] 6 3 2 7" xfId="21896"/>
    <cellStyle name="쉼표 [0] 6 3 2 7 2" xfId="11225"/>
    <cellStyle name="쉼표 [0] 6 3 2 8" xfId="11288"/>
    <cellStyle name="쉼표 [0] 6 3 2 9" xfId="28598"/>
    <cellStyle name="쉼표 [0] 6 3 3" xfId="2393"/>
    <cellStyle name="쉼표 [0] 6 3 3 10" xfId="28594"/>
    <cellStyle name="쉼표 [0] 6 3 3 11" xfId="21897"/>
    <cellStyle name="쉼표 [0] 6 3 3 12" xfId="29731"/>
    <cellStyle name="쉼표 [0] 6 3 3 2" xfId="2394"/>
    <cellStyle name="쉼표 [0] 6 3 3 2 10" xfId="21898"/>
    <cellStyle name="쉼표 [0] 6 3 3 2 11" xfId="29717"/>
    <cellStyle name="쉼표 [0] 6 3 3 2 2" xfId="2395"/>
    <cellStyle name="쉼표 [0] 6 3 3 2 2 2" xfId="2396"/>
    <cellStyle name="쉼표 [0] 6 3 3 2 2 2 2" xfId="21901"/>
    <cellStyle name="쉼표 [0] 6 3 3 2 2 2 2 2" xfId="11220"/>
    <cellStyle name="쉼표 [0] 6 3 3 2 2 2 3" xfId="11221"/>
    <cellStyle name="쉼표 [0] 6 3 3 2 2 2 4" xfId="28591"/>
    <cellStyle name="쉼표 [0] 6 3 3 2 2 2 5" xfId="21900"/>
    <cellStyle name="쉼표 [0] 6 3 3 2 2 3" xfId="2397"/>
    <cellStyle name="쉼표 [0] 6 3 3 2 2 3 2" xfId="2398"/>
    <cellStyle name="쉼표 [0] 6 3 3 2 2 3 2 2" xfId="21904"/>
    <cellStyle name="쉼표 [0] 6 3 3 2 2 3 2 2 2" xfId="11217"/>
    <cellStyle name="쉼표 [0] 6 3 3 2 2 3 2 3" xfId="11218"/>
    <cellStyle name="쉼표 [0] 6 3 3 2 2 3 2 4" xfId="21903"/>
    <cellStyle name="쉼표 [0] 6 3 3 2 2 3 3" xfId="21905"/>
    <cellStyle name="쉼표 [0] 6 3 3 2 2 3 3 2" xfId="11216"/>
    <cellStyle name="쉼표 [0] 6 3 3 2 2 3 4" xfId="11219"/>
    <cellStyle name="쉼표 [0] 6 3 3 2 2 3 5" xfId="21902"/>
    <cellStyle name="쉼표 [0] 6 3 3 2 2 4" xfId="21906"/>
    <cellStyle name="쉼표 [0] 6 3 3 2 2 4 2" xfId="11215"/>
    <cellStyle name="쉼표 [0] 6 3 3 2 2 5" xfId="11222"/>
    <cellStyle name="쉼표 [0] 6 3 3 2 2 6" xfId="28592"/>
    <cellStyle name="쉼표 [0] 6 3 3 2 2 7" xfId="21899"/>
    <cellStyle name="쉼표 [0] 6 3 3 2 3" xfId="2399"/>
    <cellStyle name="쉼표 [0] 6 3 3 2 3 2" xfId="2400"/>
    <cellStyle name="쉼표 [0] 6 3 3 2 3 2 2" xfId="2401"/>
    <cellStyle name="쉼표 [0] 6 3 3 2 3 2 2 2" xfId="21910"/>
    <cellStyle name="쉼표 [0] 6 3 3 2 3 2 2 2 2" xfId="11211"/>
    <cellStyle name="쉼표 [0] 6 3 3 2 3 2 2 3" xfId="11212"/>
    <cellStyle name="쉼표 [0] 6 3 3 2 3 2 2 4" xfId="28588"/>
    <cellStyle name="쉼표 [0] 6 3 3 2 3 2 2 5" xfId="21909"/>
    <cellStyle name="쉼표 [0] 6 3 3 2 3 2 3" xfId="21911"/>
    <cellStyle name="쉼표 [0] 6 3 3 2 3 2 3 2" xfId="11210"/>
    <cellStyle name="쉼표 [0] 6 3 3 2 3 2 4" xfId="11213"/>
    <cellStyle name="쉼표 [0] 6 3 3 2 3 2 5" xfId="28589"/>
    <cellStyle name="쉼표 [0] 6 3 3 2 3 2 6" xfId="21908"/>
    <cellStyle name="쉼표 [0] 6 3 3 2 3 3" xfId="2402"/>
    <cellStyle name="쉼표 [0] 6 3 3 2 3 3 2" xfId="21913"/>
    <cellStyle name="쉼표 [0] 6 3 3 2 3 3 2 2" xfId="11208"/>
    <cellStyle name="쉼표 [0] 6 3 3 2 3 3 3" xfId="11209"/>
    <cellStyle name="쉼표 [0] 6 3 3 2 3 3 4" xfId="28587"/>
    <cellStyle name="쉼표 [0] 6 3 3 2 3 3 5" xfId="21912"/>
    <cellStyle name="쉼표 [0] 6 3 3 2 3 4" xfId="2403"/>
    <cellStyle name="쉼표 [0] 6 3 3 2 3 4 2" xfId="2404"/>
    <cellStyle name="쉼표 [0] 6 3 3 2 3 4 2 2" xfId="21916"/>
    <cellStyle name="쉼표 [0] 6 3 3 2 3 4 2 2 2" xfId="11205"/>
    <cellStyle name="쉼표 [0] 6 3 3 2 3 4 2 3" xfId="11206"/>
    <cellStyle name="쉼표 [0] 6 3 3 2 3 4 2 4" xfId="21915"/>
    <cellStyle name="쉼표 [0] 6 3 3 2 3 4 3" xfId="21917"/>
    <cellStyle name="쉼표 [0] 6 3 3 2 3 4 3 2" xfId="11204"/>
    <cellStyle name="쉼표 [0] 6 3 3 2 3 4 4" xfId="11207"/>
    <cellStyle name="쉼표 [0] 6 3 3 2 3 4 5" xfId="21914"/>
    <cellStyle name="쉼표 [0] 6 3 3 2 3 5" xfId="21918"/>
    <cellStyle name="쉼표 [0] 6 3 3 2 3 5 2" xfId="11203"/>
    <cellStyle name="쉼표 [0] 6 3 3 2 3 6" xfId="11214"/>
    <cellStyle name="쉼표 [0] 6 3 3 2 3 7" xfId="28590"/>
    <cellStyle name="쉼표 [0] 6 3 3 2 3 8" xfId="21907"/>
    <cellStyle name="쉼표 [0] 6 3 3 2 4" xfId="2405"/>
    <cellStyle name="쉼표 [0] 6 3 3 2 4 2" xfId="2406"/>
    <cellStyle name="쉼표 [0] 6 3 3 2 4 2 2" xfId="21921"/>
    <cellStyle name="쉼표 [0] 6 3 3 2 4 2 2 2" xfId="11200"/>
    <cellStyle name="쉼표 [0] 6 3 3 2 4 2 3" xfId="11201"/>
    <cellStyle name="쉼표 [0] 6 3 3 2 4 2 4" xfId="28585"/>
    <cellStyle name="쉼표 [0] 6 3 3 2 4 2 5" xfId="21920"/>
    <cellStyle name="쉼표 [0] 6 3 3 2 4 3" xfId="21922"/>
    <cellStyle name="쉼표 [0] 6 3 3 2 4 3 2" xfId="11199"/>
    <cellStyle name="쉼표 [0] 6 3 3 2 4 4" xfId="11202"/>
    <cellStyle name="쉼표 [0] 6 3 3 2 4 5" xfId="28586"/>
    <cellStyle name="쉼표 [0] 6 3 3 2 4 6" xfId="21919"/>
    <cellStyle name="쉼표 [0] 6 3 3 2 5" xfId="2407"/>
    <cellStyle name="쉼표 [0] 6 3 3 2 5 2" xfId="21924"/>
    <cellStyle name="쉼표 [0] 6 3 3 2 5 2 2" xfId="11197"/>
    <cellStyle name="쉼표 [0] 6 3 3 2 5 3" xfId="11198"/>
    <cellStyle name="쉼표 [0] 6 3 3 2 5 4" xfId="28584"/>
    <cellStyle name="쉼표 [0] 6 3 3 2 5 5" xfId="21923"/>
    <cellStyle name="쉼표 [0] 6 3 3 2 6" xfId="2408"/>
    <cellStyle name="쉼표 [0] 6 3 3 2 6 2" xfId="2409"/>
    <cellStyle name="쉼표 [0] 6 3 3 2 6 2 2" xfId="21927"/>
    <cellStyle name="쉼표 [0] 6 3 3 2 6 2 2 2" xfId="11194"/>
    <cellStyle name="쉼표 [0] 6 3 3 2 6 2 3" xfId="11195"/>
    <cellStyle name="쉼표 [0] 6 3 3 2 6 2 4" xfId="21926"/>
    <cellStyle name="쉼표 [0] 6 3 3 2 6 3" xfId="21928"/>
    <cellStyle name="쉼표 [0] 6 3 3 2 6 3 2" xfId="11193"/>
    <cellStyle name="쉼표 [0] 6 3 3 2 6 4" xfId="11196"/>
    <cellStyle name="쉼표 [0] 6 3 3 2 6 5" xfId="21925"/>
    <cellStyle name="쉼표 [0] 6 3 3 2 7" xfId="21929"/>
    <cellStyle name="쉼표 [0] 6 3 3 2 7 2" xfId="11192"/>
    <cellStyle name="쉼표 [0] 6 3 3 2 8" xfId="11223"/>
    <cellStyle name="쉼표 [0] 6 3 3 2 9" xfId="28593"/>
    <cellStyle name="쉼표 [0] 6 3 3 3" xfId="2410"/>
    <cellStyle name="쉼표 [0] 6 3 3 3 2" xfId="2411"/>
    <cellStyle name="쉼표 [0] 6 3 3 3 2 2" xfId="2412"/>
    <cellStyle name="쉼표 [0] 6 3 3 3 2 2 2" xfId="2413"/>
    <cellStyle name="쉼표 [0] 6 3 3 3 2 2 2 2" xfId="21934"/>
    <cellStyle name="쉼표 [0] 6 3 3 3 2 2 2 2 2" xfId="11187"/>
    <cellStyle name="쉼표 [0] 6 3 3 3 2 2 2 3" xfId="11188"/>
    <cellStyle name="쉼표 [0] 6 3 3 3 2 2 2 4" xfId="21933"/>
    <cellStyle name="쉼표 [0] 6 3 3 3 2 2 3" xfId="21935"/>
    <cellStyle name="쉼표 [0] 6 3 3 3 2 2 3 2" xfId="11186"/>
    <cellStyle name="쉼표 [0] 6 3 3 3 2 2 4" xfId="11189"/>
    <cellStyle name="쉼표 [0] 6 3 3 3 2 2 5" xfId="21932"/>
    <cellStyle name="쉼표 [0] 6 3 3 3 2 3" xfId="21936"/>
    <cellStyle name="쉼표 [0] 6 3 3 3 2 3 2" xfId="11185"/>
    <cellStyle name="쉼표 [0] 6 3 3 3 2 4" xfId="11190"/>
    <cellStyle name="쉼표 [0] 6 3 3 3 2 5" xfId="28582"/>
    <cellStyle name="쉼표 [0] 6 3 3 3 2 6" xfId="21931"/>
    <cellStyle name="쉼표 [0] 6 3 3 3 3" xfId="2414"/>
    <cellStyle name="쉼표 [0] 6 3 3 3 3 2" xfId="2415"/>
    <cellStyle name="쉼표 [0] 6 3 3 3 3 2 2" xfId="21939"/>
    <cellStyle name="쉼표 [0] 6 3 3 3 3 2 2 2" xfId="11182"/>
    <cellStyle name="쉼표 [0] 6 3 3 3 3 2 3" xfId="11183"/>
    <cellStyle name="쉼표 [0] 6 3 3 3 3 2 4" xfId="21938"/>
    <cellStyle name="쉼표 [0] 6 3 3 3 3 3" xfId="21940"/>
    <cellStyle name="쉼표 [0] 6 3 3 3 3 3 2" xfId="11181"/>
    <cellStyle name="쉼표 [0] 6 3 3 3 3 4" xfId="11184"/>
    <cellStyle name="쉼표 [0] 6 3 3 3 3 5" xfId="21937"/>
    <cellStyle name="쉼표 [0] 6 3 3 3 4" xfId="21941"/>
    <cellStyle name="쉼표 [0] 6 3 3 3 4 2" xfId="11180"/>
    <cellStyle name="쉼표 [0] 6 3 3 3 5" xfId="11191"/>
    <cellStyle name="쉼표 [0] 6 3 3 3 6" xfId="28583"/>
    <cellStyle name="쉼표 [0] 6 3 3 3 7" xfId="21930"/>
    <cellStyle name="쉼표 [0] 6 3 3 4" xfId="2416"/>
    <cellStyle name="쉼표 [0] 6 3 3 4 2" xfId="2417"/>
    <cellStyle name="쉼표 [0] 6 3 3 4 2 2" xfId="2418"/>
    <cellStyle name="쉼표 [0] 6 3 3 4 2 2 2" xfId="21945"/>
    <cellStyle name="쉼표 [0] 6 3 3 4 2 2 2 2" xfId="11176"/>
    <cellStyle name="쉼표 [0] 6 3 3 4 2 2 3" xfId="11177"/>
    <cellStyle name="쉼표 [0] 6 3 3 4 2 2 4" xfId="28579"/>
    <cellStyle name="쉼표 [0] 6 3 3 4 2 2 5" xfId="21944"/>
    <cellStyle name="쉼표 [0] 6 3 3 4 2 3" xfId="21946"/>
    <cellStyle name="쉼표 [0] 6 3 3 4 2 3 2" xfId="11175"/>
    <cellStyle name="쉼표 [0] 6 3 3 4 2 4" xfId="11178"/>
    <cellStyle name="쉼표 [0] 6 3 3 4 2 5" xfId="28580"/>
    <cellStyle name="쉼표 [0] 6 3 3 4 2 6" xfId="21943"/>
    <cellStyle name="쉼표 [0] 6 3 3 4 3" xfId="2419"/>
    <cellStyle name="쉼표 [0] 6 3 3 4 3 2" xfId="21948"/>
    <cellStyle name="쉼표 [0] 6 3 3 4 3 2 2" xfId="11173"/>
    <cellStyle name="쉼표 [0] 6 3 3 4 3 3" xfId="11174"/>
    <cellStyle name="쉼표 [0] 6 3 3 4 3 4" xfId="28578"/>
    <cellStyle name="쉼표 [0] 6 3 3 4 3 5" xfId="21947"/>
    <cellStyle name="쉼표 [0] 6 3 3 4 4" xfId="2420"/>
    <cellStyle name="쉼표 [0] 6 3 3 4 4 2" xfId="2421"/>
    <cellStyle name="쉼표 [0] 6 3 3 4 4 2 2" xfId="21951"/>
    <cellStyle name="쉼표 [0] 6 3 3 4 4 2 2 2" xfId="11170"/>
    <cellStyle name="쉼표 [0] 6 3 3 4 4 2 3" xfId="11171"/>
    <cellStyle name="쉼표 [0] 6 3 3 4 4 2 4" xfId="21950"/>
    <cellStyle name="쉼표 [0] 6 3 3 4 4 3" xfId="21952"/>
    <cellStyle name="쉼표 [0] 6 3 3 4 4 3 2" xfId="11169"/>
    <cellStyle name="쉼표 [0] 6 3 3 4 4 4" xfId="11172"/>
    <cellStyle name="쉼표 [0] 6 3 3 4 4 5" xfId="21949"/>
    <cellStyle name="쉼표 [0] 6 3 3 4 5" xfId="21953"/>
    <cellStyle name="쉼표 [0] 6 3 3 4 5 2" xfId="11168"/>
    <cellStyle name="쉼표 [0] 6 3 3 4 6" xfId="11179"/>
    <cellStyle name="쉼표 [0] 6 3 3 4 7" xfId="28581"/>
    <cellStyle name="쉼표 [0] 6 3 3 4 8" xfId="21942"/>
    <cellStyle name="쉼표 [0] 6 3 3 5" xfId="2422"/>
    <cellStyle name="쉼표 [0] 6 3 3 5 2" xfId="2423"/>
    <cellStyle name="쉼표 [0] 6 3 3 5 2 2" xfId="21956"/>
    <cellStyle name="쉼표 [0] 6 3 3 5 2 2 2" xfId="11165"/>
    <cellStyle name="쉼표 [0] 6 3 3 5 2 3" xfId="11166"/>
    <cellStyle name="쉼표 [0] 6 3 3 5 2 4" xfId="28576"/>
    <cellStyle name="쉼표 [0] 6 3 3 5 2 5" xfId="21955"/>
    <cellStyle name="쉼표 [0] 6 3 3 5 3" xfId="21957"/>
    <cellStyle name="쉼표 [0] 6 3 3 5 3 2" xfId="11164"/>
    <cellStyle name="쉼표 [0] 6 3 3 5 4" xfId="11167"/>
    <cellStyle name="쉼표 [0] 6 3 3 5 5" xfId="28577"/>
    <cellStyle name="쉼표 [0] 6 3 3 5 6" xfId="21954"/>
    <cellStyle name="쉼표 [0] 6 3 3 6" xfId="2424"/>
    <cellStyle name="쉼표 [0] 6 3 3 6 2" xfId="21959"/>
    <cellStyle name="쉼표 [0] 6 3 3 6 2 2" xfId="11162"/>
    <cellStyle name="쉼표 [0] 6 3 3 6 3" xfId="11163"/>
    <cellStyle name="쉼표 [0] 6 3 3 6 4" xfId="28575"/>
    <cellStyle name="쉼표 [0] 6 3 3 6 5" xfId="21958"/>
    <cellStyle name="쉼표 [0] 6 3 3 7" xfId="2425"/>
    <cellStyle name="쉼표 [0] 6 3 3 7 2" xfId="2426"/>
    <cellStyle name="쉼표 [0] 6 3 3 7 2 2" xfId="21962"/>
    <cellStyle name="쉼표 [0] 6 3 3 7 2 2 2" xfId="11159"/>
    <cellStyle name="쉼표 [0] 6 3 3 7 2 3" xfId="11160"/>
    <cellStyle name="쉼표 [0] 6 3 3 7 2 4" xfId="21961"/>
    <cellStyle name="쉼표 [0] 6 3 3 7 3" xfId="21963"/>
    <cellStyle name="쉼표 [0] 6 3 3 7 3 2" xfId="11158"/>
    <cellStyle name="쉼표 [0] 6 3 3 7 4" xfId="11161"/>
    <cellStyle name="쉼표 [0] 6 3 3 7 5" xfId="21960"/>
    <cellStyle name="쉼표 [0] 6 3 3 8" xfId="21964"/>
    <cellStyle name="쉼표 [0] 6 3 3 8 2" xfId="11157"/>
    <cellStyle name="쉼표 [0] 6 3 3 9" xfId="11224"/>
    <cellStyle name="쉼표 [0] 6 3 4" xfId="2427"/>
    <cellStyle name="쉼표 [0] 6 3 4 10" xfId="21965"/>
    <cellStyle name="쉼표 [0] 6 3 4 11" xfId="29811"/>
    <cellStyle name="쉼표 [0] 6 3 4 2" xfId="2428"/>
    <cellStyle name="쉼표 [0] 6 3 4 2 2" xfId="2429"/>
    <cellStyle name="쉼표 [0] 6 3 4 2 2 2" xfId="21968"/>
    <cellStyle name="쉼표 [0] 6 3 4 2 2 2 2" xfId="11153"/>
    <cellStyle name="쉼표 [0] 6 3 4 2 2 3" xfId="11154"/>
    <cellStyle name="쉼표 [0] 6 3 4 2 2 4" xfId="28572"/>
    <cellStyle name="쉼표 [0] 6 3 4 2 2 5" xfId="21967"/>
    <cellStyle name="쉼표 [0] 6 3 4 2 3" xfId="2430"/>
    <cellStyle name="쉼표 [0] 6 3 4 2 3 2" xfId="2431"/>
    <cellStyle name="쉼표 [0] 6 3 4 2 3 2 2" xfId="21971"/>
    <cellStyle name="쉼표 [0] 6 3 4 2 3 2 2 2" xfId="11150"/>
    <cellStyle name="쉼표 [0] 6 3 4 2 3 2 3" xfId="11151"/>
    <cellStyle name="쉼표 [0] 6 3 4 2 3 2 4" xfId="21970"/>
    <cellStyle name="쉼표 [0] 6 3 4 2 3 3" xfId="21972"/>
    <cellStyle name="쉼표 [0] 6 3 4 2 3 3 2" xfId="11149"/>
    <cellStyle name="쉼표 [0] 6 3 4 2 3 4" xfId="11152"/>
    <cellStyle name="쉼표 [0] 6 3 4 2 3 5" xfId="21969"/>
    <cellStyle name="쉼표 [0] 6 3 4 2 4" xfId="21973"/>
    <cellStyle name="쉼표 [0] 6 3 4 2 4 2" xfId="11148"/>
    <cellStyle name="쉼표 [0] 6 3 4 2 5" xfId="11155"/>
    <cellStyle name="쉼표 [0] 6 3 4 2 6" xfId="28573"/>
    <cellStyle name="쉼표 [0] 6 3 4 2 7" xfId="21966"/>
    <cellStyle name="쉼표 [0] 6 3 4 3" xfId="2432"/>
    <cellStyle name="쉼표 [0] 6 3 4 3 2" xfId="2433"/>
    <cellStyle name="쉼표 [0] 6 3 4 3 2 2" xfId="2434"/>
    <cellStyle name="쉼표 [0] 6 3 4 3 2 2 2" xfId="21977"/>
    <cellStyle name="쉼표 [0] 6 3 4 3 2 2 2 2" xfId="11144"/>
    <cellStyle name="쉼표 [0] 6 3 4 3 2 2 3" xfId="11145"/>
    <cellStyle name="쉼표 [0] 6 3 4 3 2 2 4" xfId="28569"/>
    <cellStyle name="쉼표 [0] 6 3 4 3 2 2 5" xfId="21976"/>
    <cellStyle name="쉼표 [0] 6 3 4 3 2 3" xfId="21978"/>
    <cellStyle name="쉼표 [0] 6 3 4 3 2 3 2" xfId="11143"/>
    <cellStyle name="쉼표 [0] 6 3 4 3 2 4" xfId="11146"/>
    <cellStyle name="쉼표 [0] 6 3 4 3 2 5" xfId="28570"/>
    <cellStyle name="쉼표 [0] 6 3 4 3 2 6" xfId="21975"/>
    <cellStyle name="쉼표 [0] 6 3 4 3 3" xfId="2435"/>
    <cellStyle name="쉼표 [0] 6 3 4 3 3 2" xfId="21980"/>
    <cellStyle name="쉼표 [0] 6 3 4 3 3 2 2" xfId="11141"/>
    <cellStyle name="쉼표 [0] 6 3 4 3 3 3" xfId="11142"/>
    <cellStyle name="쉼표 [0] 6 3 4 3 3 4" xfId="28568"/>
    <cellStyle name="쉼표 [0] 6 3 4 3 3 5" xfId="21979"/>
    <cellStyle name="쉼표 [0] 6 3 4 3 4" xfId="2436"/>
    <cellStyle name="쉼표 [0] 6 3 4 3 4 2" xfId="2437"/>
    <cellStyle name="쉼표 [0] 6 3 4 3 4 2 2" xfId="21983"/>
    <cellStyle name="쉼표 [0] 6 3 4 3 4 2 2 2" xfId="11138"/>
    <cellStyle name="쉼표 [0] 6 3 4 3 4 2 3" xfId="11139"/>
    <cellStyle name="쉼표 [0] 6 3 4 3 4 2 4" xfId="21982"/>
    <cellStyle name="쉼표 [0] 6 3 4 3 4 3" xfId="21984"/>
    <cellStyle name="쉼표 [0] 6 3 4 3 4 3 2" xfId="11137"/>
    <cellStyle name="쉼표 [0] 6 3 4 3 4 4" xfId="11140"/>
    <cellStyle name="쉼표 [0] 6 3 4 3 4 5" xfId="21981"/>
    <cellStyle name="쉼표 [0] 6 3 4 3 5" xfId="21985"/>
    <cellStyle name="쉼표 [0] 6 3 4 3 5 2" xfId="11136"/>
    <cellStyle name="쉼표 [0] 6 3 4 3 6" xfId="11147"/>
    <cellStyle name="쉼표 [0] 6 3 4 3 7" xfId="28571"/>
    <cellStyle name="쉼표 [0] 6 3 4 3 8" xfId="21974"/>
    <cellStyle name="쉼표 [0] 6 3 4 4" xfId="2438"/>
    <cellStyle name="쉼표 [0] 6 3 4 4 2" xfId="2439"/>
    <cellStyle name="쉼표 [0] 6 3 4 4 2 2" xfId="21988"/>
    <cellStyle name="쉼표 [0] 6 3 4 4 2 2 2" xfId="11133"/>
    <cellStyle name="쉼표 [0] 6 3 4 4 2 3" xfId="11134"/>
    <cellStyle name="쉼표 [0] 6 3 4 4 2 4" xfId="28566"/>
    <cellStyle name="쉼표 [0] 6 3 4 4 2 5" xfId="21987"/>
    <cellStyle name="쉼표 [0] 6 3 4 4 3" xfId="21989"/>
    <cellStyle name="쉼표 [0] 6 3 4 4 3 2" xfId="11132"/>
    <cellStyle name="쉼표 [0] 6 3 4 4 4" xfId="11135"/>
    <cellStyle name="쉼표 [0] 6 3 4 4 5" xfId="28567"/>
    <cellStyle name="쉼표 [0] 6 3 4 4 6" xfId="21986"/>
    <cellStyle name="쉼표 [0] 6 3 4 5" xfId="2440"/>
    <cellStyle name="쉼표 [0] 6 3 4 5 2" xfId="21991"/>
    <cellStyle name="쉼표 [0] 6 3 4 5 2 2" xfId="11130"/>
    <cellStyle name="쉼표 [0] 6 3 4 5 3" xfId="11131"/>
    <cellStyle name="쉼표 [0] 6 3 4 5 4" xfId="28565"/>
    <cellStyle name="쉼표 [0] 6 3 4 5 5" xfId="21990"/>
    <cellStyle name="쉼표 [0] 6 3 4 6" xfId="2441"/>
    <cellStyle name="쉼표 [0] 6 3 4 6 2" xfId="2442"/>
    <cellStyle name="쉼표 [0] 6 3 4 6 2 2" xfId="21994"/>
    <cellStyle name="쉼표 [0] 6 3 4 6 2 2 2" xfId="11127"/>
    <cellStyle name="쉼표 [0] 6 3 4 6 2 3" xfId="11128"/>
    <cellStyle name="쉼표 [0] 6 3 4 6 2 4" xfId="21993"/>
    <cellStyle name="쉼표 [0] 6 3 4 6 3" xfId="21995"/>
    <cellStyle name="쉼표 [0] 6 3 4 6 3 2" xfId="11126"/>
    <cellStyle name="쉼표 [0] 6 3 4 6 4" xfId="11129"/>
    <cellStyle name="쉼표 [0] 6 3 4 6 5" xfId="21992"/>
    <cellStyle name="쉼표 [0] 6 3 4 7" xfId="21996"/>
    <cellStyle name="쉼표 [0] 6 3 4 7 2" xfId="11125"/>
    <cellStyle name="쉼표 [0] 6 3 4 8" xfId="11156"/>
    <cellStyle name="쉼표 [0] 6 3 4 9" xfId="28574"/>
    <cellStyle name="쉼표 [0] 6 3 5" xfId="2443"/>
    <cellStyle name="쉼표 [0] 6 3 5 2" xfId="2444"/>
    <cellStyle name="쉼표 [0] 6 3 5 2 2" xfId="2445"/>
    <cellStyle name="쉼표 [0] 6 3 5 2 2 2" xfId="22000"/>
    <cellStyle name="쉼표 [0] 6 3 5 2 2 2 2" xfId="11121"/>
    <cellStyle name="쉼표 [0] 6 3 5 2 2 3" xfId="11122"/>
    <cellStyle name="쉼표 [0] 6 3 5 2 2 4" xfId="28562"/>
    <cellStyle name="쉼표 [0] 6 3 5 2 2 5" xfId="21999"/>
    <cellStyle name="쉼표 [0] 6 3 5 2 3" xfId="2446"/>
    <cellStyle name="쉼표 [0] 6 3 5 2 3 2" xfId="2447"/>
    <cellStyle name="쉼표 [0] 6 3 5 2 3 2 2" xfId="22003"/>
    <cellStyle name="쉼표 [0] 6 3 5 2 3 2 2 2" xfId="11118"/>
    <cellStyle name="쉼표 [0] 6 3 5 2 3 2 3" xfId="11119"/>
    <cellStyle name="쉼표 [0] 6 3 5 2 3 2 4" xfId="22002"/>
    <cellStyle name="쉼표 [0] 6 3 5 2 3 3" xfId="22004"/>
    <cellStyle name="쉼표 [0] 6 3 5 2 3 3 2" xfId="11117"/>
    <cellStyle name="쉼표 [0] 6 3 5 2 3 4" xfId="11120"/>
    <cellStyle name="쉼표 [0] 6 3 5 2 3 5" xfId="22001"/>
    <cellStyle name="쉼표 [0] 6 3 5 2 4" xfId="22005"/>
    <cellStyle name="쉼표 [0] 6 3 5 2 4 2" xfId="11116"/>
    <cellStyle name="쉼표 [0] 6 3 5 2 5" xfId="11123"/>
    <cellStyle name="쉼표 [0] 6 3 5 2 6" xfId="28563"/>
    <cellStyle name="쉼표 [0] 6 3 5 2 7" xfId="21998"/>
    <cellStyle name="쉼표 [0] 6 3 5 3" xfId="2448"/>
    <cellStyle name="쉼표 [0] 6 3 5 3 2" xfId="22007"/>
    <cellStyle name="쉼표 [0] 6 3 5 3 2 2" xfId="11114"/>
    <cellStyle name="쉼표 [0] 6 3 5 3 3" xfId="11115"/>
    <cellStyle name="쉼표 [0] 6 3 5 3 4" xfId="28561"/>
    <cellStyle name="쉼표 [0] 6 3 5 3 5" xfId="22006"/>
    <cellStyle name="쉼표 [0] 6 3 5 4" xfId="2449"/>
    <cellStyle name="쉼표 [0] 6 3 5 4 2" xfId="2450"/>
    <cellStyle name="쉼표 [0] 6 3 5 4 2 2" xfId="22010"/>
    <cellStyle name="쉼표 [0] 6 3 5 4 2 2 2" xfId="11111"/>
    <cellStyle name="쉼표 [0] 6 3 5 4 2 3" xfId="11112"/>
    <cellStyle name="쉼표 [0] 6 3 5 4 2 4" xfId="22009"/>
    <cellStyle name="쉼표 [0] 6 3 5 4 3" xfId="22011"/>
    <cellStyle name="쉼표 [0] 6 3 5 4 3 2" xfId="11110"/>
    <cellStyle name="쉼표 [0] 6 3 5 4 4" xfId="11113"/>
    <cellStyle name="쉼표 [0] 6 3 5 4 5" xfId="22008"/>
    <cellStyle name="쉼표 [0] 6 3 5 5" xfId="22012"/>
    <cellStyle name="쉼표 [0] 6 3 5 5 2" xfId="11109"/>
    <cellStyle name="쉼표 [0] 6 3 5 6" xfId="11124"/>
    <cellStyle name="쉼표 [0] 6 3 5 7" xfId="28564"/>
    <cellStyle name="쉼표 [0] 6 3 5 8" xfId="21997"/>
    <cellStyle name="쉼표 [0] 6 3 6" xfId="2451"/>
    <cellStyle name="쉼표 [0] 6 3 6 2" xfId="2452"/>
    <cellStyle name="쉼표 [0] 6 3 6 2 2" xfId="22015"/>
    <cellStyle name="쉼표 [0] 6 3 6 2 2 2" xfId="11106"/>
    <cellStyle name="쉼표 [0] 6 3 6 2 3" xfId="11107"/>
    <cellStyle name="쉼표 [0] 6 3 6 2 4" xfId="28559"/>
    <cellStyle name="쉼표 [0] 6 3 6 2 5" xfId="22014"/>
    <cellStyle name="쉼표 [0] 6 3 6 3" xfId="2453"/>
    <cellStyle name="쉼표 [0] 6 3 6 3 2" xfId="2454"/>
    <cellStyle name="쉼표 [0] 6 3 6 3 2 2" xfId="22018"/>
    <cellStyle name="쉼표 [0] 6 3 6 3 2 2 2" xfId="11103"/>
    <cellStyle name="쉼표 [0] 6 3 6 3 2 3" xfId="11104"/>
    <cellStyle name="쉼표 [0] 6 3 6 3 2 4" xfId="22017"/>
    <cellStyle name="쉼표 [0] 6 3 6 3 3" xfId="22019"/>
    <cellStyle name="쉼표 [0] 6 3 6 3 3 2" xfId="11102"/>
    <cellStyle name="쉼표 [0] 6 3 6 3 4" xfId="11105"/>
    <cellStyle name="쉼표 [0] 6 3 6 3 5" xfId="22016"/>
    <cellStyle name="쉼표 [0] 6 3 6 4" xfId="22020"/>
    <cellStyle name="쉼표 [0] 6 3 6 4 2" xfId="11101"/>
    <cellStyle name="쉼표 [0] 6 3 6 5" xfId="11108"/>
    <cellStyle name="쉼표 [0] 6 3 6 6" xfId="28560"/>
    <cellStyle name="쉼표 [0] 6 3 6 7" xfId="22013"/>
    <cellStyle name="쉼표 [0] 6 3 7" xfId="2455"/>
    <cellStyle name="쉼표 [0] 6 3 7 2" xfId="2456"/>
    <cellStyle name="쉼표 [0] 6 3 7 2 2" xfId="22023"/>
    <cellStyle name="쉼표 [0] 6 3 7 2 2 2" xfId="11098"/>
    <cellStyle name="쉼표 [0] 6 3 7 2 3" xfId="11099"/>
    <cellStyle name="쉼표 [0] 6 3 7 2 4" xfId="28557"/>
    <cellStyle name="쉼표 [0] 6 3 7 2 5" xfId="22022"/>
    <cellStyle name="쉼표 [0] 6 3 7 3" xfId="22024"/>
    <cellStyle name="쉼표 [0] 6 3 7 3 2" xfId="11097"/>
    <cellStyle name="쉼표 [0] 6 3 7 4" xfId="11100"/>
    <cellStyle name="쉼표 [0] 6 3 7 5" xfId="28558"/>
    <cellStyle name="쉼표 [0] 6 3 7 6" xfId="22021"/>
    <cellStyle name="쉼표 [0] 6 3 8" xfId="2457"/>
    <cellStyle name="쉼표 [0] 6 3 8 2" xfId="2458"/>
    <cellStyle name="쉼표 [0] 6 3 8 2 2" xfId="22027"/>
    <cellStyle name="쉼표 [0] 6 3 8 2 2 2" xfId="11094"/>
    <cellStyle name="쉼표 [0] 6 3 8 2 3" xfId="11095"/>
    <cellStyle name="쉼표 [0] 6 3 8 2 4" xfId="22026"/>
    <cellStyle name="쉼표 [0] 6 3 8 3" xfId="22028"/>
    <cellStyle name="쉼표 [0] 6 3 8 3 2" xfId="11093"/>
    <cellStyle name="쉼표 [0] 6 3 8 4" xfId="11096"/>
    <cellStyle name="쉼표 [0] 6 3 8 5" xfId="22025"/>
    <cellStyle name="쉼표 [0] 6 3 9" xfId="22029"/>
    <cellStyle name="쉼표 [0] 6 3 9 2" xfId="22030"/>
    <cellStyle name="쉼표 [0] 6 3 9 2 2" xfId="11091"/>
    <cellStyle name="쉼표 [0] 6 3 9 3" xfId="11092"/>
    <cellStyle name="쉼표 [0] 6 30" xfId="22031"/>
    <cellStyle name="쉼표 [0] 6 30 2" xfId="22032"/>
    <cellStyle name="쉼표 [0] 6 30 2 2" xfId="11089"/>
    <cellStyle name="쉼표 [0] 6 30 3" xfId="11090"/>
    <cellStyle name="쉼표 [0] 6 31" xfId="22033"/>
    <cellStyle name="쉼표 [0] 6 31 2" xfId="22034"/>
    <cellStyle name="쉼표 [0] 6 31 2 2" xfId="11087"/>
    <cellStyle name="쉼표 [0] 6 31 3" xfId="11088"/>
    <cellStyle name="쉼표 [0] 6 32" xfId="22035"/>
    <cellStyle name="쉼표 [0] 6 32 2" xfId="22036"/>
    <cellStyle name="쉼표 [0] 6 32 2 2" xfId="11085"/>
    <cellStyle name="쉼표 [0] 6 32 3" xfId="11086"/>
    <cellStyle name="쉼표 [0] 6 33" xfId="22037"/>
    <cellStyle name="쉼표 [0] 6 33 2" xfId="22038"/>
    <cellStyle name="쉼표 [0] 6 33 2 2" xfId="11083"/>
    <cellStyle name="쉼표 [0] 6 33 3" xfId="11084"/>
    <cellStyle name="쉼표 [0] 6 34" xfId="22039"/>
    <cellStyle name="쉼표 [0] 6 34 2" xfId="22040"/>
    <cellStyle name="쉼표 [0] 6 34 2 2" xfId="11081"/>
    <cellStyle name="쉼표 [0] 6 34 3" xfId="11082"/>
    <cellStyle name="쉼표 [0] 6 35" xfId="22041"/>
    <cellStyle name="쉼표 [0] 6 35 2" xfId="22042"/>
    <cellStyle name="쉼표 [0] 6 35 2 2" xfId="11079"/>
    <cellStyle name="쉼표 [0] 6 35 3" xfId="11080"/>
    <cellStyle name="쉼표 [0] 6 36" xfId="22043"/>
    <cellStyle name="쉼표 [0] 6 36 2" xfId="22044"/>
    <cellStyle name="쉼표 [0] 6 36 2 2" xfId="11077"/>
    <cellStyle name="쉼표 [0] 6 36 3" xfId="11078"/>
    <cellStyle name="쉼표 [0] 6 37" xfId="22045"/>
    <cellStyle name="쉼표 [0] 6 37 2" xfId="22046"/>
    <cellStyle name="쉼표 [0] 6 37 2 2" xfId="11075"/>
    <cellStyle name="쉼표 [0] 6 37 3" xfId="11076"/>
    <cellStyle name="쉼표 [0] 6 38" xfId="22047"/>
    <cellStyle name="쉼표 [0] 6 38 2" xfId="22048"/>
    <cellStyle name="쉼표 [0] 6 38 2 2" xfId="11073"/>
    <cellStyle name="쉼표 [0] 6 38 3" xfId="11074"/>
    <cellStyle name="쉼표 [0] 6 39" xfId="22049"/>
    <cellStyle name="쉼표 [0] 6 39 2" xfId="22050"/>
    <cellStyle name="쉼표 [0] 6 39 2 2" xfId="11071"/>
    <cellStyle name="쉼표 [0] 6 39 3" xfId="11072"/>
    <cellStyle name="쉼표 [0] 6 4" xfId="2459"/>
    <cellStyle name="쉼표 [0] 6 4 10" xfId="22052"/>
    <cellStyle name="쉼표 [0] 6 4 10 2" xfId="22053"/>
    <cellStyle name="쉼표 [0] 6 4 10 2 2" xfId="11068"/>
    <cellStyle name="쉼표 [0] 6 4 10 3" xfId="11069"/>
    <cellStyle name="쉼표 [0] 6 4 11" xfId="22054"/>
    <cellStyle name="쉼표 [0] 6 4 11 2" xfId="11067"/>
    <cellStyle name="쉼표 [0] 6 4 12" xfId="22055"/>
    <cellStyle name="쉼표 [0] 6 4 12 2" xfId="11066"/>
    <cellStyle name="쉼표 [0] 6 4 13" xfId="11070"/>
    <cellStyle name="쉼표 [0] 6 4 14" xfId="28556"/>
    <cellStyle name="쉼표 [0] 6 4 15" xfId="22051"/>
    <cellStyle name="쉼표 [0] 6 4 16" xfId="29727"/>
    <cellStyle name="쉼표 [0] 6 4 2" xfId="2460"/>
    <cellStyle name="쉼표 [0] 6 4 2 10" xfId="28555"/>
    <cellStyle name="쉼표 [0] 6 4 2 11" xfId="22056"/>
    <cellStyle name="쉼표 [0] 6 4 2 12" xfId="29550"/>
    <cellStyle name="쉼표 [0] 6 4 2 2" xfId="2461"/>
    <cellStyle name="쉼표 [0] 6 4 2 2 10" xfId="22057"/>
    <cellStyle name="쉼표 [0] 6 4 2 2 11" xfId="29485"/>
    <cellStyle name="쉼표 [0] 6 4 2 2 2" xfId="2462"/>
    <cellStyle name="쉼표 [0] 6 4 2 2 2 2" xfId="2463"/>
    <cellStyle name="쉼표 [0] 6 4 2 2 2 2 2" xfId="22060"/>
    <cellStyle name="쉼표 [0] 6 4 2 2 2 2 2 2" xfId="11061"/>
    <cellStyle name="쉼표 [0] 6 4 2 2 2 2 3" xfId="11062"/>
    <cellStyle name="쉼표 [0] 6 4 2 2 2 2 4" xfId="28552"/>
    <cellStyle name="쉼표 [0] 6 4 2 2 2 2 5" xfId="22059"/>
    <cellStyle name="쉼표 [0] 6 4 2 2 2 3" xfId="2464"/>
    <cellStyle name="쉼표 [0] 6 4 2 2 2 3 2" xfId="2465"/>
    <cellStyle name="쉼표 [0] 6 4 2 2 2 3 2 2" xfId="22063"/>
    <cellStyle name="쉼표 [0] 6 4 2 2 2 3 2 2 2" xfId="11058"/>
    <cellStyle name="쉼표 [0] 6 4 2 2 2 3 2 3" xfId="11059"/>
    <cellStyle name="쉼표 [0] 6 4 2 2 2 3 2 4" xfId="22062"/>
    <cellStyle name="쉼표 [0] 6 4 2 2 2 3 3" xfId="22064"/>
    <cellStyle name="쉼표 [0] 6 4 2 2 2 3 3 2" xfId="11057"/>
    <cellStyle name="쉼표 [0] 6 4 2 2 2 3 4" xfId="11060"/>
    <cellStyle name="쉼표 [0] 6 4 2 2 2 3 5" xfId="22061"/>
    <cellStyle name="쉼표 [0] 6 4 2 2 2 4" xfId="22065"/>
    <cellStyle name="쉼표 [0] 6 4 2 2 2 4 2" xfId="11056"/>
    <cellStyle name="쉼표 [0] 6 4 2 2 2 5" xfId="11063"/>
    <cellStyle name="쉼표 [0] 6 4 2 2 2 6" xfId="28553"/>
    <cellStyle name="쉼표 [0] 6 4 2 2 2 7" xfId="22058"/>
    <cellStyle name="쉼표 [0] 6 4 2 2 3" xfId="2466"/>
    <cellStyle name="쉼표 [0] 6 4 2 2 3 2" xfId="2467"/>
    <cellStyle name="쉼표 [0] 6 4 2 2 3 2 2" xfId="2468"/>
    <cellStyle name="쉼표 [0] 6 4 2 2 3 2 2 2" xfId="22069"/>
    <cellStyle name="쉼표 [0] 6 4 2 2 3 2 2 2 2" xfId="11052"/>
    <cellStyle name="쉼표 [0] 6 4 2 2 3 2 2 3" xfId="11053"/>
    <cellStyle name="쉼표 [0] 6 4 2 2 3 2 2 4" xfId="28549"/>
    <cellStyle name="쉼표 [0] 6 4 2 2 3 2 2 5" xfId="22068"/>
    <cellStyle name="쉼표 [0] 6 4 2 2 3 2 3" xfId="22070"/>
    <cellStyle name="쉼표 [0] 6 4 2 2 3 2 3 2" xfId="11051"/>
    <cellStyle name="쉼표 [0] 6 4 2 2 3 2 4" xfId="11054"/>
    <cellStyle name="쉼표 [0] 6 4 2 2 3 2 5" xfId="28550"/>
    <cellStyle name="쉼표 [0] 6 4 2 2 3 2 6" xfId="22067"/>
    <cellStyle name="쉼표 [0] 6 4 2 2 3 3" xfId="2469"/>
    <cellStyle name="쉼표 [0] 6 4 2 2 3 3 2" xfId="22072"/>
    <cellStyle name="쉼표 [0] 6 4 2 2 3 3 2 2" xfId="11049"/>
    <cellStyle name="쉼표 [0] 6 4 2 2 3 3 3" xfId="11050"/>
    <cellStyle name="쉼표 [0] 6 4 2 2 3 3 4" xfId="28548"/>
    <cellStyle name="쉼표 [0] 6 4 2 2 3 3 5" xfId="22071"/>
    <cellStyle name="쉼표 [0] 6 4 2 2 3 4" xfId="2470"/>
    <cellStyle name="쉼표 [0] 6 4 2 2 3 4 2" xfId="2471"/>
    <cellStyle name="쉼표 [0] 6 4 2 2 3 4 2 2" xfId="22075"/>
    <cellStyle name="쉼표 [0] 6 4 2 2 3 4 2 2 2" xfId="11046"/>
    <cellStyle name="쉼표 [0] 6 4 2 2 3 4 2 3" xfId="11047"/>
    <cellStyle name="쉼표 [0] 6 4 2 2 3 4 2 4" xfId="22074"/>
    <cellStyle name="쉼표 [0] 6 4 2 2 3 4 3" xfId="22076"/>
    <cellStyle name="쉼표 [0] 6 4 2 2 3 4 3 2" xfId="11045"/>
    <cellStyle name="쉼표 [0] 6 4 2 2 3 4 4" xfId="11048"/>
    <cellStyle name="쉼표 [0] 6 4 2 2 3 4 5" xfId="22073"/>
    <cellStyle name="쉼표 [0] 6 4 2 2 3 5" xfId="22077"/>
    <cellStyle name="쉼표 [0] 6 4 2 2 3 5 2" xfId="11044"/>
    <cellStyle name="쉼표 [0] 6 4 2 2 3 6" xfId="11055"/>
    <cellStyle name="쉼표 [0] 6 4 2 2 3 7" xfId="28551"/>
    <cellStyle name="쉼표 [0] 6 4 2 2 3 8" xfId="22066"/>
    <cellStyle name="쉼표 [0] 6 4 2 2 4" xfId="2472"/>
    <cellStyle name="쉼표 [0] 6 4 2 2 4 2" xfId="2473"/>
    <cellStyle name="쉼표 [0] 6 4 2 2 4 2 2" xfId="22080"/>
    <cellStyle name="쉼표 [0] 6 4 2 2 4 2 2 2" xfId="11041"/>
    <cellStyle name="쉼표 [0] 6 4 2 2 4 2 3" xfId="11042"/>
    <cellStyle name="쉼표 [0] 6 4 2 2 4 2 4" xfId="28546"/>
    <cellStyle name="쉼표 [0] 6 4 2 2 4 2 5" xfId="22079"/>
    <cellStyle name="쉼표 [0] 6 4 2 2 4 3" xfId="22081"/>
    <cellStyle name="쉼표 [0] 6 4 2 2 4 3 2" xfId="11040"/>
    <cellStyle name="쉼표 [0] 6 4 2 2 4 4" xfId="11043"/>
    <cellStyle name="쉼표 [0] 6 4 2 2 4 5" xfId="28547"/>
    <cellStyle name="쉼표 [0] 6 4 2 2 4 6" xfId="22078"/>
    <cellStyle name="쉼표 [0] 6 4 2 2 5" xfId="2474"/>
    <cellStyle name="쉼표 [0] 6 4 2 2 5 2" xfId="22083"/>
    <cellStyle name="쉼표 [0] 6 4 2 2 5 2 2" xfId="11038"/>
    <cellStyle name="쉼표 [0] 6 4 2 2 5 3" xfId="11039"/>
    <cellStyle name="쉼표 [0] 6 4 2 2 5 4" xfId="28545"/>
    <cellStyle name="쉼표 [0] 6 4 2 2 5 5" xfId="22082"/>
    <cellStyle name="쉼표 [0] 6 4 2 2 6" xfId="2475"/>
    <cellStyle name="쉼표 [0] 6 4 2 2 6 2" xfId="2476"/>
    <cellStyle name="쉼표 [0] 6 4 2 2 6 2 2" xfId="22086"/>
    <cellStyle name="쉼표 [0] 6 4 2 2 6 2 2 2" xfId="11035"/>
    <cellStyle name="쉼표 [0] 6 4 2 2 6 2 3" xfId="11036"/>
    <cellStyle name="쉼표 [0] 6 4 2 2 6 2 4" xfId="22085"/>
    <cellStyle name="쉼표 [0] 6 4 2 2 6 3" xfId="22087"/>
    <cellStyle name="쉼표 [0] 6 4 2 2 6 3 2" xfId="11034"/>
    <cellStyle name="쉼표 [0] 6 4 2 2 6 4" xfId="11037"/>
    <cellStyle name="쉼표 [0] 6 4 2 2 6 5" xfId="22084"/>
    <cellStyle name="쉼표 [0] 6 4 2 2 7" xfId="22088"/>
    <cellStyle name="쉼표 [0] 6 4 2 2 7 2" xfId="11033"/>
    <cellStyle name="쉼표 [0] 6 4 2 2 8" xfId="11064"/>
    <cellStyle name="쉼표 [0] 6 4 2 2 9" xfId="28554"/>
    <cellStyle name="쉼표 [0] 6 4 2 3" xfId="2477"/>
    <cellStyle name="쉼표 [0] 6 4 2 3 2" xfId="2478"/>
    <cellStyle name="쉼표 [0] 6 4 2 3 2 2" xfId="2479"/>
    <cellStyle name="쉼표 [0] 6 4 2 3 2 2 2" xfId="2480"/>
    <cellStyle name="쉼표 [0] 6 4 2 3 2 2 2 2" xfId="22093"/>
    <cellStyle name="쉼표 [0] 6 4 2 3 2 2 2 2 2" xfId="11028"/>
    <cellStyle name="쉼표 [0] 6 4 2 3 2 2 2 3" xfId="11029"/>
    <cellStyle name="쉼표 [0] 6 4 2 3 2 2 2 4" xfId="22092"/>
    <cellStyle name="쉼표 [0] 6 4 2 3 2 2 3" xfId="22094"/>
    <cellStyle name="쉼표 [0] 6 4 2 3 2 2 3 2" xfId="11027"/>
    <cellStyle name="쉼표 [0] 6 4 2 3 2 2 4" xfId="11030"/>
    <cellStyle name="쉼표 [0] 6 4 2 3 2 2 5" xfId="22091"/>
    <cellStyle name="쉼표 [0] 6 4 2 3 2 3" xfId="22095"/>
    <cellStyle name="쉼표 [0] 6 4 2 3 2 3 2" xfId="11026"/>
    <cellStyle name="쉼표 [0] 6 4 2 3 2 4" xfId="11031"/>
    <cellStyle name="쉼표 [0] 6 4 2 3 2 5" xfId="28543"/>
    <cellStyle name="쉼표 [0] 6 4 2 3 2 6" xfId="22090"/>
    <cellStyle name="쉼표 [0] 6 4 2 3 3" xfId="2481"/>
    <cellStyle name="쉼표 [0] 6 4 2 3 3 2" xfId="2482"/>
    <cellStyle name="쉼표 [0] 6 4 2 3 3 2 2" xfId="22098"/>
    <cellStyle name="쉼표 [0] 6 4 2 3 3 2 2 2" xfId="11023"/>
    <cellStyle name="쉼표 [0] 6 4 2 3 3 2 3" xfId="11024"/>
    <cellStyle name="쉼표 [0] 6 4 2 3 3 2 4" xfId="22097"/>
    <cellStyle name="쉼표 [0] 6 4 2 3 3 3" xfId="22099"/>
    <cellStyle name="쉼표 [0] 6 4 2 3 3 3 2" xfId="11022"/>
    <cellStyle name="쉼표 [0] 6 4 2 3 3 4" xfId="11025"/>
    <cellStyle name="쉼표 [0] 6 4 2 3 3 5" xfId="22096"/>
    <cellStyle name="쉼표 [0] 6 4 2 3 4" xfId="22100"/>
    <cellStyle name="쉼표 [0] 6 4 2 3 4 2" xfId="11021"/>
    <cellStyle name="쉼표 [0] 6 4 2 3 5" xfId="11032"/>
    <cellStyle name="쉼표 [0] 6 4 2 3 6" xfId="28544"/>
    <cellStyle name="쉼표 [0] 6 4 2 3 7" xfId="22089"/>
    <cellStyle name="쉼표 [0] 6 4 2 4" xfId="2483"/>
    <cellStyle name="쉼표 [0] 6 4 2 4 2" xfId="2484"/>
    <cellStyle name="쉼표 [0] 6 4 2 4 2 2" xfId="2485"/>
    <cellStyle name="쉼표 [0] 6 4 2 4 2 2 2" xfId="22104"/>
    <cellStyle name="쉼표 [0] 6 4 2 4 2 2 2 2" xfId="11017"/>
    <cellStyle name="쉼표 [0] 6 4 2 4 2 2 3" xfId="11018"/>
    <cellStyle name="쉼표 [0] 6 4 2 4 2 2 4" xfId="28540"/>
    <cellStyle name="쉼표 [0] 6 4 2 4 2 2 5" xfId="22103"/>
    <cellStyle name="쉼표 [0] 6 4 2 4 2 3" xfId="22105"/>
    <cellStyle name="쉼표 [0] 6 4 2 4 2 3 2" xfId="11016"/>
    <cellStyle name="쉼표 [0] 6 4 2 4 2 4" xfId="11019"/>
    <cellStyle name="쉼표 [0] 6 4 2 4 2 5" xfId="28541"/>
    <cellStyle name="쉼표 [0] 6 4 2 4 2 6" xfId="22102"/>
    <cellStyle name="쉼표 [0] 6 4 2 4 3" xfId="2486"/>
    <cellStyle name="쉼표 [0] 6 4 2 4 3 2" xfId="22107"/>
    <cellStyle name="쉼표 [0] 6 4 2 4 3 2 2" xfId="11014"/>
    <cellStyle name="쉼표 [0] 6 4 2 4 3 3" xfId="11015"/>
    <cellStyle name="쉼표 [0] 6 4 2 4 3 4" xfId="28539"/>
    <cellStyle name="쉼표 [0] 6 4 2 4 3 5" xfId="22106"/>
    <cellStyle name="쉼표 [0] 6 4 2 4 4" xfId="2487"/>
    <cellStyle name="쉼표 [0] 6 4 2 4 4 2" xfId="2488"/>
    <cellStyle name="쉼표 [0] 6 4 2 4 4 2 2" xfId="22110"/>
    <cellStyle name="쉼표 [0] 6 4 2 4 4 2 2 2" xfId="11011"/>
    <cellStyle name="쉼표 [0] 6 4 2 4 4 2 3" xfId="11012"/>
    <cellStyle name="쉼표 [0] 6 4 2 4 4 2 4" xfId="22109"/>
    <cellStyle name="쉼표 [0] 6 4 2 4 4 3" xfId="22111"/>
    <cellStyle name="쉼표 [0] 6 4 2 4 4 3 2" xfId="11010"/>
    <cellStyle name="쉼표 [0] 6 4 2 4 4 4" xfId="11013"/>
    <cellStyle name="쉼표 [0] 6 4 2 4 4 5" xfId="22108"/>
    <cellStyle name="쉼표 [0] 6 4 2 4 5" xfId="22112"/>
    <cellStyle name="쉼표 [0] 6 4 2 4 5 2" xfId="11009"/>
    <cellStyle name="쉼표 [0] 6 4 2 4 6" xfId="11020"/>
    <cellStyle name="쉼표 [0] 6 4 2 4 7" xfId="28542"/>
    <cellStyle name="쉼표 [0] 6 4 2 4 8" xfId="22101"/>
    <cellStyle name="쉼표 [0] 6 4 2 5" xfId="2489"/>
    <cellStyle name="쉼표 [0] 6 4 2 5 2" xfId="2490"/>
    <cellStyle name="쉼표 [0] 6 4 2 5 2 2" xfId="22115"/>
    <cellStyle name="쉼표 [0] 6 4 2 5 2 2 2" xfId="11006"/>
    <cellStyle name="쉼표 [0] 6 4 2 5 2 3" xfId="11007"/>
    <cellStyle name="쉼표 [0] 6 4 2 5 2 4" xfId="28537"/>
    <cellStyle name="쉼표 [0] 6 4 2 5 2 5" xfId="22114"/>
    <cellStyle name="쉼표 [0] 6 4 2 5 3" xfId="22116"/>
    <cellStyle name="쉼표 [0] 6 4 2 5 3 2" xfId="11005"/>
    <cellStyle name="쉼표 [0] 6 4 2 5 4" xfId="11008"/>
    <cellStyle name="쉼표 [0] 6 4 2 5 5" xfId="28538"/>
    <cellStyle name="쉼표 [0] 6 4 2 5 6" xfId="22113"/>
    <cellStyle name="쉼표 [0] 6 4 2 6" xfId="2491"/>
    <cellStyle name="쉼표 [0] 6 4 2 6 2" xfId="22118"/>
    <cellStyle name="쉼표 [0] 6 4 2 6 2 2" xfId="11003"/>
    <cellStyle name="쉼표 [0] 6 4 2 6 3" xfId="11004"/>
    <cellStyle name="쉼표 [0] 6 4 2 6 4" xfId="28536"/>
    <cellStyle name="쉼표 [0] 6 4 2 6 5" xfId="22117"/>
    <cellStyle name="쉼표 [0] 6 4 2 7" xfId="2492"/>
    <cellStyle name="쉼표 [0] 6 4 2 7 2" xfId="2493"/>
    <cellStyle name="쉼표 [0] 6 4 2 7 2 2" xfId="22121"/>
    <cellStyle name="쉼표 [0] 6 4 2 7 2 2 2" xfId="11000"/>
    <cellStyle name="쉼표 [0] 6 4 2 7 2 3" xfId="11001"/>
    <cellStyle name="쉼표 [0] 6 4 2 7 2 4" xfId="22120"/>
    <cellStyle name="쉼표 [0] 6 4 2 7 3" xfId="22122"/>
    <cellStyle name="쉼표 [0] 6 4 2 7 3 2" xfId="10999"/>
    <cellStyle name="쉼표 [0] 6 4 2 7 4" xfId="11002"/>
    <cellStyle name="쉼표 [0] 6 4 2 7 5" xfId="22119"/>
    <cellStyle name="쉼표 [0] 6 4 2 8" xfId="22123"/>
    <cellStyle name="쉼표 [0] 6 4 2 8 2" xfId="10998"/>
    <cellStyle name="쉼표 [0] 6 4 2 9" xfId="11065"/>
    <cellStyle name="쉼표 [0] 6 4 3" xfId="2494"/>
    <cellStyle name="쉼표 [0] 6 4 3 10" xfId="22124"/>
    <cellStyle name="쉼표 [0] 6 4 3 11" xfId="29578"/>
    <cellStyle name="쉼표 [0] 6 4 3 2" xfId="2495"/>
    <cellStyle name="쉼표 [0] 6 4 3 2 2" xfId="2496"/>
    <cellStyle name="쉼표 [0] 6 4 3 2 2 2" xfId="22127"/>
    <cellStyle name="쉼표 [0] 6 4 3 2 2 2 2" xfId="10994"/>
    <cellStyle name="쉼표 [0] 6 4 3 2 2 3" xfId="10995"/>
    <cellStyle name="쉼표 [0] 6 4 3 2 2 4" xfId="28533"/>
    <cellStyle name="쉼표 [0] 6 4 3 2 2 5" xfId="22126"/>
    <cellStyle name="쉼표 [0] 6 4 3 2 3" xfId="2497"/>
    <cellStyle name="쉼표 [0] 6 4 3 2 3 2" xfId="2498"/>
    <cellStyle name="쉼표 [0] 6 4 3 2 3 2 2" xfId="22130"/>
    <cellStyle name="쉼표 [0] 6 4 3 2 3 2 2 2" xfId="10991"/>
    <cellStyle name="쉼표 [0] 6 4 3 2 3 2 3" xfId="10992"/>
    <cellStyle name="쉼표 [0] 6 4 3 2 3 2 4" xfId="22129"/>
    <cellStyle name="쉼표 [0] 6 4 3 2 3 3" xfId="22131"/>
    <cellStyle name="쉼표 [0] 6 4 3 2 3 3 2" xfId="10990"/>
    <cellStyle name="쉼표 [0] 6 4 3 2 3 4" xfId="10993"/>
    <cellStyle name="쉼표 [0] 6 4 3 2 3 5" xfId="22128"/>
    <cellStyle name="쉼표 [0] 6 4 3 2 4" xfId="22132"/>
    <cellStyle name="쉼표 [0] 6 4 3 2 4 2" xfId="10989"/>
    <cellStyle name="쉼표 [0] 6 4 3 2 5" xfId="10996"/>
    <cellStyle name="쉼표 [0] 6 4 3 2 6" xfId="28534"/>
    <cellStyle name="쉼표 [0] 6 4 3 2 7" xfId="22125"/>
    <cellStyle name="쉼표 [0] 6 4 3 3" xfId="2499"/>
    <cellStyle name="쉼표 [0] 6 4 3 3 2" xfId="2500"/>
    <cellStyle name="쉼표 [0] 6 4 3 3 2 2" xfId="2501"/>
    <cellStyle name="쉼표 [0] 6 4 3 3 2 2 2" xfId="22136"/>
    <cellStyle name="쉼표 [0] 6 4 3 3 2 2 2 2" xfId="10985"/>
    <cellStyle name="쉼표 [0] 6 4 3 3 2 2 3" xfId="10986"/>
    <cellStyle name="쉼표 [0] 6 4 3 3 2 2 4" xfId="28530"/>
    <cellStyle name="쉼표 [0] 6 4 3 3 2 2 5" xfId="22135"/>
    <cellStyle name="쉼표 [0] 6 4 3 3 2 3" xfId="22137"/>
    <cellStyle name="쉼표 [0] 6 4 3 3 2 3 2" xfId="10984"/>
    <cellStyle name="쉼표 [0] 6 4 3 3 2 4" xfId="10987"/>
    <cellStyle name="쉼표 [0] 6 4 3 3 2 5" xfId="28531"/>
    <cellStyle name="쉼표 [0] 6 4 3 3 2 6" xfId="22134"/>
    <cellStyle name="쉼표 [0] 6 4 3 3 3" xfId="2502"/>
    <cellStyle name="쉼표 [0] 6 4 3 3 3 2" xfId="22139"/>
    <cellStyle name="쉼표 [0] 6 4 3 3 3 2 2" xfId="10982"/>
    <cellStyle name="쉼표 [0] 6 4 3 3 3 3" xfId="10983"/>
    <cellStyle name="쉼표 [0] 6 4 3 3 3 4" xfId="28529"/>
    <cellStyle name="쉼표 [0] 6 4 3 3 3 5" xfId="22138"/>
    <cellStyle name="쉼표 [0] 6 4 3 3 4" xfId="2503"/>
    <cellStyle name="쉼표 [0] 6 4 3 3 4 2" xfId="2504"/>
    <cellStyle name="쉼표 [0] 6 4 3 3 4 2 2" xfId="22142"/>
    <cellStyle name="쉼표 [0] 6 4 3 3 4 2 2 2" xfId="10979"/>
    <cellStyle name="쉼표 [0] 6 4 3 3 4 2 3" xfId="10980"/>
    <cellStyle name="쉼표 [0] 6 4 3 3 4 2 4" xfId="22141"/>
    <cellStyle name="쉼표 [0] 6 4 3 3 4 3" xfId="22143"/>
    <cellStyle name="쉼표 [0] 6 4 3 3 4 3 2" xfId="10978"/>
    <cellStyle name="쉼표 [0] 6 4 3 3 4 4" xfId="10981"/>
    <cellStyle name="쉼표 [0] 6 4 3 3 4 5" xfId="22140"/>
    <cellStyle name="쉼표 [0] 6 4 3 3 5" xfId="22144"/>
    <cellStyle name="쉼표 [0] 6 4 3 3 5 2" xfId="10977"/>
    <cellStyle name="쉼표 [0] 6 4 3 3 6" xfId="10988"/>
    <cellStyle name="쉼표 [0] 6 4 3 3 7" xfId="28532"/>
    <cellStyle name="쉼표 [0] 6 4 3 3 8" xfId="22133"/>
    <cellStyle name="쉼표 [0] 6 4 3 4" xfId="2505"/>
    <cellStyle name="쉼표 [0] 6 4 3 4 2" xfId="2506"/>
    <cellStyle name="쉼표 [0] 6 4 3 4 2 2" xfId="22147"/>
    <cellStyle name="쉼표 [0] 6 4 3 4 2 2 2" xfId="10974"/>
    <cellStyle name="쉼표 [0] 6 4 3 4 2 3" xfId="10975"/>
    <cellStyle name="쉼표 [0] 6 4 3 4 2 4" xfId="28527"/>
    <cellStyle name="쉼표 [0] 6 4 3 4 2 5" xfId="22146"/>
    <cellStyle name="쉼표 [0] 6 4 3 4 3" xfId="22148"/>
    <cellStyle name="쉼표 [0] 6 4 3 4 3 2" xfId="10973"/>
    <cellStyle name="쉼표 [0] 6 4 3 4 4" xfId="10976"/>
    <cellStyle name="쉼표 [0] 6 4 3 4 5" xfId="28528"/>
    <cellStyle name="쉼표 [0] 6 4 3 4 6" xfId="22145"/>
    <cellStyle name="쉼표 [0] 6 4 3 5" xfId="2507"/>
    <cellStyle name="쉼표 [0] 6 4 3 5 2" xfId="22150"/>
    <cellStyle name="쉼표 [0] 6 4 3 5 2 2" xfId="10971"/>
    <cellStyle name="쉼표 [0] 6 4 3 5 3" xfId="10972"/>
    <cellStyle name="쉼표 [0] 6 4 3 5 4" xfId="28526"/>
    <cellStyle name="쉼표 [0] 6 4 3 5 5" xfId="22149"/>
    <cellStyle name="쉼표 [0] 6 4 3 6" xfId="2508"/>
    <cellStyle name="쉼표 [0] 6 4 3 6 2" xfId="2509"/>
    <cellStyle name="쉼표 [0] 6 4 3 6 2 2" xfId="22153"/>
    <cellStyle name="쉼표 [0] 6 4 3 6 2 2 2" xfId="10968"/>
    <cellStyle name="쉼표 [0] 6 4 3 6 2 3" xfId="10969"/>
    <cellStyle name="쉼표 [0] 6 4 3 6 2 4" xfId="22152"/>
    <cellStyle name="쉼표 [0] 6 4 3 6 3" xfId="22154"/>
    <cellStyle name="쉼표 [0] 6 4 3 6 3 2" xfId="10967"/>
    <cellStyle name="쉼표 [0] 6 4 3 6 4" xfId="10970"/>
    <cellStyle name="쉼표 [0] 6 4 3 6 5" xfId="22151"/>
    <cellStyle name="쉼표 [0] 6 4 3 7" xfId="22155"/>
    <cellStyle name="쉼표 [0] 6 4 3 7 2" xfId="10966"/>
    <cellStyle name="쉼표 [0] 6 4 3 8" xfId="10997"/>
    <cellStyle name="쉼표 [0] 6 4 3 9" xfId="28535"/>
    <cellStyle name="쉼표 [0] 6 4 4" xfId="2510"/>
    <cellStyle name="쉼표 [0] 6 4 4 2" xfId="2511"/>
    <cellStyle name="쉼표 [0] 6 4 4 2 2" xfId="2512"/>
    <cellStyle name="쉼표 [0] 6 4 4 2 2 2" xfId="2513"/>
    <cellStyle name="쉼표 [0] 6 4 4 2 2 2 2" xfId="22160"/>
    <cellStyle name="쉼표 [0] 6 4 4 2 2 2 2 2" xfId="10961"/>
    <cellStyle name="쉼표 [0] 6 4 4 2 2 2 3" xfId="10962"/>
    <cellStyle name="쉼표 [0] 6 4 4 2 2 2 4" xfId="22159"/>
    <cellStyle name="쉼표 [0] 6 4 4 2 2 3" xfId="22161"/>
    <cellStyle name="쉼표 [0] 6 4 4 2 2 3 2" xfId="10960"/>
    <cellStyle name="쉼표 [0] 6 4 4 2 2 4" xfId="10963"/>
    <cellStyle name="쉼표 [0] 6 4 4 2 2 5" xfId="22158"/>
    <cellStyle name="쉼표 [0] 6 4 4 2 3" xfId="22162"/>
    <cellStyle name="쉼표 [0] 6 4 4 2 3 2" xfId="10959"/>
    <cellStyle name="쉼표 [0] 6 4 4 2 4" xfId="10964"/>
    <cellStyle name="쉼표 [0] 6 4 4 2 5" xfId="28524"/>
    <cellStyle name="쉼표 [0] 6 4 4 2 6" xfId="22157"/>
    <cellStyle name="쉼표 [0] 6 4 4 3" xfId="2514"/>
    <cellStyle name="쉼표 [0] 6 4 4 3 2" xfId="2515"/>
    <cellStyle name="쉼표 [0] 6 4 4 3 2 2" xfId="22165"/>
    <cellStyle name="쉼표 [0] 6 4 4 3 2 2 2" xfId="10956"/>
    <cellStyle name="쉼표 [0] 6 4 4 3 2 3" xfId="10957"/>
    <cellStyle name="쉼표 [0] 6 4 4 3 2 4" xfId="22164"/>
    <cellStyle name="쉼표 [0] 6 4 4 3 3" xfId="22166"/>
    <cellStyle name="쉼표 [0] 6 4 4 3 3 2" xfId="10955"/>
    <cellStyle name="쉼표 [0] 6 4 4 3 4" xfId="10958"/>
    <cellStyle name="쉼표 [0] 6 4 4 3 5" xfId="22163"/>
    <cellStyle name="쉼표 [0] 6 4 4 4" xfId="22167"/>
    <cellStyle name="쉼표 [0] 6 4 4 4 2" xfId="10954"/>
    <cellStyle name="쉼표 [0] 6 4 4 5" xfId="10965"/>
    <cellStyle name="쉼표 [0] 6 4 4 6" xfId="28525"/>
    <cellStyle name="쉼표 [0] 6 4 4 7" xfId="22156"/>
    <cellStyle name="쉼표 [0] 6 4 5" xfId="2516"/>
    <cellStyle name="쉼표 [0] 6 4 5 2" xfId="2517"/>
    <cellStyle name="쉼표 [0] 6 4 5 2 2" xfId="2518"/>
    <cellStyle name="쉼표 [0] 6 4 5 2 2 2" xfId="22171"/>
    <cellStyle name="쉼표 [0] 6 4 5 2 2 2 2" xfId="10950"/>
    <cellStyle name="쉼표 [0] 6 4 5 2 2 3" xfId="10951"/>
    <cellStyle name="쉼표 [0] 6 4 5 2 2 4" xfId="28521"/>
    <cellStyle name="쉼표 [0] 6 4 5 2 2 5" xfId="22170"/>
    <cellStyle name="쉼표 [0] 6 4 5 2 3" xfId="22172"/>
    <cellStyle name="쉼표 [0] 6 4 5 2 3 2" xfId="10949"/>
    <cellStyle name="쉼표 [0] 6 4 5 2 4" xfId="10952"/>
    <cellStyle name="쉼표 [0] 6 4 5 2 5" xfId="28522"/>
    <cellStyle name="쉼표 [0] 6 4 5 2 6" xfId="22169"/>
    <cellStyle name="쉼표 [0] 6 4 5 3" xfId="2519"/>
    <cellStyle name="쉼표 [0] 6 4 5 3 2" xfId="22174"/>
    <cellStyle name="쉼표 [0] 6 4 5 3 2 2" xfId="10947"/>
    <cellStyle name="쉼표 [0] 6 4 5 3 3" xfId="10948"/>
    <cellStyle name="쉼표 [0] 6 4 5 3 4" xfId="28520"/>
    <cellStyle name="쉼표 [0] 6 4 5 3 5" xfId="22173"/>
    <cellStyle name="쉼표 [0] 6 4 5 4" xfId="2520"/>
    <cellStyle name="쉼표 [0] 6 4 5 4 2" xfId="2521"/>
    <cellStyle name="쉼표 [0] 6 4 5 4 2 2" xfId="22177"/>
    <cellStyle name="쉼표 [0] 6 4 5 4 2 2 2" xfId="10944"/>
    <cellStyle name="쉼표 [0] 6 4 5 4 2 3" xfId="10945"/>
    <cellStyle name="쉼표 [0] 6 4 5 4 2 4" xfId="22176"/>
    <cellStyle name="쉼표 [0] 6 4 5 4 3" xfId="22178"/>
    <cellStyle name="쉼표 [0] 6 4 5 4 3 2" xfId="10943"/>
    <cellStyle name="쉼표 [0] 6 4 5 4 4" xfId="10946"/>
    <cellStyle name="쉼표 [0] 6 4 5 4 5" xfId="22175"/>
    <cellStyle name="쉼표 [0] 6 4 5 5" xfId="22179"/>
    <cellStyle name="쉼표 [0] 6 4 5 5 2" xfId="10942"/>
    <cellStyle name="쉼표 [0] 6 4 5 6" xfId="10953"/>
    <cellStyle name="쉼표 [0] 6 4 5 7" xfId="28523"/>
    <cellStyle name="쉼표 [0] 6 4 5 8" xfId="22168"/>
    <cellStyle name="쉼표 [0] 6 4 6" xfId="2522"/>
    <cellStyle name="쉼표 [0] 6 4 6 2" xfId="2523"/>
    <cellStyle name="쉼표 [0] 6 4 6 2 2" xfId="22182"/>
    <cellStyle name="쉼표 [0] 6 4 6 2 2 2" xfId="10939"/>
    <cellStyle name="쉼표 [0] 6 4 6 2 3" xfId="10940"/>
    <cellStyle name="쉼표 [0] 6 4 6 2 4" xfId="28518"/>
    <cellStyle name="쉼표 [0] 6 4 6 2 5" xfId="22181"/>
    <cellStyle name="쉼표 [0] 6 4 6 3" xfId="22183"/>
    <cellStyle name="쉼표 [0] 6 4 6 3 2" xfId="10938"/>
    <cellStyle name="쉼표 [0] 6 4 6 4" xfId="10941"/>
    <cellStyle name="쉼표 [0] 6 4 6 5" xfId="28519"/>
    <cellStyle name="쉼표 [0] 6 4 6 6" xfId="22180"/>
    <cellStyle name="쉼표 [0] 6 4 7" xfId="2524"/>
    <cellStyle name="쉼표 [0] 6 4 7 2" xfId="2525"/>
    <cellStyle name="쉼표 [0] 6 4 7 2 2" xfId="22186"/>
    <cellStyle name="쉼표 [0] 6 4 7 2 2 2" xfId="10935"/>
    <cellStyle name="쉼표 [0] 6 4 7 2 3" xfId="10936"/>
    <cellStyle name="쉼표 [0] 6 4 7 2 4" xfId="28516"/>
    <cellStyle name="쉼표 [0] 6 4 7 2 5" xfId="22185"/>
    <cellStyle name="쉼표 [0] 6 4 7 3" xfId="22187"/>
    <cellStyle name="쉼표 [0] 6 4 7 3 2" xfId="10934"/>
    <cellStyle name="쉼표 [0] 6 4 7 4" xfId="10937"/>
    <cellStyle name="쉼표 [0] 6 4 7 5" xfId="28517"/>
    <cellStyle name="쉼표 [0] 6 4 7 6" xfId="22184"/>
    <cellStyle name="쉼표 [0] 6 4 8" xfId="2526"/>
    <cellStyle name="쉼표 [0] 6 4 8 2" xfId="22189"/>
    <cellStyle name="쉼표 [0] 6 4 8 2 2" xfId="10932"/>
    <cellStyle name="쉼표 [0] 6 4 8 3" xfId="10933"/>
    <cellStyle name="쉼표 [0] 6 4 8 4" xfId="28515"/>
    <cellStyle name="쉼표 [0] 6 4 8 5" xfId="22188"/>
    <cellStyle name="쉼표 [0] 6 4 9" xfId="2527"/>
    <cellStyle name="쉼표 [0] 6 4 9 2" xfId="2528"/>
    <cellStyle name="쉼표 [0] 6 4 9 2 2" xfId="22192"/>
    <cellStyle name="쉼표 [0] 6 4 9 2 2 2" xfId="10929"/>
    <cellStyle name="쉼표 [0] 6 4 9 2 3" xfId="10930"/>
    <cellStyle name="쉼표 [0] 6 4 9 2 4" xfId="22191"/>
    <cellStyle name="쉼표 [0] 6 4 9 3" xfId="22193"/>
    <cellStyle name="쉼표 [0] 6 4 9 3 2" xfId="10928"/>
    <cellStyle name="쉼표 [0] 6 4 9 4" xfId="10931"/>
    <cellStyle name="쉼표 [0] 6 4 9 5" xfId="22190"/>
    <cellStyle name="쉼표 [0] 6 40" xfId="22194"/>
    <cellStyle name="쉼표 [0] 6 40 2" xfId="22195"/>
    <cellStyle name="쉼표 [0] 6 40 2 2" xfId="10926"/>
    <cellStyle name="쉼표 [0] 6 40 3" xfId="10927"/>
    <cellStyle name="쉼표 [0] 6 41" xfId="22196"/>
    <cellStyle name="쉼표 [0] 6 41 2" xfId="22197"/>
    <cellStyle name="쉼표 [0] 6 41 2 2" xfId="10924"/>
    <cellStyle name="쉼표 [0] 6 41 3" xfId="10925"/>
    <cellStyle name="쉼표 [0] 6 42" xfId="22198"/>
    <cellStyle name="쉼표 [0] 6 42 2" xfId="22199"/>
    <cellStyle name="쉼표 [0] 6 42 2 2" xfId="10922"/>
    <cellStyle name="쉼표 [0] 6 42 3" xfId="10923"/>
    <cellStyle name="쉼표 [0] 6 43" xfId="22200"/>
    <cellStyle name="쉼표 [0] 6 43 2" xfId="22201"/>
    <cellStyle name="쉼표 [0] 6 43 2 2" xfId="10920"/>
    <cellStyle name="쉼표 [0] 6 43 3" xfId="10921"/>
    <cellStyle name="쉼표 [0] 6 44" xfId="22202"/>
    <cellStyle name="쉼표 [0] 6 44 2" xfId="22203"/>
    <cellStyle name="쉼표 [0] 6 44 2 2" xfId="10918"/>
    <cellStyle name="쉼표 [0] 6 44 3" xfId="10919"/>
    <cellStyle name="쉼표 [0] 6 45" xfId="22204"/>
    <cellStyle name="쉼표 [0] 6 45 2" xfId="22205"/>
    <cellStyle name="쉼표 [0] 6 45 2 2" xfId="10916"/>
    <cellStyle name="쉼표 [0] 6 45 3" xfId="10917"/>
    <cellStyle name="쉼표 [0] 6 46" xfId="22206"/>
    <cellStyle name="쉼표 [0] 6 46 2" xfId="22207"/>
    <cellStyle name="쉼표 [0] 6 46 2 2" xfId="10914"/>
    <cellStyle name="쉼표 [0] 6 46 3" xfId="10915"/>
    <cellStyle name="쉼표 [0] 6 47" xfId="22208"/>
    <cellStyle name="쉼표 [0] 6 47 2" xfId="22209"/>
    <cellStyle name="쉼표 [0] 6 47 2 2" xfId="10912"/>
    <cellStyle name="쉼표 [0] 6 47 3" xfId="10913"/>
    <cellStyle name="쉼표 [0] 6 48" xfId="22210"/>
    <cellStyle name="쉼표 [0] 6 48 2" xfId="22211"/>
    <cellStyle name="쉼표 [0] 6 48 2 2" xfId="10910"/>
    <cellStyle name="쉼표 [0] 6 48 3" xfId="10911"/>
    <cellStyle name="쉼표 [0] 6 49" xfId="22212"/>
    <cellStyle name="쉼표 [0] 6 49 2" xfId="22213"/>
    <cellStyle name="쉼표 [0] 6 49 2 2" xfId="10908"/>
    <cellStyle name="쉼표 [0] 6 49 3" xfId="10909"/>
    <cellStyle name="쉼표 [0] 6 5" xfId="2529"/>
    <cellStyle name="쉼표 [0] 6 5 10" xfId="22215"/>
    <cellStyle name="쉼표 [0] 6 5 10 2" xfId="10906"/>
    <cellStyle name="쉼표 [0] 6 5 11" xfId="10907"/>
    <cellStyle name="쉼표 [0] 6 5 12" xfId="28514"/>
    <cellStyle name="쉼표 [0] 6 5 13" xfId="22214"/>
    <cellStyle name="쉼표 [0] 6 5 14" xfId="30666"/>
    <cellStyle name="쉼표 [0] 6 5 2" xfId="2530"/>
    <cellStyle name="쉼표 [0] 6 5 2 10" xfId="22216"/>
    <cellStyle name="쉼표 [0] 6 5 2 11" xfId="29735"/>
    <cellStyle name="쉼표 [0] 6 5 2 2" xfId="2531"/>
    <cellStyle name="쉼표 [0] 6 5 2 2 2" xfId="2532"/>
    <cellStyle name="쉼표 [0] 6 5 2 2 2 2" xfId="22219"/>
    <cellStyle name="쉼표 [0] 6 5 2 2 2 2 2" xfId="10902"/>
    <cellStyle name="쉼표 [0] 6 5 2 2 2 3" xfId="10903"/>
    <cellStyle name="쉼표 [0] 6 5 2 2 2 4" xfId="28511"/>
    <cellStyle name="쉼표 [0] 6 5 2 2 2 5" xfId="22218"/>
    <cellStyle name="쉼표 [0] 6 5 2 2 3" xfId="2533"/>
    <cellStyle name="쉼표 [0] 6 5 2 2 3 2" xfId="2534"/>
    <cellStyle name="쉼표 [0] 6 5 2 2 3 2 2" xfId="22222"/>
    <cellStyle name="쉼표 [0] 6 5 2 2 3 2 2 2" xfId="10899"/>
    <cellStyle name="쉼표 [0] 6 5 2 2 3 2 3" xfId="10900"/>
    <cellStyle name="쉼표 [0] 6 5 2 2 3 2 4" xfId="22221"/>
    <cellStyle name="쉼표 [0] 6 5 2 2 3 3" xfId="22223"/>
    <cellStyle name="쉼표 [0] 6 5 2 2 3 3 2" xfId="10898"/>
    <cellStyle name="쉼표 [0] 6 5 2 2 3 4" xfId="10901"/>
    <cellStyle name="쉼표 [0] 6 5 2 2 3 5" xfId="22220"/>
    <cellStyle name="쉼표 [0] 6 5 2 2 4" xfId="22224"/>
    <cellStyle name="쉼표 [0] 6 5 2 2 4 2" xfId="10897"/>
    <cellStyle name="쉼표 [0] 6 5 2 2 5" xfId="10904"/>
    <cellStyle name="쉼표 [0] 6 5 2 2 6" xfId="28512"/>
    <cellStyle name="쉼표 [0] 6 5 2 2 7" xfId="22217"/>
    <cellStyle name="쉼표 [0] 6 5 2 3" xfId="2535"/>
    <cellStyle name="쉼표 [0] 6 5 2 3 2" xfId="2536"/>
    <cellStyle name="쉼표 [0] 6 5 2 3 2 2" xfId="2537"/>
    <cellStyle name="쉼표 [0] 6 5 2 3 2 2 2" xfId="22228"/>
    <cellStyle name="쉼표 [0] 6 5 2 3 2 2 2 2" xfId="10893"/>
    <cellStyle name="쉼표 [0] 6 5 2 3 2 2 3" xfId="10894"/>
    <cellStyle name="쉼표 [0] 6 5 2 3 2 2 4" xfId="28508"/>
    <cellStyle name="쉼표 [0] 6 5 2 3 2 2 5" xfId="22227"/>
    <cellStyle name="쉼표 [0] 6 5 2 3 2 3" xfId="22229"/>
    <cellStyle name="쉼표 [0] 6 5 2 3 2 3 2" xfId="10892"/>
    <cellStyle name="쉼표 [0] 6 5 2 3 2 4" xfId="10895"/>
    <cellStyle name="쉼표 [0] 6 5 2 3 2 5" xfId="28509"/>
    <cellStyle name="쉼표 [0] 6 5 2 3 2 6" xfId="22226"/>
    <cellStyle name="쉼표 [0] 6 5 2 3 3" xfId="2538"/>
    <cellStyle name="쉼표 [0] 6 5 2 3 3 2" xfId="22231"/>
    <cellStyle name="쉼표 [0] 6 5 2 3 3 2 2" xfId="10890"/>
    <cellStyle name="쉼표 [0] 6 5 2 3 3 3" xfId="10891"/>
    <cellStyle name="쉼표 [0] 6 5 2 3 3 4" xfId="28507"/>
    <cellStyle name="쉼표 [0] 6 5 2 3 3 5" xfId="22230"/>
    <cellStyle name="쉼표 [0] 6 5 2 3 4" xfId="2539"/>
    <cellStyle name="쉼표 [0] 6 5 2 3 4 2" xfId="2540"/>
    <cellStyle name="쉼표 [0] 6 5 2 3 4 2 2" xfId="22234"/>
    <cellStyle name="쉼표 [0] 6 5 2 3 4 2 2 2" xfId="10887"/>
    <cellStyle name="쉼표 [0] 6 5 2 3 4 2 3" xfId="10888"/>
    <cellStyle name="쉼표 [0] 6 5 2 3 4 2 4" xfId="22233"/>
    <cellStyle name="쉼표 [0] 6 5 2 3 4 3" xfId="22235"/>
    <cellStyle name="쉼표 [0] 6 5 2 3 4 3 2" xfId="10886"/>
    <cellStyle name="쉼표 [0] 6 5 2 3 4 4" xfId="10889"/>
    <cellStyle name="쉼표 [0] 6 5 2 3 4 5" xfId="22232"/>
    <cellStyle name="쉼표 [0] 6 5 2 3 5" xfId="22236"/>
    <cellStyle name="쉼표 [0] 6 5 2 3 5 2" xfId="10885"/>
    <cellStyle name="쉼표 [0] 6 5 2 3 6" xfId="10896"/>
    <cellStyle name="쉼표 [0] 6 5 2 3 7" xfId="28510"/>
    <cellStyle name="쉼표 [0] 6 5 2 3 8" xfId="22225"/>
    <cellStyle name="쉼표 [0] 6 5 2 4" xfId="2541"/>
    <cellStyle name="쉼표 [0] 6 5 2 4 2" xfId="2542"/>
    <cellStyle name="쉼표 [0] 6 5 2 4 2 2" xfId="22239"/>
    <cellStyle name="쉼표 [0] 6 5 2 4 2 2 2" xfId="10882"/>
    <cellStyle name="쉼표 [0] 6 5 2 4 2 3" xfId="10883"/>
    <cellStyle name="쉼표 [0] 6 5 2 4 2 4" xfId="28505"/>
    <cellStyle name="쉼표 [0] 6 5 2 4 2 5" xfId="22238"/>
    <cellStyle name="쉼표 [0] 6 5 2 4 3" xfId="22240"/>
    <cellStyle name="쉼표 [0] 6 5 2 4 3 2" xfId="10881"/>
    <cellStyle name="쉼표 [0] 6 5 2 4 4" xfId="10884"/>
    <cellStyle name="쉼표 [0] 6 5 2 4 5" xfId="28506"/>
    <cellStyle name="쉼표 [0] 6 5 2 4 6" xfId="22237"/>
    <cellStyle name="쉼표 [0] 6 5 2 5" xfId="2543"/>
    <cellStyle name="쉼표 [0] 6 5 2 5 2" xfId="22242"/>
    <cellStyle name="쉼표 [0] 6 5 2 5 2 2" xfId="10879"/>
    <cellStyle name="쉼표 [0] 6 5 2 5 3" xfId="10880"/>
    <cellStyle name="쉼표 [0] 6 5 2 5 4" xfId="28504"/>
    <cellStyle name="쉼표 [0] 6 5 2 5 5" xfId="22241"/>
    <cellStyle name="쉼표 [0] 6 5 2 6" xfId="2544"/>
    <cellStyle name="쉼표 [0] 6 5 2 6 2" xfId="2545"/>
    <cellStyle name="쉼표 [0] 6 5 2 6 2 2" xfId="22245"/>
    <cellStyle name="쉼표 [0] 6 5 2 6 2 2 2" xfId="10876"/>
    <cellStyle name="쉼표 [0] 6 5 2 6 2 3" xfId="10877"/>
    <cellStyle name="쉼표 [0] 6 5 2 6 2 4" xfId="22244"/>
    <cellStyle name="쉼표 [0] 6 5 2 6 3" xfId="22246"/>
    <cellStyle name="쉼표 [0] 6 5 2 6 3 2" xfId="10875"/>
    <cellStyle name="쉼표 [0] 6 5 2 6 4" xfId="10878"/>
    <cellStyle name="쉼표 [0] 6 5 2 6 5" xfId="22243"/>
    <cellStyle name="쉼표 [0] 6 5 2 7" xfId="22247"/>
    <cellStyle name="쉼표 [0] 6 5 2 7 2" xfId="10874"/>
    <cellStyle name="쉼표 [0] 6 5 2 8" xfId="10905"/>
    <cellStyle name="쉼표 [0] 6 5 2 9" xfId="28513"/>
    <cellStyle name="쉼표 [0] 6 5 3" xfId="2546"/>
    <cellStyle name="쉼표 [0] 6 5 3 2" xfId="2547"/>
    <cellStyle name="쉼표 [0] 6 5 3 2 2" xfId="2548"/>
    <cellStyle name="쉼표 [0] 6 5 3 2 2 2" xfId="2549"/>
    <cellStyle name="쉼표 [0] 6 5 3 2 2 2 2" xfId="22252"/>
    <cellStyle name="쉼표 [0] 6 5 3 2 2 2 2 2" xfId="10869"/>
    <cellStyle name="쉼표 [0] 6 5 3 2 2 2 3" xfId="10870"/>
    <cellStyle name="쉼표 [0] 6 5 3 2 2 2 4" xfId="22251"/>
    <cellStyle name="쉼표 [0] 6 5 3 2 2 3" xfId="22253"/>
    <cellStyle name="쉼표 [0] 6 5 3 2 2 3 2" xfId="10868"/>
    <cellStyle name="쉼표 [0] 6 5 3 2 2 4" xfId="10871"/>
    <cellStyle name="쉼표 [0] 6 5 3 2 2 5" xfId="22250"/>
    <cellStyle name="쉼표 [0] 6 5 3 2 3" xfId="22254"/>
    <cellStyle name="쉼표 [0] 6 5 3 2 3 2" xfId="10867"/>
    <cellStyle name="쉼표 [0] 6 5 3 2 4" xfId="10872"/>
    <cellStyle name="쉼표 [0] 6 5 3 2 5" xfId="28502"/>
    <cellStyle name="쉼표 [0] 6 5 3 2 6" xfId="22249"/>
    <cellStyle name="쉼표 [0] 6 5 3 3" xfId="2550"/>
    <cellStyle name="쉼표 [0] 6 5 3 3 2" xfId="2551"/>
    <cellStyle name="쉼표 [0] 6 5 3 3 2 2" xfId="22257"/>
    <cellStyle name="쉼표 [0] 6 5 3 3 2 2 2" xfId="10864"/>
    <cellStyle name="쉼표 [0] 6 5 3 3 2 3" xfId="10865"/>
    <cellStyle name="쉼표 [0] 6 5 3 3 2 4" xfId="22256"/>
    <cellStyle name="쉼표 [0] 6 5 3 3 3" xfId="22258"/>
    <cellStyle name="쉼표 [0] 6 5 3 3 3 2" xfId="10863"/>
    <cellStyle name="쉼표 [0] 6 5 3 3 4" xfId="10866"/>
    <cellStyle name="쉼표 [0] 6 5 3 3 5" xfId="22255"/>
    <cellStyle name="쉼표 [0] 6 5 3 4" xfId="22259"/>
    <cellStyle name="쉼표 [0] 6 5 3 4 2" xfId="10862"/>
    <cellStyle name="쉼표 [0] 6 5 3 5" xfId="10873"/>
    <cellStyle name="쉼표 [0] 6 5 3 6" xfId="28503"/>
    <cellStyle name="쉼표 [0] 6 5 3 7" xfId="22248"/>
    <cellStyle name="쉼표 [0] 6 5 4" xfId="2552"/>
    <cellStyle name="쉼표 [0] 6 5 4 2" xfId="2553"/>
    <cellStyle name="쉼표 [0] 6 5 4 2 2" xfId="2554"/>
    <cellStyle name="쉼표 [0] 6 5 4 2 2 2" xfId="22263"/>
    <cellStyle name="쉼표 [0] 6 5 4 2 2 2 2" xfId="10858"/>
    <cellStyle name="쉼표 [0] 6 5 4 2 2 3" xfId="10859"/>
    <cellStyle name="쉼표 [0] 6 5 4 2 2 4" xfId="28499"/>
    <cellStyle name="쉼표 [0] 6 5 4 2 2 5" xfId="22262"/>
    <cellStyle name="쉼표 [0] 6 5 4 2 3" xfId="22264"/>
    <cellStyle name="쉼표 [0] 6 5 4 2 3 2" xfId="10857"/>
    <cellStyle name="쉼표 [0] 6 5 4 2 4" xfId="10860"/>
    <cellStyle name="쉼표 [0] 6 5 4 2 5" xfId="28500"/>
    <cellStyle name="쉼표 [0] 6 5 4 2 6" xfId="22261"/>
    <cellStyle name="쉼표 [0] 6 5 4 3" xfId="2555"/>
    <cellStyle name="쉼표 [0] 6 5 4 3 2" xfId="22266"/>
    <cellStyle name="쉼표 [0] 6 5 4 3 2 2" xfId="10855"/>
    <cellStyle name="쉼표 [0] 6 5 4 3 3" xfId="10856"/>
    <cellStyle name="쉼표 [0] 6 5 4 3 4" xfId="28498"/>
    <cellStyle name="쉼표 [0] 6 5 4 3 5" xfId="22265"/>
    <cellStyle name="쉼표 [0] 6 5 4 4" xfId="2556"/>
    <cellStyle name="쉼표 [0] 6 5 4 4 2" xfId="2557"/>
    <cellStyle name="쉼표 [0] 6 5 4 4 2 2" xfId="22269"/>
    <cellStyle name="쉼표 [0] 6 5 4 4 2 2 2" xfId="10852"/>
    <cellStyle name="쉼표 [0] 6 5 4 4 2 3" xfId="10853"/>
    <cellStyle name="쉼표 [0] 6 5 4 4 2 4" xfId="22268"/>
    <cellStyle name="쉼표 [0] 6 5 4 4 3" xfId="22270"/>
    <cellStyle name="쉼표 [0] 6 5 4 4 3 2" xfId="10851"/>
    <cellStyle name="쉼표 [0] 6 5 4 4 4" xfId="10854"/>
    <cellStyle name="쉼표 [0] 6 5 4 4 5" xfId="22267"/>
    <cellStyle name="쉼표 [0] 6 5 4 5" xfId="22271"/>
    <cellStyle name="쉼표 [0] 6 5 4 5 2" xfId="10850"/>
    <cellStyle name="쉼표 [0] 6 5 4 6" xfId="10861"/>
    <cellStyle name="쉼표 [0] 6 5 4 7" xfId="28501"/>
    <cellStyle name="쉼표 [0] 6 5 4 8" xfId="22260"/>
    <cellStyle name="쉼표 [0] 6 5 5" xfId="2558"/>
    <cellStyle name="쉼표 [0] 6 5 5 2" xfId="2559"/>
    <cellStyle name="쉼표 [0] 6 5 5 2 2" xfId="22274"/>
    <cellStyle name="쉼표 [0] 6 5 5 2 2 2" xfId="10847"/>
    <cellStyle name="쉼표 [0] 6 5 5 2 3" xfId="10848"/>
    <cellStyle name="쉼표 [0] 6 5 5 2 4" xfId="28496"/>
    <cellStyle name="쉼표 [0] 6 5 5 2 5" xfId="22273"/>
    <cellStyle name="쉼표 [0] 6 5 5 3" xfId="22275"/>
    <cellStyle name="쉼표 [0] 6 5 5 3 2" xfId="10846"/>
    <cellStyle name="쉼표 [0] 6 5 5 4" xfId="10849"/>
    <cellStyle name="쉼표 [0] 6 5 5 5" xfId="28497"/>
    <cellStyle name="쉼표 [0] 6 5 5 6" xfId="22272"/>
    <cellStyle name="쉼표 [0] 6 5 6" xfId="2560"/>
    <cellStyle name="쉼표 [0] 6 5 6 2" xfId="22277"/>
    <cellStyle name="쉼표 [0] 6 5 6 2 2" xfId="10844"/>
    <cellStyle name="쉼표 [0] 6 5 6 3" xfId="10845"/>
    <cellStyle name="쉼표 [0] 6 5 6 4" xfId="28495"/>
    <cellStyle name="쉼표 [0] 6 5 6 5" xfId="22276"/>
    <cellStyle name="쉼표 [0] 6 5 7" xfId="2561"/>
    <cellStyle name="쉼표 [0] 6 5 7 2" xfId="2562"/>
    <cellStyle name="쉼표 [0] 6 5 7 2 2" xfId="22280"/>
    <cellStyle name="쉼표 [0] 6 5 7 2 2 2" xfId="10841"/>
    <cellStyle name="쉼표 [0] 6 5 7 2 3" xfId="10842"/>
    <cellStyle name="쉼표 [0] 6 5 7 2 4" xfId="22279"/>
    <cellStyle name="쉼표 [0] 6 5 7 3" xfId="22281"/>
    <cellStyle name="쉼표 [0] 6 5 7 3 2" xfId="10840"/>
    <cellStyle name="쉼표 [0] 6 5 7 4" xfId="10843"/>
    <cellStyle name="쉼표 [0] 6 5 7 5" xfId="22278"/>
    <cellStyle name="쉼표 [0] 6 5 8" xfId="22282"/>
    <cellStyle name="쉼표 [0] 6 5 8 2" xfId="22283"/>
    <cellStyle name="쉼표 [0] 6 5 8 2 2" xfId="10838"/>
    <cellStyle name="쉼표 [0] 6 5 8 3" xfId="10839"/>
    <cellStyle name="쉼표 [0] 6 5 9" xfId="22284"/>
    <cellStyle name="쉼표 [0] 6 5 9 2" xfId="10837"/>
    <cellStyle name="쉼표 [0] 6 50" xfId="22285"/>
    <cellStyle name="쉼표 [0] 6 50 2" xfId="22286"/>
    <cellStyle name="쉼표 [0] 6 50 2 2" xfId="10835"/>
    <cellStyle name="쉼표 [0] 6 50 3" xfId="10836"/>
    <cellStyle name="쉼표 [0] 6 51" xfId="22287"/>
    <cellStyle name="쉼표 [0] 6 51 2" xfId="22288"/>
    <cellStyle name="쉼표 [0] 6 51 2 2" xfId="10833"/>
    <cellStyle name="쉼표 [0] 6 51 3" xfId="10834"/>
    <cellStyle name="쉼표 [0] 6 52" xfId="22289"/>
    <cellStyle name="쉼표 [0] 6 52 2" xfId="22290"/>
    <cellStyle name="쉼표 [0] 6 52 2 2" xfId="10831"/>
    <cellStyle name="쉼표 [0] 6 52 3" xfId="10832"/>
    <cellStyle name="쉼표 [0] 6 53" xfId="22291"/>
    <cellStyle name="쉼표 [0] 6 53 2" xfId="22292"/>
    <cellStyle name="쉼표 [0] 6 53 2 2" xfId="10829"/>
    <cellStyle name="쉼표 [0] 6 53 3" xfId="10830"/>
    <cellStyle name="쉼표 [0] 6 54" xfId="22293"/>
    <cellStyle name="쉼표 [0] 6 54 2" xfId="22294"/>
    <cellStyle name="쉼표 [0] 6 54 2 2" xfId="10827"/>
    <cellStyle name="쉼표 [0] 6 54 3" xfId="10828"/>
    <cellStyle name="쉼표 [0] 6 55" xfId="22295"/>
    <cellStyle name="쉼표 [0] 6 55 2" xfId="22296"/>
    <cellStyle name="쉼표 [0] 6 55 2 2" xfId="10825"/>
    <cellStyle name="쉼표 [0] 6 55 3" xfId="10826"/>
    <cellStyle name="쉼표 [0] 6 56" xfId="22297"/>
    <cellStyle name="쉼표 [0] 6 56 2" xfId="22298"/>
    <cellStyle name="쉼표 [0] 6 56 2 2" xfId="10823"/>
    <cellStyle name="쉼표 [0] 6 56 3" xfId="10824"/>
    <cellStyle name="쉼표 [0] 6 57" xfId="22299"/>
    <cellStyle name="쉼표 [0] 6 57 2" xfId="22300"/>
    <cellStyle name="쉼표 [0] 6 57 2 2" xfId="10821"/>
    <cellStyle name="쉼표 [0] 6 57 3" xfId="10822"/>
    <cellStyle name="쉼표 [0] 6 58" xfId="22301"/>
    <cellStyle name="쉼표 [0] 6 58 2" xfId="22302"/>
    <cellStyle name="쉼표 [0] 6 58 2 2" xfId="10819"/>
    <cellStyle name="쉼표 [0] 6 58 3" xfId="10820"/>
    <cellStyle name="쉼표 [0] 6 59" xfId="22303"/>
    <cellStyle name="쉼표 [0] 6 59 2" xfId="22304"/>
    <cellStyle name="쉼표 [0] 6 59 2 2" xfId="10817"/>
    <cellStyle name="쉼표 [0] 6 59 3" xfId="10818"/>
    <cellStyle name="쉼표 [0] 6 6" xfId="2563"/>
    <cellStyle name="쉼표 [0] 6 6 10" xfId="22306"/>
    <cellStyle name="쉼표 [0] 6 6 10 2" xfId="22307"/>
    <cellStyle name="쉼표 [0] 6 6 10 2 2" xfId="10814"/>
    <cellStyle name="쉼표 [0] 6 6 10 3" xfId="10815"/>
    <cellStyle name="쉼표 [0] 6 6 11" xfId="22308"/>
    <cellStyle name="쉼표 [0] 6 6 11 2" xfId="22309"/>
    <cellStyle name="쉼표 [0] 6 6 11 2 2" xfId="10812"/>
    <cellStyle name="쉼표 [0] 6 6 11 3" xfId="10813"/>
    <cellStyle name="쉼표 [0] 6 6 12" xfId="22310"/>
    <cellStyle name="쉼표 [0] 6 6 12 2" xfId="22311"/>
    <cellStyle name="쉼표 [0] 6 6 12 2 2" xfId="10810"/>
    <cellStyle name="쉼표 [0] 6 6 12 3" xfId="10811"/>
    <cellStyle name="쉼표 [0] 6 6 13" xfId="22312"/>
    <cellStyle name="쉼표 [0] 6 6 13 2" xfId="22313"/>
    <cellStyle name="쉼표 [0] 6 6 13 2 2" xfId="10808"/>
    <cellStyle name="쉼표 [0] 6 6 13 3" xfId="10809"/>
    <cellStyle name="쉼표 [0] 6 6 14" xfId="22314"/>
    <cellStyle name="쉼표 [0] 6 6 14 2" xfId="22315"/>
    <cellStyle name="쉼표 [0] 6 6 14 2 2" xfId="10806"/>
    <cellStyle name="쉼표 [0] 6 6 14 3" xfId="10807"/>
    <cellStyle name="쉼표 [0] 6 6 15" xfId="22316"/>
    <cellStyle name="쉼표 [0] 6 6 15 2" xfId="22317"/>
    <cellStyle name="쉼표 [0] 6 6 15 2 2" xfId="10804"/>
    <cellStyle name="쉼표 [0] 6 6 15 3" xfId="10805"/>
    <cellStyle name="쉼표 [0] 6 6 16" xfId="22318"/>
    <cellStyle name="쉼표 [0] 6 6 16 2" xfId="22319"/>
    <cellStyle name="쉼표 [0] 6 6 16 2 2" xfId="10802"/>
    <cellStyle name="쉼표 [0] 6 6 16 3" xfId="10803"/>
    <cellStyle name="쉼표 [0] 6 6 17" xfId="22320"/>
    <cellStyle name="쉼표 [0] 6 6 17 2" xfId="22321"/>
    <cellStyle name="쉼표 [0] 6 6 17 2 2" xfId="10800"/>
    <cellStyle name="쉼표 [0] 6 6 17 3" xfId="10801"/>
    <cellStyle name="쉼표 [0] 6 6 18" xfId="22322"/>
    <cellStyle name="쉼표 [0] 6 6 18 2" xfId="22323"/>
    <cellStyle name="쉼표 [0] 6 6 18 2 2" xfId="10798"/>
    <cellStyle name="쉼표 [0] 6 6 18 3" xfId="10799"/>
    <cellStyle name="쉼표 [0] 6 6 19" xfId="22324"/>
    <cellStyle name="쉼표 [0] 6 6 19 2" xfId="22325"/>
    <cellStyle name="쉼표 [0] 6 6 19 2 2" xfId="10796"/>
    <cellStyle name="쉼표 [0] 6 6 19 3" xfId="10797"/>
    <cellStyle name="쉼표 [0] 6 6 2" xfId="2564"/>
    <cellStyle name="쉼표 [0] 6 6 2 2" xfId="2565"/>
    <cellStyle name="쉼표 [0] 6 6 2 2 2" xfId="2566"/>
    <cellStyle name="쉼표 [0] 6 6 2 2 2 2" xfId="22329"/>
    <cellStyle name="쉼표 [0] 6 6 2 2 2 2 2" xfId="10792"/>
    <cellStyle name="쉼표 [0] 6 6 2 2 2 3" xfId="10793"/>
    <cellStyle name="쉼표 [0] 6 6 2 2 2 4" xfId="28491"/>
    <cellStyle name="쉼표 [0] 6 6 2 2 2 5" xfId="22328"/>
    <cellStyle name="쉼표 [0] 6 6 2 2 3" xfId="2567"/>
    <cellStyle name="쉼표 [0] 6 6 2 2 3 2" xfId="2568"/>
    <cellStyle name="쉼표 [0] 6 6 2 2 3 2 2" xfId="22332"/>
    <cellStyle name="쉼표 [0] 6 6 2 2 3 2 2 2" xfId="10789"/>
    <cellStyle name="쉼표 [0] 6 6 2 2 3 2 3" xfId="10790"/>
    <cellStyle name="쉼표 [0] 6 6 2 2 3 2 4" xfId="22331"/>
    <cellStyle name="쉼표 [0] 6 6 2 2 3 3" xfId="22333"/>
    <cellStyle name="쉼표 [0] 6 6 2 2 3 3 2" xfId="10788"/>
    <cellStyle name="쉼표 [0] 6 6 2 2 3 4" xfId="10791"/>
    <cellStyle name="쉼표 [0] 6 6 2 2 3 5" xfId="22330"/>
    <cellStyle name="쉼표 [0] 6 6 2 2 4" xfId="22334"/>
    <cellStyle name="쉼표 [0] 6 6 2 2 4 2" xfId="10787"/>
    <cellStyle name="쉼표 [0] 6 6 2 2 5" xfId="10794"/>
    <cellStyle name="쉼표 [0] 6 6 2 2 6" xfId="28492"/>
    <cellStyle name="쉼표 [0] 6 6 2 2 7" xfId="22327"/>
    <cellStyle name="쉼표 [0] 6 6 2 3" xfId="2569"/>
    <cellStyle name="쉼표 [0] 6 6 2 3 2" xfId="22336"/>
    <cellStyle name="쉼표 [0] 6 6 2 3 2 2" xfId="10785"/>
    <cellStyle name="쉼표 [0] 6 6 2 3 3" xfId="10786"/>
    <cellStyle name="쉼표 [0] 6 6 2 3 4" xfId="28490"/>
    <cellStyle name="쉼표 [0] 6 6 2 3 5" xfId="22335"/>
    <cellStyle name="쉼표 [0] 6 6 2 4" xfId="2570"/>
    <cellStyle name="쉼표 [0] 6 6 2 4 2" xfId="2571"/>
    <cellStyle name="쉼표 [0] 6 6 2 4 2 2" xfId="22339"/>
    <cellStyle name="쉼표 [0] 6 6 2 4 2 2 2" xfId="10782"/>
    <cellStyle name="쉼표 [0] 6 6 2 4 2 3" xfId="10783"/>
    <cellStyle name="쉼표 [0] 6 6 2 4 2 4" xfId="22338"/>
    <cellStyle name="쉼표 [0] 6 6 2 4 3" xfId="22340"/>
    <cellStyle name="쉼표 [0] 6 6 2 4 3 2" xfId="10781"/>
    <cellStyle name="쉼표 [0] 6 6 2 4 4" xfId="10784"/>
    <cellStyle name="쉼표 [0] 6 6 2 4 5" xfId="22337"/>
    <cellStyle name="쉼표 [0] 6 6 2 5" xfId="22341"/>
    <cellStyle name="쉼표 [0] 6 6 2 5 2" xfId="10780"/>
    <cellStyle name="쉼표 [0] 6 6 2 6" xfId="10795"/>
    <cellStyle name="쉼표 [0] 6 6 2 7" xfId="28493"/>
    <cellStyle name="쉼표 [0] 6 6 2 8" xfId="22326"/>
    <cellStyle name="쉼표 [0] 6 6 20" xfId="22342"/>
    <cellStyle name="쉼표 [0] 6 6 20 2" xfId="22343"/>
    <cellStyle name="쉼표 [0] 6 6 20 2 2" xfId="10778"/>
    <cellStyle name="쉼표 [0] 6 6 20 3" xfId="10779"/>
    <cellStyle name="쉼표 [0] 6 6 21" xfId="22344"/>
    <cellStyle name="쉼표 [0] 6 6 21 2" xfId="22345"/>
    <cellStyle name="쉼표 [0] 6 6 21 2 2" xfId="10776"/>
    <cellStyle name="쉼표 [0] 6 6 21 3" xfId="10777"/>
    <cellStyle name="쉼표 [0] 6 6 22" xfId="22346"/>
    <cellStyle name="쉼표 [0] 6 6 22 2" xfId="22347"/>
    <cellStyle name="쉼표 [0] 6 6 22 2 2" xfId="10774"/>
    <cellStyle name="쉼표 [0] 6 6 22 3" xfId="10775"/>
    <cellStyle name="쉼표 [0] 6 6 23" xfId="22348"/>
    <cellStyle name="쉼표 [0] 6 6 23 2" xfId="22349"/>
    <cellStyle name="쉼표 [0] 6 6 23 2 2" xfId="10772"/>
    <cellStyle name="쉼표 [0] 6 6 23 3" xfId="10773"/>
    <cellStyle name="쉼표 [0] 6 6 24" xfId="22350"/>
    <cellStyle name="쉼표 [0] 6 6 24 2" xfId="22351"/>
    <cellStyle name="쉼표 [0] 6 6 24 2 2" xfId="10770"/>
    <cellStyle name="쉼표 [0] 6 6 24 3" xfId="10771"/>
    <cellStyle name="쉼표 [0] 6 6 25" xfId="22352"/>
    <cellStyle name="쉼표 [0] 6 6 25 2" xfId="22353"/>
    <cellStyle name="쉼표 [0] 6 6 25 2 2" xfId="10768"/>
    <cellStyle name="쉼표 [0] 6 6 25 3" xfId="10769"/>
    <cellStyle name="쉼표 [0] 6 6 26" xfId="22354"/>
    <cellStyle name="쉼표 [0] 6 6 26 2" xfId="22355"/>
    <cellStyle name="쉼표 [0] 6 6 26 2 2" xfId="10766"/>
    <cellStyle name="쉼표 [0] 6 6 26 3" xfId="10767"/>
    <cellStyle name="쉼표 [0] 6 6 27" xfId="22356"/>
    <cellStyle name="쉼표 [0] 6 6 27 2" xfId="22357"/>
    <cellStyle name="쉼표 [0] 6 6 27 2 2" xfId="10764"/>
    <cellStyle name="쉼표 [0] 6 6 27 3" xfId="10765"/>
    <cellStyle name="쉼표 [0] 6 6 28" xfId="22358"/>
    <cellStyle name="쉼표 [0] 6 6 28 2" xfId="22359"/>
    <cellStyle name="쉼표 [0] 6 6 28 2 2" xfId="10762"/>
    <cellStyle name="쉼표 [0] 6 6 28 3" xfId="10763"/>
    <cellStyle name="쉼표 [0] 6 6 29" xfId="22360"/>
    <cellStyle name="쉼표 [0] 6 6 29 2" xfId="22361"/>
    <cellStyle name="쉼표 [0] 6 6 29 2 2" xfId="10760"/>
    <cellStyle name="쉼표 [0] 6 6 29 3" xfId="10761"/>
    <cellStyle name="쉼표 [0] 6 6 3" xfId="2572"/>
    <cellStyle name="쉼표 [0] 6 6 3 2" xfId="2573"/>
    <cellStyle name="쉼표 [0] 6 6 3 2 2" xfId="2574"/>
    <cellStyle name="쉼표 [0] 6 6 3 2 2 2" xfId="22365"/>
    <cellStyle name="쉼표 [0] 6 6 3 2 2 2 2" xfId="10756"/>
    <cellStyle name="쉼표 [0] 6 6 3 2 2 3" xfId="10757"/>
    <cellStyle name="쉼표 [0] 6 6 3 2 2 4" xfId="28487"/>
    <cellStyle name="쉼표 [0] 6 6 3 2 2 5" xfId="22364"/>
    <cellStyle name="쉼표 [0] 6 6 3 2 3" xfId="22366"/>
    <cellStyle name="쉼표 [0] 6 6 3 2 3 2" xfId="10755"/>
    <cellStyle name="쉼표 [0] 6 6 3 2 4" xfId="10758"/>
    <cellStyle name="쉼표 [0] 6 6 3 2 5" xfId="28488"/>
    <cellStyle name="쉼표 [0] 6 6 3 2 6" xfId="22363"/>
    <cellStyle name="쉼표 [0] 6 6 3 3" xfId="2575"/>
    <cellStyle name="쉼표 [0] 6 6 3 3 2" xfId="22368"/>
    <cellStyle name="쉼표 [0] 6 6 3 3 2 2" xfId="10753"/>
    <cellStyle name="쉼표 [0] 6 6 3 3 3" xfId="10754"/>
    <cellStyle name="쉼표 [0] 6 6 3 3 4" xfId="28486"/>
    <cellStyle name="쉼표 [0] 6 6 3 3 5" xfId="22367"/>
    <cellStyle name="쉼표 [0] 6 6 3 4" xfId="2576"/>
    <cellStyle name="쉼표 [0] 6 6 3 4 2" xfId="2577"/>
    <cellStyle name="쉼표 [0] 6 6 3 4 2 2" xfId="22371"/>
    <cellStyle name="쉼표 [0] 6 6 3 4 2 2 2" xfId="10750"/>
    <cellStyle name="쉼표 [0] 6 6 3 4 2 3" xfId="10751"/>
    <cellStyle name="쉼표 [0] 6 6 3 4 2 4" xfId="22370"/>
    <cellStyle name="쉼표 [0] 6 6 3 4 3" xfId="22372"/>
    <cellStyle name="쉼표 [0] 6 6 3 4 3 2" xfId="10749"/>
    <cellStyle name="쉼표 [0] 6 6 3 4 4" xfId="10752"/>
    <cellStyle name="쉼표 [0] 6 6 3 4 5" xfId="22369"/>
    <cellStyle name="쉼표 [0] 6 6 3 5" xfId="22373"/>
    <cellStyle name="쉼표 [0] 6 6 3 5 2" xfId="10748"/>
    <cellStyle name="쉼표 [0] 6 6 3 6" xfId="10759"/>
    <cellStyle name="쉼표 [0] 6 6 3 7" xfId="28489"/>
    <cellStyle name="쉼표 [0] 6 6 3 8" xfId="22362"/>
    <cellStyle name="쉼표 [0] 6 6 30" xfId="22374"/>
    <cellStyle name="쉼표 [0] 6 6 30 2" xfId="22375"/>
    <cellStyle name="쉼표 [0] 6 6 30 2 2" xfId="10746"/>
    <cellStyle name="쉼표 [0] 6 6 30 3" xfId="10747"/>
    <cellStyle name="쉼표 [0] 6 6 31" xfId="22376"/>
    <cellStyle name="쉼표 [0] 6 6 31 2" xfId="22377"/>
    <cellStyle name="쉼표 [0] 6 6 31 2 2" xfId="10744"/>
    <cellStyle name="쉼표 [0] 6 6 31 3" xfId="10745"/>
    <cellStyle name="쉼표 [0] 6 6 32" xfId="22378"/>
    <cellStyle name="쉼표 [0] 6 6 32 2" xfId="22379"/>
    <cellStyle name="쉼표 [0] 6 6 32 2 2" xfId="10742"/>
    <cellStyle name="쉼표 [0] 6 6 32 3" xfId="10743"/>
    <cellStyle name="쉼표 [0] 6 6 33" xfId="22380"/>
    <cellStyle name="쉼표 [0] 6 6 33 2" xfId="22381"/>
    <cellStyle name="쉼표 [0] 6 6 33 2 2" xfId="10740"/>
    <cellStyle name="쉼표 [0] 6 6 33 3" xfId="10741"/>
    <cellStyle name="쉼표 [0] 6 6 34" xfId="22382"/>
    <cellStyle name="쉼표 [0] 6 6 34 2" xfId="22383"/>
    <cellStyle name="쉼표 [0] 6 6 34 2 2" xfId="10738"/>
    <cellStyle name="쉼표 [0] 6 6 34 3" xfId="10739"/>
    <cellStyle name="쉼표 [0] 6 6 35" xfId="22384"/>
    <cellStyle name="쉼표 [0] 6 6 35 2" xfId="10737"/>
    <cellStyle name="쉼표 [0] 6 6 36" xfId="22385"/>
    <cellStyle name="쉼표 [0] 6 6 36 2" xfId="10736"/>
    <cellStyle name="쉼표 [0] 6 6 37" xfId="10816"/>
    <cellStyle name="쉼표 [0] 6 6 38" xfId="28494"/>
    <cellStyle name="쉼표 [0] 6 6 39" xfId="22305"/>
    <cellStyle name="쉼표 [0] 6 6 4" xfId="2578"/>
    <cellStyle name="쉼표 [0] 6 6 4 2" xfId="2579"/>
    <cellStyle name="쉼표 [0] 6 6 4 2 2" xfId="22388"/>
    <cellStyle name="쉼표 [0] 6 6 4 2 2 2" xfId="10733"/>
    <cellStyle name="쉼표 [0] 6 6 4 2 3" xfId="10734"/>
    <cellStyle name="쉼표 [0] 6 6 4 2 4" xfId="28484"/>
    <cellStyle name="쉼표 [0] 6 6 4 2 5" xfId="22387"/>
    <cellStyle name="쉼표 [0] 6 6 4 3" xfId="2580"/>
    <cellStyle name="쉼표 [0] 6 6 4 3 2" xfId="2581"/>
    <cellStyle name="쉼표 [0] 6 6 4 3 2 2" xfId="22391"/>
    <cellStyle name="쉼표 [0] 6 6 4 3 2 2 2" xfId="10730"/>
    <cellStyle name="쉼표 [0] 6 6 4 3 2 3" xfId="10731"/>
    <cellStyle name="쉼표 [0] 6 6 4 3 2 4" xfId="22390"/>
    <cellStyle name="쉼표 [0] 6 6 4 3 3" xfId="22392"/>
    <cellStyle name="쉼표 [0] 6 6 4 3 3 2" xfId="10729"/>
    <cellStyle name="쉼표 [0] 6 6 4 3 4" xfId="10732"/>
    <cellStyle name="쉼표 [0] 6 6 4 3 5" xfId="22389"/>
    <cellStyle name="쉼표 [0] 6 6 4 4" xfId="22393"/>
    <cellStyle name="쉼표 [0] 6 6 4 4 2" xfId="10728"/>
    <cellStyle name="쉼표 [0] 6 6 4 5" xfId="10735"/>
    <cellStyle name="쉼표 [0] 6 6 4 6" xfId="28485"/>
    <cellStyle name="쉼표 [0] 6 6 4 7" xfId="22386"/>
    <cellStyle name="쉼표 [0] 6 6 40" xfId="29640"/>
    <cellStyle name="쉼표 [0] 6 6 5" xfId="2582"/>
    <cellStyle name="쉼표 [0] 6 6 5 2" xfId="22395"/>
    <cellStyle name="쉼표 [0] 6 6 5 2 2" xfId="10726"/>
    <cellStyle name="쉼표 [0] 6 6 5 3" xfId="10727"/>
    <cellStyle name="쉼표 [0] 6 6 5 4" xfId="28483"/>
    <cellStyle name="쉼표 [0] 6 6 5 5" xfId="22394"/>
    <cellStyle name="쉼표 [0] 6 6 6" xfId="2583"/>
    <cellStyle name="쉼표 [0] 6 6 6 2" xfId="2584"/>
    <cellStyle name="쉼표 [0] 6 6 6 2 2" xfId="22398"/>
    <cellStyle name="쉼표 [0] 6 6 6 2 2 2" xfId="10723"/>
    <cellStyle name="쉼표 [0] 6 6 6 2 3" xfId="10724"/>
    <cellStyle name="쉼표 [0] 6 6 6 2 4" xfId="22397"/>
    <cellStyle name="쉼표 [0] 6 6 6 3" xfId="22399"/>
    <cellStyle name="쉼표 [0] 6 6 6 3 2" xfId="10722"/>
    <cellStyle name="쉼표 [0] 6 6 6 4" xfId="10725"/>
    <cellStyle name="쉼표 [0] 6 6 6 5" xfId="22396"/>
    <cellStyle name="쉼표 [0] 6 6 7" xfId="22400"/>
    <cellStyle name="쉼표 [0] 6 6 7 2" xfId="22401"/>
    <cellStyle name="쉼표 [0] 6 6 7 2 2" xfId="10720"/>
    <cellStyle name="쉼표 [0] 6 6 7 3" xfId="10721"/>
    <cellStyle name="쉼표 [0] 6 6 8" xfId="22402"/>
    <cellStyle name="쉼표 [0] 6 6 8 2" xfId="22403"/>
    <cellStyle name="쉼표 [0] 6 6 8 2 2" xfId="10718"/>
    <cellStyle name="쉼표 [0] 6 6 8 3" xfId="10719"/>
    <cellStyle name="쉼표 [0] 6 6 9" xfId="22404"/>
    <cellStyle name="쉼표 [0] 6 6 9 2" xfId="22405"/>
    <cellStyle name="쉼표 [0] 6 6 9 2 2" xfId="10716"/>
    <cellStyle name="쉼표 [0] 6 6 9 3" xfId="10717"/>
    <cellStyle name="쉼표 [0] 6 60" xfId="22406"/>
    <cellStyle name="쉼표 [0] 6 60 2" xfId="22407"/>
    <cellStyle name="쉼표 [0] 6 60 2 2" xfId="10714"/>
    <cellStyle name="쉼표 [0] 6 60 3" xfId="10715"/>
    <cellStyle name="쉼표 [0] 6 61" xfId="22408"/>
    <cellStyle name="쉼표 [0] 6 61 2" xfId="22409"/>
    <cellStyle name="쉼표 [0] 6 61 2 2" xfId="10712"/>
    <cellStyle name="쉼표 [0] 6 61 3" xfId="10713"/>
    <cellStyle name="쉼표 [0] 6 62" xfId="22410"/>
    <cellStyle name="쉼표 [0] 6 62 2" xfId="22411"/>
    <cellStyle name="쉼표 [0] 6 62 2 2" xfId="10710"/>
    <cellStyle name="쉼표 [0] 6 62 3" xfId="10711"/>
    <cellStyle name="쉼표 [0] 6 63" xfId="22412"/>
    <cellStyle name="쉼표 [0] 6 63 2" xfId="22413"/>
    <cellStyle name="쉼표 [0] 6 63 2 2" xfId="10708"/>
    <cellStyle name="쉼표 [0] 6 63 3" xfId="10709"/>
    <cellStyle name="쉼표 [0] 6 64" xfId="22414"/>
    <cellStyle name="쉼표 [0] 6 64 2" xfId="22415"/>
    <cellStyle name="쉼표 [0] 6 64 2 2" xfId="10706"/>
    <cellStyle name="쉼표 [0] 6 64 3" xfId="10707"/>
    <cellStyle name="쉼표 [0] 6 65" xfId="22416"/>
    <cellStyle name="쉼표 [0] 6 65 2" xfId="22417"/>
    <cellStyle name="쉼표 [0] 6 65 2 2" xfId="10704"/>
    <cellStyle name="쉼표 [0] 6 65 3" xfId="10705"/>
    <cellStyle name="쉼표 [0] 6 66" xfId="22418"/>
    <cellStyle name="쉼표 [0] 6 66 2" xfId="22419"/>
    <cellStyle name="쉼표 [0] 6 66 2 2" xfId="10702"/>
    <cellStyle name="쉼표 [0] 6 66 3" xfId="10703"/>
    <cellStyle name="쉼표 [0] 6 67" xfId="22420"/>
    <cellStyle name="쉼표 [0] 6 67 2" xfId="22421"/>
    <cellStyle name="쉼표 [0] 6 67 2 2" xfId="10700"/>
    <cellStyle name="쉼표 [0] 6 67 3" xfId="10701"/>
    <cellStyle name="쉼표 [0] 6 68" xfId="22422"/>
    <cellStyle name="쉼표 [0] 6 68 2" xfId="10699"/>
    <cellStyle name="쉼표 [0] 6 69" xfId="22423"/>
    <cellStyle name="쉼표 [0] 6 69 2" xfId="10698"/>
    <cellStyle name="쉼표 [0] 6 7" xfId="2585"/>
    <cellStyle name="쉼표 [0] 6 7 10" xfId="30259"/>
    <cellStyle name="쉼표 [0] 6 7 2" xfId="2586"/>
    <cellStyle name="쉼표 [0] 6 7 2 2" xfId="2587"/>
    <cellStyle name="쉼표 [0] 6 7 2 2 2" xfId="22427"/>
    <cellStyle name="쉼표 [0] 6 7 2 2 2 2" xfId="10694"/>
    <cellStyle name="쉼표 [0] 6 7 2 2 3" xfId="10695"/>
    <cellStyle name="쉼표 [0] 6 7 2 2 4" xfId="28480"/>
    <cellStyle name="쉼표 [0] 6 7 2 2 5" xfId="22426"/>
    <cellStyle name="쉼표 [0] 6 7 2 3" xfId="2588"/>
    <cellStyle name="쉼표 [0] 6 7 2 3 2" xfId="2589"/>
    <cellStyle name="쉼표 [0] 6 7 2 3 2 2" xfId="22430"/>
    <cellStyle name="쉼표 [0] 6 7 2 3 2 2 2" xfId="10691"/>
    <cellStyle name="쉼표 [0] 6 7 2 3 2 3" xfId="10692"/>
    <cellStyle name="쉼표 [0] 6 7 2 3 2 4" xfId="22429"/>
    <cellStyle name="쉼표 [0] 6 7 2 3 3" xfId="22431"/>
    <cellStyle name="쉼표 [0] 6 7 2 3 3 2" xfId="10690"/>
    <cellStyle name="쉼표 [0] 6 7 2 3 4" xfId="10693"/>
    <cellStyle name="쉼표 [0] 6 7 2 3 5" xfId="22428"/>
    <cellStyle name="쉼표 [0] 6 7 2 4" xfId="22432"/>
    <cellStyle name="쉼표 [0] 6 7 2 4 2" xfId="10689"/>
    <cellStyle name="쉼표 [0] 6 7 2 5" xfId="10696"/>
    <cellStyle name="쉼표 [0] 6 7 2 6" xfId="28481"/>
    <cellStyle name="쉼표 [0] 6 7 2 7" xfId="22425"/>
    <cellStyle name="쉼표 [0] 6 7 3" xfId="2590"/>
    <cellStyle name="쉼표 [0] 6 7 3 2" xfId="2591"/>
    <cellStyle name="쉼표 [0] 6 7 3 2 2" xfId="22435"/>
    <cellStyle name="쉼표 [0] 6 7 3 2 2 2" xfId="10686"/>
    <cellStyle name="쉼표 [0] 6 7 3 2 3" xfId="10687"/>
    <cellStyle name="쉼표 [0] 6 7 3 2 4" xfId="28478"/>
    <cellStyle name="쉼표 [0] 6 7 3 2 5" xfId="22434"/>
    <cellStyle name="쉼표 [0] 6 7 3 3" xfId="2592"/>
    <cellStyle name="쉼표 [0] 6 7 3 3 2" xfId="2593"/>
    <cellStyle name="쉼표 [0] 6 7 3 3 2 2" xfId="22438"/>
    <cellStyle name="쉼표 [0] 6 7 3 3 2 2 2" xfId="10683"/>
    <cellStyle name="쉼표 [0] 6 7 3 3 2 3" xfId="10684"/>
    <cellStyle name="쉼표 [0] 6 7 3 3 2 4" xfId="22437"/>
    <cellStyle name="쉼표 [0] 6 7 3 3 3" xfId="22439"/>
    <cellStyle name="쉼표 [0] 6 7 3 3 3 2" xfId="10682"/>
    <cellStyle name="쉼표 [0] 6 7 3 3 4" xfId="10685"/>
    <cellStyle name="쉼표 [0] 6 7 3 3 5" xfId="22436"/>
    <cellStyle name="쉼표 [0] 6 7 3 4" xfId="22440"/>
    <cellStyle name="쉼표 [0] 6 7 3 4 2" xfId="10681"/>
    <cellStyle name="쉼표 [0] 6 7 3 5" xfId="10688"/>
    <cellStyle name="쉼표 [0] 6 7 3 6" xfId="28479"/>
    <cellStyle name="쉼표 [0] 6 7 3 7" xfId="22433"/>
    <cellStyle name="쉼표 [0] 6 7 4" xfId="2594"/>
    <cellStyle name="쉼표 [0] 6 7 4 2" xfId="2595"/>
    <cellStyle name="쉼표 [0] 6 7 4 2 2" xfId="22443"/>
    <cellStyle name="쉼표 [0] 6 7 4 2 2 2" xfId="10678"/>
    <cellStyle name="쉼표 [0] 6 7 4 2 3" xfId="10679"/>
    <cellStyle name="쉼표 [0] 6 7 4 2 4" xfId="22442"/>
    <cellStyle name="쉼표 [0] 6 7 4 3" xfId="22444"/>
    <cellStyle name="쉼표 [0] 6 7 4 3 2" xfId="10677"/>
    <cellStyle name="쉼표 [0] 6 7 4 4" xfId="10680"/>
    <cellStyle name="쉼표 [0] 6 7 4 5" xfId="22441"/>
    <cellStyle name="쉼표 [0] 6 7 5" xfId="22445"/>
    <cellStyle name="쉼표 [0] 6 7 5 2" xfId="22446"/>
    <cellStyle name="쉼표 [0] 6 7 5 2 2" xfId="10675"/>
    <cellStyle name="쉼표 [0] 6 7 5 3" xfId="10676"/>
    <cellStyle name="쉼표 [0] 6 7 6" xfId="22447"/>
    <cellStyle name="쉼표 [0] 6 7 6 2" xfId="10674"/>
    <cellStyle name="쉼표 [0] 6 7 7" xfId="10697"/>
    <cellStyle name="쉼표 [0] 6 7 8" xfId="28482"/>
    <cellStyle name="쉼표 [0] 6 7 9" xfId="22424"/>
    <cellStyle name="쉼표 [0] 6 70" xfId="11848"/>
    <cellStyle name="쉼표 [0] 6 71" xfId="28693"/>
    <cellStyle name="쉼표 [0] 6 72" xfId="21273"/>
    <cellStyle name="쉼표 [0] 6 73" xfId="29460"/>
    <cellStyle name="쉼표 [0] 6 8" xfId="2596"/>
    <cellStyle name="쉼표 [0] 6 8 2" xfId="2597"/>
    <cellStyle name="쉼표 [0] 6 8 2 2" xfId="22450"/>
    <cellStyle name="쉼표 [0] 6 8 2 2 2" xfId="10671"/>
    <cellStyle name="쉼표 [0] 6 8 2 3" xfId="10672"/>
    <cellStyle name="쉼표 [0] 6 8 2 4" xfId="28476"/>
    <cellStyle name="쉼표 [0] 6 8 2 5" xfId="22449"/>
    <cellStyle name="쉼표 [0] 6 8 3" xfId="2598"/>
    <cellStyle name="쉼표 [0] 6 8 3 2" xfId="2599"/>
    <cellStyle name="쉼표 [0] 6 8 3 2 2" xfId="22453"/>
    <cellStyle name="쉼표 [0] 6 8 3 2 2 2" xfId="10668"/>
    <cellStyle name="쉼표 [0] 6 8 3 2 3" xfId="10669"/>
    <cellStyle name="쉼표 [0] 6 8 3 2 4" xfId="22452"/>
    <cellStyle name="쉼표 [0] 6 8 3 3" xfId="22454"/>
    <cellStyle name="쉼표 [0] 6 8 3 3 2" xfId="10667"/>
    <cellStyle name="쉼표 [0] 6 8 3 4" xfId="10670"/>
    <cellStyle name="쉼표 [0] 6 8 3 5" xfId="22451"/>
    <cellStyle name="쉼표 [0] 6 8 4" xfId="22455"/>
    <cellStyle name="쉼표 [0] 6 8 4 2" xfId="22456"/>
    <cellStyle name="쉼표 [0] 6 8 4 2 2" xfId="10665"/>
    <cellStyle name="쉼표 [0] 6 8 4 3" xfId="10666"/>
    <cellStyle name="쉼표 [0] 6 8 5" xfId="22457"/>
    <cellStyle name="쉼표 [0] 6 8 5 2" xfId="10664"/>
    <cellStyle name="쉼표 [0] 6 8 6" xfId="10673"/>
    <cellStyle name="쉼표 [0] 6 8 7" xfId="28477"/>
    <cellStyle name="쉼표 [0] 6 8 8" xfId="22448"/>
    <cellStyle name="쉼표 [0] 6 9" xfId="2600"/>
    <cellStyle name="쉼표 [0] 6 9 2" xfId="2601"/>
    <cellStyle name="쉼표 [0] 6 9 2 2" xfId="22460"/>
    <cellStyle name="쉼표 [0] 6 9 2 2 2" xfId="10661"/>
    <cellStyle name="쉼표 [0] 6 9 2 3" xfId="10662"/>
    <cellStyle name="쉼표 [0] 6 9 2 4" xfId="28474"/>
    <cellStyle name="쉼표 [0] 6 9 2 5" xfId="22459"/>
    <cellStyle name="쉼표 [0] 6 9 3" xfId="2602"/>
    <cellStyle name="쉼표 [0] 6 9 3 2" xfId="2603"/>
    <cellStyle name="쉼표 [0] 6 9 3 2 2" xfId="22463"/>
    <cellStyle name="쉼표 [0] 6 9 3 2 2 2" xfId="10658"/>
    <cellStyle name="쉼표 [0] 6 9 3 2 3" xfId="10659"/>
    <cellStyle name="쉼표 [0] 6 9 3 2 4" xfId="22462"/>
    <cellStyle name="쉼표 [0] 6 9 3 3" xfId="22464"/>
    <cellStyle name="쉼표 [0] 6 9 3 3 2" xfId="10657"/>
    <cellStyle name="쉼표 [0] 6 9 3 4" xfId="10660"/>
    <cellStyle name="쉼표 [0] 6 9 3 5" xfId="22461"/>
    <cellStyle name="쉼표 [0] 6 9 4" xfId="22465"/>
    <cellStyle name="쉼표 [0] 6 9 4 2" xfId="22466"/>
    <cellStyle name="쉼표 [0] 6 9 4 2 2" xfId="10655"/>
    <cellStyle name="쉼표 [0] 6 9 4 3" xfId="10656"/>
    <cellStyle name="쉼표 [0] 6 9 5" xfId="22467"/>
    <cellStyle name="쉼표 [0] 6 9 5 2" xfId="10654"/>
    <cellStyle name="쉼표 [0] 6 9 6" xfId="10663"/>
    <cellStyle name="쉼표 [0] 6 9 7" xfId="28475"/>
    <cellStyle name="쉼표 [0] 6 9 8" xfId="22458"/>
    <cellStyle name="쉼표 [0] 64" xfId="22468"/>
    <cellStyle name="쉼표 [0] 64 2" xfId="22469"/>
    <cellStyle name="쉼표 [0] 64 2 2" xfId="10652"/>
    <cellStyle name="쉼표 [0] 64 3" xfId="10653"/>
    <cellStyle name="쉼표 [0] 68" xfId="22470"/>
    <cellStyle name="쉼표 [0] 68 2" xfId="22471"/>
    <cellStyle name="쉼표 [0] 68 2 2" xfId="10650"/>
    <cellStyle name="쉼표 [0] 68 3" xfId="10651"/>
    <cellStyle name="쉼표 [0] 69" xfId="22472"/>
    <cellStyle name="쉼표 [0] 69 2" xfId="22473"/>
    <cellStyle name="쉼표 [0] 69 2 2" xfId="10648"/>
    <cellStyle name="쉼표 [0] 69 3" xfId="10649"/>
    <cellStyle name="쉼표 [0] 7" xfId="2604"/>
    <cellStyle name="쉼표 [0] 7 10" xfId="2605"/>
    <cellStyle name="쉼표 [0] 7 10 2" xfId="22476"/>
    <cellStyle name="쉼표 [0] 7 10 2 2" xfId="22477"/>
    <cellStyle name="쉼표 [0] 7 10 2 2 2" xfId="10644"/>
    <cellStyle name="쉼표 [0] 7 10 2 3" xfId="10645"/>
    <cellStyle name="쉼표 [0] 7 10 3" xfId="22478"/>
    <cellStyle name="쉼표 [0] 7 10 3 2" xfId="10643"/>
    <cellStyle name="쉼표 [0] 7 10 4" xfId="10646"/>
    <cellStyle name="쉼표 [0] 7 10 5" xfId="28472"/>
    <cellStyle name="쉼표 [0] 7 10 6" xfId="22475"/>
    <cellStyle name="쉼표 [0] 7 11" xfId="2606"/>
    <cellStyle name="쉼표 [0] 7 11 2" xfId="2607"/>
    <cellStyle name="쉼표 [0] 7 11 2 2" xfId="22481"/>
    <cellStyle name="쉼표 [0] 7 11 2 2 2" xfId="10640"/>
    <cellStyle name="쉼표 [0] 7 11 2 3" xfId="10641"/>
    <cellStyle name="쉼표 [0] 7 11 2 4" xfId="22480"/>
    <cellStyle name="쉼표 [0] 7 11 3" xfId="22482"/>
    <cellStyle name="쉼표 [0] 7 11 3 2" xfId="22483"/>
    <cellStyle name="쉼표 [0] 7 11 3 2 2" xfId="10638"/>
    <cellStyle name="쉼표 [0] 7 11 3 3" xfId="10639"/>
    <cellStyle name="쉼표 [0] 7 11 4" xfId="22484"/>
    <cellStyle name="쉼표 [0] 7 11 4 2" xfId="10637"/>
    <cellStyle name="쉼표 [0] 7 11 5" xfId="10642"/>
    <cellStyle name="쉼표 [0] 7 11 6" xfId="22479"/>
    <cellStyle name="쉼표 [0] 7 12" xfId="22485"/>
    <cellStyle name="쉼표 [0] 7 12 2" xfId="22486"/>
    <cellStyle name="쉼표 [0] 7 12 2 2" xfId="22487"/>
    <cellStyle name="쉼표 [0] 7 12 2 2 2" xfId="10634"/>
    <cellStyle name="쉼표 [0] 7 12 2 3" xfId="10635"/>
    <cellStyle name="쉼표 [0] 7 12 3" xfId="22488"/>
    <cellStyle name="쉼표 [0] 7 12 3 2" xfId="10633"/>
    <cellStyle name="쉼표 [0] 7 12 4" xfId="10636"/>
    <cellStyle name="쉼표 [0] 7 13" xfId="22489"/>
    <cellStyle name="쉼표 [0] 7 13 2" xfId="10632"/>
    <cellStyle name="쉼표 [0] 7 14" xfId="22490"/>
    <cellStyle name="쉼표 [0] 7 14 2" xfId="10631"/>
    <cellStyle name="쉼표 [0] 7 15" xfId="22491"/>
    <cellStyle name="쉼표 [0] 7 15 2" xfId="10630"/>
    <cellStyle name="쉼표 [0] 7 16" xfId="22492"/>
    <cellStyle name="쉼표 [0] 7 16 2" xfId="10629"/>
    <cellStyle name="쉼표 [0] 7 17" xfId="10647"/>
    <cellStyle name="쉼표 [0] 7 18" xfId="28473"/>
    <cellStyle name="쉼표 [0] 7 19" xfId="22474"/>
    <cellStyle name="쉼표 [0] 7 2" xfId="2608"/>
    <cellStyle name="쉼표 [0] 7 2 10" xfId="22494"/>
    <cellStyle name="쉼표 [0] 7 2 10 2" xfId="10627"/>
    <cellStyle name="쉼표 [0] 7 2 11" xfId="22495"/>
    <cellStyle name="쉼표 [0] 7 2 11 2" xfId="10626"/>
    <cellStyle name="쉼표 [0] 7 2 12" xfId="10628"/>
    <cellStyle name="쉼표 [0] 7 2 13" xfId="28471"/>
    <cellStyle name="쉼표 [0] 7 2 14" xfId="22493"/>
    <cellStyle name="쉼표 [0] 7 2 15" xfId="29575"/>
    <cellStyle name="쉼표 [0] 7 2 2" xfId="2609"/>
    <cellStyle name="쉼표 [0] 7 2 2 10" xfId="22497"/>
    <cellStyle name="쉼표 [0] 7 2 2 10 2" xfId="10624"/>
    <cellStyle name="쉼표 [0] 7 2 2 11" xfId="10625"/>
    <cellStyle name="쉼표 [0] 7 2 2 12" xfId="28470"/>
    <cellStyle name="쉼표 [0] 7 2 2 13" xfId="22496"/>
    <cellStyle name="쉼표 [0] 7 2 2 14" xfId="29484"/>
    <cellStyle name="쉼표 [0] 7 2 2 2" xfId="2610"/>
    <cellStyle name="쉼표 [0] 7 2 2 2 10" xfId="10623"/>
    <cellStyle name="쉼표 [0] 7 2 2 2 11" xfId="28469"/>
    <cellStyle name="쉼표 [0] 7 2 2 2 12" xfId="22498"/>
    <cellStyle name="쉼표 [0] 7 2 2 2 13" xfId="29556"/>
    <cellStyle name="쉼표 [0] 7 2 2 2 2" xfId="2611"/>
    <cellStyle name="쉼표 [0] 7 2 2 2 2 2" xfId="2612"/>
    <cellStyle name="쉼표 [0] 7 2 2 2 2 2 2" xfId="2613"/>
    <cellStyle name="쉼표 [0] 7 2 2 2 2 2 2 2" xfId="2614"/>
    <cellStyle name="쉼표 [0] 7 2 2 2 2 2 2 2 2" xfId="22503"/>
    <cellStyle name="쉼표 [0] 7 2 2 2 2 2 2 2 2 2" xfId="10618"/>
    <cellStyle name="쉼표 [0] 7 2 2 2 2 2 2 2 3" xfId="10619"/>
    <cellStyle name="쉼표 [0] 7 2 2 2 2 2 2 2 4" xfId="22502"/>
    <cellStyle name="쉼표 [0] 7 2 2 2 2 2 2 3" xfId="22504"/>
    <cellStyle name="쉼표 [0] 7 2 2 2 2 2 2 3 2" xfId="10617"/>
    <cellStyle name="쉼표 [0] 7 2 2 2 2 2 2 4" xfId="10620"/>
    <cellStyle name="쉼표 [0] 7 2 2 2 2 2 2 5" xfId="22501"/>
    <cellStyle name="쉼표 [0] 7 2 2 2 2 2 3" xfId="2615"/>
    <cellStyle name="쉼표 [0] 7 2 2 2 2 2 3 2" xfId="2616"/>
    <cellStyle name="쉼표 [0] 7 2 2 2 2 2 3 2 2" xfId="22507"/>
    <cellStyle name="쉼표 [0] 7 2 2 2 2 2 3 2 2 2" xfId="10614"/>
    <cellStyle name="쉼표 [0] 7 2 2 2 2 2 3 2 3" xfId="10615"/>
    <cellStyle name="쉼표 [0] 7 2 2 2 2 2 3 2 4" xfId="22506"/>
    <cellStyle name="쉼표 [0] 7 2 2 2 2 2 3 3" xfId="22508"/>
    <cellStyle name="쉼표 [0] 7 2 2 2 2 2 3 3 2" xfId="10613"/>
    <cellStyle name="쉼표 [0] 7 2 2 2 2 2 3 4" xfId="10616"/>
    <cellStyle name="쉼표 [0] 7 2 2 2 2 2 3 5" xfId="22505"/>
    <cellStyle name="쉼표 [0] 7 2 2 2 2 2 4" xfId="2617"/>
    <cellStyle name="쉼표 [0] 7 2 2 2 2 2 4 2" xfId="2618"/>
    <cellStyle name="쉼표 [0] 7 2 2 2 2 2 4 2 2" xfId="22511"/>
    <cellStyle name="쉼표 [0] 7 2 2 2 2 2 4 2 2 2" xfId="10610"/>
    <cellStyle name="쉼표 [0] 7 2 2 2 2 2 4 2 3" xfId="10611"/>
    <cellStyle name="쉼표 [0] 7 2 2 2 2 2 4 2 4" xfId="22510"/>
    <cellStyle name="쉼표 [0] 7 2 2 2 2 2 4 3" xfId="22512"/>
    <cellStyle name="쉼표 [0] 7 2 2 2 2 2 4 3 2" xfId="10609"/>
    <cellStyle name="쉼표 [0] 7 2 2 2 2 2 4 4" xfId="10612"/>
    <cellStyle name="쉼표 [0] 7 2 2 2 2 2 4 5" xfId="22509"/>
    <cellStyle name="쉼표 [0] 7 2 2 2 2 2 5" xfId="22513"/>
    <cellStyle name="쉼표 [0] 7 2 2 2 2 2 5 2" xfId="10608"/>
    <cellStyle name="쉼표 [0] 7 2 2 2 2 2 6" xfId="10621"/>
    <cellStyle name="쉼표 [0] 7 2 2 2 2 2 7" xfId="28467"/>
    <cellStyle name="쉼표 [0] 7 2 2 2 2 2 8" xfId="22500"/>
    <cellStyle name="쉼표 [0] 7 2 2 2 2 3" xfId="2619"/>
    <cellStyle name="쉼표 [0] 7 2 2 2 2 3 2" xfId="2620"/>
    <cellStyle name="쉼표 [0] 7 2 2 2 2 3 2 2" xfId="2621"/>
    <cellStyle name="쉼표 [0] 7 2 2 2 2 3 2 2 2" xfId="22517"/>
    <cellStyle name="쉼표 [0] 7 2 2 2 2 3 2 2 2 2" xfId="10604"/>
    <cellStyle name="쉼표 [0] 7 2 2 2 2 3 2 2 3" xfId="10605"/>
    <cellStyle name="쉼표 [0] 7 2 2 2 2 3 2 2 4" xfId="22516"/>
    <cellStyle name="쉼표 [0] 7 2 2 2 2 3 2 3" xfId="22518"/>
    <cellStyle name="쉼표 [0] 7 2 2 2 2 3 2 3 2" xfId="10603"/>
    <cellStyle name="쉼표 [0] 7 2 2 2 2 3 2 4" xfId="10606"/>
    <cellStyle name="쉼표 [0] 7 2 2 2 2 3 2 5" xfId="22515"/>
    <cellStyle name="쉼표 [0] 7 2 2 2 2 3 3" xfId="2622"/>
    <cellStyle name="쉼표 [0] 7 2 2 2 2 3 3 2" xfId="22520"/>
    <cellStyle name="쉼표 [0] 7 2 2 2 2 3 3 2 2" xfId="10601"/>
    <cellStyle name="쉼표 [0] 7 2 2 2 2 3 3 3" xfId="10602"/>
    <cellStyle name="쉼표 [0] 7 2 2 2 2 3 3 4" xfId="22519"/>
    <cellStyle name="쉼표 [0] 7 2 2 2 2 3 4" xfId="22521"/>
    <cellStyle name="쉼표 [0] 7 2 2 2 2 3 4 2" xfId="10600"/>
    <cellStyle name="쉼표 [0] 7 2 2 2 2 3 5" xfId="10607"/>
    <cellStyle name="쉼표 [0] 7 2 2 2 2 3 6" xfId="22514"/>
    <cellStyle name="쉼표 [0] 7 2 2 2 2 4" xfId="2623"/>
    <cellStyle name="쉼표 [0] 7 2 2 2 2 4 2" xfId="2624"/>
    <cellStyle name="쉼표 [0] 7 2 2 2 2 4 2 2" xfId="22524"/>
    <cellStyle name="쉼표 [0] 7 2 2 2 2 4 2 2 2" xfId="10597"/>
    <cellStyle name="쉼표 [0] 7 2 2 2 2 4 2 3" xfId="10598"/>
    <cellStyle name="쉼표 [0] 7 2 2 2 2 4 2 4" xfId="22523"/>
    <cellStyle name="쉼표 [0] 7 2 2 2 2 4 3" xfId="22525"/>
    <cellStyle name="쉼표 [0] 7 2 2 2 2 4 3 2" xfId="10596"/>
    <cellStyle name="쉼표 [0] 7 2 2 2 2 4 4" xfId="10599"/>
    <cellStyle name="쉼표 [0] 7 2 2 2 2 4 5" xfId="22522"/>
    <cellStyle name="쉼표 [0] 7 2 2 2 2 5" xfId="2625"/>
    <cellStyle name="쉼표 [0] 7 2 2 2 2 5 2" xfId="2626"/>
    <cellStyle name="쉼표 [0] 7 2 2 2 2 5 2 2" xfId="22528"/>
    <cellStyle name="쉼표 [0] 7 2 2 2 2 5 2 2 2" xfId="10593"/>
    <cellStyle name="쉼표 [0] 7 2 2 2 2 5 2 3" xfId="10594"/>
    <cellStyle name="쉼표 [0] 7 2 2 2 2 5 2 4" xfId="22527"/>
    <cellStyle name="쉼표 [0] 7 2 2 2 2 5 3" xfId="22529"/>
    <cellStyle name="쉼표 [0] 7 2 2 2 2 5 3 2" xfId="10592"/>
    <cellStyle name="쉼표 [0] 7 2 2 2 2 5 4" xfId="10595"/>
    <cellStyle name="쉼표 [0] 7 2 2 2 2 5 5" xfId="22526"/>
    <cellStyle name="쉼표 [0] 7 2 2 2 2 6" xfId="22530"/>
    <cellStyle name="쉼표 [0] 7 2 2 2 2 6 2" xfId="10591"/>
    <cellStyle name="쉼표 [0] 7 2 2 2 2 7" xfId="10622"/>
    <cellStyle name="쉼표 [0] 7 2 2 2 2 8" xfId="28468"/>
    <cellStyle name="쉼표 [0] 7 2 2 2 2 9" xfId="22499"/>
    <cellStyle name="쉼표 [0] 7 2 2 2 3" xfId="2627"/>
    <cellStyle name="쉼표 [0] 7 2 2 2 3 2" xfId="2628"/>
    <cellStyle name="쉼표 [0] 7 2 2 2 3 2 2" xfId="2629"/>
    <cellStyle name="쉼표 [0] 7 2 2 2 3 2 2 2" xfId="22534"/>
    <cellStyle name="쉼표 [0] 7 2 2 2 3 2 2 2 2" xfId="10587"/>
    <cellStyle name="쉼표 [0] 7 2 2 2 3 2 2 3" xfId="10588"/>
    <cellStyle name="쉼표 [0] 7 2 2 2 3 2 2 4" xfId="28464"/>
    <cellStyle name="쉼표 [0] 7 2 2 2 3 2 2 5" xfId="22533"/>
    <cellStyle name="쉼표 [0] 7 2 2 2 3 2 3" xfId="2630"/>
    <cellStyle name="쉼표 [0] 7 2 2 2 3 2 3 2" xfId="2631"/>
    <cellStyle name="쉼표 [0] 7 2 2 2 3 2 3 2 2" xfId="22537"/>
    <cellStyle name="쉼표 [0] 7 2 2 2 3 2 3 2 2 2" xfId="10584"/>
    <cellStyle name="쉼표 [0] 7 2 2 2 3 2 3 2 3" xfId="10585"/>
    <cellStyle name="쉼표 [0] 7 2 2 2 3 2 3 2 4" xfId="22536"/>
    <cellStyle name="쉼표 [0] 7 2 2 2 3 2 3 3" xfId="22538"/>
    <cellStyle name="쉼표 [0] 7 2 2 2 3 2 3 3 2" xfId="10583"/>
    <cellStyle name="쉼표 [0] 7 2 2 2 3 2 3 4" xfId="10586"/>
    <cellStyle name="쉼표 [0] 7 2 2 2 3 2 3 5" xfId="22535"/>
    <cellStyle name="쉼표 [0] 7 2 2 2 3 2 4" xfId="22539"/>
    <cellStyle name="쉼표 [0] 7 2 2 2 3 2 4 2" xfId="10582"/>
    <cellStyle name="쉼표 [0] 7 2 2 2 3 2 5" xfId="10589"/>
    <cellStyle name="쉼표 [0] 7 2 2 2 3 2 6" xfId="28465"/>
    <cellStyle name="쉼표 [0] 7 2 2 2 3 2 7" xfId="22532"/>
    <cellStyle name="쉼표 [0] 7 2 2 2 3 3" xfId="2632"/>
    <cellStyle name="쉼표 [0] 7 2 2 2 3 3 2" xfId="2633"/>
    <cellStyle name="쉼표 [0] 7 2 2 2 3 3 2 2" xfId="2634"/>
    <cellStyle name="쉼표 [0] 7 2 2 2 3 3 2 2 2" xfId="22543"/>
    <cellStyle name="쉼표 [0] 7 2 2 2 3 3 2 2 2 2" xfId="10578"/>
    <cellStyle name="쉼표 [0] 7 2 2 2 3 3 2 2 3" xfId="10579"/>
    <cellStyle name="쉼표 [0] 7 2 2 2 3 3 2 2 4" xfId="22542"/>
    <cellStyle name="쉼표 [0] 7 2 2 2 3 3 2 3" xfId="22544"/>
    <cellStyle name="쉼표 [0] 7 2 2 2 3 3 2 3 2" xfId="10577"/>
    <cellStyle name="쉼표 [0] 7 2 2 2 3 3 2 4" xfId="10580"/>
    <cellStyle name="쉼표 [0] 7 2 2 2 3 3 2 5" xfId="22541"/>
    <cellStyle name="쉼표 [0] 7 2 2 2 3 3 3" xfId="22545"/>
    <cellStyle name="쉼표 [0] 7 2 2 2 3 3 3 2" xfId="10576"/>
    <cellStyle name="쉼표 [0] 7 2 2 2 3 3 4" xfId="10581"/>
    <cellStyle name="쉼표 [0] 7 2 2 2 3 3 5" xfId="28463"/>
    <cellStyle name="쉼표 [0] 7 2 2 2 3 3 6" xfId="22540"/>
    <cellStyle name="쉼표 [0] 7 2 2 2 3 4" xfId="2635"/>
    <cellStyle name="쉼표 [0] 7 2 2 2 3 4 2" xfId="2636"/>
    <cellStyle name="쉼표 [0] 7 2 2 2 3 4 2 2" xfId="22548"/>
    <cellStyle name="쉼표 [0] 7 2 2 2 3 4 2 2 2" xfId="10573"/>
    <cellStyle name="쉼표 [0] 7 2 2 2 3 4 2 3" xfId="10574"/>
    <cellStyle name="쉼표 [0] 7 2 2 2 3 4 2 4" xfId="22547"/>
    <cellStyle name="쉼표 [0] 7 2 2 2 3 4 3" xfId="22549"/>
    <cellStyle name="쉼표 [0] 7 2 2 2 3 4 3 2" xfId="10572"/>
    <cellStyle name="쉼표 [0] 7 2 2 2 3 4 4" xfId="10575"/>
    <cellStyle name="쉼표 [0] 7 2 2 2 3 4 5" xfId="22546"/>
    <cellStyle name="쉼표 [0] 7 2 2 2 3 5" xfId="22550"/>
    <cellStyle name="쉼표 [0] 7 2 2 2 3 5 2" xfId="10571"/>
    <cellStyle name="쉼표 [0] 7 2 2 2 3 6" xfId="10590"/>
    <cellStyle name="쉼표 [0] 7 2 2 2 3 7" xfId="28466"/>
    <cellStyle name="쉼표 [0] 7 2 2 2 3 8" xfId="22531"/>
    <cellStyle name="쉼표 [0] 7 2 2 2 4" xfId="2637"/>
    <cellStyle name="쉼표 [0] 7 2 2 2 4 2" xfId="2638"/>
    <cellStyle name="쉼표 [0] 7 2 2 2 4 2 2" xfId="2639"/>
    <cellStyle name="쉼표 [0] 7 2 2 2 4 2 2 2" xfId="2640"/>
    <cellStyle name="쉼표 [0] 7 2 2 2 4 2 2 2 2" xfId="22555"/>
    <cellStyle name="쉼표 [0] 7 2 2 2 4 2 2 2 2 2" xfId="10566"/>
    <cellStyle name="쉼표 [0] 7 2 2 2 4 2 2 2 3" xfId="10567"/>
    <cellStyle name="쉼표 [0] 7 2 2 2 4 2 2 2 4" xfId="22554"/>
    <cellStyle name="쉼표 [0] 7 2 2 2 4 2 2 3" xfId="22556"/>
    <cellStyle name="쉼표 [0] 7 2 2 2 4 2 2 3 2" xfId="10565"/>
    <cellStyle name="쉼표 [0] 7 2 2 2 4 2 2 4" xfId="10568"/>
    <cellStyle name="쉼표 [0] 7 2 2 2 4 2 2 5" xfId="22553"/>
    <cellStyle name="쉼표 [0] 7 2 2 2 4 2 3" xfId="22557"/>
    <cellStyle name="쉼표 [0] 7 2 2 2 4 2 3 2" xfId="10564"/>
    <cellStyle name="쉼표 [0] 7 2 2 2 4 2 4" xfId="10569"/>
    <cellStyle name="쉼표 [0] 7 2 2 2 4 2 5" xfId="28461"/>
    <cellStyle name="쉼표 [0] 7 2 2 2 4 2 6" xfId="22552"/>
    <cellStyle name="쉼표 [0] 7 2 2 2 4 3" xfId="2641"/>
    <cellStyle name="쉼표 [0] 7 2 2 2 4 3 2" xfId="2642"/>
    <cellStyle name="쉼표 [0] 7 2 2 2 4 3 2 2" xfId="22560"/>
    <cellStyle name="쉼표 [0] 7 2 2 2 4 3 2 2 2" xfId="10561"/>
    <cellStyle name="쉼표 [0] 7 2 2 2 4 3 2 3" xfId="10562"/>
    <cellStyle name="쉼표 [0] 7 2 2 2 4 3 2 4" xfId="22559"/>
    <cellStyle name="쉼표 [0] 7 2 2 2 4 3 3" xfId="22561"/>
    <cellStyle name="쉼표 [0] 7 2 2 2 4 3 3 2" xfId="10560"/>
    <cellStyle name="쉼표 [0] 7 2 2 2 4 3 4" xfId="10563"/>
    <cellStyle name="쉼표 [0] 7 2 2 2 4 3 5" xfId="22558"/>
    <cellStyle name="쉼표 [0] 7 2 2 2 4 4" xfId="22562"/>
    <cellStyle name="쉼표 [0] 7 2 2 2 4 4 2" xfId="10559"/>
    <cellStyle name="쉼표 [0] 7 2 2 2 4 5" xfId="10570"/>
    <cellStyle name="쉼표 [0] 7 2 2 2 4 6" xfId="28462"/>
    <cellStyle name="쉼표 [0] 7 2 2 2 4 7" xfId="22551"/>
    <cellStyle name="쉼표 [0] 7 2 2 2 5" xfId="2643"/>
    <cellStyle name="쉼표 [0] 7 2 2 2 5 2" xfId="2644"/>
    <cellStyle name="쉼표 [0] 7 2 2 2 5 2 2" xfId="22565"/>
    <cellStyle name="쉼표 [0] 7 2 2 2 5 2 2 2" xfId="10556"/>
    <cellStyle name="쉼표 [0] 7 2 2 2 5 2 3" xfId="10557"/>
    <cellStyle name="쉼표 [0] 7 2 2 2 5 2 4" xfId="28459"/>
    <cellStyle name="쉼표 [0] 7 2 2 2 5 2 5" xfId="22564"/>
    <cellStyle name="쉼표 [0] 7 2 2 2 5 3" xfId="2645"/>
    <cellStyle name="쉼표 [0] 7 2 2 2 5 3 2" xfId="2646"/>
    <cellStyle name="쉼표 [0] 7 2 2 2 5 3 2 2" xfId="22568"/>
    <cellStyle name="쉼표 [0] 7 2 2 2 5 3 2 2 2" xfId="10553"/>
    <cellStyle name="쉼표 [0] 7 2 2 2 5 3 2 3" xfId="10554"/>
    <cellStyle name="쉼표 [0] 7 2 2 2 5 3 2 4" xfId="22567"/>
    <cellStyle name="쉼표 [0] 7 2 2 2 5 3 3" xfId="22569"/>
    <cellStyle name="쉼표 [0] 7 2 2 2 5 3 3 2" xfId="10552"/>
    <cellStyle name="쉼표 [0] 7 2 2 2 5 3 4" xfId="10555"/>
    <cellStyle name="쉼표 [0] 7 2 2 2 5 3 5" xfId="22566"/>
    <cellStyle name="쉼표 [0] 7 2 2 2 5 4" xfId="22570"/>
    <cellStyle name="쉼표 [0] 7 2 2 2 5 4 2" xfId="10551"/>
    <cellStyle name="쉼표 [0] 7 2 2 2 5 5" xfId="10558"/>
    <cellStyle name="쉼표 [0] 7 2 2 2 5 6" xfId="28460"/>
    <cellStyle name="쉼표 [0] 7 2 2 2 5 7" xfId="22563"/>
    <cellStyle name="쉼표 [0] 7 2 2 2 6" xfId="2647"/>
    <cellStyle name="쉼표 [0] 7 2 2 2 6 2" xfId="22572"/>
    <cellStyle name="쉼표 [0] 7 2 2 2 6 2 2" xfId="10549"/>
    <cellStyle name="쉼표 [0] 7 2 2 2 6 3" xfId="10550"/>
    <cellStyle name="쉼표 [0] 7 2 2 2 6 4" xfId="28458"/>
    <cellStyle name="쉼표 [0] 7 2 2 2 6 5" xfId="22571"/>
    <cellStyle name="쉼표 [0] 7 2 2 2 7" xfId="2648"/>
    <cellStyle name="쉼표 [0] 7 2 2 2 7 2" xfId="2649"/>
    <cellStyle name="쉼표 [0] 7 2 2 2 7 2 2" xfId="22575"/>
    <cellStyle name="쉼표 [0] 7 2 2 2 7 2 2 2" xfId="10546"/>
    <cellStyle name="쉼표 [0] 7 2 2 2 7 2 3" xfId="10547"/>
    <cellStyle name="쉼표 [0] 7 2 2 2 7 2 4" xfId="22574"/>
    <cellStyle name="쉼표 [0] 7 2 2 2 7 3" xfId="22576"/>
    <cellStyle name="쉼표 [0] 7 2 2 2 7 3 2" xfId="10545"/>
    <cellStyle name="쉼표 [0] 7 2 2 2 7 4" xfId="10548"/>
    <cellStyle name="쉼표 [0] 7 2 2 2 7 5" xfId="22573"/>
    <cellStyle name="쉼표 [0] 7 2 2 2 8" xfId="22577"/>
    <cellStyle name="쉼표 [0] 7 2 2 2 8 2" xfId="22578"/>
    <cellStyle name="쉼표 [0] 7 2 2 2 8 2 2" xfId="10543"/>
    <cellStyle name="쉼표 [0] 7 2 2 2 8 3" xfId="10544"/>
    <cellStyle name="쉼표 [0] 7 2 2 2 9" xfId="22579"/>
    <cellStyle name="쉼표 [0] 7 2 2 2 9 2" xfId="10542"/>
    <cellStyle name="쉼표 [0] 7 2 2 3" xfId="2650"/>
    <cellStyle name="쉼표 [0] 7 2 2 3 10" xfId="22580"/>
    <cellStyle name="쉼표 [0] 7 2 2 3 2" xfId="2651"/>
    <cellStyle name="쉼표 [0] 7 2 2 3 2 2" xfId="2652"/>
    <cellStyle name="쉼표 [0] 7 2 2 3 2 2 2" xfId="2653"/>
    <cellStyle name="쉼표 [0] 7 2 2 3 2 2 2 2" xfId="22584"/>
    <cellStyle name="쉼표 [0] 7 2 2 3 2 2 2 2 2" xfId="10537"/>
    <cellStyle name="쉼표 [0] 7 2 2 3 2 2 2 3" xfId="10538"/>
    <cellStyle name="쉼표 [0] 7 2 2 3 2 2 2 4" xfId="22583"/>
    <cellStyle name="쉼표 [0] 7 2 2 3 2 2 3" xfId="22585"/>
    <cellStyle name="쉼표 [0] 7 2 2 3 2 2 3 2" xfId="10536"/>
    <cellStyle name="쉼표 [0] 7 2 2 3 2 2 4" xfId="10539"/>
    <cellStyle name="쉼표 [0] 7 2 2 3 2 2 5" xfId="22582"/>
    <cellStyle name="쉼표 [0] 7 2 2 3 2 3" xfId="2654"/>
    <cellStyle name="쉼표 [0] 7 2 2 3 2 3 2" xfId="2655"/>
    <cellStyle name="쉼표 [0] 7 2 2 3 2 3 2 2" xfId="22588"/>
    <cellStyle name="쉼표 [0] 7 2 2 3 2 3 2 2 2" xfId="10533"/>
    <cellStyle name="쉼표 [0] 7 2 2 3 2 3 2 3" xfId="10534"/>
    <cellStyle name="쉼표 [0] 7 2 2 3 2 3 2 4" xfId="22587"/>
    <cellStyle name="쉼표 [0] 7 2 2 3 2 3 3" xfId="22589"/>
    <cellStyle name="쉼표 [0] 7 2 2 3 2 3 3 2" xfId="10532"/>
    <cellStyle name="쉼표 [0] 7 2 2 3 2 3 4" xfId="10535"/>
    <cellStyle name="쉼표 [0] 7 2 2 3 2 3 5" xfId="22586"/>
    <cellStyle name="쉼표 [0] 7 2 2 3 2 4" xfId="2656"/>
    <cellStyle name="쉼표 [0] 7 2 2 3 2 4 2" xfId="2657"/>
    <cellStyle name="쉼표 [0] 7 2 2 3 2 4 2 2" xfId="22592"/>
    <cellStyle name="쉼표 [0] 7 2 2 3 2 4 2 2 2" xfId="10529"/>
    <cellStyle name="쉼표 [0] 7 2 2 3 2 4 2 3" xfId="10530"/>
    <cellStyle name="쉼표 [0] 7 2 2 3 2 4 2 4" xfId="22591"/>
    <cellStyle name="쉼표 [0] 7 2 2 3 2 4 3" xfId="22593"/>
    <cellStyle name="쉼표 [0] 7 2 2 3 2 4 3 2" xfId="10528"/>
    <cellStyle name="쉼표 [0] 7 2 2 3 2 4 4" xfId="10531"/>
    <cellStyle name="쉼표 [0] 7 2 2 3 2 4 5" xfId="22590"/>
    <cellStyle name="쉼표 [0] 7 2 2 3 2 5" xfId="22594"/>
    <cellStyle name="쉼표 [0] 7 2 2 3 2 5 2" xfId="10527"/>
    <cellStyle name="쉼표 [0] 7 2 2 3 2 6" xfId="10540"/>
    <cellStyle name="쉼표 [0] 7 2 2 3 2 7" xfId="28456"/>
    <cellStyle name="쉼표 [0] 7 2 2 3 2 8" xfId="22581"/>
    <cellStyle name="쉼표 [0] 7 2 2 3 3" xfId="2658"/>
    <cellStyle name="쉼표 [0] 7 2 2 3 3 2" xfId="2659"/>
    <cellStyle name="쉼표 [0] 7 2 2 3 3 2 2" xfId="2660"/>
    <cellStyle name="쉼표 [0] 7 2 2 3 3 2 2 2" xfId="22598"/>
    <cellStyle name="쉼표 [0] 7 2 2 3 3 2 2 2 2" xfId="10523"/>
    <cellStyle name="쉼표 [0] 7 2 2 3 3 2 2 3" xfId="10524"/>
    <cellStyle name="쉼표 [0] 7 2 2 3 3 2 2 4" xfId="22597"/>
    <cellStyle name="쉼표 [0] 7 2 2 3 3 2 3" xfId="22599"/>
    <cellStyle name="쉼표 [0] 7 2 2 3 3 2 3 2" xfId="10522"/>
    <cellStyle name="쉼표 [0] 7 2 2 3 3 2 4" xfId="10525"/>
    <cellStyle name="쉼표 [0] 7 2 2 3 3 2 5" xfId="22596"/>
    <cellStyle name="쉼표 [0] 7 2 2 3 3 3" xfId="2661"/>
    <cellStyle name="쉼표 [0] 7 2 2 3 3 3 2" xfId="22601"/>
    <cellStyle name="쉼표 [0] 7 2 2 3 3 3 2 2" xfId="10520"/>
    <cellStyle name="쉼표 [0] 7 2 2 3 3 3 3" xfId="10521"/>
    <cellStyle name="쉼표 [0] 7 2 2 3 3 3 4" xfId="22600"/>
    <cellStyle name="쉼표 [0] 7 2 2 3 3 4" xfId="22602"/>
    <cellStyle name="쉼표 [0] 7 2 2 3 3 4 2" xfId="10519"/>
    <cellStyle name="쉼표 [0] 7 2 2 3 3 5" xfId="10526"/>
    <cellStyle name="쉼표 [0] 7 2 2 3 3 6" xfId="22595"/>
    <cellStyle name="쉼표 [0] 7 2 2 3 4" xfId="2662"/>
    <cellStyle name="쉼표 [0] 7 2 2 3 4 2" xfId="2663"/>
    <cellStyle name="쉼표 [0] 7 2 2 3 4 2 2" xfId="22605"/>
    <cellStyle name="쉼표 [0] 7 2 2 3 4 2 2 2" xfId="10516"/>
    <cellStyle name="쉼표 [0] 7 2 2 3 4 2 3" xfId="10517"/>
    <cellStyle name="쉼표 [0] 7 2 2 3 4 2 4" xfId="22604"/>
    <cellStyle name="쉼표 [0] 7 2 2 3 4 3" xfId="22606"/>
    <cellStyle name="쉼표 [0] 7 2 2 3 4 3 2" xfId="10515"/>
    <cellStyle name="쉼표 [0] 7 2 2 3 4 4" xfId="10518"/>
    <cellStyle name="쉼표 [0] 7 2 2 3 4 5" xfId="22603"/>
    <cellStyle name="쉼표 [0] 7 2 2 3 5" xfId="2664"/>
    <cellStyle name="쉼표 [0] 7 2 2 3 5 2" xfId="2665"/>
    <cellStyle name="쉼표 [0] 7 2 2 3 5 2 2" xfId="22609"/>
    <cellStyle name="쉼표 [0] 7 2 2 3 5 2 2 2" xfId="10512"/>
    <cellStyle name="쉼표 [0] 7 2 2 3 5 2 3" xfId="10513"/>
    <cellStyle name="쉼표 [0] 7 2 2 3 5 2 4" xfId="22608"/>
    <cellStyle name="쉼표 [0] 7 2 2 3 5 3" xfId="22610"/>
    <cellStyle name="쉼표 [0] 7 2 2 3 5 3 2" xfId="10511"/>
    <cellStyle name="쉼표 [0] 7 2 2 3 5 4" xfId="10514"/>
    <cellStyle name="쉼표 [0] 7 2 2 3 5 5" xfId="22607"/>
    <cellStyle name="쉼표 [0] 7 2 2 3 6" xfId="22611"/>
    <cellStyle name="쉼표 [0] 7 2 2 3 6 2" xfId="22612"/>
    <cellStyle name="쉼표 [0] 7 2 2 3 6 2 2" xfId="10509"/>
    <cellStyle name="쉼표 [0] 7 2 2 3 6 3" xfId="10510"/>
    <cellStyle name="쉼표 [0] 7 2 2 3 7" xfId="22613"/>
    <cellStyle name="쉼표 [0] 7 2 2 3 7 2" xfId="10508"/>
    <cellStyle name="쉼표 [0] 7 2 2 3 8" xfId="10541"/>
    <cellStyle name="쉼표 [0] 7 2 2 3 9" xfId="28457"/>
    <cellStyle name="쉼표 [0] 7 2 2 4" xfId="2666"/>
    <cellStyle name="쉼표 [0] 7 2 2 4 2" xfId="2667"/>
    <cellStyle name="쉼표 [0] 7 2 2 4 2 2" xfId="2668"/>
    <cellStyle name="쉼표 [0] 7 2 2 4 2 2 2" xfId="22617"/>
    <cellStyle name="쉼표 [0] 7 2 2 4 2 2 2 2" xfId="10504"/>
    <cellStyle name="쉼표 [0] 7 2 2 4 2 2 3" xfId="10505"/>
    <cellStyle name="쉼표 [0] 7 2 2 4 2 2 4" xfId="28453"/>
    <cellStyle name="쉼표 [0] 7 2 2 4 2 2 5" xfId="22616"/>
    <cellStyle name="쉼표 [0] 7 2 2 4 2 3" xfId="2669"/>
    <cellStyle name="쉼표 [0] 7 2 2 4 2 3 2" xfId="2670"/>
    <cellStyle name="쉼표 [0] 7 2 2 4 2 3 2 2" xfId="22620"/>
    <cellStyle name="쉼표 [0] 7 2 2 4 2 3 2 2 2" xfId="10501"/>
    <cellStyle name="쉼표 [0] 7 2 2 4 2 3 2 3" xfId="10502"/>
    <cellStyle name="쉼표 [0] 7 2 2 4 2 3 2 4" xfId="22619"/>
    <cellStyle name="쉼표 [0] 7 2 2 4 2 3 3" xfId="22621"/>
    <cellStyle name="쉼표 [0] 7 2 2 4 2 3 3 2" xfId="10500"/>
    <cellStyle name="쉼표 [0] 7 2 2 4 2 3 4" xfId="10503"/>
    <cellStyle name="쉼표 [0] 7 2 2 4 2 3 5" xfId="22618"/>
    <cellStyle name="쉼표 [0] 7 2 2 4 2 4" xfId="22622"/>
    <cellStyle name="쉼표 [0] 7 2 2 4 2 4 2" xfId="10499"/>
    <cellStyle name="쉼표 [0] 7 2 2 4 2 5" xfId="10506"/>
    <cellStyle name="쉼표 [0] 7 2 2 4 2 6" xfId="28454"/>
    <cellStyle name="쉼표 [0] 7 2 2 4 2 7" xfId="22615"/>
    <cellStyle name="쉼표 [0] 7 2 2 4 3" xfId="2671"/>
    <cellStyle name="쉼표 [0] 7 2 2 4 3 2" xfId="2672"/>
    <cellStyle name="쉼표 [0] 7 2 2 4 3 2 2" xfId="2673"/>
    <cellStyle name="쉼표 [0] 7 2 2 4 3 2 2 2" xfId="22626"/>
    <cellStyle name="쉼표 [0] 7 2 2 4 3 2 2 2 2" xfId="10495"/>
    <cellStyle name="쉼표 [0] 7 2 2 4 3 2 2 3" xfId="10496"/>
    <cellStyle name="쉼표 [0] 7 2 2 4 3 2 2 4" xfId="22625"/>
    <cellStyle name="쉼표 [0] 7 2 2 4 3 2 3" xfId="22627"/>
    <cellStyle name="쉼표 [0] 7 2 2 4 3 2 3 2" xfId="10494"/>
    <cellStyle name="쉼표 [0] 7 2 2 4 3 2 4" xfId="10497"/>
    <cellStyle name="쉼표 [0] 7 2 2 4 3 2 5" xfId="22624"/>
    <cellStyle name="쉼표 [0] 7 2 2 4 3 3" xfId="22628"/>
    <cellStyle name="쉼표 [0] 7 2 2 4 3 3 2" xfId="10493"/>
    <cellStyle name="쉼표 [0] 7 2 2 4 3 4" xfId="10498"/>
    <cellStyle name="쉼표 [0] 7 2 2 4 3 5" xfId="28452"/>
    <cellStyle name="쉼표 [0] 7 2 2 4 3 6" xfId="22623"/>
    <cellStyle name="쉼표 [0] 7 2 2 4 4" xfId="2674"/>
    <cellStyle name="쉼표 [0] 7 2 2 4 4 2" xfId="2675"/>
    <cellStyle name="쉼표 [0] 7 2 2 4 4 2 2" xfId="22631"/>
    <cellStyle name="쉼표 [0] 7 2 2 4 4 2 2 2" xfId="10490"/>
    <cellStyle name="쉼표 [0] 7 2 2 4 4 2 3" xfId="10491"/>
    <cellStyle name="쉼표 [0] 7 2 2 4 4 2 4" xfId="22630"/>
    <cellStyle name="쉼표 [0] 7 2 2 4 4 3" xfId="22632"/>
    <cellStyle name="쉼표 [0] 7 2 2 4 4 3 2" xfId="10489"/>
    <cellStyle name="쉼표 [0] 7 2 2 4 4 4" xfId="10492"/>
    <cellStyle name="쉼표 [0] 7 2 2 4 4 5" xfId="22629"/>
    <cellStyle name="쉼표 [0] 7 2 2 4 5" xfId="22633"/>
    <cellStyle name="쉼표 [0] 7 2 2 4 5 2" xfId="22634"/>
    <cellStyle name="쉼표 [0] 7 2 2 4 5 2 2" xfId="10487"/>
    <cellStyle name="쉼표 [0] 7 2 2 4 5 3" xfId="10488"/>
    <cellStyle name="쉼표 [0] 7 2 2 4 6" xfId="22635"/>
    <cellStyle name="쉼표 [0] 7 2 2 4 6 2" xfId="10486"/>
    <cellStyle name="쉼표 [0] 7 2 2 4 7" xfId="10507"/>
    <cellStyle name="쉼표 [0] 7 2 2 4 8" xfId="28455"/>
    <cellStyle name="쉼표 [0] 7 2 2 4 9" xfId="22614"/>
    <cellStyle name="쉼표 [0] 7 2 2 5" xfId="2676"/>
    <cellStyle name="쉼표 [0] 7 2 2 5 2" xfId="2677"/>
    <cellStyle name="쉼표 [0] 7 2 2 5 2 2" xfId="2678"/>
    <cellStyle name="쉼표 [0] 7 2 2 5 2 2 2" xfId="2679"/>
    <cellStyle name="쉼표 [0] 7 2 2 5 2 2 2 2" xfId="22640"/>
    <cellStyle name="쉼표 [0] 7 2 2 5 2 2 2 2 2" xfId="10481"/>
    <cellStyle name="쉼표 [0] 7 2 2 5 2 2 2 3" xfId="10482"/>
    <cellStyle name="쉼표 [0] 7 2 2 5 2 2 2 4" xfId="22639"/>
    <cellStyle name="쉼표 [0] 7 2 2 5 2 2 3" xfId="22641"/>
    <cellStyle name="쉼표 [0] 7 2 2 5 2 2 3 2" xfId="10480"/>
    <cellStyle name="쉼표 [0] 7 2 2 5 2 2 4" xfId="10483"/>
    <cellStyle name="쉼표 [0] 7 2 2 5 2 2 5" xfId="22638"/>
    <cellStyle name="쉼표 [0] 7 2 2 5 2 3" xfId="22642"/>
    <cellStyle name="쉼표 [0] 7 2 2 5 2 3 2" xfId="10479"/>
    <cellStyle name="쉼표 [0] 7 2 2 5 2 4" xfId="10484"/>
    <cellStyle name="쉼표 [0] 7 2 2 5 2 5" xfId="28450"/>
    <cellStyle name="쉼표 [0] 7 2 2 5 2 6" xfId="22637"/>
    <cellStyle name="쉼표 [0] 7 2 2 5 3" xfId="2680"/>
    <cellStyle name="쉼표 [0] 7 2 2 5 3 2" xfId="2681"/>
    <cellStyle name="쉼표 [0] 7 2 2 5 3 2 2" xfId="22645"/>
    <cellStyle name="쉼표 [0] 7 2 2 5 3 2 2 2" xfId="10476"/>
    <cellStyle name="쉼표 [0] 7 2 2 5 3 2 3" xfId="10477"/>
    <cellStyle name="쉼표 [0] 7 2 2 5 3 2 4" xfId="22644"/>
    <cellStyle name="쉼표 [0] 7 2 2 5 3 3" xfId="22646"/>
    <cellStyle name="쉼표 [0] 7 2 2 5 3 3 2" xfId="10475"/>
    <cellStyle name="쉼표 [0] 7 2 2 5 3 4" xfId="10478"/>
    <cellStyle name="쉼표 [0] 7 2 2 5 3 5" xfId="22643"/>
    <cellStyle name="쉼표 [0] 7 2 2 5 4" xfId="22647"/>
    <cellStyle name="쉼표 [0] 7 2 2 5 4 2" xfId="10474"/>
    <cellStyle name="쉼표 [0] 7 2 2 5 5" xfId="10485"/>
    <cellStyle name="쉼표 [0] 7 2 2 5 6" xfId="28451"/>
    <cellStyle name="쉼표 [0] 7 2 2 5 7" xfId="22636"/>
    <cellStyle name="쉼표 [0] 7 2 2 6" xfId="2682"/>
    <cellStyle name="쉼표 [0] 7 2 2 6 2" xfId="2683"/>
    <cellStyle name="쉼표 [0] 7 2 2 6 2 2" xfId="22650"/>
    <cellStyle name="쉼표 [0] 7 2 2 6 2 2 2" xfId="10471"/>
    <cellStyle name="쉼표 [0] 7 2 2 6 2 3" xfId="10472"/>
    <cellStyle name="쉼표 [0] 7 2 2 6 2 4" xfId="28448"/>
    <cellStyle name="쉼표 [0] 7 2 2 6 2 5" xfId="22649"/>
    <cellStyle name="쉼표 [0] 7 2 2 6 3" xfId="2684"/>
    <cellStyle name="쉼표 [0] 7 2 2 6 3 2" xfId="2685"/>
    <cellStyle name="쉼표 [0] 7 2 2 6 3 2 2" xfId="22653"/>
    <cellStyle name="쉼표 [0] 7 2 2 6 3 2 2 2" xfId="10468"/>
    <cellStyle name="쉼표 [0] 7 2 2 6 3 2 3" xfId="10469"/>
    <cellStyle name="쉼표 [0] 7 2 2 6 3 2 4" xfId="22652"/>
    <cellStyle name="쉼표 [0] 7 2 2 6 3 3" xfId="22654"/>
    <cellStyle name="쉼표 [0] 7 2 2 6 3 3 2" xfId="10467"/>
    <cellStyle name="쉼표 [0] 7 2 2 6 3 4" xfId="10470"/>
    <cellStyle name="쉼표 [0] 7 2 2 6 3 5" xfId="22651"/>
    <cellStyle name="쉼표 [0] 7 2 2 6 4" xfId="22655"/>
    <cellStyle name="쉼표 [0] 7 2 2 6 4 2" xfId="10466"/>
    <cellStyle name="쉼표 [0] 7 2 2 6 5" xfId="10473"/>
    <cellStyle name="쉼표 [0] 7 2 2 6 6" xfId="28449"/>
    <cellStyle name="쉼표 [0] 7 2 2 6 7" xfId="22648"/>
    <cellStyle name="쉼표 [0] 7 2 2 7" xfId="2686"/>
    <cellStyle name="쉼표 [0] 7 2 2 7 2" xfId="22657"/>
    <cellStyle name="쉼표 [0] 7 2 2 7 2 2" xfId="10464"/>
    <cellStyle name="쉼표 [0] 7 2 2 7 3" xfId="10465"/>
    <cellStyle name="쉼표 [0] 7 2 2 7 4" xfId="28447"/>
    <cellStyle name="쉼표 [0] 7 2 2 7 5" xfId="22656"/>
    <cellStyle name="쉼표 [0] 7 2 2 8" xfId="2687"/>
    <cellStyle name="쉼표 [0] 7 2 2 8 2" xfId="2688"/>
    <cellStyle name="쉼표 [0] 7 2 2 8 2 2" xfId="22660"/>
    <cellStyle name="쉼표 [0] 7 2 2 8 2 2 2" xfId="10461"/>
    <cellStyle name="쉼표 [0] 7 2 2 8 2 3" xfId="10462"/>
    <cellStyle name="쉼표 [0] 7 2 2 8 2 4" xfId="22659"/>
    <cellStyle name="쉼표 [0] 7 2 2 8 3" xfId="22661"/>
    <cellStyle name="쉼표 [0] 7 2 2 8 3 2" xfId="10460"/>
    <cellStyle name="쉼표 [0] 7 2 2 8 4" xfId="10463"/>
    <cellStyle name="쉼표 [0] 7 2 2 8 5" xfId="22658"/>
    <cellStyle name="쉼표 [0] 7 2 2 9" xfId="22662"/>
    <cellStyle name="쉼표 [0] 7 2 2 9 2" xfId="22663"/>
    <cellStyle name="쉼표 [0] 7 2 2 9 2 2" xfId="10458"/>
    <cellStyle name="쉼표 [0] 7 2 2 9 3" xfId="10459"/>
    <cellStyle name="쉼표 [0] 7 2 3" xfId="2689"/>
    <cellStyle name="쉼표 [0] 7 2 3 10" xfId="10457"/>
    <cellStyle name="쉼표 [0] 7 2 3 11" xfId="28446"/>
    <cellStyle name="쉼표 [0] 7 2 3 12" xfId="22664"/>
    <cellStyle name="쉼표 [0] 7 2 3 13" xfId="29627"/>
    <cellStyle name="쉼표 [0] 7 2 3 2" xfId="2690"/>
    <cellStyle name="쉼표 [0] 7 2 3 2 10" xfId="22665"/>
    <cellStyle name="쉼표 [0] 7 2 3 2 2" xfId="2691"/>
    <cellStyle name="쉼표 [0] 7 2 3 2 2 2" xfId="2692"/>
    <cellStyle name="쉼표 [0] 7 2 3 2 2 2 2" xfId="2693"/>
    <cellStyle name="쉼표 [0] 7 2 3 2 2 2 2 2" xfId="22669"/>
    <cellStyle name="쉼표 [0] 7 2 3 2 2 2 2 2 2" xfId="10452"/>
    <cellStyle name="쉼표 [0] 7 2 3 2 2 2 2 3" xfId="10453"/>
    <cellStyle name="쉼표 [0] 7 2 3 2 2 2 2 4" xfId="22668"/>
    <cellStyle name="쉼표 [0] 7 2 3 2 2 2 3" xfId="22670"/>
    <cellStyle name="쉼표 [0] 7 2 3 2 2 2 3 2" xfId="10451"/>
    <cellStyle name="쉼표 [0] 7 2 3 2 2 2 4" xfId="10454"/>
    <cellStyle name="쉼표 [0] 7 2 3 2 2 2 5" xfId="22667"/>
    <cellStyle name="쉼표 [0] 7 2 3 2 2 3" xfId="2694"/>
    <cellStyle name="쉼표 [0] 7 2 3 2 2 3 2" xfId="2695"/>
    <cellStyle name="쉼표 [0] 7 2 3 2 2 3 2 2" xfId="22673"/>
    <cellStyle name="쉼표 [0] 7 2 3 2 2 3 2 2 2" xfId="10448"/>
    <cellStyle name="쉼표 [0] 7 2 3 2 2 3 2 3" xfId="10449"/>
    <cellStyle name="쉼표 [0] 7 2 3 2 2 3 2 4" xfId="22672"/>
    <cellStyle name="쉼표 [0] 7 2 3 2 2 3 3" xfId="22674"/>
    <cellStyle name="쉼표 [0] 7 2 3 2 2 3 3 2" xfId="10447"/>
    <cellStyle name="쉼표 [0] 7 2 3 2 2 3 4" xfId="10450"/>
    <cellStyle name="쉼표 [0] 7 2 3 2 2 3 5" xfId="22671"/>
    <cellStyle name="쉼표 [0] 7 2 3 2 2 4" xfId="2696"/>
    <cellStyle name="쉼표 [0] 7 2 3 2 2 4 2" xfId="2697"/>
    <cellStyle name="쉼표 [0] 7 2 3 2 2 4 2 2" xfId="22677"/>
    <cellStyle name="쉼표 [0] 7 2 3 2 2 4 2 2 2" xfId="10444"/>
    <cellStyle name="쉼표 [0] 7 2 3 2 2 4 2 3" xfId="10445"/>
    <cellStyle name="쉼표 [0] 7 2 3 2 2 4 2 4" xfId="22676"/>
    <cellStyle name="쉼표 [0] 7 2 3 2 2 4 3" xfId="22678"/>
    <cellStyle name="쉼표 [0] 7 2 3 2 2 4 3 2" xfId="10443"/>
    <cellStyle name="쉼표 [0] 7 2 3 2 2 4 4" xfId="10446"/>
    <cellStyle name="쉼표 [0] 7 2 3 2 2 4 5" xfId="22675"/>
    <cellStyle name="쉼표 [0] 7 2 3 2 2 5" xfId="22679"/>
    <cellStyle name="쉼표 [0] 7 2 3 2 2 5 2" xfId="10442"/>
    <cellStyle name="쉼표 [0] 7 2 3 2 2 6" xfId="10455"/>
    <cellStyle name="쉼표 [0] 7 2 3 2 2 7" xfId="28444"/>
    <cellStyle name="쉼표 [0] 7 2 3 2 2 8" xfId="22666"/>
    <cellStyle name="쉼표 [0] 7 2 3 2 3" xfId="2698"/>
    <cellStyle name="쉼표 [0] 7 2 3 2 3 2" xfId="2699"/>
    <cellStyle name="쉼표 [0] 7 2 3 2 3 2 2" xfId="2700"/>
    <cellStyle name="쉼표 [0] 7 2 3 2 3 2 2 2" xfId="22683"/>
    <cellStyle name="쉼표 [0] 7 2 3 2 3 2 2 2 2" xfId="10438"/>
    <cellStyle name="쉼표 [0] 7 2 3 2 3 2 2 3" xfId="10439"/>
    <cellStyle name="쉼표 [0] 7 2 3 2 3 2 2 4" xfId="22682"/>
    <cellStyle name="쉼표 [0] 7 2 3 2 3 2 3" xfId="22684"/>
    <cellStyle name="쉼표 [0] 7 2 3 2 3 2 3 2" xfId="10437"/>
    <cellStyle name="쉼표 [0] 7 2 3 2 3 2 4" xfId="10440"/>
    <cellStyle name="쉼표 [0] 7 2 3 2 3 2 5" xfId="22681"/>
    <cellStyle name="쉼표 [0] 7 2 3 2 3 3" xfId="2701"/>
    <cellStyle name="쉼표 [0] 7 2 3 2 3 3 2" xfId="22686"/>
    <cellStyle name="쉼표 [0] 7 2 3 2 3 3 2 2" xfId="10435"/>
    <cellStyle name="쉼표 [0] 7 2 3 2 3 3 3" xfId="10436"/>
    <cellStyle name="쉼표 [0] 7 2 3 2 3 3 4" xfId="22685"/>
    <cellStyle name="쉼표 [0] 7 2 3 2 3 4" xfId="22687"/>
    <cellStyle name="쉼표 [0] 7 2 3 2 3 4 2" xfId="10434"/>
    <cellStyle name="쉼표 [0] 7 2 3 2 3 5" xfId="10441"/>
    <cellStyle name="쉼표 [0] 7 2 3 2 3 6" xfId="22680"/>
    <cellStyle name="쉼표 [0] 7 2 3 2 4" xfId="2702"/>
    <cellStyle name="쉼표 [0] 7 2 3 2 4 2" xfId="2703"/>
    <cellStyle name="쉼표 [0] 7 2 3 2 4 2 2" xfId="22690"/>
    <cellStyle name="쉼표 [0] 7 2 3 2 4 2 2 2" xfId="10431"/>
    <cellStyle name="쉼표 [0] 7 2 3 2 4 2 3" xfId="10432"/>
    <cellStyle name="쉼표 [0] 7 2 3 2 4 2 4" xfId="22689"/>
    <cellStyle name="쉼표 [0] 7 2 3 2 4 3" xfId="22691"/>
    <cellStyle name="쉼표 [0] 7 2 3 2 4 3 2" xfId="10430"/>
    <cellStyle name="쉼표 [0] 7 2 3 2 4 4" xfId="10433"/>
    <cellStyle name="쉼표 [0] 7 2 3 2 4 5" xfId="22688"/>
    <cellStyle name="쉼표 [0] 7 2 3 2 5" xfId="2704"/>
    <cellStyle name="쉼표 [0] 7 2 3 2 5 2" xfId="2705"/>
    <cellStyle name="쉼표 [0] 7 2 3 2 5 2 2" xfId="22694"/>
    <cellStyle name="쉼표 [0] 7 2 3 2 5 2 2 2" xfId="10427"/>
    <cellStyle name="쉼표 [0] 7 2 3 2 5 2 3" xfId="10428"/>
    <cellStyle name="쉼표 [0] 7 2 3 2 5 2 4" xfId="22693"/>
    <cellStyle name="쉼표 [0] 7 2 3 2 5 3" xfId="22695"/>
    <cellStyle name="쉼표 [0] 7 2 3 2 5 3 2" xfId="10426"/>
    <cellStyle name="쉼표 [0] 7 2 3 2 5 4" xfId="10429"/>
    <cellStyle name="쉼표 [0] 7 2 3 2 5 5" xfId="22692"/>
    <cellStyle name="쉼표 [0] 7 2 3 2 6" xfId="22696"/>
    <cellStyle name="쉼표 [0] 7 2 3 2 6 2" xfId="22697"/>
    <cellStyle name="쉼표 [0] 7 2 3 2 6 2 2" xfId="10424"/>
    <cellStyle name="쉼표 [0] 7 2 3 2 6 3" xfId="10425"/>
    <cellStyle name="쉼표 [0] 7 2 3 2 7" xfId="22698"/>
    <cellStyle name="쉼표 [0] 7 2 3 2 7 2" xfId="10423"/>
    <cellStyle name="쉼표 [0] 7 2 3 2 8" xfId="10456"/>
    <cellStyle name="쉼표 [0] 7 2 3 2 9" xfId="28445"/>
    <cellStyle name="쉼표 [0] 7 2 3 3" xfId="2706"/>
    <cellStyle name="쉼표 [0] 7 2 3 3 2" xfId="2707"/>
    <cellStyle name="쉼표 [0] 7 2 3 3 2 2" xfId="2708"/>
    <cellStyle name="쉼표 [0] 7 2 3 3 2 2 2" xfId="22702"/>
    <cellStyle name="쉼표 [0] 7 2 3 3 2 2 2 2" xfId="10419"/>
    <cellStyle name="쉼표 [0] 7 2 3 3 2 2 3" xfId="10420"/>
    <cellStyle name="쉼표 [0] 7 2 3 3 2 2 4" xfId="28441"/>
    <cellStyle name="쉼표 [0] 7 2 3 3 2 2 5" xfId="22701"/>
    <cellStyle name="쉼표 [0] 7 2 3 3 2 3" xfId="2709"/>
    <cellStyle name="쉼표 [0] 7 2 3 3 2 3 2" xfId="2710"/>
    <cellStyle name="쉼표 [0] 7 2 3 3 2 3 2 2" xfId="22705"/>
    <cellStyle name="쉼표 [0] 7 2 3 3 2 3 2 2 2" xfId="10416"/>
    <cellStyle name="쉼표 [0] 7 2 3 3 2 3 2 3" xfId="10417"/>
    <cellStyle name="쉼표 [0] 7 2 3 3 2 3 2 4" xfId="22704"/>
    <cellStyle name="쉼표 [0] 7 2 3 3 2 3 3" xfId="22706"/>
    <cellStyle name="쉼표 [0] 7 2 3 3 2 3 3 2" xfId="10415"/>
    <cellStyle name="쉼표 [0] 7 2 3 3 2 3 4" xfId="10418"/>
    <cellStyle name="쉼표 [0] 7 2 3 3 2 3 5" xfId="22703"/>
    <cellStyle name="쉼표 [0] 7 2 3 3 2 4" xfId="22707"/>
    <cellStyle name="쉼표 [0] 7 2 3 3 2 4 2" xfId="10414"/>
    <cellStyle name="쉼표 [0] 7 2 3 3 2 5" xfId="10421"/>
    <cellStyle name="쉼표 [0] 7 2 3 3 2 6" xfId="28442"/>
    <cellStyle name="쉼표 [0] 7 2 3 3 2 7" xfId="22700"/>
    <cellStyle name="쉼표 [0] 7 2 3 3 3" xfId="2711"/>
    <cellStyle name="쉼표 [0] 7 2 3 3 3 2" xfId="2712"/>
    <cellStyle name="쉼표 [0] 7 2 3 3 3 2 2" xfId="2713"/>
    <cellStyle name="쉼표 [0] 7 2 3 3 3 2 2 2" xfId="22711"/>
    <cellStyle name="쉼표 [0] 7 2 3 3 3 2 2 2 2" xfId="10410"/>
    <cellStyle name="쉼표 [0] 7 2 3 3 3 2 2 3" xfId="10411"/>
    <cellStyle name="쉼표 [0] 7 2 3 3 3 2 2 4" xfId="22710"/>
    <cellStyle name="쉼표 [0] 7 2 3 3 3 2 3" xfId="22712"/>
    <cellStyle name="쉼표 [0] 7 2 3 3 3 2 3 2" xfId="10409"/>
    <cellStyle name="쉼표 [0] 7 2 3 3 3 2 4" xfId="10412"/>
    <cellStyle name="쉼표 [0] 7 2 3 3 3 2 5" xfId="22709"/>
    <cellStyle name="쉼표 [0] 7 2 3 3 3 3" xfId="22713"/>
    <cellStyle name="쉼표 [0] 7 2 3 3 3 3 2" xfId="10408"/>
    <cellStyle name="쉼표 [0] 7 2 3 3 3 4" xfId="10413"/>
    <cellStyle name="쉼표 [0] 7 2 3 3 3 5" xfId="28440"/>
    <cellStyle name="쉼표 [0] 7 2 3 3 3 6" xfId="22708"/>
    <cellStyle name="쉼표 [0] 7 2 3 3 4" xfId="2714"/>
    <cellStyle name="쉼표 [0] 7 2 3 3 4 2" xfId="2715"/>
    <cellStyle name="쉼표 [0] 7 2 3 3 4 2 2" xfId="22716"/>
    <cellStyle name="쉼표 [0] 7 2 3 3 4 2 2 2" xfId="10405"/>
    <cellStyle name="쉼표 [0] 7 2 3 3 4 2 3" xfId="10406"/>
    <cellStyle name="쉼표 [0] 7 2 3 3 4 2 4" xfId="22715"/>
    <cellStyle name="쉼표 [0] 7 2 3 3 4 3" xfId="22717"/>
    <cellStyle name="쉼표 [0] 7 2 3 3 4 3 2" xfId="10404"/>
    <cellStyle name="쉼표 [0] 7 2 3 3 4 4" xfId="10407"/>
    <cellStyle name="쉼표 [0] 7 2 3 3 4 5" xfId="22714"/>
    <cellStyle name="쉼표 [0] 7 2 3 3 5" xfId="22718"/>
    <cellStyle name="쉼표 [0] 7 2 3 3 5 2" xfId="22719"/>
    <cellStyle name="쉼표 [0] 7 2 3 3 5 2 2" xfId="10402"/>
    <cellStyle name="쉼표 [0] 7 2 3 3 5 3" xfId="10403"/>
    <cellStyle name="쉼표 [0] 7 2 3 3 6" xfId="22720"/>
    <cellStyle name="쉼표 [0] 7 2 3 3 6 2" xfId="10401"/>
    <cellStyle name="쉼표 [0] 7 2 3 3 7" xfId="10422"/>
    <cellStyle name="쉼표 [0] 7 2 3 3 8" xfId="28443"/>
    <cellStyle name="쉼표 [0] 7 2 3 3 9" xfId="22699"/>
    <cellStyle name="쉼표 [0] 7 2 3 4" xfId="2716"/>
    <cellStyle name="쉼표 [0] 7 2 3 4 2" xfId="2717"/>
    <cellStyle name="쉼표 [0] 7 2 3 4 2 2" xfId="2718"/>
    <cellStyle name="쉼표 [0] 7 2 3 4 2 2 2" xfId="2719"/>
    <cellStyle name="쉼표 [0] 7 2 3 4 2 2 2 2" xfId="22725"/>
    <cellStyle name="쉼표 [0] 7 2 3 4 2 2 2 2 2" xfId="10396"/>
    <cellStyle name="쉼표 [0] 7 2 3 4 2 2 2 3" xfId="10397"/>
    <cellStyle name="쉼표 [0] 7 2 3 4 2 2 2 4" xfId="22724"/>
    <cellStyle name="쉼표 [0] 7 2 3 4 2 2 3" xfId="22726"/>
    <cellStyle name="쉼표 [0] 7 2 3 4 2 2 3 2" xfId="10395"/>
    <cellStyle name="쉼표 [0] 7 2 3 4 2 2 4" xfId="10398"/>
    <cellStyle name="쉼표 [0] 7 2 3 4 2 2 5" xfId="22723"/>
    <cellStyle name="쉼표 [0] 7 2 3 4 2 3" xfId="22727"/>
    <cellStyle name="쉼표 [0] 7 2 3 4 2 3 2" xfId="10394"/>
    <cellStyle name="쉼표 [0] 7 2 3 4 2 4" xfId="10399"/>
    <cellStyle name="쉼표 [0] 7 2 3 4 2 5" xfId="28438"/>
    <cellStyle name="쉼표 [0] 7 2 3 4 2 6" xfId="22722"/>
    <cellStyle name="쉼표 [0] 7 2 3 4 3" xfId="2720"/>
    <cellStyle name="쉼표 [0] 7 2 3 4 3 2" xfId="2721"/>
    <cellStyle name="쉼표 [0] 7 2 3 4 3 2 2" xfId="22730"/>
    <cellStyle name="쉼표 [0] 7 2 3 4 3 2 2 2" xfId="10391"/>
    <cellStyle name="쉼표 [0] 7 2 3 4 3 2 3" xfId="10392"/>
    <cellStyle name="쉼표 [0] 7 2 3 4 3 2 4" xfId="22729"/>
    <cellStyle name="쉼표 [0] 7 2 3 4 3 3" xfId="22731"/>
    <cellStyle name="쉼표 [0] 7 2 3 4 3 3 2" xfId="10390"/>
    <cellStyle name="쉼표 [0] 7 2 3 4 3 4" xfId="10393"/>
    <cellStyle name="쉼표 [0] 7 2 3 4 3 5" xfId="22728"/>
    <cellStyle name="쉼표 [0] 7 2 3 4 4" xfId="22732"/>
    <cellStyle name="쉼표 [0] 7 2 3 4 4 2" xfId="22733"/>
    <cellStyle name="쉼표 [0] 7 2 3 4 4 2 2" xfId="10388"/>
    <cellStyle name="쉼표 [0] 7 2 3 4 4 3" xfId="10389"/>
    <cellStyle name="쉼표 [0] 7 2 3 4 5" xfId="22734"/>
    <cellStyle name="쉼표 [0] 7 2 3 4 5 2" xfId="10387"/>
    <cellStyle name="쉼표 [0] 7 2 3 4 6" xfId="10400"/>
    <cellStyle name="쉼표 [0] 7 2 3 4 7" xfId="28439"/>
    <cellStyle name="쉼표 [0] 7 2 3 4 8" xfId="22721"/>
    <cellStyle name="쉼표 [0] 7 2 3 5" xfId="2722"/>
    <cellStyle name="쉼표 [0] 7 2 3 5 2" xfId="2723"/>
    <cellStyle name="쉼표 [0] 7 2 3 5 2 2" xfId="22737"/>
    <cellStyle name="쉼표 [0] 7 2 3 5 2 2 2" xfId="10384"/>
    <cellStyle name="쉼표 [0] 7 2 3 5 2 3" xfId="10385"/>
    <cellStyle name="쉼표 [0] 7 2 3 5 2 4" xfId="28436"/>
    <cellStyle name="쉼표 [0] 7 2 3 5 2 5" xfId="22736"/>
    <cellStyle name="쉼표 [0] 7 2 3 5 3" xfId="2724"/>
    <cellStyle name="쉼표 [0] 7 2 3 5 3 2" xfId="2725"/>
    <cellStyle name="쉼표 [0] 7 2 3 5 3 2 2" xfId="22740"/>
    <cellStyle name="쉼표 [0] 7 2 3 5 3 2 2 2" xfId="10381"/>
    <cellStyle name="쉼표 [0] 7 2 3 5 3 2 3" xfId="10382"/>
    <cellStyle name="쉼표 [0] 7 2 3 5 3 2 4" xfId="22739"/>
    <cellStyle name="쉼표 [0] 7 2 3 5 3 3" xfId="22741"/>
    <cellStyle name="쉼표 [0] 7 2 3 5 3 3 2" xfId="10380"/>
    <cellStyle name="쉼표 [0] 7 2 3 5 3 4" xfId="10383"/>
    <cellStyle name="쉼표 [0] 7 2 3 5 3 5" xfId="22738"/>
    <cellStyle name="쉼표 [0] 7 2 3 5 4" xfId="22742"/>
    <cellStyle name="쉼표 [0] 7 2 3 5 4 2" xfId="10379"/>
    <cellStyle name="쉼표 [0] 7 2 3 5 5" xfId="10386"/>
    <cellStyle name="쉼표 [0] 7 2 3 5 6" xfId="28437"/>
    <cellStyle name="쉼표 [0] 7 2 3 5 7" xfId="22735"/>
    <cellStyle name="쉼표 [0] 7 2 3 6" xfId="2726"/>
    <cellStyle name="쉼표 [0] 7 2 3 6 2" xfId="22744"/>
    <cellStyle name="쉼표 [0] 7 2 3 6 2 2" xfId="10377"/>
    <cellStyle name="쉼표 [0] 7 2 3 6 3" xfId="10378"/>
    <cellStyle name="쉼표 [0] 7 2 3 6 4" xfId="28435"/>
    <cellStyle name="쉼표 [0] 7 2 3 6 5" xfId="22743"/>
    <cellStyle name="쉼표 [0] 7 2 3 7" xfId="2727"/>
    <cellStyle name="쉼표 [0] 7 2 3 7 2" xfId="2728"/>
    <cellStyle name="쉼표 [0] 7 2 3 7 2 2" xfId="22747"/>
    <cellStyle name="쉼표 [0] 7 2 3 7 2 2 2" xfId="10374"/>
    <cellStyle name="쉼표 [0] 7 2 3 7 2 3" xfId="10375"/>
    <cellStyle name="쉼표 [0] 7 2 3 7 2 4" xfId="22746"/>
    <cellStyle name="쉼표 [0] 7 2 3 7 3" xfId="22748"/>
    <cellStyle name="쉼표 [0] 7 2 3 7 3 2" xfId="10373"/>
    <cellStyle name="쉼표 [0] 7 2 3 7 4" xfId="10376"/>
    <cellStyle name="쉼표 [0] 7 2 3 7 5" xfId="22745"/>
    <cellStyle name="쉼표 [0] 7 2 3 8" xfId="22749"/>
    <cellStyle name="쉼표 [0] 7 2 3 8 2" xfId="22750"/>
    <cellStyle name="쉼표 [0] 7 2 3 8 2 2" xfId="10371"/>
    <cellStyle name="쉼표 [0] 7 2 3 8 3" xfId="10372"/>
    <cellStyle name="쉼표 [0] 7 2 3 9" xfId="22751"/>
    <cellStyle name="쉼표 [0] 7 2 3 9 2" xfId="10370"/>
    <cellStyle name="쉼표 [0] 7 2 4" xfId="2729"/>
    <cellStyle name="쉼표 [0] 7 2 4 10" xfId="22752"/>
    <cellStyle name="쉼표 [0] 7 2 4 11" xfId="30667"/>
    <cellStyle name="쉼표 [0] 7 2 4 2" xfId="2730"/>
    <cellStyle name="쉼표 [0] 7 2 4 2 2" xfId="2731"/>
    <cellStyle name="쉼표 [0] 7 2 4 2 2 2" xfId="2732"/>
    <cellStyle name="쉼표 [0] 7 2 4 2 2 2 2" xfId="22756"/>
    <cellStyle name="쉼표 [0] 7 2 4 2 2 2 2 2" xfId="10365"/>
    <cellStyle name="쉼표 [0] 7 2 4 2 2 2 3" xfId="10366"/>
    <cellStyle name="쉼표 [0] 7 2 4 2 2 2 4" xfId="22755"/>
    <cellStyle name="쉼표 [0] 7 2 4 2 2 3" xfId="22757"/>
    <cellStyle name="쉼표 [0] 7 2 4 2 2 3 2" xfId="10364"/>
    <cellStyle name="쉼표 [0] 7 2 4 2 2 4" xfId="10367"/>
    <cellStyle name="쉼표 [0] 7 2 4 2 2 5" xfId="22754"/>
    <cellStyle name="쉼표 [0] 7 2 4 2 3" xfId="2733"/>
    <cellStyle name="쉼표 [0] 7 2 4 2 3 2" xfId="2734"/>
    <cellStyle name="쉼표 [0] 7 2 4 2 3 2 2" xfId="22760"/>
    <cellStyle name="쉼표 [0] 7 2 4 2 3 2 2 2" xfId="10361"/>
    <cellStyle name="쉼표 [0] 7 2 4 2 3 2 3" xfId="10362"/>
    <cellStyle name="쉼표 [0] 7 2 4 2 3 2 4" xfId="22759"/>
    <cellStyle name="쉼표 [0] 7 2 4 2 3 3" xfId="22761"/>
    <cellStyle name="쉼표 [0] 7 2 4 2 3 3 2" xfId="10360"/>
    <cellStyle name="쉼표 [0] 7 2 4 2 3 4" xfId="10363"/>
    <cellStyle name="쉼표 [0] 7 2 4 2 3 5" xfId="22758"/>
    <cellStyle name="쉼표 [0] 7 2 4 2 4" xfId="2735"/>
    <cellStyle name="쉼표 [0] 7 2 4 2 4 2" xfId="2736"/>
    <cellStyle name="쉼표 [0] 7 2 4 2 4 2 2" xfId="22764"/>
    <cellStyle name="쉼표 [0] 7 2 4 2 4 2 2 2" xfId="10357"/>
    <cellStyle name="쉼표 [0] 7 2 4 2 4 2 3" xfId="10358"/>
    <cellStyle name="쉼표 [0] 7 2 4 2 4 2 4" xfId="22763"/>
    <cellStyle name="쉼표 [0] 7 2 4 2 4 3" xfId="22765"/>
    <cellStyle name="쉼표 [0] 7 2 4 2 4 3 2" xfId="10356"/>
    <cellStyle name="쉼표 [0] 7 2 4 2 4 4" xfId="10359"/>
    <cellStyle name="쉼표 [0] 7 2 4 2 4 5" xfId="22762"/>
    <cellStyle name="쉼표 [0] 7 2 4 2 5" xfId="22766"/>
    <cellStyle name="쉼표 [0] 7 2 4 2 5 2" xfId="22767"/>
    <cellStyle name="쉼표 [0] 7 2 4 2 5 2 2" xfId="10354"/>
    <cellStyle name="쉼표 [0] 7 2 4 2 5 3" xfId="10355"/>
    <cellStyle name="쉼표 [0] 7 2 4 2 6" xfId="22768"/>
    <cellStyle name="쉼표 [0] 7 2 4 2 6 2" xfId="10353"/>
    <cellStyle name="쉼표 [0] 7 2 4 2 7" xfId="10368"/>
    <cellStyle name="쉼표 [0] 7 2 4 2 8" xfId="28433"/>
    <cellStyle name="쉼표 [0] 7 2 4 2 9" xfId="22753"/>
    <cellStyle name="쉼표 [0] 7 2 4 3" xfId="2737"/>
    <cellStyle name="쉼표 [0] 7 2 4 3 2" xfId="2738"/>
    <cellStyle name="쉼표 [0] 7 2 4 3 2 2" xfId="2739"/>
    <cellStyle name="쉼표 [0] 7 2 4 3 2 2 2" xfId="22772"/>
    <cellStyle name="쉼표 [0] 7 2 4 3 2 2 2 2" xfId="10349"/>
    <cellStyle name="쉼표 [0] 7 2 4 3 2 2 3" xfId="10350"/>
    <cellStyle name="쉼표 [0] 7 2 4 3 2 2 4" xfId="22771"/>
    <cellStyle name="쉼표 [0] 7 2 4 3 2 3" xfId="22773"/>
    <cellStyle name="쉼표 [0] 7 2 4 3 2 3 2" xfId="10348"/>
    <cellStyle name="쉼표 [0] 7 2 4 3 2 4" xfId="10351"/>
    <cellStyle name="쉼표 [0] 7 2 4 3 2 5" xfId="22770"/>
    <cellStyle name="쉼표 [0] 7 2 4 3 3" xfId="2740"/>
    <cellStyle name="쉼표 [0] 7 2 4 3 3 2" xfId="22775"/>
    <cellStyle name="쉼표 [0] 7 2 4 3 3 2 2" xfId="10346"/>
    <cellStyle name="쉼표 [0] 7 2 4 3 3 3" xfId="10347"/>
    <cellStyle name="쉼표 [0] 7 2 4 3 3 4" xfId="22774"/>
    <cellStyle name="쉼표 [0] 7 2 4 3 4" xfId="22776"/>
    <cellStyle name="쉼표 [0] 7 2 4 3 4 2" xfId="22777"/>
    <cellStyle name="쉼표 [0] 7 2 4 3 4 2 2" xfId="10344"/>
    <cellStyle name="쉼표 [0] 7 2 4 3 4 3" xfId="10345"/>
    <cellStyle name="쉼표 [0] 7 2 4 3 5" xfId="22778"/>
    <cellStyle name="쉼표 [0] 7 2 4 3 5 2" xfId="10343"/>
    <cellStyle name="쉼표 [0] 7 2 4 3 6" xfId="10352"/>
    <cellStyle name="쉼표 [0] 7 2 4 3 7" xfId="22769"/>
    <cellStyle name="쉼표 [0] 7 2 4 4" xfId="2741"/>
    <cellStyle name="쉼표 [0] 7 2 4 4 2" xfId="2742"/>
    <cellStyle name="쉼표 [0] 7 2 4 4 2 2" xfId="22781"/>
    <cellStyle name="쉼표 [0] 7 2 4 4 2 2 2" xfId="10340"/>
    <cellStyle name="쉼표 [0] 7 2 4 4 2 3" xfId="10341"/>
    <cellStyle name="쉼표 [0] 7 2 4 4 2 4" xfId="22780"/>
    <cellStyle name="쉼표 [0] 7 2 4 4 3" xfId="22782"/>
    <cellStyle name="쉼표 [0] 7 2 4 4 3 2" xfId="22783"/>
    <cellStyle name="쉼표 [0] 7 2 4 4 3 2 2" xfId="10338"/>
    <cellStyle name="쉼표 [0] 7 2 4 4 3 3" xfId="10339"/>
    <cellStyle name="쉼표 [0] 7 2 4 4 4" xfId="22784"/>
    <cellStyle name="쉼표 [0] 7 2 4 4 4 2" xfId="10337"/>
    <cellStyle name="쉼표 [0] 7 2 4 4 5" xfId="10342"/>
    <cellStyle name="쉼표 [0] 7 2 4 4 6" xfId="22779"/>
    <cellStyle name="쉼표 [0] 7 2 4 5" xfId="2743"/>
    <cellStyle name="쉼표 [0] 7 2 4 5 2" xfId="2744"/>
    <cellStyle name="쉼표 [0] 7 2 4 5 2 2" xfId="22787"/>
    <cellStyle name="쉼표 [0] 7 2 4 5 2 2 2" xfId="10334"/>
    <cellStyle name="쉼표 [0] 7 2 4 5 2 3" xfId="10335"/>
    <cellStyle name="쉼표 [0] 7 2 4 5 2 4" xfId="22786"/>
    <cellStyle name="쉼표 [0] 7 2 4 5 3" xfId="22788"/>
    <cellStyle name="쉼표 [0] 7 2 4 5 3 2" xfId="10333"/>
    <cellStyle name="쉼표 [0] 7 2 4 5 4" xfId="10336"/>
    <cellStyle name="쉼표 [0] 7 2 4 5 5" xfId="22785"/>
    <cellStyle name="쉼표 [0] 7 2 4 6" xfId="22789"/>
    <cellStyle name="쉼표 [0] 7 2 4 6 2" xfId="22790"/>
    <cellStyle name="쉼표 [0] 7 2 4 6 2 2" xfId="10331"/>
    <cellStyle name="쉼표 [0] 7 2 4 6 3" xfId="10332"/>
    <cellStyle name="쉼표 [0] 7 2 4 7" xfId="22791"/>
    <cellStyle name="쉼표 [0] 7 2 4 7 2" xfId="10330"/>
    <cellStyle name="쉼표 [0] 7 2 4 8" xfId="10369"/>
    <cellStyle name="쉼표 [0] 7 2 4 9" xfId="28434"/>
    <cellStyle name="쉼표 [0] 7 2 5" xfId="2745"/>
    <cellStyle name="쉼표 [0] 7 2 5 2" xfId="2746"/>
    <cellStyle name="쉼표 [0] 7 2 5 2 2" xfId="2747"/>
    <cellStyle name="쉼표 [0] 7 2 5 2 2 2" xfId="22795"/>
    <cellStyle name="쉼표 [0] 7 2 5 2 2 2 2" xfId="10326"/>
    <cellStyle name="쉼표 [0] 7 2 5 2 2 3" xfId="10327"/>
    <cellStyle name="쉼표 [0] 7 2 5 2 2 4" xfId="28430"/>
    <cellStyle name="쉼표 [0] 7 2 5 2 2 5" xfId="22794"/>
    <cellStyle name="쉼표 [0] 7 2 5 2 3" xfId="2748"/>
    <cellStyle name="쉼표 [0] 7 2 5 2 3 2" xfId="2749"/>
    <cellStyle name="쉼표 [0] 7 2 5 2 3 2 2" xfId="22798"/>
    <cellStyle name="쉼표 [0] 7 2 5 2 3 2 2 2" xfId="10323"/>
    <cellStyle name="쉼표 [0] 7 2 5 2 3 2 3" xfId="10324"/>
    <cellStyle name="쉼표 [0] 7 2 5 2 3 2 4" xfId="22797"/>
    <cellStyle name="쉼표 [0] 7 2 5 2 3 3" xfId="22799"/>
    <cellStyle name="쉼표 [0] 7 2 5 2 3 3 2" xfId="10322"/>
    <cellStyle name="쉼표 [0] 7 2 5 2 3 4" xfId="10325"/>
    <cellStyle name="쉼표 [0] 7 2 5 2 3 5" xfId="22796"/>
    <cellStyle name="쉼표 [0] 7 2 5 2 4" xfId="22800"/>
    <cellStyle name="쉼표 [0] 7 2 5 2 4 2" xfId="10321"/>
    <cellStyle name="쉼표 [0] 7 2 5 2 5" xfId="10328"/>
    <cellStyle name="쉼표 [0] 7 2 5 2 6" xfId="28431"/>
    <cellStyle name="쉼표 [0] 7 2 5 2 7" xfId="22793"/>
    <cellStyle name="쉼표 [0] 7 2 5 3" xfId="2750"/>
    <cellStyle name="쉼표 [0] 7 2 5 3 2" xfId="2751"/>
    <cellStyle name="쉼표 [0] 7 2 5 3 2 2" xfId="2752"/>
    <cellStyle name="쉼표 [0] 7 2 5 3 2 2 2" xfId="22804"/>
    <cellStyle name="쉼표 [0] 7 2 5 3 2 2 2 2" xfId="10317"/>
    <cellStyle name="쉼표 [0] 7 2 5 3 2 2 3" xfId="10318"/>
    <cellStyle name="쉼표 [0] 7 2 5 3 2 2 4" xfId="22803"/>
    <cellStyle name="쉼표 [0] 7 2 5 3 2 3" xfId="22805"/>
    <cellStyle name="쉼표 [0] 7 2 5 3 2 3 2" xfId="10316"/>
    <cellStyle name="쉼표 [0] 7 2 5 3 2 4" xfId="10319"/>
    <cellStyle name="쉼표 [0] 7 2 5 3 2 5" xfId="22802"/>
    <cellStyle name="쉼표 [0] 7 2 5 3 3" xfId="22806"/>
    <cellStyle name="쉼표 [0] 7 2 5 3 3 2" xfId="10315"/>
    <cellStyle name="쉼표 [0] 7 2 5 3 4" xfId="10320"/>
    <cellStyle name="쉼표 [0] 7 2 5 3 5" xfId="28429"/>
    <cellStyle name="쉼표 [0] 7 2 5 3 6" xfId="22801"/>
    <cellStyle name="쉼표 [0] 7 2 5 4" xfId="2753"/>
    <cellStyle name="쉼표 [0] 7 2 5 4 2" xfId="2754"/>
    <cellStyle name="쉼표 [0] 7 2 5 4 2 2" xfId="22809"/>
    <cellStyle name="쉼표 [0] 7 2 5 4 2 2 2" xfId="10312"/>
    <cellStyle name="쉼표 [0] 7 2 5 4 2 3" xfId="10313"/>
    <cellStyle name="쉼표 [0] 7 2 5 4 2 4" xfId="22808"/>
    <cellStyle name="쉼표 [0] 7 2 5 4 3" xfId="22810"/>
    <cellStyle name="쉼표 [0] 7 2 5 4 3 2" xfId="10311"/>
    <cellStyle name="쉼표 [0] 7 2 5 4 4" xfId="10314"/>
    <cellStyle name="쉼표 [0] 7 2 5 4 5" xfId="22807"/>
    <cellStyle name="쉼표 [0] 7 2 5 5" xfId="22811"/>
    <cellStyle name="쉼표 [0] 7 2 5 5 2" xfId="22812"/>
    <cellStyle name="쉼표 [0] 7 2 5 5 2 2" xfId="10309"/>
    <cellStyle name="쉼표 [0] 7 2 5 5 3" xfId="10310"/>
    <cellStyle name="쉼표 [0] 7 2 5 6" xfId="22813"/>
    <cellStyle name="쉼표 [0] 7 2 5 6 2" xfId="10308"/>
    <cellStyle name="쉼표 [0] 7 2 5 7" xfId="10329"/>
    <cellStyle name="쉼표 [0] 7 2 5 8" xfId="28432"/>
    <cellStyle name="쉼표 [0] 7 2 5 9" xfId="22792"/>
    <cellStyle name="쉼표 [0] 7 2 6" xfId="2755"/>
    <cellStyle name="쉼표 [0] 7 2 6 2" xfId="2756"/>
    <cellStyle name="쉼표 [0] 7 2 6 2 2" xfId="2757"/>
    <cellStyle name="쉼표 [0] 7 2 6 2 2 2" xfId="2758"/>
    <cellStyle name="쉼표 [0] 7 2 6 2 2 2 2" xfId="22818"/>
    <cellStyle name="쉼표 [0] 7 2 6 2 2 2 2 2" xfId="10303"/>
    <cellStyle name="쉼표 [0] 7 2 6 2 2 2 3" xfId="10304"/>
    <cellStyle name="쉼표 [0] 7 2 6 2 2 2 4" xfId="22817"/>
    <cellStyle name="쉼표 [0] 7 2 6 2 2 3" xfId="22819"/>
    <cellStyle name="쉼표 [0] 7 2 6 2 2 3 2" xfId="10302"/>
    <cellStyle name="쉼표 [0] 7 2 6 2 2 4" xfId="10305"/>
    <cellStyle name="쉼표 [0] 7 2 6 2 2 5" xfId="22816"/>
    <cellStyle name="쉼표 [0] 7 2 6 2 3" xfId="22820"/>
    <cellStyle name="쉼표 [0] 7 2 6 2 3 2" xfId="10301"/>
    <cellStyle name="쉼표 [0] 7 2 6 2 4" xfId="10306"/>
    <cellStyle name="쉼표 [0] 7 2 6 2 5" xfId="28427"/>
    <cellStyle name="쉼표 [0] 7 2 6 2 6" xfId="22815"/>
    <cellStyle name="쉼표 [0] 7 2 6 3" xfId="2759"/>
    <cellStyle name="쉼표 [0] 7 2 6 3 2" xfId="2760"/>
    <cellStyle name="쉼표 [0] 7 2 6 3 2 2" xfId="22823"/>
    <cellStyle name="쉼표 [0] 7 2 6 3 2 2 2" xfId="10298"/>
    <cellStyle name="쉼표 [0] 7 2 6 3 2 3" xfId="10299"/>
    <cellStyle name="쉼표 [0] 7 2 6 3 2 4" xfId="22822"/>
    <cellStyle name="쉼표 [0] 7 2 6 3 3" xfId="22824"/>
    <cellStyle name="쉼표 [0] 7 2 6 3 3 2" xfId="10297"/>
    <cellStyle name="쉼표 [0] 7 2 6 3 4" xfId="10300"/>
    <cellStyle name="쉼표 [0] 7 2 6 3 5" xfId="22821"/>
    <cellStyle name="쉼표 [0] 7 2 6 4" xfId="22825"/>
    <cellStyle name="쉼표 [0] 7 2 6 4 2" xfId="22826"/>
    <cellStyle name="쉼표 [0] 7 2 6 4 2 2" xfId="10295"/>
    <cellStyle name="쉼표 [0] 7 2 6 4 3" xfId="10296"/>
    <cellStyle name="쉼표 [0] 7 2 6 5" xfId="22827"/>
    <cellStyle name="쉼표 [0] 7 2 6 5 2" xfId="10294"/>
    <cellStyle name="쉼표 [0] 7 2 6 6" xfId="10307"/>
    <cellStyle name="쉼표 [0] 7 2 6 7" xfId="28428"/>
    <cellStyle name="쉼표 [0] 7 2 6 8" xfId="22814"/>
    <cellStyle name="쉼표 [0] 7 2 7" xfId="2761"/>
    <cellStyle name="쉼표 [0] 7 2 7 2" xfId="2762"/>
    <cellStyle name="쉼표 [0] 7 2 7 2 2" xfId="22830"/>
    <cellStyle name="쉼표 [0] 7 2 7 2 2 2" xfId="10291"/>
    <cellStyle name="쉼표 [0] 7 2 7 2 3" xfId="10292"/>
    <cellStyle name="쉼표 [0] 7 2 7 2 4" xfId="28425"/>
    <cellStyle name="쉼표 [0] 7 2 7 2 5" xfId="22829"/>
    <cellStyle name="쉼표 [0] 7 2 7 3" xfId="2763"/>
    <cellStyle name="쉼표 [0] 7 2 7 3 2" xfId="2764"/>
    <cellStyle name="쉼표 [0] 7 2 7 3 2 2" xfId="22833"/>
    <cellStyle name="쉼표 [0] 7 2 7 3 2 2 2" xfId="10288"/>
    <cellStyle name="쉼표 [0] 7 2 7 3 2 3" xfId="10289"/>
    <cellStyle name="쉼표 [0] 7 2 7 3 2 4" xfId="22832"/>
    <cellStyle name="쉼표 [0] 7 2 7 3 3" xfId="22834"/>
    <cellStyle name="쉼표 [0] 7 2 7 3 3 2" xfId="10287"/>
    <cellStyle name="쉼표 [0] 7 2 7 3 4" xfId="10290"/>
    <cellStyle name="쉼표 [0] 7 2 7 3 5" xfId="22831"/>
    <cellStyle name="쉼표 [0] 7 2 7 4" xfId="22835"/>
    <cellStyle name="쉼표 [0] 7 2 7 4 2" xfId="22836"/>
    <cellStyle name="쉼표 [0] 7 2 7 4 2 2" xfId="10285"/>
    <cellStyle name="쉼표 [0] 7 2 7 4 3" xfId="10286"/>
    <cellStyle name="쉼표 [0] 7 2 7 5" xfId="22837"/>
    <cellStyle name="쉼표 [0] 7 2 7 5 2" xfId="10284"/>
    <cellStyle name="쉼표 [0] 7 2 7 6" xfId="10293"/>
    <cellStyle name="쉼표 [0] 7 2 7 7" xfId="28426"/>
    <cellStyle name="쉼표 [0] 7 2 7 8" xfId="22828"/>
    <cellStyle name="쉼표 [0] 7 2 8" xfId="2765"/>
    <cellStyle name="쉼표 [0] 7 2 8 2" xfId="2766"/>
    <cellStyle name="쉼표 [0] 7 2 8 2 2" xfId="22840"/>
    <cellStyle name="쉼표 [0] 7 2 8 2 2 2" xfId="10281"/>
    <cellStyle name="쉼표 [0] 7 2 8 2 3" xfId="10282"/>
    <cellStyle name="쉼표 [0] 7 2 8 2 4" xfId="22839"/>
    <cellStyle name="쉼표 [0] 7 2 8 3" xfId="22841"/>
    <cellStyle name="쉼표 [0] 7 2 8 3 2" xfId="22842"/>
    <cellStyle name="쉼표 [0] 7 2 8 3 2 2" xfId="10279"/>
    <cellStyle name="쉼표 [0] 7 2 8 3 3" xfId="10280"/>
    <cellStyle name="쉼표 [0] 7 2 8 4" xfId="22843"/>
    <cellStyle name="쉼표 [0] 7 2 8 4 2" xfId="10278"/>
    <cellStyle name="쉼표 [0] 7 2 8 5" xfId="10283"/>
    <cellStyle name="쉼표 [0] 7 2 8 6" xfId="22838"/>
    <cellStyle name="쉼표 [0] 7 2 9" xfId="22844"/>
    <cellStyle name="쉼표 [0] 7 2 9 2" xfId="22845"/>
    <cellStyle name="쉼표 [0] 7 2 9 2 2" xfId="10276"/>
    <cellStyle name="쉼표 [0] 7 2 9 3" xfId="10277"/>
    <cellStyle name="쉼표 [0] 7 20" xfId="29879"/>
    <cellStyle name="쉼표 [0] 7 21" xfId="29628"/>
    <cellStyle name="쉼표 [0] 7 21 2" xfId="30731"/>
    <cellStyle name="쉼표 [0] 7 21 2 2" xfId="30781"/>
    <cellStyle name="쉼표 [0] 7 21 2 2 2" xfId="30878"/>
    <cellStyle name="쉼표 [0] 7 21 2 2 2 2" xfId="32232"/>
    <cellStyle name="쉼표 [0] 7 21 2 2 3" xfId="32137"/>
    <cellStyle name="쉼표 [0] 7 21 2 3" xfId="30831"/>
    <cellStyle name="쉼표 [0] 7 21 2 3 2" xfId="32185"/>
    <cellStyle name="쉼표 [0] 7 21 2 4" xfId="32090"/>
    <cellStyle name="쉼표 [0] 7 21 3" xfId="30758"/>
    <cellStyle name="쉼표 [0] 7 21 3 2" xfId="30855"/>
    <cellStyle name="쉼표 [0] 7 21 3 2 2" xfId="32209"/>
    <cellStyle name="쉼표 [0] 7 21 3 3" xfId="32114"/>
    <cellStyle name="쉼표 [0] 7 21 4" xfId="30808"/>
    <cellStyle name="쉼표 [0] 7 21 4 2" xfId="32162"/>
    <cellStyle name="쉼표 [0] 7 21 5" xfId="32067"/>
    <cellStyle name="쉼표 [0] 7 3" xfId="2767"/>
    <cellStyle name="쉼표 [0] 7 3 10" xfId="22847"/>
    <cellStyle name="쉼표 [0] 7 3 10 2" xfId="10274"/>
    <cellStyle name="쉼표 [0] 7 3 11" xfId="10275"/>
    <cellStyle name="쉼표 [0] 7 3 12" xfId="28424"/>
    <cellStyle name="쉼표 [0] 7 3 13" xfId="22846"/>
    <cellStyle name="쉼표 [0] 7 3 14" xfId="30676"/>
    <cellStyle name="쉼표 [0] 7 3 2" xfId="2768"/>
    <cellStyle name="쉼표 [0] 7 3 2 10" xfId="28423"/>
    <cellStyle name="쉼표 [0] 7 3 2 11" xfId="22848"/>
    <cellStyle name="쉼표 [0] 7 3 2 2" xfId="2769"/>
    <cellStyle name="쉼표 [0] 7 3 2 2 10" xfId="22849"/>
    <cellStyle name="쉼표 [0] 7 3 2 2 2" xfId="2770"/>
    <cellStyle name="쉼표 [0] 7 3 2 2 2 2" xfId="2771"/>
    <cellStyle name="쉼표 [0] 7 3 2 2 2 2 2" xfId="2772"/>
    <cellStyle name="쉼표 [0] 7 3 2 2 2 2 2 2" xfId="22853"/>
    <cellStyle name="쉼표 [0] 7 3 2 2 2 2 2 2 2" xfId="10268"/>
    <cellStyle name="쉼표 [0] 7 3 2 2 2 2 2 3" xfId="10269"/>
    <cellStyle name="쉼표 [0] 7 3 2 2 2 2 2 4" xfId="22852"/>
    <cellStyle name="쉼표 [0] 7 3 2 2 2 2 3" xfId="22854"/>
    <cellStyle name="쉼표 [0] 7 3 2 2 2 2 3 2" xfId="10267"/>
    <cellStyle name="쉼표 [0] 7 3 2 2 2 2 4" xfId="10270"/>
    <cellStyle name="쉼표 [0] 7 3 2 2 2 2 5" xfId="22851"/>
    <cellStyle name="쉼표 [0] 7 3 2 2 2 3" xfId="2773"/>
    <cellStyle name="쉼표 [0] 7 3 2 2 2 3 2" xfId="2774"/>
    <cellStyle name="쉼표 [0] 7 3 2 2 2 3 2 2" xfId="22857"/>
    <cellStyle name="쉼표 [0] 7 3 2 2 2 3 2 2 2" xfId="10264"/>
    <cellStyle name="쉼표 [0] 7 3 2 2 2 3 2 3" xfId="10265"/>
    <cellStyle name="쉼표 [0] 7 3 2 2 2 3 2 4" xfId="22856"/>
    <cellStyle name="쉼표 [0] 7 3 2 2 2 3 3" xfId="22858"/>
    <cellStyle name="쉼표 [0] 7 3 2 2 2 3 3 2" xfId="10263"/>
    <cellStyle name="쉼표 [0] 7 3 2 2 2 3 4" xfId="10266"/>
    <cellStyle name="쉼표 [0] 7 3 2 2 2 3 5" xfId="22855"/>
    <cellStyle name="쉼표 [0] 7 3 2 2 2 4" xfId="2775"/>
    <cellStyle name="쉼표 [0] 7 3 2 2 2 4 2" xfId="22860"/>
    <cellStyle name="쉼표 [0] 7 3 2 2 2 4 2 2" xfId="10261"/>
    <cellStyle name="쉼표 [0] 7 3 2 2 2 4 3" xfId="10262"/>
    <cellStyle name="쉼표 [0] 7 3 2 2 2 4 4" xfId="22859"/>
    <cellStyle name="쉼표 [0] 7 3 2 2 2 5" xfId="22861"/>
    <cellStyle name="쉼표 [0] 7 3 2 2 2 5 2" xfId="10260"/>
    <cellStyle name="쉼표 [0] 7 3 2 2 2 6" xfId="10271"/>
    <cellStyle name="쉼표 [0] 7 3 2 2 2 7" xfId="22850"/>
    <cellStyle name="쉼표 [0] 7 3 2 2 3" xfId="2776"/>
    <cellStyle name="쉼표 [0] 7 3 2 2 3 2" xfId="2777"/>
    <cellStyle name="쉼표 [0] 7 3 2 2 3 2 2" xfId="2778"/>
    <cellStyle name="쉼표 [0] 7 3 2 2 3 2 2 2" xfId="22865"/>
    <cellStyle name="쉼표 [0] 7 3 2 2 3 2 2 2 2" xfId="10256"/>
    <cellStyle name="쉼표 [0] 7 3 2 2 3 2 2 3" xfId="10257"/>
    <cellStyle name="쉼표 [0] 7 3 2 2 3 2 2 4" xfId="22864"/>
    <cellStyle name="쉼표 [0] 7 3 2 2 3 2 3" xfId="22866"/>
    <cellStyle name="쉼표 [0] 7 3 2 2 3 2 3 2" xfId="10255"/>
    <cellStyle name="쉼표 [0] 7 3 2 2 3 2 4" xfId="10258"/>
    <cellStyle name="쉼표 [0] 7 3 2 2 3 2 5" xfId="22863"/>
    <cellStyle name="쉼표 [0] 7 3 2 2 3 3" xfId="2779"/>
    <cellStyle name="쉼표 [0] 7 3 2 2 3 3 2" xfId="22868"/>
    <cellStyle name="쉼표 [0] 7 3 2 2 3 3 2 2" xfId="10253"/>
    <cellStyle name="쉼표 [0] 7 3 2 2 3 3 3" xfId="10254"/>
    <cellStyle name="쉼표 [0] 7 3 2 2 3 3 4" xfId="22867"/>
    <cellStyle name="쉼표 [0] 7 3 2 2 3 4" xfId="22869"/>
    <cellStyle name="쉼표 [0] 7 3 2 2 3 4 2" xfId="10252"/>
    <cellStyle name="쉼표 [0] 7 3 2 2 3 5" xfId="10259"/>
    <cellStyle name="쉼표 [0] 7 3 2 2 3 6" xfId="22862"/>
    <cellStyle name="쉼표 [0] 7 3 2 2 4" xfId="2780"/>
    <cellStyle name="쉼표 [0] 7 3 2 2 4 2" xfId="2781"/>
    <cellStyle name="쉼표 [0] 7 3 2 2 4 2 2" xfId="22872"/>
    <cellStyle name="쉼표 [0] 7 3 2 2 4 2 2 2" xfId="10249"/>
    <cellStyle name="쉼표 [0] 7 3 2 2 4 2 3" xfId="10250"/>
    <cellStyle name="쉼표 [0] 7 3 2 2 4 2 4" xfId="22871"/>
    <cellStyle name="쉼표 [0] 7 3 2 2 4 3" xfId="22873"/>
    <cellStyle name="쉼표 [0] 7 3 2 2 4 3 2" xfId="10248"/>
    <cellStyle name="쉼표 [0] 7 3 2 2 4 4" xfId="10251"/>
    <cellStyle name="쉼표 [0] 7 3 2 2 4 5" xfId="22870"/>
    <cellStyle name="쉼표 [0] 7 3 2 2 5" xfId="2782"/>
    <cellStyle name="쉼표 [0] 7 3 2 2 5 2" xfId="2783"/>
    <cellStyle name="쉼표 [0] 7 3 2 2 5 2 2" xfId="22876"/>
    <cellStyle name="쉼표 [0] 7 3 2 2 5 2 2 2" xfId="10245"/>
    <cellStyle name="쉼표 [0] 7 3 2 2 5 2 3" xfId="10246"/>
    <cellStyle name="쉼표 [0] 7 3 2 2 5 2 4" xfId="22875"/>
    <cellStyle name="쉼표 [0] 7 3 2 2 5 3" xfId="22877"/>
    <cellStyle name="쉼표 [0] 7 3 2 2 5 3 2" xfId="10244"/>
    <cellStyle name="쉼표 [0] 7 3 2 2 5 4" xfId="10247"/>
    <cellStyle name="쉼표 [0] 7 3 2 2 5 5" xfId="22874"/>
    <cellStyle name="쉼표 [0] 7 3 2 2 6" xfId="22878"/>
    <cellStyle name="쉼표 [0] 7 3 2 2 6 2" xfId="22879"/>
    <cellStyle name="쉼표 [0] 7 3 2 2 6 2 2" xfId="10242"/>
    <cellStyle name="쉼표 [0] 7 3 2 2 6 3" xfId="10243"/>
    <cellStyle name="쉼표 [0] 7 3 2 2 7" xfId="22880"/>
    <cellStyle name="쉼표 [0] 7 3 2 2 7 2" xfId="10241"/>
    <cellStyle name="쉼표 [0] 7 3 2 2 8" xfId="10272"/>
    <cellStyle name="쉼표 [0] 7 3 2 2 9" xfId="28422"/>
    <cellStyle name="쉼표 [0] 7 3 2 3" xfId="2784"/>
    <cellStyle name="쉼표 [0] 7 3 2 3 2" xfId="2785"/>
    <cellStyle name="쉼표 [0] 7 3 2 3 2 2" xfId="2786"/>
    <cellStyle name="쉼표 [0] 7 3 2 3 2 2 2" xfId="22884"/>
    <cellStyle name="쉼표 [0] 7 3 2 3 2 2 2 2" xfId="10237"/>
    <cellStyle name="쉼표 [0] 7 3 2 3 2 2 3" xfId="10238"/>
    <cellStyle name="쉼표 [0] 7 3 2 3 2 2 4" xfId="22883"/>
    <cellStyle name="쉼표 [0] 7 3 2 3 2 3" xfId="22885"/>
    <cellStyle name="쉼표 [0] 7 3 2 3 2 3 2" xfId="10236"/>
    <cellStyle name="쉼표 [0] 7 3 2 3 2 4" xfId="10239"/>
    <cellStyle name="쉼표 [0] 7 3 2 3 2 5" xfId="22882"/>
    <cellStyle name="쉼표 [0] 7 3 2 3 3" xfId="2787"/>
    <cellStyle name="쉼표 [0] 7 3 2 3 3 2" xfId="2788"/>
    <cellStyle name="쉼표 [0] 7 3 2 3 3 2 2" xfId="22888"/>
    <cellStyle name="쉼표 [0] 7 3 2 3 3 2 2 2" xfId="10233"/>
    <cellStyle name="쉼표 [0] 7 3 2 3 3 2 3" xfId="10234"/>
    <cellStyle name="쉼표 [0] 7 3 2 3 3 2 4" xfId="22887"/>
    <cellStyle name="쉼표 [0] 7 3 2 3 3 3" xfId="22889"/>
    <cellStyle name="쉼표 [0] 7 3 2 3 3 3 2" xfId="10232"/>
    <cellStyle name="쉼표 [0] 7 3 2 3 3 4" xfId="10235"/>
    <cellStyle name="쉼표 [0] 7 3 2 3 3 5" xfId="22886"/>
    <cellStyle name="쉼표 [0] 7 3 2 3 4" xfId="2789"/>
    <cellStyle name="쉼표 [0] 7 3 2 3 4 2" xfId="22891"/>
    <cellStyle name="쉼표 [0] 7 3 2 3 4 2 2" xfId="10230"/>
    <cellStyle name="쉼표 [0] 7 3 2 3 4 3" xfId="10231"/>
    <cellStyle name="쉼표 [0] 7 3 2 3 4 4" xfId="22890"/>
    <cellStyle name="쉼표 [0] 7 3 2 3 5" xfId="22892"/>
    <cellStyle name="쉼표 [0] 7 3 2 3 5 2" xfId="22893"/>
    <cellStyle name="쉼표 [0] 7 3 2 3 5 2 2" xfId="10228"/>
    <cellStyle name="쉼표 [0] 7 3 2 3 5 3" xfId="10229"/>
    <cellStyle name="쉼표 [0] 7 3 2 3 6" xfId="22894"/>
    <cellStyle name="쉼표 [0] 7 3 2 3 6 2" xfId="10227"/>
    <cellStyle name="쉼표 [0] 7 3 2 3 7" xfId="10240"/>
    <cellStyle name="쉼표 [0] 7 3 2 3 8" xfId="22881"/>
    <cellStyle name="쉼표 [0] 7 3 2 4" xfId="2790"/>
    <cellStyle name="쉼표 [0] 7 3 2 4 2" xfId="2791"/>
    <cellStyle name="쉼표 [0] 7 3 2 4 2 2" xfId="2792"/>
    <cellStyle name="쉼표 [0] 7 3 2 4 2 2 2" xfId="22898"/>
    <cellStyle name="쉼표 [0] 7 3 2 4 2 2 2 2" xfId="10223"/>
    <cellStyle name="쉼표 [0] 7 3 2 4 2 2 3" xfId="10224"/>
    <cellStyle name="쉼표 [0] 7 3 2 4 2 2 4" xfId="22897"/>
    <cellStyle name="쉼표 [0] 7 3 2 4 2 3" xfId="22899"/>
    <cellStyle name="쉼표 [0] 7 3 2 4 2 3 2" xfId="10222"/>
    <cellStyle name="쉼표 [0] 7 3 2 4 2 4" xfId="10225"/>
    <cellStyle name="쉼표 [0] 7 3 2 4 2 5" xfId="22896"/>
    <cellStyle name="쉼표 [0] 7 3 2 4 3" xfId="2793"/>
    <cellStyle name="쉼표 [0] 7 3 2 4 3 2" xfId="22901"/>
    <cellStyle name="쉼표 [0] 7 3 2 4 3 2 2" xfId="10220"/>
    <cellStyle name="쉼표 [0] 7 3 2 4 3 3" xfId="10221"/>
    <cellStyle name="쉼표 [0] 7 3 2 4 3 4" xfId="22900"/>
    <cellStyle name="쉼표 [0] 7 3 2 4 4" xfId="22902"/>
    <cellStyle name="쉼표 [0] 7 3 2 4 4 2" xfId="22903"/>
    <cellStyle name="쉼표 [0] 7 3 2 4 4 2 2" xfId="10218"/>
    <cellStyle name="쉼표 [0] 7 3 2 4 4 3" xfId="10219"/>
    <cellStyle name="쉼표 [0] 7 3 2 4 5" xfId="22904"/>
    <cellStyle name="쉼표 [0] 7 3 2 4 5 2" xfId="10217"/>
    <cellStyle name="쉼표 [0] 7 3 2 4 6" xfId="10226"/>
    <cellStyle name="쉼표 [0] 7 3 2 4 7" xfId="22895"/>
    <cellStyle name="쉼표 [0] 7 3 2 5" xfId="2794"/>
    <cellStyle name="쉼표 [0] 7 3 2 5 2" xfId="2795"/>
    <cellStyle name="쉼표 [0] 7 3 2 5 2 2" xfId="22907"/>
    <cellStyle name="쉼표 [0] 7 3 2 5 2 2 2" xfId="10214"/>
    <cellStyle name="쉼표 [0] 7 3 2 5 2 3" xfId="10215"/>
    <cellStyle name="쉼표 [0] 7 3 2 5 2 4" xfId="22906"/>
    <cellStyle name="쉼표 [0] 7 3 2 5 3" xfId="22908"/>
    <cellStyle name="쉼표 [0] 7 3 2 5 3 2" xfId="10213"/>
    <cellStyle name="쉼표 [0] 7 3 2 5 4" xfId="10216"/>
    <cellStyle name="쉼표 [0] 7 3 2 5 5" xfId="22905"/>
    <cellStyle name="쉼표 [0] 7 3 2 6" xfId="2796"/>
    <cellStyle name="쉼표 [0] 7 3 2 6 2" xfId="2797"/>
    <cellStyle name="쉼표 [0] 7 3 2 6 2 2" xfId="22911"/>
    <cellStyle name="쉼표 [0] 7 3 2 6 2 2 2" xfId="10210"/>
    <cellStyle name="쉼표 [0] 7 3 2 6 2 3" xfId="10211"/>
    <cellStyle name="쉼표 [0] 7 3 2 6 2 4" xfId="22910"/>
    <cellStyle name="쉼표 [0] 7 3 2 6 3" xfId="22912"/>
    <cellStyle name="쉼표 [0] 7 3 2 6 3 2" xfId="10209"/>
    <cellStyle name="쉼표 [0] 7 3 2 6 4" xfId="10212"/>
    <cellStyle name="쉼표 [0] 7 3 2 6 5" xfId="22909"/>
    <cellStyle name="쉼표 [0] 7 3 2 7" xfId="22913"/>
    <cellStyle name="쉼표 [0] 7 3 2 7 2" xfId="22914"/>
    <cellStyle name="쉼표 [0] 7 3 2 7 2 2" xfId="10207"/>
    <cellStyle name="쉼표 [0] 7 3 2 7 3" xfId="10208"/>
    <cellStyle name="쉼표 [0] 7 3 2 8" xfId="22915"/>
    <cellStyle name="쉼표 [0] 7 3 2 8 2" xfId="10206"/>
    <cellStyle name="쉼표 [0] 7 3 2 9" xfId="10273"/>
    <cellStyle name="쉼표 [0] 7 3 3" xfId="2798"/>
    <cellStyle name="쉼표 [0] 7 3 3 10" xfId="22916"/>
    <cellStyle name="쉼표 [0] 7 3 3 2" xfId="2799"/>
    <cellStyle name="쉼표 [0] 7 3 3 2 2" xfId="2800"/>
    <cellStyle name="쉼표 [0] 7 3 3 2 2 2" xfId="2801"/>
    <cellStyle name="쉼표 [0] 7 3 3 2 2 2 2" xfId="22920"/>
    <cellStyle name="쉼표 [0] 7 3 3 2 2 2 2 2" xfId="10201"/>
    <cellStyle name="쉼표 [0] 7 3 3 2 2 2 3" xfId="10202"/>
    <cellStyle name="쉼표 [0] 7 3 3 2 2 2 4" xfId="22919"/>
    <cellStyle name="쉼표 [0] 7 3 3 2 2 3" xfId="22921"/>
    <cellStyle name="쉼표 [0] 7 3 3 2 2 3 2" xfId="10200"/>
    <cellStyle name="쉼표 [0] 7 3 3 2 2 4" xfId="10203"/>
    <cellStyle name="쉼표 [0] 7 3 3 2 2 5" xfId="22918"/>
    <cellStyle name="쉼표 [0] 7 3 3 2 3" xfId="2802"/>
    <cellStyle name="쉼표 [0] 7 3 3 2 3 2" xfId="2803"/>
    <cellStyle name="쉼표 [0] 7 3 3 2 3 2 2" xfId="22924"/>
    <cellStyle name="쉼표 [0] 7 3 3 2 3 2 2 2" xfId="10197"/>
    <cellStyle name="쉼표 [0] 7 3 3 2 3 2 3" xfId="10198"/>
    <cellStyle name="쉼표 [0] 7 3 3 2 3 2 4" xfId="22923"/>
    <cellStyle name="쉼표 [0] 7 3 3 2 3 3" xfId="22925"/>
    <cellStyle name="쉼표 [0] 7 3 3 2 3 3 2" xfId="10196"/>
    <cellStyle name="쉼표 [0] 7 3 3 2 3 4" xfId="10199"/>
    <cellStyle name="쉼표 [0] 7 3 3 2 3 5" xfId="22922"/>
    <cellStyle name="쉼표 [0] 7 3 3 2 4" xfId="2804"/>
    <cellStyle name="쉼표 [0] 7 3 3 2 4 2" xfId="2805"/>
    <cellStyle name="쉼표 [0] 7 3 3 2 4 2 2" xfId="22928"/>
    <cellStyle name="쉼표 [0] 7 3 3 2 4 2 2 2" xfId="10193"/>
    <cellStyle name="쉼표 [0] 7 3 3 2 4 2 3" xfId="10194"/>
    <cellStyle name="쉼표 [0] 7 3 3 2 4 2 4" xfId="22927"/>
    <cellStyle name="쉼표 [0] 7 3 3 2 4 3" xfId="22929"/>
    <cellStyle name="쉼표 [0] 7 3 3 2 4 3 2" xfId="10192"/>
    <cellStyle name="쉼표 [0] 7 3 3 2 4 4" xfId="10195"/>
    <cellStyle name="쉼표 [0] 7 3 3 2 4 5" xfId="22926"/>
    <cellStyle name="쉼표 [0] 7 3 3 2 5" xfId="22930"/>
    <cellStyle name="쉼표 [0] 7 3 3 2 5 2" xfId="10191"/>
    <cellStyle name="쉼표 [0] 7 3 3 2 6" xfId="10204"/>
    <cellStyle name="쉼표 [0] 7 3 3 2 7" xfId="28420"/>
    <cellStyle name="쉼표 [0] 7 3 3 2 8" xfId="22917"/>
    <cellStyle name="쉼표 [0] 7 3 3 3" xfId="2806"/>
    <cellStyle name="쉼표 [0] 7 3 3 3 2" xfId="2807"/>
    <cellStyle name="쉼표 [0] 7 3 3 3 2 2" xfId="2808"/>
    <cellStyle name="쉼표 [0] 7 3 3 3 2 2 2" xfId="22934"/>
    <cellStyle name="쉼표 [0] 7 3 3 3 2 2 2 2" xfId="10187"/>
    <cellStyle name="쉼표 [0] 7 3 3 3 2 2 3" xfId="10188"/>
    <cellStyle name="쉼표 [0] 7 3 3 3 2 2 4" xfId="22933"/>
    <cellStyle name="쉼표 [0] 7 3 3 3 2 3" xfId="22935"/>
    <cellStyle name="쉼표 [0] 7 3 3 3 2 3 2" xfId="10186"/>
    <cellStyle name="쉼표 [0] 7 3 3 3 2 4" xfId="10189"/>
    <cellStyle name="쉼표 [0] 7 3 3 3 2 5" xfId="22932"/>
    <cellStyle name="쉼표 [0] 7 3 3 3 3" xfId="2809"/>
    <cellStyle name="쉼표 [0] 7 3 3 3 3 2" xfId="22937"/>
    <cellStyle name="쉼표 [0] 7 3 3 3 3 2 2" xfId="10184"/>
    <cellStyle name="쉼표 [0] 7 3 3 3 3 3" xfId="10185"/>
    <cellStyle name="쉼표 [0] 7 3 3 3 3 4" xfId="22936"/>
    <cellStyle name="쉼표 [0] 7 3 3 3 4" xfId="22938"/>
    <cellStyle name="쉼표 [0] 7 3 3 3 4 2" xfId="10183"/>
    <cellStyle name="쉼표 [0] 7 3 3 3 5" xfId="10190"/>
    <cellStyle name="쉼표 [0] 7 3 3 3 6" xfId="22931"/>
    <cellStyle name="쉼표 [0] 7 3 3 4" xfId="2810"/>
    <cellStyle name="쉼표 [0] 7 3 3 4 2" xfId="2811"/>
    <cellStyle name="쉼표 [0] 7 3 3 4 2 2" xfId="22941"/>
    <cellStyle name="쉼표 [0] 7 3 3 4 2 2 2" xfId="10180"/>
    <cellStyle name="쉼표 [0] 7 3 3 4 2 3" xfId="10181"/>
    <cellStyle name="쉼표 [0] 7 3 3 4 2 4" xfId="22940"/>
    <cellStyle name="쉼표 [0] 7 3 3 4 3" xfId="22942"/>
    <cellStyle name="쉼표 [0] 7 3 3 4 3 2" xfId="10179"/>
    <cellStyle name="쉼표 [0] 7 3 3 4 4" xfId="10182"/>
    <cellStyle name="쉼표 [0] 7 3 3 4 5" xfId="22939"/>
    <cellStyle name="쉼표 [0] 7 3 3 5" xfId="2812"/>
    <cellStyle name="쉼표 [0] 7 3 3 5 2" xfId="2813"/>
    <cellStyle name="쉼표 [0] 7 3 3 5 2 2" xfId="22945"/>
    <cellStyle name="쉼표 [0] 7 3 3 5 2 2 2" xfId="10176"/>
    <cellStyle name="쉼표 [0] 7 3 3 5 2 3" xfId="10177"/>
    <cellStyle name="쉼표 [0] 7 3 3 5 2 4" xfId="22944"/>
    <cellStyle name="쉼표 [0] 7 3 3 5 3" xfId="22946"/>
    <cellStyle name="쉼표 [0] 7 3 3 5 3 2" xfId="10175"/>
    <cellStyle name="쉼표 [0] 7 3 3 5 4" xfId="10178"/>
    <cellStyle name="쉼표 [0] 7 3 3 5 5" xfId="22943"/>
    <cellStyle name="쉼표 [0] 7 3 3 6" xfId="22947"/>
    <cellStyle name="쉼표 [0] 7 3 3 6 2" xfId="22948"/>
    <cellStyle name="쉼표 [0] 7 3 3 6 2 2" xfId="10173"/>
    <cellStyle name="쉼표 [0] 7 3 3 6 3" xfId="10174"/>
    <cellStyle name="쉼표 [0] 7 3 3 7" xfId="22949"/>
    <cellStyle name="쉼표 [0] 7 3 3 7 2" xfId="10172"/>
    <cellStyle name="쉼표 [0] 7 3 3 8" xfId="10205"/>
    <cellStyle name="쉼표 [0] 7 3 3 9" xfId="28421"/>
    <cellStyle name="쉼표 [0] 7 3 4" xfId="2814"/>
    <cellStyle name="쉼표 [0] 7 3 4 2" xfId="2815"/>
    <cellStyle name="쉼표 [0] 7 3 4 2 2" xfId="2816"/>
    <cellStyle name="쉼표 [0] 7 3 4 2 2 2" xfId="22953"/>
    <cellStyle name="쉼표 [0] 7 3 4 2 2 2 2" xfId="10168"/>
    <cellStyle name="쉼표 [0] 7 3 4 2 2 3" xfId="10169"/>
    <cellStyle name="쉼표 [0] 7 3 4 2 2 4" xfId="22952"/>
    <cellStyle name="쉼표 [0] 7 3 4 2 3" xfId="22954"/>
    <cellStyle name="쉼표 [0] 7 3 4 2 3 2" xfId="10167"/>
    <cellStyle name="쉼표 [0] 7 3 4 2 4" xfId="10170"/>
    <cellStyle name="쉼표 [0] 7 3 4 2 5" xfId="22951"/>
    <cellStyle name="쉼표 [0] 7 3 4 3" xfId="2817"/>
    <cellStyle name="쉼표 [0] 7 3 4 3 2" xfId="2818"/>
    <cellStyle name="쉼표 [0] 7 3 4 3 2 2" xfId="22957"/>
    <cellStyle name="쉼표 [0] 7 3 4 3 2 2 2" xfId="10164"/>
    <cellStyle name="쉼표 [0] 7 3 4 3 2 3" xfId="10165"/>
    <cellStyle name="쉼표 [0] 7 3 4 3 2 4" xfId="22956"/>
    <cellStyle name="쉼표 [0] 7 3 4 3 3" xfId="22958"/>
    <cellStyle name="쉼표 [0] 7 3 4 3 3 2" xfId="10163"/>
    <cellStyle name="쉼표 [0] 7 3 4 3 4" xfId="10166"/>
    <cellStyle name="쉼표 [0] 7 3 4 3 5" xfId="22955"/>
    <cellStyle name="쉼표 [0] 7 3 4 4" xfId="2819"/>
    <cellStyle name="쉼표 [0] 7 3 4 4 2" xfId="2820"/>
    <cellStyle name="쉼표 [0] 7 3 4 4 2 2" xfId="22961"/>
    <cellStyle name="쉼표 [0] 7 3 4 4 2 2 2" xfId="10160"/>
    <cellStyle name="쉼표 [0] 7 3 4 4 2 3" xfId="10161"/>
    <cellStyle name="쉼표 [0] 7 3 4 4 2 4" xfId="22960"/>
    <cellStyle name="쉼표 [0] 7 3 4 4 3" xfId="22962"/>
    <cellStyle name="쉼표 [0] 7 3 4 4 3 2" xfId="10159"/>
    <cellStyle name="쉼표 [0] 7 3 4 4 4" xfId="10162"/>
    <cellStyle name="쉼표 [0] 7 3 4 4 5" xfId="22959"/>
    <cellStyle name="쉼표 [0] 7 3 4 5" xfId="22963"/>
    <cellStyle name="쉼표 [0] 7 3 4 5 2" xfId="22964"/>
    <cellStyle name="쉼표 [0] 7 3 4 5 2 2" xfId="10157"/>
    <cellStyle name="쉼표 [0] 7 3 4 5 3" xfId="10158"/>
    <cellStyle name="쉼표 [0] 7 3 4 6" xfId="22965"/>
    <cellStyle name="쉼표 [0] 7 3 4 6 2" xfId="10156"/>
    <cellStyle name="쉼표 [0] 7 3 4 7" xfId="10171"/>
    <cellStyle name="쉼표 [0] 7 3 4 8" xfId="28419"/>
    <cellStyle name="쉼표 [0] 7 3 4 9" xfId="22950"/>
    <cellStyle name="쉼표 [0] 7 3 5" xfId="2821"/>
    <cellStyle name="쉼표 [0] 7 3 5 2" xfId="2822"/>
    <cellStyle name="쉼표 [0] 7 3 5 2 2" xfId="2823"/>
    <cellStyle name="쉼표 [0] 7 3 5 2 2 2" xfId="22969"/>
    <cellStyle name="쉼표 [0] 7 3 5 2 2 2 2" xfId="10152"/>
    <cellStyle name="쉼표 [0] 7 3 5 2 2 3" xfId="10153"/>
    <cellStyle name="쉼표 [0] 7 3 5 2 2 4" xfId="22968"/>
    <cellStyle name="쉼표 [0] 7 3 5 2 3" xfId="22970"/>
    <cellStyle name="쉼표 [0] 7 3 5 2 3 2" xfId="10151"/>
    <cellStyle name="쉼표 [0] 7 3 5 2 4" xfId="10154"/>
    <cellStyle name="쉼표 [0] 7 3 5 2 5" xfId="22967"/>
    <cellStyle name="쉼표 [0] 7 3 5 3" xfId="2824"/>
    <cellStyle name="쉼표 [0] 7 3 5 3 2" xfId="22972"/>
    <cellStyle name="쉼표 [0] 7 3 5 3 2 2" xfId="10149"/>
    <cellStyle name="쉼표 [0] 7 3 5 3 3" xfId="10150"/>
    <cellStyle name="쉼표 [0] 7 3 5 3 4" xfId="22971"/>
    <cellStyle name="쉼표 [0] 7 3 5 4" xfId="22973"/>
    <cellStyle name="쉼표 [0] 7 3 5 4 2" xfId="22974"/>
    <cellStyle name="쉼표 [0] 7 3 5 4 2 2" xfId="10147"/>
    <cellStyle name="쉼표 [0] 7 3 5 4 3" xfId="10148"/>
    <cellStyle name="쉼표 [0] 7 3 5 5" xfId="22975"/>
    <cellStyle name="쉼표 [0] 7 3 5 5 2" xfId="10146"/>
    <cellStyle name="쉼표 [0] 7 3 5 6" xfId="10155"/>
    <cellStyle name="쉼표 [0] 7 3 5 7" xfId="22966"/>
    <cellStyle name="쉼표 [0] 7 3 6" xfId="2825"/>
    <cellStyle name="쉼표 [0] 7 3 6 2" xfId="2826"/>
    <cellStyle name="쉼표 [0] 7 3 6 2 2" xfId="22978"/>
    <cellStyle name="쉼표 [0] 7 3 6 2 2 2" xfId="10143"/>
    <cellStyle name="쉼표 [0] 7 3 6 2 3" xfId="10144"/>
    <cellStyle name="쉼표 [0] 7 3 6 2 4" xfId="22977"/>
    <cellStyle name="쉼표 [0] 7 3 6 3" xfId="22979"/>
    <cellStyle name="쉼표 [0] 7 3 6 3 2" xfId="22980"/>
    <cellStyle name="쉼표 [0] 7 3 6 3 2 2" xfId="10141"/>
    <cellStyle name="쉼표 [0] 7 3 6 3 3" xfId="10142"/>
    <cellStyle name="쉼표 [0] 7 3 6 4" xfId="22981"/>
    <cellStyle name="쉼표 [0] 7 3 6 4 2" xfId="10140"/>
    <cellStyle name="쉼표 [0] 7 3 6 5" xfId="10145"/>
    <cellStyle name="쉼표 [0] 7 3 6 6" xfId="22976"/>
    <cellStyle name="쉼표 [0] 7 3 7" xfId="2827"/>
    <cellStyle name="쉼표 [0] 7 3 7 2" xfId="2828"/>
    <cellStyle name="쉼표 [0] 7 3 7 2 2" xfId="22984"/>
    <cellStyle name="쉼표 [0] 7 3 7 2 2 2" xfId="10137"/>
    <cellStyle name="쉼표 [0] 7 3 7 2 3" xfId="10138"/>
    <cellStyle name="쉼표 [0] 7 3 7 2 4" xfId="22983"/>
    <cellStyle name="쉼표 [0] 7 3 7 3" xfId="22985"/>
    <cellStyle name="쉼표 [0] 7 3 7 3 2" xfId="10136"/>
    <cellStyle name="쉼표 [0] 7 3 7 4" xfId="10139"/>
    <cellStyle name="쉼표 [0] 7 3 7 5" xfId="22982"/>
    <cellStyle name="쉼표 [0] 7 3 8" xfId="22986"/>
    <cellStyle name="쉼표 [0] 7 3 8 2" xfId="22987"/>
    <cellStyle name="쉼표 [0] 7 3 8 2 2" xfId="10134"/>
    <cellStyle name="쉼표 [0] 7 3 8 3" xfId="10135"/>
    <cellStyle name="쉼표 [0] 7 3 9" xfId="22988"/>
    <cellStyle name="쉼표 [0] 7 3 9 2" xfId="10133"/>
    <cellStyle name="쉼표 [0] 7 4" xfId="2829"/>
    <cellStyle name="쉼표 [0] 7 4 10" xfId="22990"/>
    <cellStyle name="쉼표 [0] 7 4 10 2" xfId="10131"/>
    <cellStyle name="쉼표 [0] 7 4 11" xfId="22991"/>
    <cellStyle name="쉼표 [0] 7 4 11 2" xfId="10130"/>
    <cellStyle name="쉼표 [0] 7 4 12" xfId="10132"/>
    <cellStyle name="쉼표 [0] 7 4 13" xfId="28418"/>
    <cellStyle name="쉼표 [0] 7 4 14" xfId="22989"/>
    <cellStyle name="쉼표 [0] 7 4 15" xfId="29591"/>
    <cellStyle name="쉼표 [0] 7 4 2" xfId="2830"/>
    <cellStyle name="쉼표 [0] 7 4 2 10" xfId="28417"/>
    <cellStyle name="쉼표 [0] 7 4 2 11" xfId="22992"/>
    <cellStyle name="쉼표 [0] 7 4 2 12" xfId="29750"/>
    <cellStyle name="쉼표 [0] 7 4 2 2" xfId="2831"/>
    <cellStyle name="쉼표 [0] 7 4 2 2 2" xfId="2832"/>
    <cellStyle name="쉼표 [0] 7 4 2 2 2 2" xfId="2833"/>
    <cellStyle name="쉼표 [0] 7 4 2 2 2 2 2" xfId="2834"/>
    <cellStyle name="쉼표 [0] 7 4 2 2 2 2 2 2" xfId="22997"/>
    <cellStyle name="쉼표 [0] 7 4 2 2 2 2 2 2 2" xfId="10124"/>
    <cellStyle name="쉼표 [0] 7 4 2 2 2 2 2 3" xfId="10125"/>
    <cellStyle name="쉼표 [0] 7 4 2 2 2 2 2 4" xfId="22996"/>
    <cellStyle name="쉼표 [0] 7 4 2 2 2 2 3" xfId="22998"/>
    <cellStyle name="쉼표 [0] 7 4 2 2 2 2 3 2" xfId="10123"/>
    <cellStyle name="쉼표 [0] 7 4 2 2 2 2 4" xfId="10126"/>
    <cellStyle name="쉼표 [0] 7 4 2 2 2 2 5" xfId="22995"/>
    <cellStyle name="쉼표 [0] 7 4 2 2 2 3" xfId="22999"/>
    <cellStyle name="쉼표 [0] 7 4 2 2 2 3 2" xfId="10122"/>
    <cellStyle name="쉼표 [0] 7 4 2 2 2 4" xfId="10127"/>
    <cellStyle name="쉼표 [0] 7 4 2 2 2 5" xfId="28415"/>
    <cellStyle name="쉼표 [0] 7 4 2 2 2 6" xfId="22994"/>
    <cellStyle name="쉼표 [0] 7 4 2 2 3" xfId="2835"/>
    <cellStyle name="쉼표 [0] 7 4 2 2 3 2" xfId="2836"/>
    <cellStyle name="쉼표 [0] 7 4 2 2 3 2 2" xfId="23002"/>
    <cellStyle name="쉼표 [0] 7 4 2 2 3 2 2 2" xfId="10119"/>
    <cellStyle name="쉼표 [0] 7 4 2 2 3 2 3" xfId="10120"/>
    <cellStyle name="쉼표 [0] 7 4 2 2 3 2 4" xfId="23001"/>
    <cellStyle name="쉼표 [0] 7 4 2 2 3 3" xfId="23003"/>
    <cellStyle name="쉼표 [0] 7 4 2 2 3 3 2" xfId="10118"/>
    <cellStyle name="쉼표 [0] 7 4 2 2 3 4" xfId="10121"/>
    <cellStyle name="쉼표 [0] 7 4 2 2 3 5" xfId="23000"/>
    <cellStyle name="쉼표 [0] 7 4 2 2 4" xfId="2837"/>
    <cellStyle name="쉼표 [0] 7 4 2 2 4 2" xfId="2838"/>
    <cellStyle name="쉼표 [0] 7 4 2 2 4 2 2" xfId="23006"/>
    <cellStyle name="쉼표 [0] 7 4 2 2 4 2 2 2" xfId="10115"/>
    <cellStyle name="쉼표 [0] 7 4 2 2 4 2 3" xfId="10116"/>
    <cellStyle name="쉼표 [0] 7 4 2 2 4 2 4" xfId="23005"/>
    <cellStyle name="쉼표 [0] 7 4 2 2 4 3" xfId="23007"/>
    <cellStyle name="쉼표 [0] 7 4 2 2 4 3 2" xfId="10114"/>
    <cellStyle name="쉼표 [0] 7 4 2 2 4 4" xfId="10117"/>
    <cellStyle name="쉼표 [0] 7 4 2 2 4 5" xfId="23004"/>
    <cellStyle name="쉼표 [0] 7 4 2 2 5" xfId="23008"/>
    <cellStyle name="쉼표 [0] 7 4 2 2 5 2" xfId="23009"/>
    <cellStyle name="쉼표 [0] 7 4 2 2 5 2 2" xfId="10112"/>
    <cellStyle name="쉼표 [0] 7 4 2 2 5 3" xfId="10113"/>
    <cellStyle name="쉼표 [0] 7 4 2 2 6" xfId="23010"/>
    <cellStyle name="쉼표 [0] 7 4 2 2 6 2" xfId="10111"/>
    <cellStyle name="쉼표 [0] 7 4 2 2 7" xfId="10128"/>
    <cellStyle name="쉼표 [0] 7 4 2 2 8" xfId="28416"/>
    <cellStyle name="쉼표 [0] 7 4 2 2 9" xfId="22993"/>
    <cellStyle name="쉼표 [0] 7 4 2 3" xfId="2839"/>
    <cellStyle name="쉼표 [0] 7 4 2 3 2" xfId="2840"/>
    <cellStyle name="쉼표 [0] 7 4 2 3 2 2" xfId="2841"/>
    <cellStyle name="쉼표 [0] 7 4 2 3 2 2 2" xfId="23014"/>
    <cellStyle name="쉼표 [0] 7 4 2 3 2 2 2 2" xfId="10107"/>
    <cellStyle name="쉼표 [0] 7 4 2 3 2 2 3" xfId="10108"/>
    <cellStyle name="쉼표 [0] 7 4 2 3 2 2 4" xfId="28412"/>
    <cellStyle name="쉼표 [0] 7 4 2 3 2 2 5" xfId="23013"/>
    <cellStyle name="쉼표 [0] 7 4 2 3 2 3" xfId="2842"/>
    <cellStyle name="쉼표 [0] 7 4 2 3 2 3 2" xfId="2843"/>
    <cellStyle name="쉼표 [0] 7 4 2 3 2 3 2 2" xfId="23017"/>
    <cellStyle name="쉼표 [0] 7 4 2 3 2 3 2 2 2" xfId="10104"/>
    <cellStyle name="쉼표 [0] 7 4 2 3 2 3 2 3" xfId="10105"/>
    <cellStyle name="쉼표 [0] 7 4 2 3 2 3 2 4" xfId="23016"/>
    <cellStyle name="쉼표 [0] 7 4 2 3 2 3 3" xfId="23018"/>
    <cellStyle name="쉼표 [0] 7 4 2 3 2 3 3 2" xfId="10103"/>
    <cellStyle name="쉼표 [0] 7 4 2 3 2 3 4" xfId="10106"/>
    <cellStyle name="쉼표 [0] 7 4 2 3 2 3 5" xfId="23015"/>
    <cellStyle name="쉼표 [0] 7 4 2 3 2 4" xfId="23019"/>
    <cellStyle name="쉼표 [0] 7 4 2 3 2 4 2" xfId="10102"/>
    <cellStyle name="쉼표 [0] 7 4 2 3 2 5" xfId="10109"/>
    <cellStyle name="쉼표 [0] 7 4 2 3 2 6" xfId="28413"/>
    <cellStyle name="쉼표 [0] 7 4 2 3 2 7" xfId="23012"/>
    <cellStyle name="쉼표 [0] 7 4 2 3 3" xfId="2844"/>
    <cellStyle name="쉼표 [0] 7 4 2 3 3 2" xfId="23021"/>
    <cellStyle name="쉼표 [0] 7 4 2 3 3 2 2" xfId="10100"/>
    <cellStyle name="쉼표 [0] 7 4 2 3 3 3" xfId="10101"/>
    <cellStyle name="쉼표 [0] 7 4 2 3 3 4" xfId="28411"/>
    <cellStyle name="쉼표 [0] 7 4 2 3 3 5" xfId="23020"/>
    <cellStyle name="쉼표 [0] 7 4 2 3 4" xfId="2845"/>
    <cellStyle name="쉼표 [0] 7 4 2 3 4 2" xfId="2846"/>
    <cellStyle name="쉼표 [0] 7 4 2 3 4 2 2" xfId="23024"/>
    <cellStyle name="쉼표 [0] 7 4 2 3 4 2 2 2" xfId="10097"/>
    <cellStyle name="쉼표 [0] 7 4 2 3 4 2 3" xfId="10098"/>
    <cellStyle name="쉼표 [0] 7 4 2 3 4 2 4" xfId="23023"/>
    <cellStyle name="쉼표 [0] 7 4 2 3 4 3" xfId="23025"/>
    <cellStyle name="쉼표 [0] 7 4 2 3 4 3 2" xfId="10096"/>
    <cellStyle name="쉼표 [0] 7 4 2 3 4 4" xfId="10099"/>
    <cellStyle name="쉼표 [0] 7 4 2 3 4 5" xfId="23022"/>
    <cellStyle name="쉼표 [0] 7 4 2 3 5" xfId="23026"/>
    <cellStyle name="쉼표 [0] 7 4 2 3 5 2" xfId="23027"/>
    <cellStyle name="쉼표 [0] 7 4 2 3 5 2 2" xfId="10094"/>
    <cellStyle name="쉼표 [0] 7 4 2 3 5 3" xfId="10095"/>
    <cellStyle name="쉼표 [0] 7 4 2 3 6" xfId="23028"/>
    <cellStyle name="쉼표 [0] 7 4 2 3 6 2" xfId="10093"/>
    <cellStyle name="쉼표 [0] 7 4 2 3 7" xfId="10110"/>
    <cellStyle name="쉼표 [0] 7 4 2 3 8" xfId="28414"/>
    <cellStyle name="쉼표 [0] 7 4 2 3 9" xfId="23011"/>
    <cellStyle name="쉼표 [0] 7 4 2 4" xfId="2847"/>
    <cellStyle name="쉼표 [0] 7 4 2 4 2" xfId="2848"/>
    <cellStyle name="쉼표 [0] 7 4 2 4 2 2" xfId="23031"/>
    <cellStyle name="쉼표 [0] 7 4 2 4 2 2 2" xfId="10090"/>
    <cellStyle name="쉼표 [0] 7 4 2 4 2 3" xfId="10091"/>
    <cellStyle name="쉼표 [0] 7 4 2 4 2 4" xfId="28409"/>
    <cellStyle name="쉼표 [0] 7 4 2 4 2 5" xfId="23030"/>
    <cellStyle name="쉼표 [0] 7 4 2 4 3" xfId="2849"/>
    <cellStyle name="쉼표 [0] 7 4 2 4 3 2" xfId="2850"/>
    <cellStyle name="쉼표 [0] 7 4 2 4 3 2 2" xfId="23034"/>
    <cellStyle name="쉼표 [0] 7 4 2 4 3 2 2 2" xfId="10087"/>
    <cellStyle name="쉼표 [0] 7 4 2 4 3 2 3" xfId="10088"/>
    <cellStyle name="쉼표 [0] 7 4 2 4 3 2 4" xfId="23033"/>
    <cellStyle name="쉼표 [0] 7 4 2 4 3 3" xfId="23035"/>
    <cellStyle name="쉼표 [0] 7 4 2 4 3 3 2" xfId="10086"/>
    <cellStyle name="쉼표 [0] 7 4 2 4 3 4" xfId="10089"/>
    <cellStyle name="쉼표 [0] 7 4 2 4 3 5" xfId="23032"/>
    <cellStyle name="쉼표 [0] 7 4 2 4 4" xfId="23036"/>
    <cellStyle name="쉼표 [0] 7 4 2 4 4 2" xfId="23037"/>
    <cellStyle name="쉼표 [0] 7 4 2 4 4 2 2" xfId="10084"/>
    <cellStyle name="쉼표 [0] 7 4 2 4 4 3" xfId="10085"/>
    <cellStyle name="쉼표 [0] 7 4 2 4 5" xfId="23038"/>
    <cellStyle name="쉼표 [0] 7 4 2 4 5 2" xfId="10083"/>
    <cellStyle name="쉼표 [0] 7 4 2 4 6" xfId="10092"/>
    <cellStyle name="쉼표 [0] 7 4 2 4 7" xfId="28410"/>
    <cellStyle name="쉼표 [0] 7 4 2 4 8" xfId="23029"/>
    <cellStyle name="쉼표 [0] 7 4 2 5" xfId="2851"/>
    <cellStyle name="쉼표 [0] 7 4 2 5 2" xfId="23040"/>
    <cellStyle name="쉼표 [0] 7 4 2 5 2 2" xfId="10081"/>
    <cellStyle name="쉼표 [0] 7 4 2 5 3" xfId="10082"/>
    <cellStyle name="쉼표 [0] 7 4 2 5 4" xfId="28408"/>
    <cellStyle name="쉼표 [0] 7 4 2 5 5" xfId="23039"/>
    <cellStyle name="쉼표 [0] 7 4 2 6" xfId="2852"/>
    <cellStyle name="쉼표 [0] 7 4 2 6 2" xfId="2853"/>
    <cellStyle name="쉼표 [0] 7 4 2 6 2 2" xfId="23043"/>
    <cellStyle name="쉼표 [0] 7 4 2 6 2 2 2" xfId="10078"/>
    <cellStyle name="쉼표 [0] 7 4 2 6 2 3" xfId="10079"/>
    <cellStyle name="쉼표 [0] 7 4 2 6 2 4" xfId="23042"/>
    <cellStyle name="쉼표 [0] 7 4 2 6 3" xfId="23044"/>
    <cellStyle name="쉼표 [0] 7 4 2 6 3 2" xfId="10077"/>
    <cellStyle name="쉼표 [0] 7 4 2 6 4" xfId="10080"/>
    <cellStyle name="쉼표 [0] 7 4 2 6 5" xfId="23041"/>
    <cellStyle name="쉼표 [0] 7 4 2 7" xfId="23045"/>
    <cellStyle name="쉼표 [0] 7 4 2 7 2" xfId="23046"/>
    <cellStyle name="쉼표 [0] 7 4 2 7 2 2" xfId="10075"/>
    <cellStyle name="쉼표 [0] 7 4 2 7 3" xfId="10076"/>
    <cellStyle name="쉼표 [0] 7 4 2 8" xfId="23047"/>
    <cellStyle name="쉼표 [0] 7 4 2 8 2" xfId="10074"/>
    <cellStyle name="쉼표 [0] 7 4 2 9" xfId="10129"/>
    <cellStyle name="쉼표 [0] 7 4 3" xfId="2854"/>
    <cellStyle name="쉼표 [0] 7 4 3 2" xfId="2855"/>
    <cellStyle name="쉼표 [0] 7 4 3 2 2" xfId="2856"/>
    <cellStyle name="쉼표 [0] 7 4 3 2 2 2" xfId="2857"/>
    <cellStyle name="쉼표 [0] 7 4 3 2 2 2 2" xfId="23052"/>
    <cellStyle name="쉼표 [0] 7 4 3 2 2 2 2 2" xfId="10069"/>
    <cellStyle name="쉼표 [0] 7 4 3 2 2 2 3" xfId="10070"/>
    <cellStyle name="쉼표 [0] 7 4 3 2 2 2 4" xfId="23051"/>
    <cellStyle name="쉼표 [0] 7 4 3 2 2 3" xfId="23053"/>
    <cellStyle name="쉼표 [0] 7 4 3 2 2 3 2" xfId="10068"/>
    <cellStyle name="쉼표 [0] 7 4 3 2 2 4" xfId="10071"/>
    <cellStyle name="쉼표 [0] 7 4 3 2 2 5" xfId="23050"/>
    <cellStyle name="쉼표 [0] 7 4 3 2 3" xfId="23054"/>
    <cellStyle name="쉼표 [0] 7 4 3 2 3 2" xfId="10067"/>
    <cellStyle name="쉼표 [0] 7 4 3 2 4" xfId="10072"/>
    <cellStyle name="쉼표 [0] 7 4 3 2 5" xfId="28406"/>
    <cellStyle name="쉼표 [0] 7 4 3 2 6" xfId="23049"/>
    <cellStyle name="쉼표 [0] 7 4 3 3" xfId="2858"/>
    <cellStyle name="쉼표 [0] 7 4 3 3 2" xfId="2859"/>
    <cellStyle name="쉼표 [0] 7 4 3 3 2 2" xfId="23057"/>
    <cellStyle name="쉼표 [0] 7 4 3 3 2 2 2" xfId="10064"/>
    <cellStyle name="쉼표 [0] 7 4 3 3 2 3" xfId="10065"/>
    <cellStyle name="쉼표 [0] 7 4 3 3 2 4" xfId="23056"/>
    <cellStyle name="쉼표 [0] 7 4 3 3 3" xfId="23058"/>
    <cellStyle name="쉼표 [0] 7 4 3 3 3 2" xfId="10063"/>
    <cellStyle name="쉼표 [0] 7 4 3 3 4" xfId="10066"/>
    <cellStyle name="쉼표 [0] 7 4 3 3 5" xfId="23055"/>
    <cellStyle name="쉼표 [0] 7 4 3 4" xfId="2860"/>
    <cellStyle name="쉼표 [0] 7 4 3 4 2" xfId="2861"/>
    <cellStyle name="쉼표 [0] 7 4 3 4 2 2" xfId="23061"/>
    <cellStyle name="쉼표 [0] 7 4 3 4 2 2 2" xfId="10060"/>
    <cellStyle name="쉼표 [0] 7 4 3 4 2 3" xfId="10061"/>
    <cellStyle name="쉼표 [0] 7 4 3 4 2 4" xfId="23060"/>
    <cellStyle name="쉼표 [0] 7 4 3 4 3" xfId="23062"/>
    <cellStyle name="쉼표 [0] 7 4 3 4 3 2" xfId="10059"/>
    <cellStyle name="쉼표 [0] 7 4 3 4 4" xfId="10062"/>
    <cellStyle name="쉼표 [0] 7 4 3 4 5" xfId="23059"/>
    <cellStyle name="쉼표 [0] 7 4 3 5" xfId="23063"/>
    <cellStyle name="쉼표 [0] 7 4 3 5 2" xfId="23064"/>
    <cellStyle name="쉼표 [0] 7 4 3 5 2 2" xfId="10057"/>
    <cellStyle name="쉼표 [0] 7 4 3 5 3" xfId="10058"/>
    <cellStyle name="쉼표 [0] 7 4 3 6" xfId="23065"/>
    <cellStyle name="쉼표 [0] 7 4 3 6 2" xfId="10056"/>
    <cellStyle name="쉼표 [0] 7 4 3 7" xfId="10073"/>
    <cellStyle name="쉼표 [0] 7 4 3 8" xfId="28407"/>
    <cellStyle name="쉼표 [0] 7 4 3 9" xfId="23048"/>
    <cellStyle name="쉼표 [0] 7 4 4" xfId="2862"/>
    <cellStyle name="쉼표 [0] 7 4 4 2" xfId="2863"/>
    <cellStyle name="쉼표 [0] 7 4 4 2 2" xfId="2864"/>
    <cellStyle name="쉼표 [0] 7 4 4 2 2 2" xfId="23069"/>
    <cellStyle name="쉼표 [0] 7 4 4 2 2 2 2" xfId="10052"/>
    <cellStyle name="쉼표 [0] 7 4 4 2 2 3" xfId="10053"/>
    <cellStyle name="쉼표 [0] 7 4 4 2 2 4" xfId="28403"/>
    <cellStyle name="쉼표 [0] 7 4 4 2 2 5" xfId="23068"/>
    <cellStyle name="쉼표 [0] 7 4 4 2 3" xfId="2865"/>
    <cellStyle name="쉼표 [0] 7 4 4 2 3 2" xfId="2866"/>
    <cellStyle name="쉼표 [0] 7 4 4 2 3 2 2" xfId="23072"/>
    <cellStyle name="쉼표 [0] 7 4 4 2 3 2 2 2" xfId="10049"/>
    <cellStyle name="쉼표 [0] 7 4 4 2 3 2 3" xfId="10050"/>
    <cellStyle name="쉼표 [0] 7 4 4 2 3 2 4" xfId="23071"/>
    <cellStyle name="쉼표 [0] 7 4 4 2 3 3" xfId="23073"/>
    <cellStyle name="쉼표 [0] 7 4 4 2 3 3 2" xfId="10048"/>
    <cellStyle name="쉼표 [0] 7 4 4 2 3 4" xfId="10051"/>
    <cellStyle name="쉼표 [0] 7 4 4 2 3 5" xfId="23070"/>
    <cellStyle name="쉼표 [0] 7 4 4 2 4" xfId="23074"/>
    <cellStyle name="쉼표 [0] 7 4 4 2 4 2" xfId="10047"/>
    <cellStyle name="쉼표 [0] 7 4 4 2 5" xfId="10054"/>
    <cellStyle name="쉼표 [0] 7 4 4 2 6" xfId="28404"/>
    <cellStyle name="쉼표 [0] 7 4 4 2 7" xfId="23067"/>
    <cellStyle name="쉼표 [0] 7 4 4 3" xfId="2867"/>
    <cellStyle name="쉼표 [0] 7 4 4 3 2" xfId="23076"/>
    <cellStyle name="쉼표 [0] 7 4 4 3 2 2" xfId="10045"/>
    <cellStyle name="쉼표 [0] 7 4 4 3 3" xfId="10046"/>
    <cellStyle name="쉼표 [0] 7 4 4 3 4" xfId="28402"/>
    <cellStyle name="쉼표 [0] 7 4 4 3 5" xfId="23075"/>
    <cellStyle name="쉼표 [0] 7 4 4 4" xfId="2868"/>
    <cellStyle name="쉼표 [0] 7 4 4 4 2" xfId="2869"/>
    <cellStyle name="쉼표 [0] 7 4 4 4 2 2" xfId="23079"/>
    <cellStyle name="쉼표 [0] 7 4 4 4 2 2 2" xfId="10042"/>
    <cellStyle name="쉼표 [0] 7 4 4 4 2 3" xfId="10043"/>
    <cellStyle name="쉼표 [0] 7 4 4 4 2 4" xfId="23078"/>
    <cellStyle name="쉼표 [0] 7 4 4 4 3" xfId="23080"/>
    <cellStyle name="쉼표 [0] 7 4 4 4 3 2" xfId="10041"/>
    <cellStyle name="쉼표 [0] 7 4 4 4 4" xfId="10044"/>
    <cellStyle name="쉼표 [0] 7 4 4 4 5" xfId="23077"/>
    <cellStyle name="쉼표 [0] 7 4 4 5" xfId="23081"/>
    <cellStyle name="쉼표 [0] 7 4 4 5 2" xfId="23082"/>
    <cellStyle name="쉼표 [0] 7 4 4 5 2 2" xfId="10039"/>
    <cellStyle name="쉼표 [0] 7 4 4 5 3" xfId="10040"/>
    <cellStyle name="쉼표 [0] 7 4 4 6" xfId="23083"/>
    <cellStyle name="쉼표 [0] 7 4 4 6 2" xfId="10038"/>
    <cellStyle name="쉼표 [0] 7 4 4 7" xfId="10055"/>
    <cellStyle name="쉼표 [0] 7 4 4 8" xfId="28405"/>
    <cellStyle name="쉼표 [0] 7 4 4 9" xfId="23066"/>
    <cellStyle name="쉼표 [0] 7 4 5" xfId="2870"/>
    <cellStyle name="쉼표 [0] 7 4 5 2" xfId="2871"/>
    <cellStyle name="쉼표 [0] 7 4 5 2 2" xfId="23086"/>
    <cellStyle name="쉼표 [0] 7 4 5 2 2 2" xfId="10035"/>
    <cellStyle name="쉼표 [0] 7 4 5 2 3" xfId="10036"/>
    <cellStyle name="쉼표 [0] 7 4 5 2 4" xfId="28400"/>
    <cellStyle name="쉼표 [0] 7 4 5 2 5" xfId="23085"/>
    <cellStyle name="쉼표 [0] 7 4 5 3" xfId="2872"/>
    <cellStyle name="쉼표 [0] 7 4 5 3 2" xfId="2873"/>
    <cellStyle name="쉼표 [0] 7 4 5 3 2 2" xfId="23089"/>
    <cellStyle name="쉼표 [0] 7 4 5 3 2 2 2" xfId="10032"/>
    <cellStyle name="쉼표 [0] 7 4 5 3 2 3" xfId="10033"/>
    <cellStyle name="쉼표 [0] 7 4 5 3 2 4" xfId="23088"/>
    <cellStyle name="쉼표 [0] 7 4 5 3 3" xfId="23090"/>
    <cellStyle name="쉼표 [0] 7 4 5 3 3 2" xfId="10031"/>
    <cellStyle name="쉼표 [0] 7 4 5 3 4" xfId="10034"/>
    <cellStyle name="쉼표 [0] 7 4 5 3 5" xfId="23087"/>
    <cellStyle name="쉼표 [0] 7 4 5 4" xfId="23091"/>
    <cellStyle name="쉼표 [0] 7 4 5 4 2" xfId="23092"/>
    <cellStyle name="쉼표 [0] 7 4 5 4 2 2" xfId="10029"/>
    <cellStyle name="쉼표 [0] 7 4 5 4 3" xfId="10030"/>
    <cellStyle name="쉼표 [0] 7 4 5 5" xfId="23093"/>
    <cellStyle name="쉼표 [0] 7 4 5 5 2" xfId="10028"/>
    <cellStyle name="쉼표 [0] 7 4 5 6" xfId="10037"/>
    <cellStyle name="쉼표 [0] 7 4 5 7" xfId="28401"/>
    <cellStyle name="쉼표 [0] 7 4 5 8" xfId="23084"/>
    <cellStyle name="쉼표 [0] 7 4 6" xfId="2874"/>
    <cellStyle name="쉼표 [0] 7 4 6 2" xfId="2875"/>
    <cellStyle name="쉼표 [0] 7 4 6 2 2" xfId="23096"/>
    <cellStyle name="쉼표 [0] 7 4 6 2 2 2" xfId="10025"/>
    <cellStyle name="쉼표 [0] 7 4 6 2 3" xfId="10026"/>
    <cellStyle name="쉼표 [0] 7 4 6 2 4" xfId="28398"/>
    <cellStyle name="쉼표 [0] 7 4 6 2 5" xfId="23095"/>
    <cellStyle name="쉼표 [0] 7 4 6 3" xfId="23097"/>
    <cellStyle name="쉼표 [0] 7 4 6 3 2" xfId="23098"/>
    <cellStyle name="쉼표 [0] 7 4 6 3 2 2" xfId="10023"/>
    <cellStyle name="쉼표 [0] 7 4 6 3 3" xfId="10024"/>
    <cellStyle name="쉼표 [0] 7 4 6 4" xfId="23099"/>
    <cellStyle name="쉼표 [0] 7 4 6 4 2" xfId="10022"/>
    <cellStyle name="쉼표 [0] 7 4 6 5" xfId="10027"/>
    <cellStyle name="쉼표 [0] 7 4 6 6" xfId="28399"/>
    <cellStyle name="쉼표 [0] 7 4 6 7" xfId="23094"/>
    <cellStyle name="쉼표 [0] 7 4 7" xfId="2876"/>
    <cellStyle name="쉼표 [0] 7 4 7 2" xfId="23101"/>
    <cellStyle name="쉼표 [0] 7 4 7 2 2" xfId="10020"/>
    <cellStyle name="쉼표 [0] 7 4 7 3" xfId="10021"/>
    <cellStyle name="쉼표 [0] 7 4 7 4" xfId="28397"/>
    <cellStyle name="쉼표 [0] 7 4 7 5" xfId="23100"/>
    <cellStyle name="쉼표 [0] 7 4 8" xfId="2877"/>
    <cellStyle name="쉼표 [0] 7 4 8 2" xfId="2878"/>
    <cellStyle name="쉼표 [0] 7 4 8 2 2" xfId="23104"/>
    <cellStyle name="쉼표 [0] 7 4 8 2 2 2" xfId="10017"/>
    <cellStyle name="쉼표 [0] 7 4 8 2 3" xfId="10018"/>
    <cellStyle name="쉼표 [0] 7 4 8 2 4" xfId="23103"/>
    <cellStyle name="쉼표 [0] 7 4 8 3" xfId="23105"/>
    <cellStyle name="쉼표 [0] 7 4 8 3 2" xfId="10016"/>
    <cellStyle name="쉼표 [0] 7 4 8 4" xfId="10019"/>
    <cellStyle name="쉼표 [0] 7 4 8 5" xfId="23102"/>
    <cellStyle name="쉼표 [0] 7 4 9" xfId="23106"/>
    <cellStyle name="쉼표 [0] 7 4 9 2" xfId="23107"/>
    <cellStyle name="쉼표 [0] 7 4 9 2 2" xfId="10014"/>
    <cellStyle name="쉼표 [0] 7 4 9 3" xfId="10015"/>
    <cellStyle name="쉼표 [0] 7 5" xfId="2879"/>
    <cellStyle name="쉼표 [0] 7 5 10" xfId="10013"/>
    <cellStyle name="쉼표 [0] 7 5 11" xfId="28396"/>
    <cellStyle name="쉼표 [0] 7 5 12" xfId="23108"/>
    <cellStyle name="쉼표 [0] 7 5 13" xfId="29589"/>
    <cellStyle name="쉼표 [0] 7 5 2" xfId="2880"/>
    <cellStyle name="쉼표 [0] 7 5 2 2" xfId="2881"/>
    <cellStyle name="쉼표 [0] 7 5 2 2 2" xfId="2882"/>
    <cellStyle name="쉼표 [0] 7 5 2 2 2 2" xfId="2883"/>
    <cellStyle name="쉼표 [0] 7 5 2 2 2 2 2" xfId="23113"/>
    <cellStyle name="쉼표 [0] 7 5 2 2 2 2 2 2" xfId="10008"/>
    <cellStyle name="쉼표 [0] 7 5 2 2 2 2 3" xfId="10009"/>
    <cellStyle name="쉼표 [0] 7 5 2 2 2 2 4" xfId="23112"/>
    <cellStyle name="쉼표 [0] 7 5 2 2 2 3" xfId="23114"/>
    <cellStyle name="쉼표 [0] 7 5 2 2 2 3 2" xfId="10007"/>
    <cellStyle name="쉼표 [0] 7 5 2 2 2 4" xfId="10010"/>
    <cellStyle name="쉼표 [0] 7 5 2 2 2 5" xfId="23111"/>
    <cellStyle name="쉼표 [0] 7 5 2 2 3" xfId="23115"/>
    <cellStyle name="쉼표 [0] 7 5 2 2 3 2" xfId="10006"/>
    <cellStyle name="쉼표 [0] 7 5 2 2 4" xfId="10011"/>
    <cellStyle name="쉼표 [0] 7 5 2 2 5" xfId="28394"/>
    <cellStyle name="쉼표 [0] 7 5 2 2 6" xfId="23110"/>
    <cellStyle name="쉼표 [0] 7 5 2 3" xfId="2884"/>
    <cellStyle name="쉼표 [0] 7 5 2 3 2" xfId="2885"/>
    <cellStyle name="쉼표 [0] 7 5 2 3 2 2" xfId="23118"/>
    <cellStyle name="쉼표 [0] 7 5 2 3 2 2 2" xfId="10003"/>
    <cellStyle name="쉼표 [0] 7 5 2 3 2 3" xfId="10004"/>
    <cellStyle name="쉼표 [0] 7 5 2 3 2 4" xfId="23117"/>
    <cellStyle name="쉼표 [0] 7 5 2 3 3" xfId="23119"/>
    <cellStyle name="쉼표 [0] 7 5 2 3 3 2" xfId="10002"/>
    <cellStyle name="쉼표 [0] 7 5 2 3 4" xfId="10005"/>
    <cellStyle name="쉼표 [0] 7 5 2 3 5" xfId="23116"/>
    <cellStyle name="쉼표 [0] 7 5 2 4" xfId="2886"/>
    <cellStyle name="쉼표 [0] 7 5 2 4 2" xfId="2887"/>
    <cellStyle name="쉼표 [0] 7 5 2 4 2 2" xfId="23122"/>
    <cellStyle name="쉼표 [0] 7 5 2 4 2 2 2" xfId="9999"/>
    <cellStyle name="쉼표 [0] 7 5 2 4 2 3" xfId="10000"/>
    <cellStyle name="쉼표 [0] 7 5 2 4 2 4" xfId="23121"/>
    <cellStyle name="쉼표 [0] 7 5 2 4 3" xfId="23123"/>
    <cellStyle name="쉼표 [0] 7 5 2 4 3 2" xfId="9998"/>
    <cellStyle name="쉼표 [0] 7 5 2 4 4" xfId="10001"/>
    <cellStyle name="쉼표 [0] 7 5 2 4 5" xfId="23120"/>
    <cellStyle name="쉼표 [0] 7 5 2 5" xfId="23124"/>
    <cellStyle name="쉼표 [0] 7 5 2 5 2" xfId="9997"/>
    <cellStyle name="쉼표 [0] 7 5 2 6" xfId="10012"/>
    <cellStyle name="쉼표 [0] 7 5 2 7" xfId="28395"/>
    <cellStyle name="쉼표 [0] 7 5 2 8" xfId="23109"/>
    <cellStyle name="쉼표 [0] 7 5 3" xfId="2888"/>
    <cellStyle name="쉼표 [0] 7 5 3 2" xfId="2889"/>
    <cellStyle name="쉼표 [0] 7 5 3 2 2" xfId="2890"/>
    <cellStyle name="쉼표 [0] 7 5 3 2 2 2" xfId="23128"/>
    <cellStyle name="쉼표 [0] 7 5 3 2 2 2 2" xfId="9993"/>
    <cellStyle name="쉼표 [0] 7 5 3 2 2 3" xfId="9994"/>
    <cellStyle name="쉼표 [0] 7 5 3 2 2 4" xfId="28391"/>
    <cellStyle name="쉼표 [0] 7 5 3 2 2 5" xfId="23127"/>
    <cellStyle name="쉼표 [0] 7 5 3 2 3" xfId="2891"/>
    <cellStyle name="쉼표 [0] 7 5 3 2 3 2" xfId="2892"/>
    <cellStyle name="쉼표 [0] 7 5 3 2 3 2 2" xfId="23131"/>
    <cellStyle name="쉼표 [0] 7 5 3 2 3 2 2 2" xfId="9990"/>
    <cellStyle name="쉼표 [0] 7 5 3 2 3 2 3" xfId="9991"/>
    <cellStyle name="쉼표 [0] 7 5 3 2 3 2 4" xfId="23130"/>
    <cellStyle name="쉼표 [0] 7 5 3 2 3 3" xfId="23132"/>
    <cellStyle name="쉼표 [0] 7 5 3 2 3 3 2" xfId="9989"/>
    <cellStyle name="쉼표 [0] 7 5 3 2 3 4" xfId="9992"/>
    <cellStyle name="쉼표 [0] 7 5 3 2 3 5" xfId="23129"/>
    <cellStyle name="쉼표 [0] 7 5 3 2 4" xfId="23133"/>
    <cellStyle name="쉼표 [0] 7 5 3 2 4 2" xfId="9988"/>
    <cellStyle name="쉼표 [0] 7 5 3 2 5" xfId="9995"/>
    <cellStyle name="쉼표 [0] 7 5 3 2 6" xfId="28392"/>
    <cellStyle name="쉼표 [0] 7 5 3 2 7" xfId="23126"/>
    <cellStyle name="쉼표 [0] 7 5 3 3" xfId="2893"/>
    <cellStyle name="쉼표 [0] 7 5 3 3 2" xfId="23135"/>
    <cellStyle name="쉼표 [0] 7 5 3 3 2 2" xfId="9986"/>
    <cellStyle name="쉼표 [0] 7 5 3 3 3" xfId="9987"/>
    <cellStyle name="쉼표 [0] 7 5 3 3 4" xfId="28390"/>
    <cellStyle name="쉼표 [0] 7 5 3 3 5" xfId="23134"/>
    <cellStyle name="쉼표 [0] 7 5 3 4" xfId="2894"/>
    <cellStyle name="쉼표 [0] 7 5 3 4 2" xfId="2895"/>
    <cellStyle name="쉼표 [0] 7 5 3 4 2 2" xfId="23138"/>
    <cellStyle name="쉼표 [0] 7 5 3 4 2 2 2" xfId="9983"/>
    <cellStyle name="쉼표 [0] 7 5 3 4 2 3" xfId="9984"/>
    <cellStyle name="쉼표 [0] 7 5 3 4 2 4" xfId="23137"/>
    <cellStyle name="쉼표 [0] 7 5 3 4 3" xfId="23139"/>
    <cellStyle name="쉼표 [0] 7 5 3 4 3 2" xfId="9982"/>
    <cellStyle name="쉼표 [0] 7 5 3 4 4" xfId="9985"/>
    <cellStyle name="쉼표 [0] 7 5 3 4 5" xfId="23136"/>
    <cellStyle name="쉼표 [0] 7 5 3 5" xfId="23140"/>
    <cellStyle name="쉼표 [0] 7 5 3 5 2" xfId="9981"/>
    <cellStyle name="쉼표 [0] 7 5 3 6" xfId="9996"/>
    <cellStyle name="쉼표 [0] 7 5 3 7" xfId="28393"/>
    <cellStyle name="쉼표 [0] 7 5 3 8" xfId="23125"/>
    <cellStyle name="쉼표 [0] 7 5 4" xfId="2896"/>
    <cellStyle name="쉼표 [0] 7 5 4 2" xfId="2897"/>
    <cellStyle name="쉼표 [0] 7 5 4 2 2" xfId="23143"/>
    <cellStyle name="쉼표 [0] 7 5 4 2 2 2" xfId="9978"/>
    <cellStyle name="쉼표 [0] 7 5 4 2 3" xfId="9979"/>
    <cellStyle name="쉼표 [0] 7 5 4 2 4" xfId="28388"/>
    <cellStyle name="쉼표 [0] 7 5 4 2 5" xfId="23142"/>
    <cellStyle name="쉼표 [0] 7 5 4 3" xfId="2898"/>
    <cellStyle name="쉼표 [0] 7 5 4 3 2" xfId="2899"/>
    <cellStyle name="쉼표 [0] 7 5 4 3 2 2" xfId="23146"/>
    <cellStyle name="쉼표 [0] 7 5 4 3 2 2 2" xfId="9975"/>
    <cellStyle name="쉼표 [0] 7 5 4 3 2 3" xfId="9976"/>
    <cellStyle name="쉼표 [0] 7 5 4 3 2 4" xfId="23145"/>
    <cellStyle name="쉼표 [0] 7 5 4 3 3" xfId="23147"/>
    <cellStyle name="쉼표 [0] 7 5 4 3 3 2" xfId="9974"/>
    <cellStyle name="쉼표 [0] 7 5 4 3 4" xfId="9977"/>
    <cellStyle name="쉼표 [0] 7 5 4 3 5" xfId="23144"/>
    <cellStyle name="쉼표 [0] 7 5 4 4" xfId="23148"/>
    <cellStyle name="쉼표 [0] 7 5 4 4 2" xfId="9973"/>
    <cellStyle name="쉼표 [0] 7 5 4 5" xfId="9980"/>
    <cellStyle name="쉼표 [0] 7 5 4 6" xfId="28389"/>
    <cellStyle name="쉼표 [0] 7 5 4 7" xfId="23141"/>
    <cellStyle name="쉼표 [0] 7 5 5" xfId="2900"/>
    <cellStyle name="쉼표 [0] 7 5 5 2" xfId="23150"/>
    <cellStyle name="쉼표 [0] 7 5 5 2 2" xfId="9971"/>
    <cellStyle name="쉼표 [0] 7 5 5 3" xfId="9972"/>
    <cellStyle name="쉼표 [0] 7 5 5 4" xfId="28387"/>
    <cellStyle name="쉼표 [0] 7 5 5 5" xfId="23149"/>
    <cellStyle name="쉼표 [0] 7 5 6" xfId="2901"/>
    <cellStyle name="쉼표 [0] 7 5 6 2" xfId="2902"/>
    <cellStyle name="쉼표 [0] 7 5 6 2 2" xfId="23153"/>
    <cellStyle name="쉼표 [0] 7 5 6 2 2 2" xfId="9968"/>
    <cellStyle name="쉼표 [0] 7 5 6 2 3" xfId="9969"/>
    <cellStyle name="쉼표 [0] 7 5 6 2 4" xfId="23152"/>
    <cellStyle name="쉼표 [0] 7 5 6 3" xfId="23154"/>
    <cellStyle name="쉼표 [0] 7 5 6 3 2" xfId="9967"/>
    <cellStyle name="쉼표 [0] 7 5 6 4" xfId="9970"/>
    <cellStyle name="쉼표 [0] 7 5 6 5" xfId="23151"/>
    <cellStyle name="쉼표 [0] 7 5 7" xfId="23155"/>
    <cellStyle name="쉼표 [0] 7 5 7 2" xfId="23156"/>
    <cellStyle name="쉼표 [0] 7 5 7 2 2" xfId="9965"/>
    <cellStyle name="쉼표 [0] 7 5 7 3" xfId="9966"/>
    <cellStyle name="쉼표 [0] 7 5 8" xfId="23157"/>
    <cellStyle name="쉼표 [0] 7 5 8 2" xfId="9964"/>
    <cellStyle name="쉼표 [0] 7 5 9" xfId="23158"/>
    <cellStyle name="쉼표 [0] 7 5 9 2" xfId="9963"/>
    <cellStyle name="쉼표 [0] 7 6" xfId="2903"/>
    <cellStyle name="쉼표 [0] 7 6 10" xfId="30686"/>
    <cellStyle name="쉼표 [0] 7 6 2" xfId="2904"/>
    <cellStyle name="쉼표 [0] 7 6 2 2" xfId="2905"/>
    <cellStyle name="쉼표 [0] 7 6 2 2 2" xfId="23162"/>
    <cellStyle name="쉼표 [0] 7 6 2 2 2 2" xfId="9959"/>
    <cellStyle name="쉼표 [0] 7 6 2 2 3" xfId="9960"/>
    <cellStyle name="쉼표 [0] 7 6 2 2 4" xfId="23161"/>
    <cellStyle name="쉼표 [0] 7 6 2 3" xfId="23163"/>
    <cellStyle name="쉼표 [0] 7 6 2 3 2" xfId="9958"/>
    <cellStyle name="쉼표 [0] 7 6 2 4" xfId="9961"/>
    <cellStyle name="쉼표 [0] 7 6 2 5" xfId="23160"/>
    <cellStyle name="쉼표 [0] 7 6 2 6" xfId="30670"/>
    <cellStyle name="쉼표 [0] 7 6 3" xfId="2906"/>
    <cellStyle name="쉼표 [0] 7 6 3 2" xfId="2907"/>
    <cellStyle name="쉼표 [0] 7 6 3 2 2" xfId="23166"/>
    <cellStyle name="쉼표 [0] 7 6 3 2 2 2" xfId="9955"/>
    <cellStyle name="쉼표 [0] 7 6 3 2 3" xfId="9956"/>
    <cellStyle name="쉼표 [0] 7 6 3 2 4" xfId="23165"/>
    <cellStyle name="쉼표 [0] 7 6 3 3" xfId="23167"/>
    <cellStyle name="쉼표 [0] 7 6 3 3 2" xfId="9954"/>
    <cellStyle name="쉼표 [0] 7 6 3 4" xfId="9957"/>
    <cellStyle name="쉼표 [0] 7 6 3 5" xfId="23164"/>
    <cellStyle name="쉼표 [0] 7 6 3 6" xfId="29444"/>
    <cellStyle name="쉼표 [0] 7 6 4" xfId="2908"/>
    <cellStyle name="쉼표 [0] 7 6 4 2" xfId="2909"/>
    <cellStyle name="쉼표 [0] 7 6 4 2 2" xfId="23170"/>
    <cellStyle name="쉼표 [0] 7 6 4 2 2 2" xfId="9951"/>
    <cellStyle name="쉼표 [0] 7 6 4 2 3" xfId="9952"/>
    <cellStyle name="쉼표 [0] 7 6 4 2 4" xfId="23169"/>
    <cellStyle name="쉼표 [0] 7 6 4 3" xfId="23171"/>
    <cellStyle name="쉼표 [0] 7 6 4 3 2" xfId="9950"/>
    <cellStyle name="쉼표 [0] 7 6 4 4" xfId="9953"/>
    <cellStyle name="쉼표 [0] 7 6 4 5" xfId="23168"/>
    <cellStyle name="쉼표 [0] 7 6 5" xfId="23172"/>
    <cellStyle name="쉼표 [0] 7 6 5 2" xfId="23173"/>
    <cellStyle name="쉼표 [0] 7 6 5 2 2" xfId="9948"/>
    <cellStyle name="쉼표 [0] 7 6 5 3" xfId="9949"/>
    <cellStyle name="쉼표 [0] 7 6 6" xfId="23174"/>
    <cellStyle name="쉼표 [0] 7 6 6 2" xfId="9947"/>
    <cellStyle name="쉼표 [0] 7 6 7" xfId="9962"/>
    <cellStyle name="쉼표 [0] 7 6 8" xfId="28386"/>
    <cellStyle name="쉼표 [0] 7 6 9" xfId="23159"/>
    <cellStyle name="쉼표 [0] 7 7" xfId="2910"/>
    <cellStyle name="쉼표 [0] 7 7 2" xfId="2911"/>
    <cellStyle name="쉼표 [0] 7 7 2 2" xfId="2912"/>
    <cellStyle name="쉼표 [0] 7 7 2 2 2" xfId="23178"/>
    <cellStyle name="쉼표 [0] 7 7 2 2 2 2" xfId="9943"/>
    <cellStyle name="쉼표 [0] 7 7 2 2 3" xfId="9944"/>
    <cellStyle name="쉼표 [0] 7 7 2 2 4" xfId="28383"/>
    <cellStyle name="쉼표 [0] 7 7 2 2 5" xfId="23177"/>
    <cellStyle name="쉼표 [0] 7 7 2 3" xfId="2913"/>
    <cellStyle name="쉼표 [0] 7 7 2 3 2" xfId="2914"/>
    <cellStyle name="쉼표 [0] 7 7 2 3 2 2" xfId="23181"/>
    <cellStyle name="쉼표 [0] 7 7 2 3 2 2 2" xfId="9940"/>
    <cellStyle name="쉼표 [0] 7 7 2 3 2 3" xfId="9941"/>
    <cellStyle name="쉼표 [0] 7 7 2 3 2 4" xfId="23180"/>
    <cellStyle name="쉼표 [0] 7 7 2 3 3" xfId="23182"/>
    <cellStyle name="쉼표 [0] 7 7 2 3 3 2" xfId="9939"/>
    <cellStyle name="쉼표 [0] 7 7 2 3 4" xfId="9942"/>
    <cellStyle name="쉼표 [0] 7 7 2 3 5" xfId="23179"/>
    <cellStyle name="쉼표 [0] 7 7 2 4" xfId="23183"/>
    <cellStyle name="쉼표 [0] 7 7 2 4 2" xfId="9938"/>
    <cellStyle name="쉼표 [0] 7 7 2 5" xfId="9945"/>
    <cellStyle name="쉼표 [0] 7 7 2 6" xfId="28384"/>
    <cellStyle name="쉼표 [0] 7 7 2 7" xfId="23176"/>
    <cellStyle name="쉼표 [0] 7 7 3" xfId="2915"/>
    <cellStyle name="쉼표 [0] 7 7 3 2" xfId="23185"/>
    <cellStyle name="쉼표 [0] 7 7 3 2 2" xfId="9936"/>
    <cellStyle name="쉼표 [0] 7 7 3 3" xfId="9937"/>
    <cellStyle name="쉼표 [0] 7 7 3 4" xfId="28382"/>
    <cellStyle name="쉼표 [0] 7 7 3 5" xfId="23184"/>
    <cellStyle name="쉼표 [0] 7 7 4" xfId="2916"/>
    <cellStyle name="쉼표 [0] 7 7 4 2" xfId="2917"/>
    <cellStyle name="쉼표 [0] 7 7 4 2 2" xfId="23188"/>
    <cellStyle name="쉼표 [0] 7 7 4 2 2 2" xfId="9933"/>
    <cellStyle name="쉼표 [0] 7 7 4 2 3" xfId="9934"/>
    <cellStyle name="쉼표 [0] 7 7 4 2 4" xfId="23187"/>
    <cellStyle name="쉼표 [0] 7 7 4 3" xfId="23189"/>
    <cellStyle name="쉼표 [0] 7 7 4 3 2" xfId="9932"/>
    <cellStyle name="쉼표 [0] 7 7 4 4" xfId="9935"/>
    <cellStyle name="쉼표 [0] 7 7 4 5" xfId="23186"/>
    <cellStyle name="쉼표 [0] 7 7 5" xfId="23190"/>
    <cellStyle name="쉼표 [0] 7 7 5 2" xfId="23191"/>
    <cellStyle name="쉼표 [0] 7 7 5 2 2" xfId="9930"/>
    <cellStyle name="쉼표 [0] 7 7 5 3" xfId="9931"/>
    <cellStyle name="쉼표 [0] 7 7 6" xfId="23192"/>
    <cellStyle name="쉼표 [0] 7 7 6 2" xfId="9929"/>
    <cellStyle name="쉼표 [0] 7 7 7" xfId="9946"/>
    <cellStyle name="쉼표 [0] 7 7 8" xfId="28385"/>
    <cellStyle name="쉼표 [0] 7 7 9" xfId="23175"/>
    <cellStyle name="쉼표 [0] 7 8" xfId="2918"/>
    <cellStyle name="쉼표 [0] 7 8 2" xfId="2919"/>
    <cellStyle name="쉼표 [0] 7 8 2 2" xfId="23195"/>
    <cellStyle name="쉼표 [0] 7 8 2 2 2" xfId="9926"/>
    <cellStyle name="쉼표 [0] 7 8 2 3" xfId="9927"/>
    <cellStyle name="쉼표 [0] 7 8 2 4" xfId="28380"/>
    <cellStyle name="쉼표 [0] 7 8 2 5" xfId="23194"/>
    <cellStyle name="쉼표 [0] 7 8 3" xfId="2920"/>
    <cellStyle name="쉼표 [0] 7 8 3 2" xfId="2921"/>
    <cellStyle name="쉼표 [0] 7 8 3 2 2" xfId="23198"/>
    <cellStyle name="쉼표 [0] 7 8 3 2 2 2" xfId="9923"/>
    <cellStyle name="쉼표 [0] 7 8 3 2 3" xfId="9924"/>
    <cellStyle name="쉼표 [0] 7 8 3 2 4" xfId="23197"/>
    <cellStyle name="쉼표 [0] 7 8 3 3" xfId="23199"/>
    <cellStyle name="쉼표 [0] 7 8 3 3 2" xfId="9922"/>
    <cellStyle name="쉼표 [0] 7 8 3 4" xfId="9925"/>
    <cellStyle name="쉼표 [0] 7 8 3 5" xfId="23196"/>
    <cellStyle name="쉼표 [0] 7 8 4" xfId="23200"/>
    <cellStyle name="쉼표 [0] 7 8 4 2" xfId="23201"/>
    <cellStyle name="쉼표 [0] 7 8 4 2 2" xfId="9920"/>
    <cellStyle name="쉼표 [0] 7 8 4 3" xfId="9921"/>
    <cellStyle name="쉼표 [0] 7 8 5" xfId="23202"/>
    <cellStyle name="쉼표 [0] 7 8 5 2" xfId="9919"/>
    <cellStyle name="쉼표 [0] 7 8 6" xfId="9928"/>
    <cellStyle name="쉼표 [0] 7 8 7" xfId="28381"/>
    <cellStyle name="쉼표 [0] 7 8 8" xfId="23193"/>
    <cellStyle name="쉼표 [0] 7 9" xfId="2922"/>
    <cellStyle name="쉼표 [0] 7 9 2" xfId="2923"/>
    <cellStyle name="쉼표 [0] 7 9 2 2" xfId="23205"/>
    <cellStyle name="쉼표 [0] 7 9 2 2 2" xfId="9916"/>
    <cellStyle name="쉼표 [0] 7 9 2 3" xfId="9917"/>
    <cellStyle name="쉼표 [0] 7 9 2 4" xfId="28378"/>
    <cellStyle name="쉼표 [0] 7 9 2 5" xfId="23204"/>
    <cellStyle name="쉼표 [0] 7 9 3" xfId="23206"/>
    <cellStyle name="쉼표 [0] 7 9 3 2" xfId="23207"/>
    <cellStyle name="쉼표 [0] 7 9 3 2 2" xfId="9914"/>
    <cellStyle name="쉼표 [0] 7 9 3 3" xfId="9915"/>
    <cellStyle name="쉼표 [0] 7 9 4" xfId="23208"/>
    <cellStyle name="쉼표 [0] 7 9 4 2" xfId="9913"/>
    <cellStyle name="쉼표 [0] 7 9 5" xfId="9918"/>
    <cellStyle name="쉼표 [0] 7 9 6" xfId="28379"/>
    <cellStyle name="쉼표 [0] 7 9 7" xfId="23203"/>
    <cellStyle name="쉼표 [0] 8" xfId="2924"/>
    <cellStyle name="쉼표 [0] 8 10" xfId="2925"/>
    <cellStyle name="쉼표 [0] 8 10 2" xfId="23211"/>
    <cellStyle name="쉼표 [0] 8 10 2 2" xfId="9910"/>
    <cellStyle name="쉼표 [0] 8 10 3" xfId="9911"/>
    <cellStyle name="쉼표 [0] 8 10 4" xfId="28376"/>
    <cellStyle name="쉼표 [0] 8 10 5" xfId="23210"/>
    <cellStyle name="쉼표 [0] 8 11" xfId="2926"/>
    <cellStyle name="쉼표 [0] 8 11 2" xfId="2927"/>
    <cellStyle name="쉼표 [0] 8 11 2 2" xfId="23214"/>
    <cellStyle name="쉼표 [0] 8 11 2 2 2" xfId="9907"/>
    <cellStyle name="쉼표 [0] 8 11 2 3" xfId="9908"/>
    <cellStyle name="쉼표 [0] 8 11 2 4" xfId="23213"/>
    <cellStyle name="쉼표 [0] 8 11 3" xfId="23215"/>
    <cellStyle name="쉼표 [0] 8 11 3 2" xfId="9906"/>
    <cellStyle name="쉼표 [0] 8 11 4" xfId="9909"/>
    <cellStyle name="쉼표 [0] 8 11 5" xfId="23212"/>
    <cellStyle name="쉼표 [0] 8 12" xfId="23216"/>
    <cellStyle name="쉼표 [0] 8 12 2" xfId="23217"/>
    <cellStyle name="쉼표 [0] 8 12 2 2" xfId="23218"/>
    <cellStyle name="쉼표 [0] 8 12 2 2 2" xfId="9903"/>
    <cellStyle name="쉼표 [0] 8 12 2 3" xfId="9904"/>
    <cellStyle name="쉼표 [0] 8 12 3" xfId="23219"/>
    <cellStyle name="쉼표 [0] 8 12 3 2" xfId="9902"/>
    <cellStyle name="쉼표 [0] 8 12 4" xfId="9905"/>
    <cellStyle name="쉼표 [0] 8 13" xfId="23220"/>
    <cellStyle name="쉼표 [0] 8 13 2" xfId="23221"/>
    <cellStyle name="쉼표 [0] 8 13 2 2" xfId="9900"/>
    <cellStyle name="쉼표 [0] 8 13 3" xfId="9901"/>
    <cellStyle name="쉼표 [0] 8 14" xfId="23222"/>
    <cellStyle name="쉼표 [0] 8 14 2" xfId="23223"/>
    <cellStyle name="쉼표 [0] 8 14 2 2" xfId="9898"/>
    <cellStyle name="쉼표 [0] 8 14 3" xfId="9899"/>
    <cellStyle name="쉼표 [0] 8 15" xfId="23224"/>
    <cellStyle name="쉼표 [0] 8 15 2" xfId="23225"/>
    <cellStyle name="쉼표 [0] 8 15 2 2" xfId="9896"/>
    <cellStyle name="쉼표 [0] 8 15 3" xfId="9897"/>
    <cellStyle name="쉼표 [0] 8 16" xfId="23226"/>
    <cellStyle name="쉼표 [0] 8 16 2" xfId="23227"/>
    <cellStyle name="쉼표 [0] 8 16 2 2" xfId="9894"/>
    <cellStyle name="쉼표 [0] 8 16 3" xfId="9895"/>
    <cellStyle name="쉼표 [0] 8 17" xfId="23228"/>
    <cellStyle name="쉼표 [0] 8 17 2" xfId="23229"/>
    <cellStyle name="쉼표 [0] 8 17 2 2" xfId="9892"/>
    <cellStyle name="쉼표 [0] 8 17 3" xfId="9893"/>
    <cellStyle name="쉼표 [0] 8 18" xfId="23230"/>
    <cellStyle name="쉼표 [0] 8 18 2" xfId="23231"/>
    <cellStyle name="쉼표 [0] 8 18 2 2" xfId="9890"/>
    <cellStyle name="쉼표 [0] 8 18 3" xfId="9891"/>
    <cellStyle name="쉼표 [0] 8 19" xfId="23232"/>
    <cellStyle name="쉼표 [0] 8 19 2" xfId="23233"/>
    <cellStyle name="쉼표 [0] 8 19 2 2" xfId="9888"/>
    <cellStyle name="쉼표 [0] 8 19 3" xfId="9889"/>
    <cellStyle name="쉼표 [0] 8 2" xfId="2928"/>
    <cellStyle name="쉼표 [0] 8 2 10" xfId="23235"/>
    <cellStyle name="쉼표 [0] 8 2 10 2" xfId="23236"/>
    <cellStyle name="쉼표 [0] 8 2 10 2 2" xfId="9885"/>
    <cellStyle name="쉼표 [0] 8 2 10 3" xfId="9886"/>
    <cellStyle name="쉼표 [0] 8 2 11" xfId="23237"/>
    <cellStyle name="쉼표 [0] 8 2 11 2" xfId="9884"/>
    <cellStyle name="쉼표 [0] 8 2 12" xfId="23238"/>
    <cellStyle name="쉼표 [0] 8 2 12 2" xfId="9883"/>
    <cellStyle name="쉼표 [0] 8 2 13" xfId="9887"/>
    <cellStyle name="쉼표 [0] 8 2 14" xfId="28375"/>
    <cellStyle name="쉼표 [0] 8 2 15" xfId="23234"/>
    <cellStyle name="쉼표 [0] 8 2 16" xfId="30663"/>
    <cellStyle name="쉼표 [0] 8 2 2" xfId="2929"/>
    <cellStyle name="쉼표 [0] 8 2 2 10" xfId="9882"/>
    <cellStyle name="쉼표 [0] 8 2 2 11" xfId="28374"/>
    <cellStyle name="쉼표 [0] 8 2 2 12" xfId="23239"/>
    <cellStyle name="쉼표 [0] 8 2 2 13" xfId="30692"/>
    <cellStyle name="쉼표 [0] 8 2 2 2" xfId="2930"/>
    <cellStyle name="쉼표 [0] 8 2 2 2 10" xfId="23240"/>
    <cellStyle name="쉼표 [0] 8 2 2 2 11" xfId="29448"/>
    <cellStyle name="쉼표 [0] 8 2 2 2 2" xfId="2931"/>
    <cellStyle name="쉼표 [0] 8 2 2 2 2 2" xfId="2932"/>
    <cellStyle name="쉼표 [0] 8 2 2 2 2 2 2" xfId="2933"/>
    <cellStyle name="쉼표 [0] 8 2 2 2 2 2 2 2" xfId="2934"/>
    <cellStyle name="쉼표 [0] 8 2 2 2 2 2 2 2 2" xfId="23245"/>
    <cellStyle name="쉼표 [0] 8 2 2 2 2 2 2 2 2 2" xfId="9876"/>
    <cellStyle name="쉼표 [0] 8 2 2 2 2 2 2 2 3" xfId="9877"/>
    <cellStyle name="쉼표 [0] 8 2 2 2 2 2 2 2 4" xfId="23244"/>
    <cellStyle name="쉼표 [0] 8 2 2 2 2 2 2 3" xfId="23246"/>
    <cellStyle name="쉼표 [0] 8 2 2 2 2 2 2 3 2" xfId="9875"/>
    <cellStyle name="쉼표 [0] 8 2 2 2 2 2 2 4" xfId="9878"/>
    <cellStyle name="쉼표 [0] 8 2 2 2 2 2 2 5" xfId="23243"/>
    <cellStyle name="쉼표 [0] 8 2 2 2 2 2 3" xfId="23247"/>
    <cellStyle name="쉼표 [0] 8 2 2 2 2 2 3 2" xfId="9874"/>
    <cellStyle name="쉼표 [0] 8 2 2 2 2 2 4" xfId="9879"/>
    <cellStyle name="쉼표 [0] 8 2 2 2 2 2 5" xfId="28371"/>
    <cellStyle name="쉼표 [0] 8 2 2 2 2 2 6" xfId="23242"/>
    <cellStyle name="쉼표 [0] 8 2 2 2 2 3" xfId="2935"/>
    <cellStyle name="쉼표 [0] 8 2 2 2 2 3 2" xfId="2936"/>
    <cellStyle name="쉼표 [0] 8 2 2 2 2 3 2 2" xfId="23250"/>
    <cellStyle name="쉼표 [0] 8 2 2 2 2 3 2 2 2" xfId="9871"/>
    <cellStyle name="쉼표 [0] 8 2 2 2 2 3 2 3" xfId="9872"/>
    <cellStyle name="쉼표 [0] 8 2 2 2 2 3 2 4" xfId="23249"/>
    <cellStyle name="쉼표 [0] 8 2 2 2 2 3 3" xfId="23251"/>
    <cellStyle name="쉼표 [0] 8 2 2 2 2 3 3 2" xfId="9870"/>
    <cellStyle name="쉼표 [0] 8 2 2 2 2 3 4" xfId="9873"/>
    <cellStyle name="쉼표 [0] 8 2 2 2 2 3 5" xfId="23248"/>
    <cellStyle name="쉼표 [0] 8 2 2 2 2 4" xfId="2937"/>
    <cellStyle name="쉼표 [0] 8 2 2 2 2 4 2" xfId="2938"/>
    <cellStyle name="쉼표 [0] 8 2 2 2 2 4 2 2" xfId="23254"/>
    <cellStyle name="쉼표 [0] 8 2 2 2 2 4 2 2 2" xfId="9867"/>
    <cellStyle name="쉼표 [0] 8 2 2 2 2 4 2 3" xfId="9868"/>
    <cellStyle name="쉼표 [0] 8 2 2 2 2 4 2 4" xfId="23253"/>
    <cellStyle name="쉼표 [0] 8 2 2 2 2 4 3" xfId="23255"/>
    <cellStyle name="쉼표 [0] 8 2 2 2 2 4 3 2" xfId="9866"/>
    <cellStyle name="쉼표 [0] 8 2 2 2 2 4 4" xfId="9869"/>
    <cellStyle name="쉼표 [0] 8 2 2 2 2 4 5" xfId="23252"/>
    <cellStyle name="쉼표 [0] 8 2 2 2 2 5" xfId="23256"/>
    <cellStyle name="쉼표 [0] 8 2 2 2 2 5 2" xfId="9865"/>
    <cellStyle name="쉼표 [0] 8 2 2 2 2 6" xfId="9880"/>
    <cellStyle name="쉼표 [0] 8 2 2 2 2 7" xfId="28372"/>
    <cellStyle name="쉼표 [0] 8 2 2 2 2 8" xfId="23241"/>
    <cellStyle name="쉼표 [0] 8 2 2 2 3" xfId="2939"/>
    <cellStyle name="쉼표 [0] 8 2 2 2 3 2" xfId="2940"/>
    <cellStyle name="쉼표 [0] 8 2 2 2 3 2 2" xfId="2941"/>
    <cellStyle name="쉼표 [0] 8 2 2 2 3 2 2 2" xfId="23260"/>
    <cellStyle name="쉼표 [0] 8 2 2 2 3 2 2 2 2" xfId="9861"/>
    <cellStyle name="쉼표 [0] 8 2 2 2 3 2 2 3" xfId="9862"/>
    <cellStyle name="쉼표 [0] 8 2 2 2 3 2 2 4" xfId="28368"/>
    <cellStyle name="쉼표 [0] 8 2 2 2 3 2 2 5" xfId="23259"/>
    <cellStyle name="쉼표 [0] 8 2 2 2 3 2 3" xfId="2942"/>
    <cellStyle name="쉼표 [0] 8 2 2 2 3 2 3 2" xfId="2943"/>
    <cellStyle name="쉼표 [0] 8 2 2 2 3 2 3 2 2" xfId="23263"/>
    <cellStyle name="쉼표 [0] 8 2 2 2 3 2 3 2 2 2" xfId="9858"/>
    <cellStyle name="쉼표 [0] 8 2 2 2 3 2 3 2 3" xfId="9859"/>
    <cellStyle name="쉼표 [0] 8 2 2 2 3 2 3 2 4" xfId="23262"/>
    <cellStyle name="쉼표 [0] 8 2 2 2 3 2 3 3" xfId="23264"/>
    <cellStyle name="쉼표 [0] 8 2 2 2 3 2 3 3 2" xfId="9857"/>
    <cellStyle name="쉼표 [0] 8 2 2 2 3 2 3 4" xfId="9860"/>
    <cellStyle name="쉼표 [0] 8 2 2 2 3 2 3 5" xfId="23261"/>
    <cellStyle name="쉼표 [0] 8 2 2 2 3 2 4" xfId="23265"/>
    <cellStyle name="쉼표 [0] 8 2 2 2 3 2 4 2" xfId="9856"/>
    <cellStyle name="쉼표 [0] 8 2 2 2 3 2 5" xfId="9863"/>
    <cellStyle name="쉼표 [0] 8 2 2 2 3 2 6" xfId="28369"/>
    <cellStyle name="쉼표 [0] 8 2 2 2 3 2 7" xfId="23258"/>
    <cellStyle name="쉼표 [0] 8 2 2 2 3 3" xfId="2944"/>
    <cellStyle name="쉼표 [0] 8 2 2 2 3 3 2" xfId="23267"/>
    <cellStyle name="쉼표 [0] 8 2 2 2 3 3 2 2" xfId="9854"/>
    <cellStyle name="쉼표 [0] 8 2 2 2 3 3 3" xfId="9855"/>
    <cellStyle name="쉼표 [0] 8 2 2 2 3 3 4" xfId="28367"/>
    <cellStyle name="쉼표 [0] 8 2 2 2 3 3 5" xfId="23266"/>
    <cellStyle name="쉼표 [0] 8 2 2 2 3 4" xfId="2945"/>
    <cellStyle name="쉼표 [0] 8 2 2 2 3 4 2" xfId="2946"/>
    <cellStyle name="쉼표 [0] 8 2 2 2 3 4 2 2" xfId="23270"/>
    <cellStyle name="쉼표 [0] 8 2 2 2 3 4 2 2 2" xfId="9851"/>
    <cellStyle name="쉼표 [0] 8 2 2 2 3 4 2 3" xfId="9852"/>
    <cellStyle name="쉼표 [0] 8 2 2 2 3 4 2 4" xfId="23269"/>
    <cellStyle name="쉼표 [0] 8 2 2 2 3 4 3" xfId="23271"/>
    <cellStyle name="쉼표 [0] 8 2 2 2 3 4 3 2" xfId="9850"/>
    <cellStyle name="쉼표 [0] 8 2 2 2 3 4 4" xfId="9853"/>
    <cellStyle name="쉼표 [0] 8 2 2 2 3 4 5" xfId="23268"/>
    <cellStyle name="쉼표 [0] 8 2 2 2 3 5" xfId="23272"/>
    <cellStyle name="쉼표 [0] 8 2 2 2 3 5 2" xfId="9849"/>
    <cellStyle name="쉼표 [0] 8 2 2 2 3 6" xfId="9864"/>
    <cellStyle name="쉼표 [0] 8 2 2 2 3 7" xfId="28370"/>
    <cellStyle name="쉼표 [0] 8 2 2 2 3 8" xfId="23257"/>
    <cellStyle name="쉼표 [0] 8 2 2 2 4" xfId="2947"/>
    <cellStyle name="쉼표 [0] 8 2 2 2 4 2" xfId="2948"/>
    <cellStyle name="쉼표 [0] 8 2 2 2 4 2 2" xfId="23275"/>
    <cellStyle name="쉼표 [0] 8 2 2 2 4 2 2 2" xfId="9846"/>
    <cellStyle name="쉼표 [0] 8 2 2 2 4 2 3" xfId="9847"/>
    <cellStyle name="쉼표 [0] 8 2 2 2 4 2 4" xfId="28365"/>
    <cellStyle name="쉼표 [0] 8 2 2 2 4 2 5" xfId="23274"/>
    <cellStyle name="쉼표 [0] 8 2 2 2 4 3" xfId="2949"/>
    <cellStyle name="쉼표 [0] 8 2 2 2 4 3 2" xfId="2950"/>
    <cellStyle name="쉼표 [0] 8 2 2 2 4 3 2 2" xfId="23278"/>
    <cellStyle name="쉼표 [0] 8 2 2 2 4 3 2 2 2" xfId="9843"/>
    <cellStyle name="쉼표 [0] 8 2 2 2 4 3 2 3" xfId="9844"/>
    <cellStyle name="쉼표 [0] 8 2 2 2 4 3 2 4" xfId="23277"/>
    <cellStyle name="쉼표 [0] 8 2 2 2 4 3 3" xfId="23279"/>
    <cellStyle name="쉼표 [0] 8 2 2 2 4 3 3 2" xfId="9842"/>
    <cellStyle name="쉼표 [0] 8 2 2 2 4 3 4" xfId="9845"/>
    <cellStyle name="쉼표 [0] 8 2 2 2 4 3 5" xfId="23276"/>
    <cellStyle name="쉼표 [0] 8 2 2 2 4 4" xfId="23280"/>
    <cellStyle name="쉼표 [0] 8 2 2 2 4 4 2" xfId="9841"/>
    <cellStyle name="쉼표 [0] 8 2 2 2 4 5" xfId="9848"/>
    <cellStyle name="쉼표 [0] 8 2 2 2 4 6" xfId="28366"/>
    <cellStyle name="쉼표 [0] 8 2 2 2 4 7" xfId="23273"/>
    <cellStyle name="쉼표 [0] 8 2 2 2 5" xfId="2951"/>
    <cellStyle name="쉼표 [0] 8 2 2 2 5 2" xfId="23282"/>
    <cellStyle name="쉼표 [0] 8 2 2 2 5 2 2" xfId="9839"/>
    <cellStyle name="쉼표 [0] 8 2 2 2 5 3" xfId="9840"/>
    <cellStyle name="쉼표 [0] 8 2 2 2 5 4" xfId="28364"/>
    <cellStyle name="쉼표 [0] 8 2 2 2 5 5" xfId="23281"/>
    <cellStyle name="쉼표 [0] 8 2 2 2 6" xfId="2952"/>
    <cellStyle name="쉼표 [0] 8 2 2 2 6 2" xfId="2953"/>
    <cellStyle name="쉼표 [0] 8 2 2 2 6 2 2" xfId="23285"/>
    <cellStyle name="쉼표 [0] 8 2 2 2 6 2 2 2" xfId="9836"/>
    <cellStyle name="쉼표 [0] 8 2 2 2 6 2 3" xfId="9837"/>
    <cellStyle name="쉼표 [0] 8 2 2 2 6 2 4" xfId="23284"/>
    <cellStyle name="쉼표 [0] 8 2 2 2 6 3" xfId="23286"/>
    <cellStyle name="쉼표 [0] 8 2 2 2 6 3 2" xfId="9835"/>
    <cellStyle name="쉼표 [0] 8 2 2 2 6 4" xfId="9838"/>
    <cellStyle name="쉼표 [0] 8 2 2 2 6 5" xfId="23283"/>
    <cellStyle name="쉼표 [0] 8 2 2 2 7" xfId="23287"/>
    <cellStyle name="쉼표 [0] 8 2 2 2 7 2" xfId="9834"/>
    <cellStyle name="쉼표 [0] 8 2 2 2 8" xfId="9881"/>
    <cellStyle name="쉼표 [0] 8 2 2 2 9" xfId="28373"/>
    <cellStyle name="쉼표 [0] 8 2 2 3" xfId="2954"/>
    <cellStyle name="쉼표 [0] 8 2 2 3 2" xfId="2955"/>
    <cellStyle name="쉼표 [0] 8 2 2 3 2 2" xfId="2956"/>
    <cellStyle name="쉼표 [0] 8 2 2 3 2 2 2" xfId="2957"/>
    <cellStyle name="쉼표 [0] 8 2 2 3 2 2 2 2" xfId="23292"/>
    <cellStyle name="쉼표 [0] 8 2 2 3 2 2 2 2 2" xfId="9829"/>
    <cellStyle name="쉼표 [0] 8 2 2 3 2 2 2 3" xfId="9830"/>
    <cellStyle name="쉼표 [0] 8 2 2 3 2 2 2 4" xfId="23291"/>
    <cellStyle name="쉼표 [0] 8 2 2 3 2 2 3" xfId="23293"/>
    <cellStyle name="쉼표 [0] 8 2 2 3 2 2 3 2" xfId="9828"/>
    <cellStyle name="쉼표 [0] 8 2 2 3 2 2 4" xfId="9831"/>
    <cellStyle name="쉼표 [0] 8 2 2 3 2 2 5" xfId="23290"/>
    <cellStyle name="쉼표 [0] 8 2 2 3 2 3" xfId="23294"/>
    <cellStyle name="쉼표 [0] 8 2 2 3 2 3 2" xfId="9827"/>
    <cellStyle name="쉼표 [0] 8 2 2 3 2 4" xfId="9832"/>
    <cellStyle name="쉼표 [0] 8 2 2 3 2 5" xfId="28362"/>
    <cellStyle name="쉼표 [0] 8 2 2 3 2 6" xfId="23289"/>
    <cellStyle name="쉼표 [0] 8 2 2 3 3" xfId="2958"/>
    <cellStyle name="쉼표 [0] 8 2 2 3 3 2" xfId="2959"/>
    <cellStyle name="쉼표 [0] 8 2 2 3 3 2 2" xfId="23297"/>
    <cellStyle name="쉼표 [0] 8 2 2 3 3 2 2 2" xfId="9824"/>
    <cellStyle name="쉼표 [0] 8 2 2 3 3 2 3" xfId="9825"/>
    <cellStyle name="쉼표 [0] 8 2 2 3 3 2 4" xfId="23296"/>
    <cellStyle name="쉼표 [0] 8 2 2 3 3 3" xfId="23298"/>
    <cellStyle name="쉼표 [0] 8 2 2 3 3 3 2" xfId="9823"/>
    <cellStyle name="쉼표 [0] 8 2 2 3 3 4" xfId="9826"/>
    <cellStyle name="쉼표 [0] 8 2 2 3 3 5" xfId="23295"/>
    <cellStyle name="쉼표 [0] 8 2 2 3 4" xfId="2960"/>
    <cellStyle name="쉼표 [0] 8 2 2 3 4 2" xfId="2961"/>
    <cellStyle name="쉼표 [0] 8 2 2 3 4 2 2" xfId="23301"/>
    <cellStyle name="쉼표 [0] 8 2 2 3 4 2 2 2" xfId="9820"/>
    <cellStyle name="쉼표 [0] 8 2 2 3 4 2 3" xfId="9821"/>
    <cellStyle name="쉼표 [0] 8 2 2 3 4 2 4" xfId="23300"/>
    <cellStyle name="쉼표 [0] 8 2 2 3 4 3" xfId="23302"/>
    <cellStyle name="쉼표 [0] 8 2 2 3 4 3 2" xfId="9819"/>
    <cellStyle name="쉼표 [0] 8 2 2 3 4 4" xfId="9822"/>
    <cellStyle name="쉼표 [0] 8 2 2 3 4 5" xfId="23299"/>
    <cellStyle name="쉼표 [0] 8 2 2 3 5" xfId="23303"/>
    <cellStyle name="쉼표 [0] 8 2 2 3 5 2" xfId="9818"/>
    <cellStyle name="쉼표 [0] 8 2 2 3 6" xfId="9833"/>
    <cellStyle name="쉼표 [0] 8 2 2 3 7" xfId="28363"/>
    <cellStyle name="쉼표 [0] 8 2 2 3 8" xfId="23288"/>
    <cellStyle name="쉼표 [0] 8 2 2 4" xfId="2962"/>
    <cellStyle name="쉼표 [0] 8 2 2 4 2" xfId="2963"/>
    <cellStyle name="쉼표 [0] 8 2 2 4 2 2" xfId="2964"/>
    <cellStyle name="쉼표 [0] 8 2 2 4 2 2 2" xfId="23307"/>
    <cellStyle name="쉼표 [0] 8 2 2 4 2 2 2 2" xfId="9814"/>
    <cellStyle name="쉼표 [0] 8 2 2 4 2 2 3" xfId="9815"/>
    <cellStyle name="쉼표 [0] 8 2 2 4 2 2 4" xfId="28359"/>
    <cellStyle name="쉼표 [0] 8 2 2 4 2 2 5" xfId="23306"/>
    <cellStyle name="쉼표 [0] 8 2 2 4 2 3" xfId="2965"/>
    <cellStyle name="쉼표 [0] 8 2 2 4 2 3 2" xfId="2966"/>
    <cellStyle name="쉼표 [0] 8 2 2 4 2 3 2 2" xfId="23310"/>
    <cellStyle name="쉼표 [0] 8 2 2 4 2 3 2 2 2" xfId="9811"/>
    <cellStyle name="쉼표 [0] 8 2 2 4 2 3 2 3" xfId="9812"/>
    <cellStyle name="쉼표 [0] 8 2 2 4 2 3 2 4" xfId="23309"/>
    <cellStyle name="쉼표 [0] 8 2 2 4 2 3 3" xfId="23311"/>
    <cellStyle name="쉼표 [0] 8 2 2 4 2 3 3 2" xfId="9810"/>
    <cellStyle name="쉼표 [0] 8 2 2 4 2 3 4" xfId="9813"/>
    <cellStyle name="쉼표 [0] 8 2 2 4 2 3 5" xfId="23308"/>
    <cellStyle name="쉼표 [0] 8 2 2 4 2 4" xfId="23312"/>
    <cellStyle name="쉼표 [0] 8 2 2 4 2 4 2" xfId="9809"/>
    <cellStyle name="쉼표 [0] 8 2 2 4 2 5" xfId="9816"/>
    <cellStyle name="쉼표 [0] 8 2 2 4 2 6" xfId="28360"/>
    <cellStyle name="쉼표 [0] 8 2 2 4 2 7" xfId="23305"/>
    <cellStyle name="쉼표 [0] 8 2 2 4 3" xfId="2967"/>
    <cellStyle name="쉼표 [0] 8 2 2 4 3 2" xfId="23314"/>
    <cellStyle name="쉼표 [0] 8 2 2 4 3 2 2" xfId="9807"/>
    <cellStyle name="쉼표 [0] 8 2 2 4 3 3" xfId="9808"/>
    <cellStyle name="쉼표 [0] 8 2 2 4 3 4" xfId="28358"/>
    <cellStyle name="쉼표 [0] 8 2 2 4 3 5" xfId="23313"/>
    <cellStyle name="쉼표 [0] 8 2 2 4 4" xfId="2968"/>
    <cellStyle name="쉼표 [0] 8 2 2 4 4 2" xfId="2969"/>
    <cellStyle name="쉼표 [0] 8 2 2 4 4 2 2" xfId="23317"/>
    <cellStyle name="쉼표 [0] 8 2 2 4 4 2 2 2" xfId="9804"/>
    <cellStyle name="쉼표 [0] 8 2 2 4 4 2 3" xfId="9805"/>
    <cellStyle name="쉼표 [0] 8 2 2 4 4 2 4" xfId="23316"/>
    <cellStyle name="쉼표 [0] 8 2 2 4 4 3" xfId="23318"/>
    <cellStyle name="쉼표 [0] 8 2 2 4 4 3 2" xfId="9803"/>
    <cellStyle name="쉼표 [0] 8 2 2 4 4 4" xfId="9806"/>
    <cellStyle name="쉼표 [0] 8 2 2 4 4 5" xfId="23315"/>
    <cellStyle name="쉼표 [0] 8 2 2 4 5" xfId="23319"/>
    <cellStyle name="쉼표 [0] 8 2 2 4 5 2" xfId="9802"/>
    <cellStyle name="쉼표 [0] 8 2 2 4 6" xfId="9817"/>
    <cellStyle name="쉼표 [0] 8 2 2 4 7" xfId="28361"/>
    <cellStyle name="쉼표 [0] 8 2 2 4 8" xfId="23304"/>
    <cellStyle name="쉼표 [0] 8 2 2 5" xfId="2970"/>
    <cellStyle name="쉼표 [0] 8 2 2 5 2" xfId="2971"/>
    <cellStyle name="쉼표 [0] 8 2 2 5 2 2" xfId="23322"/>
    <cellStyle name="쉼표 [0] 8 2 2 5 2 2 2" xfId="9799"/>
    <cellStyle name="쉼표 [0] 8 2 2 5 2 3" xfId="9800"/>
    <cellStyle name="쉼표 [0] 8 2 2 5 2 4" xfId="28356"/>
    <cellStyle name="쉼표 [0] 8 2 2 5 2 5" xfId="23321"/>
    <cellStyle name="쉼표 [0] 8 2 2 5 3" xfId="2972"/>
    <cellStyle name="쉼표 [0] 8 2 2 5 3 2" xfId="2973"/>
    <cellStyle name="쉼표 [0] 8 2 2 5 3 2 2" xfId="23325"/>
    <cellStyle name="쉼표 [0] 8 2 2 5 3 2 2 2" xfId="9796"/>
    <cellStyle name="쉼표 [0] 8 2 2 5 3 2 3" xfId="9797"/>
    <cellStyle name="쉼표 [0] 8 2 2 5 3 2 4" xfId="23324"/>
    <cellStyle name="쉼표 [0] 8 2 2 5 3 3" xfId="23326"/>
    <cellStyle name="쉼표 [0] 8 2 2 5 3 3 2" xfId="9795"/>
    <cellStyle name="쉼표 [0] 8 2 2 5 3 4" xfId="9798"/>
    <cellStyle name="쉼표 [0] 8 2 2 5 3 5" xfId="23323"/>
    <cellStyle name="쉼표 [0] 8 2 2 5 4" xfId="23327"/>
    <cellStyle name="쉼표 [0] 8 2 2 5 4 2" xfId="9794"/>
    <cellStyle name="쉼표 [0] 8 2 2 5 5" xfId="9801"/>
    <cellStyle name="쉼표 [0] 8 2 2 5 6" xfId="28357"/>
    <cellStyle name="쉼표 [0] 8 2 2 5 7" xfId="23320"/>
    <cellStyle name="쉼표 [0] 8 2 2 6" xfId="2974"/>
    <cellStyle name="쉼표 [0] 8 2 2 6 2" xfId="2975"/>
    <cellStyle name="쉼표 [0] 8 2 2 6 2 2" xfId="23330"/>
    <cellStyle name="쉼표 [0] 8 2 2 6 2 2 2" xfId="9791"/>
    <cellStyle name="쉼표 [0] 8 2 2 6 2 3" xfId="9792"/>
    <cellStyle name="쉼표 [0] 8 2 2 6 2 4" xfId="28354"/>
    <cellStyle name="쉼표 [0] 8 2 2 6 2 5" xfId="23329"/>
    <cellStyle name="쉼표 [0] 8 2 2 6 3" xfId="23331"/>
    <cellStyle name="쉼표 [0] 8 2 2 6 3 2" xfId="9790"/>
    <cellStyle name="쉼표 [0] 8 2 2 6 4" xfId="9793"/>
    <cellStyle name="쉼표 [0] 8 2 2 6 5" xfId="28355"/>
    <cellStyle name="쉼표 [0] 8 2 2 6 6" xfId="23328"/>
    <cellStyle name="쉼표 [0] 8 2 2 7" xfId="2976"/>
    <cellStyle name="쉼표 [0] 8 2 2 7 2" xfId="23333"/>
    <cellStyle name="쉼표 [0] 8 2 2 7 2 2" xfId="9788"/>
    <cellStyle name="쉼표 [0] 8 2 2 7 3" xfId="9789"/>
    <cellStyle name="쉼표 [0] 8 2 2 7 4" xfId="28353"/>
    <cellStyle name="쉼표 [0] 8 2 2 7 5" xfId="23332"/>
    <cellStyle name="쉼표 [0] 8 2 2 8" xfId="2977"/>
    <cellStyle name="쉼표 [0] 8 2 2 8 2" xfId="2978"/>
    <cellStyle name="쉼표 [0] 8 2 2 8 2 2" xfId="23336"/>
    <cellStyle name="쉼표 [0] 8 2 2 8 2 2 2" xfId="9785"/>
    <cellStyle name="쉼표 [0] 8 2 2 8 2 3" xfId="9786"/>
    <cellStyle name="쉼표 [0] 8 2 2 8 2 4" xfId="23335"/>
    <cellStyle name="쉼표 [0] 8 2 2 8 3" xfId="23337"/>
    <cellStyle name="쉼표 [0] 8 2 2 8 3 2" xfId="9784"/>
    <cellStyle name="쉼표 [0] 8 2 2 8 4" xfId="9787"/>
    <cellStyle name="쉼표 [0] 8 2 2 8 5" xfId="23334"/>
    <cellStyle name="쉼표 [0] 8 2 2 9" xfId="23338"/>
    <cellStyle name="쉼표 [0] 8 2 2 9 2" xfId="9783"/>
    <cellStyle name="쉼표 [0] 8 2 3" xfId="2979"/>
    <cellStyle name="쉼표 [0] 8 2 3 10" xfId="23339"/>
    <cellStyle name="쉼표 [0] 8 2 3 11" xfId="29442"/>
    <cellStyle name="쉼표 [0] 8 2 3 2" xfId="2980"/>
    <cellStyle name="쉼표 [0] 8 2 3 2 2" xfId="2981"/>
    <cellStyle name="쉼표 [0] 8 2 3 2 2 2" xfId="2982"/>
    <cellStyle name="쉼표 [0] 8 2 3 2 2 2 2" xfId="2983"/>
    <cellStyle name="쉼표 [0] 8 2 3 2 2 2 2 2" xfId="23344"/>
    <cellStyle name="쉼표 [0] 8 2 3 2 2 2 2 2 2" xfId="9777"/>
    <cellStyle name="쉼표 [0] 8 2 3 2 2 2 2 3" xfId="9778"/>
    <cellStyle name="쉼표 [0] 8 2 3 2 2 2 2 4" xfId="23343"/>
    <cellStyle name="쉼표 [0] 8 2 3 2 2 2 3" xfId="23345"/>
    <cellStyle name="쉼표 [0] 8 2 3 2 2 2 3 2" xfId="9776"/>
    <cellStyle name="쉼표 [0] 8 2 3 2 2 2 4" xfId="9779"/>
    <cellStyle name="쉼표 [0] 8 2 3 2 2 2 5" xfId="23342"/>
    <cellStyle name="쉼표 [0] 8 2 3 2 2 3" xfId="23346"/>
    <cellStyle name="쉼표 [0] 8 2 3 2 2 3 2" xfId="9775"/>
    <cellStyle name="쉼표 [0] 8 2 3 2 2 4" xfId="9780"/>
    <cellStyle name="쉼표 [0] 8 2 3 2 2 5" xfId="28350"/>
    <cellStyle name="쉼표 [0] 8 2 3 2 2 6" xfId="23341"/>
    <cellStyle name="쉼표 [0] 8 2 3 2 3" xfId="2984"/>
    <cellStyle name="쉼표 [0] 8 2 3 2 3 2" xfId="2985"/>
    <cellStyle name="쉼표 [0] 8 2 3 2 3 2 2" xfId="23349"/>
    <cellStyle name="쉼표 [0] 8 2 3 2 3 2 2 2" xfId="9772"/>
    <cellStyle name="쉼표 [0] 8 2 3 2 3 2 3" xfId="9773"/>
    <cellStyle name="쉼표 [0] 8 2 3 2 3 2 4" xfId="23348"/>
    <cellStyle name="쉼표 [0] 8 2 3 2 3 3" xfId="23350"/>
    <cellStyle name="쉼표 [0] 8 2 3 2 3 3 2" xfId="9771"/>
    <cellStyle name="쉼표 [0] 8 2 3 2 3 4" xfId="9774"/>
    <cellStyle name="쉼표 [0] 8 2 3 2 3 5" xfId="23347"/>
    <cellStyle name="쉼표 [0] 8 2 3 2 4" xfId="2986"/>
    <cellStyle name="쉼표 [0] 8 2 3 2 4 2" xfId="2987"/>
    <cellStyle name="쉼표 [0] 8 2 3 2 4 2 2" xfId="23353"/>
    <cellStyle name="쉼표 [0] 8 2 3 2 4 2 2 2" xfId="9768"/>
    <cellStyle name="쉼표 [0] 8 2 3 2 4 2 3" xfId="9769"/>
    <cellStyle name="쉼표 [0] 8 2 3 2 4 2 4" xfId="23352"/>
    <cellStyle name="쉼표 [0] 8 2 3 2 4 3" xfId="23354"/>
    <cellStyle name="쉼표 [0] 8 2 3 2 4 3 2" xfId="9767"/>
    <cellStyle name="쉼표 [0] 8 2 3 2 4 4" xfId="9770"/>
    <cellStyle name="쉼표 [0] 8 2 3 2 4 5" xfId="23351"/>
    <cellStyle name="쉼표 [0] 8 2 3 2 5" xfId="23355"/>
    <cellStyle name="쉼표 [0] 8 2 3 2 5 2" xfId="9766"/>
    <cellStyle name="쉼표 [0] 8 2 3 2 6" xfId="9781"/>
    <cellStyle name="쉼표 [0] 8 2 3 2 7" xfId="28351"/>
    <cellStyle name="쉼표 [0] 8 2 3 2 8" xfId="23340"/>
    <cellStyle name="쉼표 [0] 8 2 3 3" xfId="2988"/>
    <cellStyle name="쉼표 [0] 8 2 3 3 2" xfId="2989"/>
    <cellStyle name="쉼표 [0] 8 2 3 3 2 2" xfId="2990"/>
    <cellStyle name="쉼표 [0] 8 2 3 3 2 2 2" xfId="23359"/>
    <cellStyle name="쉼표 [0] 8 2 3 3 2 2 2 2" xfId="9762"/>
    <cellStyle name="쉼표 [0] 8 2 3 3 2 2 3" xfId="9763"/>
    <cellStyle name="쉼표 [0] 8 2 3 3 2 2 4" xfId="28347"/>
    <cellStyle name="쉼표 [0] 8 2 3 3 2 2 5" xfId="23358"/>
    <cellStyle name="쉼표 [0] 8 2 3 3 2 3" xfId="2991"/>
    <cellStyle name="쉼표 [0] 8 2 3 3 2 3 2" xfId="2992"/>
    <cellStyle name="쉼표 [0] 8 2 3 3 2 3 2 2" xfId="23362"/>
    <cellStyle name="쉼표 [0] 8 2 3 3 2 3 2 2 2" xfId="9759"/>
    <cellStyle name="쉼표 [0] 8 2 3 3 2 3 2 3" xfId="9760"/>
    <cellStyle name="쉼표 [0] 8 2 3 3 2 3 2 4" xfId="23361"/>
    <cellStyle name="쉼표 [0] 8 2 3 3 2 3 3" xfId="23363"/>
    <cellStyle name="쉼표 [0] 8 2 3 3 2 3 3 2" xfId="9758"/>
    <cellStyle name="쉼표 [0] 8 2 3 3 2 3 4" xfId="9761"/>
    <cellStyle name="쉼표 [0] 8 2 3 3 2 3 5" xfId="23360"/>
    <cellStyle name="쉼표 [0] 8 2 3 3 2 4" xfId="23364"/>
    <cellStyle name="쉼표 [0] 8 2 3 3 2 4 2" xfId="9757"/>
    <cellStyle name="쉼표 [0] 8 2 3 3 2 5" xfId="9764"/>
    <cellStyle name="쉼표 [0] 8 2 3 3 2 6" xfId="28348"/>
    <cellStyle name="쉼표 [0] 8 2 3 3 2 7" xfId="23357"/>
    <cellStyle name="쉼표 [0] 8 2 3 3 3" xfId="2993"/>
    <cellStyle name="쉼표 [0] 8 2 3 3 3 2" xfId="23366"/>
    <cellStyle name="쉼표 [0] 8 2 3 3 3 2 2" xfId="9755"/>
    <cellStyle name="쉼표 [0] 8 2 3 3 3 3" xfId="9756"/>
    <cellStyle name="쉼표 [0] 8 2 3 3 3 4" xfId="28346"/>
    <cellStyle name="쉼표 [0] 8 2 3 3 3 5" xfId="23365"/>
    <cellStyle name="쉼표 [0] 8 2 3 3 4" xfId="2994"/>
    <cellStyle name="쉼표 [0] 8 2 3 3 4 2" xfId="2995"/>
    <cellStyle name="쉼표 [0] 8 2 3 3 4 2 2" xfId="23369"/>
    <cellStyle name="쉼표 [0] 8 2 3 3 4 2 2 2" xfId="9752"/>
    <cellStyle name="쉼표 [0] 8 2 3 3 4 2 3" xfId="9753"/>
    <cellStyle name="쉼표 [0] 8 2 3 3 4 2 4" xfId="23368"/>
    <cellStyle name="쉼표 [0] 8 2 3 3 4 3" xfId="23370"/>
    <cellStyle name="쉼표 [0] 8 2 3 3 4 3 2" xfId="9751"/>
    <cellStyle name="쉼표 [0] 8 2 3 3 4 4" xfId="9754"/>
    <cellStyle name="쉼표 [0] 8 2 3 3 4 5" xfId="23367"/>
    <cellStyle name="쉼표 [0] 8 2 3 3 5" xfId="23371"/>
    <cellStyle name="쉼표 [0] 8 2 3 3 5 2" xfId="9750"/>
    <cellStyle name="쉼표 [0] 8 2 3 3 6" xfId="9765"/>
    <cellStyle name="쉼표 [0] 8 2 3 3 7" xfId="28349"/>
    <cellStyle name="쉼표 [0] 8 2 3 3 8" xfId="23356"/>
    <cellStyle name="쉼표 [0] 8 2 3 4" xfId="2996"/>
    <cellStyle name="쉼표 [0] 8 2 3 4 2" xfId="2997"/>
    <cellStyle name="쉼표 [0] 8 2 3 4 2 2" xfId="23374"/>
    <cellStyle name="쉼표 [0] 8 2 3 4 2 2 2" xfId="9747"/>
    <cellStyle name="쉼표 [0] 8 2 3 4 2 3" xfId="9748"/>
    <cellStyle name="쉼표 [0] 8 2 3 4 2 4" xfId="28344"/>
    <cellStyle name="쉼표 [0] 8 2 3 4 2 5" xfId="23373"/>
    <cellStyle name="쉼표 [0] 8 2 3 4 3" xfId="2998"/>
    <cellStyle name="쉼표 [0] 8 2 3 4 3 2" xfId="2999"/>
    <cellStyle name="쉼표 [0] 8 2 3 4 3 2 2" xfId="23377"/>
    <cellStyle name="쉼표 [0] 8 2 3 4 3 2 2 2" xfId="9744"/>
    <cellStyle name="쉼표 [0] 8 2 3 4 3 2 3" xfId="9745"/>
    <cellStyle name="쉼표 [0] 8 2 3 4 3 2 4" xfId="23376"/>
    <cellStyle name="쉼표 [0] 8 2 3 4 3 3" xfId="23378"/>
    <cellStyle name="쉼표 [0] 8 2 3 4 3 3 2" xfId="9743"/>
    <cellStyle name="쉼표 [0] 8 2 3 4 3 4" xfId="9746"/>
    <cellStyle name="쉼표 [0] 8 2 3 4 3 5" xfId="23375"/>
    <cellStyle name="쉼표 [0] 8 2 3 4 4" xfId="23379"/>
    <cellStyle name="쉼표 [0] 8 2 3 4 4 2" xfId="9742"/>
    <cellStyle name="쉼표 [0] 8 2 3 4 5" xfId="9749"/>
    <cellStyle name="쉼표 [0] 8 2 3 4 6" xfId="28345"/>
    <cellStyle name="쉼표 [0] 8 2 3 4 7" xfId="23372"/>
    <cellStyle name="쉼표 [0] 8 2 3 5" xfId="3000"/>
    <cellStyle name="쉼표 [0] 8 2 3 5 2" xfId="23381"/>
    <cellStyle name="쉼표 [0] 8 2 3 5 2 2" xfId="9740"/>
    <cellStyle name="쉼표 [0] 8 2 3 5 3" xfId="9741"/>
    <cellStyle name="쉼표 [0] 8 2 3 5 4" xfId="28343"/>
    <cellStyle name="쉼표 [0] 8 2 3 5 5" xfId="23380"/>
    <cellStyle name="쉼표 [0] 8 2 3 6" xfId="3001"/>
    <cellStyle name="쉼표 [0] 8 2 3 6 2" xfId="3002"/>
    <cellStyle name="쉼표 [0] 8 2 3 6 2 2" xfId="23384"/>
    <cellStyle name="쉼표 [0] 8 2 3 6 2 2 2" xfId="9737"/>
    <cellStyle name="쉼표 [0] 8 2 3 6 2 3" xfId="9738"/>
    <cellStyle name="쉼표 [0] 8 2 3 6 2 4" xfId="23383"/>
    <cellStyle name="쉼표 [0] 8 2 3 6 3" xfId="23385"/>
    <cellStyle name="쉼표 [0] 8 2 3 6 3 2" xfId="9736"/>
    <cellStyle name="쉼표 [0] 8 2 3 6 4" xfId="9739"/>
    <cellStyle name="쉼표 [0] 8 2 3 6 5" xfId="23382"/>
    <cellStyle name="쉼표 [0] 8 2 3 7" xfId="23386"/>
    <cellStyle name="쉼표 [0] 8 2 3 7 2" xfId="9735"/>
    <cellStyle name="쉼표 [0] 8 2 3 8" xfId="9782"/>
    <cellStyle name="쉼표 [0] 8 2 3 9" xfId="28352"/>
    <cellStyle name="쉼표 [0] 8 2 4" xfId="3003"/>
    <cellStyle name="쉼표 [0] 8 2 4 2" xfId="3004"/>
    <cellStyle name="쉼표 [0] 8 2 4 2 2" xfId="3005"/>
    <cellStyle name="쉼표 [0] 8 2 4 2 2 2" xfId="3006"/>
    <cellStyle name="쉼표 [0] 8 2 4 2 2 2 2" xfId="23391"/>
    <cellStyle name="쉼표 [0] 8 2 4 2 2 2 2 2" xfId="9730"/>
    <cellStyle name="쉼표 [0] 8 2 4 2 2 2 3" xfId="9731"/>
    <cellStyle name="쉼표 [0] 8 2 4 2 2 2 4" xfId="23390"/>
    <cellStyle name="쉼표 [0] 8 2 4 2 2 3" xfId="23392"/>
    <cellStyle name="쉼표 [0] 8 2 4 2 2 3 2" xfId="9729"/>
    <cellStyle name="쉼표 [0] 8 2 4 2 2 4" xfId="9732"/>
    <cellStyle name="쉼표 [0] 8 2 4 2 2 5" xfId="23389"/>
    <cellStyle name="쉼표 [0] 8 2 4 2 3" xfId="23393"/>
    <cellStyle name="쉼표 [0] 8 2 4 2 3 2" xfId="9728"/>
    <cellStyle name="쉼표 [0] 8 2 4 2 4" xfId="9733"/>
    <cellStyle name="쉼표 [0] 8 2 4 2 5" xfId="28341"/>
    <cellStyle name="쉼표 [0] 8 2 4 2 6" xfId="23388"/>
    <cellStyle name="쉼표 [0] 8 2 4 3" xfId="3007"/>
    <cellStyle name="쉼표 [0] 8 2 4 3 2" xfId="3008"/>
    <cellStyle name="쉼표 [0] 8 2 4 3 2 2" xfId="23396"/>
    <cellStyle name="쉼표 [0] 8 2 4 3 2 2 2" xfId="9725"/>
    <cellStyle name="쉼표 [0] 8 2 4 3 2 3" xfId="9726"/>
    <cellStyle name="쉼표 [0] 8 2 4 3 2 4" xfId="23395"/>
    <cellStyle name="쉼표 [0] 8 2 4 3 3" xfId="23397"/>
    <cellStyle name="쉼표 [0] 8 2 4 3 3 2" xfId="9724"/>
    <cellStyle name="쉼표 [0] 8 2 4 3 4" xfId="9727"/>
    <cellStyle name="쉼표 [0] 8 2 4 3 5" xfId="23394"/>
    <cellStyle name="쉼표 [0] 8 2 4 4" xfId="3009"/>
    <cellStyle name="쉼표 [0] 8 2 4 4 2" xfId="3010"/>
    <cellStyle name="쉼표 [0] 8 2 4 4 2 2" xfId="23400"/>
    <cellStyle name="쉼표 [0] 8 2 4 4 2 2 2" xfId="9721"/>
    <cellStyle name="쉼표 [0] 8 2 4 4 2 3" xfId="9722"/>
    <cellStyle name="쉼표 [0] 8 2 4 4 2 4" xfId="23399"/>
    <cellStyle name="쉼표 [0] 8 2 4 4 3" xfId="23401"/>
    <cellStyle name="쉼표 [0] 8 2 4 4 3 2" xfId="9720"/>
    <cellStyle name="쉼표 [0] 8 2 4 4 4" xfId="9723"/>
    <cellStyle name="쉼표 [0] 8 2 4 4 5" xfId="23398"/>
    <cellStyle name="쉼표 [0] 8 2 4 5" xfId="23402"/>
    <cellStyle name="쉼표 [0] 8 2 4 5 2" xfId="9719"/>
    <cellStyle name="쉼표 [0] 8 2 4 6" xfId="9734"/>
    <cellStyle name="쉼표 [0] 8 2 4 7" xfId="28342"/>
    <cellStyle name="쉼표 [0] 8 2 4 8" xfId="23387"/>
    <cellStyle name="쉼표 [0] 8 2 5" xfId="3011"/>
    <cellStyle name="쉼표 [0] 8 2 5 2" xfId="3012"/>
    <cellStyle name="쉼표 [0] 8 2 5 2 2" xfId="3013"/>
    <cellStyle name="쉼표 [0] 8 2 5 2 2 2" xfId="23406"/>
    <cellStyle name="쉼표 [0] 8 2 5 2 2 2 2" xfId="9715"/>
    <cellStyle name="쉼표 [0] 8 2 5 2 2 3" xfId="9716"/>
    <cellStyle name="쉼표 [0] 8 2 5 2 2 4" xfId="28338"/>
    <cellStyle name="쉼표 [0] 8 2 5 2 2 5" xfId="23405"/>
    <cellStyle name="쉼표 [0] 8 2 5 2 3" xfId="3014"/>
    <cellStyle name="쉼표 [0] 8 2 5 2 3 2" xfId="3015"/>
    <cellStyle name="쉼표 [0] 8 2 5 2 3 2 2" xfId="23409"/>
    <cellStyle name="쉼표 [0] 8 2 5 2 3 2 2 2" xfId="9712"/>
    <cellStyle name="쉼표 [0] 8 2 5 2 3 2 3" xfId="9713"/>
    <cellStyle name="쉼표 [0] 8 2 5 2 3 2 4" xfId="23408"/>
    <cellStyle name="쉼표 [0] 8 2 5 2 3 3" xfId="23410"/>
    <cellStyle name="쉼표 [0] 8 2 5 2 3 3 2" xfId="9711"/>
    <cellStyle name="쉼표 [0] 8 2 5 2 3 4" xfId="9714"/>
    <cellStyle name="쉼표 [0] 8 2 5 2 3 5" xfId="23407"/>
    <cellStyle name="쉼표 [0] 8 2 5 2 4" xfId="23411"/>
    <cellStyle name="쉼표 [0] 8 2 5 2 4 2" xfId="9710"/>
    <cellStyle name="쉼표 [0] 8 2 5 2 5" xfId="9717"/>
    <cellStyle name="쉼표 [0] 8 2 5 2 6" xfId="28339"/>
    <cellStyle name="쉼표 [0] 8 2 5 2 7" xfId="23404"/>
    <cellStyle name="쉼표 [0] 8 2 5 3" xfId="3016"/>
    <cellStyle name="쉼표 [0] 8 2 5 3 2" xfId="23413"/>
    <cellStyle name="쉼표 [0] 8 2 5 3 2 2" xfId="9708"/>
    <cellStyle name="쉼표 [0] 8 2 5 3 3" xfId="9709"/>
    <cellStyle name="쉼표 [0] 8 2 5 3 4" xfId="28337"/>
    <cellStyle name="쉼표 [0] 8 2 5 3 5" xfId="23412"/>
    <cellStyle name="쉼표 [0] 8 2 5 4" xfId="3017"/>
    <cellStyle name="쉼표 [0] 8 2 5 4 2" xfId="3018"/>
    <cellStyle name="쉼표 [0] 8 2 5 4 2 2" xfId="23416"/>
    <cellStyle name="쉼표 [0] 8 2 5 4 2 2 2" xfId="9705"/>
    <cellStyle name="쉼표 [0] 8 2 5 4 2 3" xfId="9706"/>
    <cellStyle name="쉼표 [0] 8 2 5 4 2 4" xfId="23415"/>
    <cellStyle name="쉼표 [0] 8 2 5 4 3" xfId="23417"/>
    <cellStyle name="쉼표 [0] 8 2 5 4 3 2" xfId="9704"/>
    <cellStyle name="쉼표 [0] 8 2 5 4 4" xfId="9707"/>
    <cellStyle name="쉼표 [0] 8 2 5 4 5" xfId="23414"/>
    <cellStyle name="쉼표 [0] 8 2 5 5" xfId="23418"/>
    <cellStyle name="쉼표 [0] 8 2 5 5 2" xfId="9703"/>
    <cellStyle name="쉼표 [0] 8 2 5 6" xfId="9718"/>
    <cellStyle name="쉼표 [0] 8 2 5 7" xfId="28340"/>
    <cellStyle name="쉼표 [0] 8 2 5 8" xfId="23403"/>
    <cellStyle name="쉼표 [0] 8 2 6" xfId="3019"/>
    <cellStyle name="쉼표 [0] 8 2 6 2" xfId="3020"/>
    <cellStyle name="쉼표 [0] 8 2 6 2 2" xfId="23421"/>
    <cellStyle name="쉼표 [0] 8 2 6 2 2 2" xfId="9700"/>
    <cellStyle name="쉼표 [0] 8 2 6 2 3" xfId="9701"/>
    <cellStyle name="쉼표 [0] 8 2 6 2 4" xfId="28335"/>
    <cellStyle name="쉼표 [0] 8 2 6 2 5" xfId="23420"/>
    <cellStyle name="쉼표 [0] 8 2 6 3" xfId="3021"/>
    <cellStyle name="쉼표 [0] 8 2 6 3 2" xfId="3022"/>
    <cellStyle name="쉼표 [0] 8 2 6 3 2 2" xfId="23424"/>
    <cellStyle name="쉼표 [0] 8 2 6 3 2 2 2" xfId="9697"/>
    <cellStyle name="쉼표 [0] 8 2 6 3 2 3" xfId="9698"/>
    <cellStyle name="쉼표 [0] 8 2 6 3 2 4" xfId="23423"/>
    <cellStyle name="쉼표 [0] 8 2 6 3 3" xfId="23425"/>
    <cellStyle name="쉼표 [0] 8 2 6 3 3 2" xfId="9696"/>
    <cellStyle name="쉼표 [0] 8 2 6 3 4" xfId="9699"/>
    <cellStyle name="쉼표 [0] 8 2 6 3 5" xfId="23422"/>
    <cellStyle name="쉼표 [0] 8 2 6 4" xfId="23426"/>
    <cellStyle name="쉼표 [0] 8 2 6 4 2" xfId="9695"/>
    <cellStyle name="쉼표 [0] 8 2 6 5" xfId="9702"/>
    <cellStyle name="쉼표 [0] 8 2 6 6" xfId="28336"/>
    <cellStyle name="쉼표 [0] 8 2 6 7" xfId="23419"/>
    <cellStyle name="쉼표 [0] 8 2 7" xfId="3023"/>
    <cellStyle name="쉼표 [0] 8 2 7 2" xfId="3024"/>
    <cellStyle name="쉼표 [0] 8 2 7 2 2" xfId="23429"/>
    <cellStyle name="쉼표 [0] 8 2 7 2 2 2" xfId="9692"/>
    <cellStyle name="쉼표 [0] 8 2 7 2 3" xfId="9693"/>
    <cellStyle name="쉼표 [0] 8 2 7 2 4" xfId="28333"/>
    <cellStyle name="쉼표 [0] 8 2 7 2 5" xfId="23428"/>
    <cellStyle name="쉼표 [0] 8 2 7 3" xfId="23430"/>
    <cellStyle name="쉼표 [0] 8 2 7 3 2" xfId="9691"/>
    <cellStyle name="쉼표 [0] 8 2 7 4" xfId="9694"/>
    <cellStyle name="쉼표 [0] 8 2 7 5" xfId="28334"/>
    <cellStyle name="쉼표 [0] 8 2 7 6" xfId="23427"/>
    <cellStyle name="쉼표 [0] 8 2 8" xfId="3025"/>
    <cellStyle name="쉼표 [0] 8 2 8 2" xfId="23432"/>
    <cellStyle name="쉼표 [0] 8 2 8 2 2" xfId="9689"/>
    <cellStyle name="쉼표 [0] 8 2 8 3" xfId="9690"/>
    <cellStyle name="쉼표 [0] 8 2 8 4" xfId="28332"/>
    <cellStyle name="쉼표 [0] 8 2 8 5" xfId="23431"/>
    <cellStyle name="쉼표 [0] 8 2 9" xfId="3026"/>
    <cellStyle name="쉼표 [0] 8 2 9 2" xfId="3027"/>
    <cellStyle name="쉼표 [0] 8 2 9 2 2" xfId="23435"/>
    <cellStyle name="쉼표 [0] 8 2 9 2 2 2" xfId="9686"/>
    <cellStyle name="쉼표 [0] 8 2 9 2 3" xfId="9687"/>
    <cellStyle name="쉼표 [0] 8 2 9 2 4" xfId="23434"/>
    <cellStyle name="쉼표 [0] 8 2 9 3" xfId="23436"/>
    <cellStyle name="쉼표 [0] 8 2 9 3 2" xfId="9685"/>
    <cellStyle name="쉼표 [0] 8 2 9 4" xfId="9688"/>
    <cellStyle name="쉼표 [0] 8 2 9 5" xfId="23433"/>
    <cellStyle name="쉼표 [0] 8 20" xfId="23437"/>
    <cellStyle name="쉼표 [0] 8 20 2" xfId="23438"/>
    <cellStyle name="쉼표 [0] 8 20 2 2" xfId="9683"/>
    <cellStyle name="쉼표 [0] 8 20 3" xfId="9684"/>
    <cellStyle name="쉼표 [0] 8 21" xfId="23439"/>
    <cellStyle name="쉼표 [0] 8 21 2" xfId="23440"/>
    <cellStyle name="쉼표 [0] 8 21 2 2" xfId="9681"/>
    <cellStyle name="쉼표 [0] 8 21 3" xfId="9682"/>
    <cellStyle name="쉼표 [0] 8 22" xfId="23441"/>
    <cellStyle name="쉼표 [0] 8 22 2" xfId="23442"/>
    <cellStyle name="쉼표 [0] 8 22 2 2" xfId="9679"/>
    <cellStyle name="쉼표 [0] 8 22 3" xfId="9680"/>
    <cellStyle name="쉼표 [0] 8 23" xfId="23443"/>
    <cellStyle name="쉼표 [0] 8 23 2" xfId="23444"/>
    <cellStyle name="쉼표 [0] 8 23 2 2" xfId="9677"/>
    <cellStyle name="쉼표 [0] 8 23 3" xfId="9678"/>
    <cellStyle name="쉼표 [0] 8 24" xfId="23445"/>
    <cellStyle name="쉼표 [0] 8 24 2" xfId="23446"/>
    <cellStyle name="쉼표 [0] 8 24 2 2" xfId="9675"/>
    <cellStyle name="쉼표 [0] 8 24 3" xfId="9676"/>
    <cellStyle name="쉼표 [0] 8 25" xfId="23447"/>
    <cellStyle name="쉼표 [0] 8 25 2" xfId="23448"/>
    <cellStyle name="쉼표 [0] 8 25 2 2" xfId="9673"/>
    <cellStyle name="쉼표 [0] 8 25 3" xfId="9674"/>
    <cellStyle name="쉼표 [0] 8 26" xfId="23449"/>
    <cellStyle name="쉼표 [0] 8 26 2" xfId="9672"/>
    <cellStyle name="쉼표 [0] 8 27" xfId="23450"/>
    <cellStyle name="쉼표 [0] 8 27 2" xfId="9671"/>
    <cellStyle name="쉼표 [0] 8 28" xfId="9912"/>
    <cellStyle name="쉼표 [0] 8 29" xfId="28377"/>
    <cellStyle name="쉼표 [0] 8 3" xfId="3028"/>
    <cellStyle name="쉼표 [0] 8 3 10" xfId="23452"/>
    <cellStyle name="쉼표 [0] 8 3 10 2" xfId="9669"/>
    <cellStyle name="쉼표 [0] 8 3 11" xfId="23453"/>
    <cellStyle name="쉼표 [0] 8 3 11 2" xfId="9668"/>
    <cellStyle name="쉼표 [0] 8 3 12" xfId="9670"/>
    <cellStyle name="쉼표 [0] 8 3 13" xfId="28331"/>
    <cellStyle name="쉼표 [0] 8 3 14" xfId="23451"/>
    <cellStyle name="쉼표 [0] 8 3 15" xfId="30499"/>
    <cellStyle name="쉼표 [0] 8 3 16" xfId="29483"/>
    <cellStyle name="쉼표 [0] 8 3 2" xfId="3029"/>
    <cellStyle name="쉼표 [0] 8 3 2 10" xfId="23454"/>
    <cellStyle name="쉼표 [0] 8 3 2 11" xfId="30130"/>
    <cellStyle name="쉼표 [0] 8 3 2 2" xfId="3030"/>
    <cellStyle name="쉼표 [0] 8 3 2 2 2" xfId="3031"/>
    <cellStyle name="쉼표 [0] 8 3 2 2 2 2" xfId="3032"/>
    <cellStyle name="쉼표 [0] 8 3 2 2 2 2 2" xfId="3033"/>
    <cellStyle name="쉼표 [0] 8 3 2 2 2 2 2 2" xfId="23459"/>
    <cellStyle name="쉼표 [0] 8 3 2 2 2 2 2 2 2" xfId="9662"/>
    <cellStyle name="쉼표 [0] 8 3 2 2 2 2 2 3" xfId="9663"/>
    <cellStyle name="쉼표 [0] 8 3 2 2 2 2 2 4" xfId="23458"/>
    <cellStyle name="쉼표 [0] 8 3 2 2 2 2 3" xfId="23460"/>
    <cellStyle name="쉼표 [0] 8 3 2 2 2 2 3 2" xfId="9661"/>
    <cellStyle name="쉼표 [0] 8 3 2 2 2 2 4" xfId="9664"/>
    <cellStyle name="쉼표 [0] 8 3 2 2 2 2 5" xfId="23457"/>
    <cellStyle name="쉼표 [0] 8 3 2 2 2 3" xfId="23461"/>
    <cellStyle name="쉼표 [0] 8 3 2 2 2 3 2" xfId="9660"/>
    <cellStyle name="쉼표 [0] 8 3 2 2 2 4" xfId="9665"/>
    <cellStyle name="쉼표 [0] 8 3 2 2 2 5" xfId="28328"/>
    <cellStyle name="쉼표 [0] 8 3 2 2 2 6" xfId="23456"/>
    <cellStyle name="쉼표 [0] 8 3 2 2 3" xfId="3034"/>
    <cellStyle name="쉼표 [0] 8 3 2 2 3 2" xfId="3035"/>
    <cellStyle name="쉼표 [0] 8 3 2 2 3 2 2" xfId="23464"/>
    <cellStyle name="쉼표 [0] 8 3 2 2 3 2 2 2" xfId="9657"/>
    <cellStyle name="쉼표 [0] 8 3 2 2 3 2 3" xfId="9658"/>
    <cellStyle name="쉼표 [0] 8 3 2 2 3 2 4" xfId="23463"/>
    <cellStyle name="쉼표 [0] 8 3 2 2 3 3" xfId="23465"/>
    <cellStyle name="쉼표 [0] 8 3 2 2 3 3 2" xfId="9656"/>
    <cellStyle name="쉼표 [0] 8 3 2 2 3 4" xfId="9659"/>
    <cellStyle name="쉼표 [0] 8 3 2 2 3 5" xfId="23462"/>
    <cellStyle name="쉼표 [0] 8 3 2 2 4" xfId="3036"/>
    <cellStyle name="쉼표 [0] 8 3 2 2 4 2" xfId="3037"/>
    <cellStyle name="쉼표 [0] 8 3 2 2 4 2 2" xfId="23468"/>
    <cellStyle name="쉼표 [0] 8 3 2 2 4 2 2 2" xfId="9653"/>
    <cellStyle name="쉼표 [0] 8 3 2 2 4 2 3" xfId="9654"/>
    <cellStyle name="쉼표 [0] 8 3 2 2 4 2 4" xfId="23467"/>
    <cellStyle name="쉼표 [0] 8 3 2 2 4 3" xfId="23469"/>
    <cellStyle name="쉼표 [0] 8 3 2 2 4 3 2" xfId="9652"/>
    <cellStyle name="쉼표 [0] 8 3 2 2 4 4" xfId="9655"/>
    <cellStyle name="쉼표 [0] 8 3 2 2 4 5" xfId="23466"/>
    <cellStyle name="쉼표 [0] 8 3 2 2 5" xfId="23470"/>
    <cellStyle name="쉼표 [0] 8 3 2 2 5 2" xfId="9651"/>
    <cellStyle name="쉼표 [0] 8 3 2 2 6" xfId="9666"/>
    <cellStyle name="쉼표 [0] 8 3 2 2 7" xfId="28329"/>
    <cellStyle name="쉼표 [0] 8 3 2 2 8" xfId="23455"/>
    <cellStyle name="쉼표 [0] 8 3 2 3" xfId="3038"/>
    <cellStyle name="쉼표 [0] 8 3 2 3 2" xfId="3039"/>
    <cellStyle name="쉼표 [0] 8 3 2 3 2 2" xfId="3040"/>
    <cellStyle name="쉼표 [0] 8 3 2 3 2 2 2" xfId="23474"/>
    <cellStyle name="쉼표 [0] 8 3 2 3 2 2 2 2" xfId="9647"/>
    <cellStyle name="쉼표 [0] 8 3 2 3 2 2 3" xfId="9648"/>
    <cellStyle name="쉼표 [0] 8 3 2 3 2 2 4" xfId="28325"/>
    <cellStyle name="쉼표 [0] 8 3 2 3 2 2 5" xfId="23473"/>
    <cellStyle name="쉼표 [0] 8 3 2 3 2 3" xfId="3041"/>
    <cellStyle name="쉼표 [0] 8 3 2 3 2 3 2" xfId="3042"/>
    <cellStyle name="쉼표 [0] 8 3 2 3 2 3 2 2" xfId="23477"/>
    <cellStyle name="쉼표 [0] 8 3 2 3 2 3 2 2 2" xfId="9644"/>
    <cellStyle name="쉼표 [0] 8 3 2 3 2 3 2 3" xfId="9645"/>
    <cellStyle name="쉼표 [0] 8 3 2 3 2 3 2 4" xfId="23476"/>
    <cellStyle name="쉼표 [0] 8 3 2 3 2 3 3" xfId="23478"/>
    <cellStyle name="쉼표 [0] 8 3 2 3 2 3 3 2" xfId="9643"/>
    <cellStyle name="쉼표 [0] 8 3 2 3 2 3 4" xfId="9646"/>
    <cellStyle name="쉼표 [0] 8 3 2 3 2 3 5" xfId="23475"/>
    <cellStyle name="쉼표 [0] 8 3 2 3 2 4" xfId="23479"/>
    <cellStyle name="쉼표 [0] 8 3 2 3 2 4 2" xfId="9642"/>
    <cellStyle name="쉼표 [0] 8 3 2 3 2 5" xfId="9649"/>
    <cellStyle name="쉼표 [0] 8 3 2 3 2 6" xfId="28326"/>
    <cellStyle name="쉼표 [0] 8 3 2 3 2 7" xfId="23472"/>
    <cellStyle name="쉼표 [0] 8 3 2 3 3" xfId="3043"/>
    <cellStyle name="쉼표 [0] 8 3 2 3 3 2" xfId="23481"/>
    <cellStyle name="쉼표 [0] 8 3 2 3 3 2 2" xfId="9640"/>
    <cellStyle name="쉼표 [0] 8 3 2 3 3 3" xfId="9641"/>
    <cellStyle name="쉼표 [0] 8 3 2 3 3 4" xfId="28324"/>
    <cellStyle name="쉼표 [0] 8 3 2 3 3 5" xfId="23480"/>
    <cellStyle name="쉼표 [0] 8 3 2 3 4" xfId="3044"/>
    <cellStyle name="쉼표 [0] 8 3 2 3 4 2" xfId="3045"/>
    <cellStyle name="쉼표 [0] 8 3 2 3 4 2 2" xfId="23484"/>
    <cellStyle name="쉼표 [0] 8 3 2 3 4 2 2 2" xfId="9637"/>
    <cellStyle name="쉼표 [0] 8 3 2 3 4 2 3" xfId="9638"/>
    <cellStyle name="쉼표 [0] 8 3 2 3 4 2 4" xfId="23483"/>
    <cellStyle name="쉼표 [0] 8 3 2 3 4 3" xfId="23485"/>
    <cellStyle name="쉼표 [0] 8 3 2 3 4 3 2" xfId="9636"/>
    <cellStyle name="쉼표 [0] 8 3 2 3 4 4" xfId="9639"/>
    <cellStyle name="쉼표 [0] 8 3 2 3 4 5" xfId="23482"/>
    <cellStyle name="쉼표 [0] 8 3 2 3 5" xfId="23486"/>
    <cellStyle name="쉼표 [0] 8 3 2 3 5 2" xfId="9635"/>
    <cellStyle name="쉼표 [0] 8 3 2 3 6" xfId="9650"/>
    <cellStyle name="쉼표 [0] 8 3 2 3 7" xfId="28327"/>
    <cellStyle name="쉼표 [0] 8 3 2 3 8" xfId="23471"/>
    <cellStyle name="쉼표 [0] 8 3 2 4" xfId="3046"/>
    <cellStyle name="쉼표 [0] 8 3 2 4 2" xfId="3047"/>
    <cellStyle name="쉼표 [0] 8 3 2 4 2 2" xfId="23489"/>
    <cellStyle name="쉼표 [0] 8 3 2 4 2 2 2" xfId="9632"/>
    <cellStyle name="쉼표 [0] 8 3 2 4 2 3" xfId="9633"/>
    <cellStyle name="쉼표 [0] 8 3 2 4 2 4" xfId="28322"/>
    <cellStyle name="쉼표 [0] 8 3 2 4 2 5" xfId="23488"/>
    <cellStyle name="쉼표 [0] 8 3 2 4 3" xfId="3048"/>
    <cellStyle name="쉼표 [0] 8 3 2 4 3 2" xfId="3049"/>
    <cellStyle name="쉼표 [0] 8 3 2 4 3 2 2" xfId="23492"/>
    <cellStyle name="쉼표 [0] 8 3 2 4 3 2 2 2" xfId="9629"/>
    <cellStyle name="쉼표 [0] 8 3 2 4 3 2 3" xfId="9630"/>
    <cellStyle name="쉼표 [0] 8 3 2 4 3 2 4" xfId="23491"/>
    <cellStyle name="쉼표 [0] 8 3 2 4 3 3" xfId="23493"/>
    <cellStyle name="쉼표 [0] 8 3 2 4 3 3 2" xfId="9628"/>
    <cellStyle name="쉼표 [0] 8 3 2 4 3 4" xfId="9631"/>
    <cellStyle name="쉼표 [0] 8 3 2 4 3 5" xfId="23490"/>
    <cellStyle name="쉼표 [0] 8 3 2 4 4" xfId="23494"/>
    <cellStyle name="쉼표 [0] 8 3 2 4 4 2" xfId="9627"/>
    <cellStyle name="쉼표 [0] 8 3 2 4 5" xfId="9634"/>
    <cellStyle name="쉼표 [0] 8 3 2 4 6" xfId="28323"/>
    <cellStyle name="쉼표 [0] 8 3 2 4 7" xfId="23487"/>
    <cellStyle name="쉼표 [0] 8 3 2 5" xfId="3050"/>
    <cellStyle name="쉼표 [0] 8 3 2 5 2" xfId="23496"/>
    <cellStyle name="쉼표 [0] 8 3 2 5 2 2" xfId="9625"/>
    <cellStyle name="쉼표 [0] 8 3 2 5 3" xfId="9626"/>
    <cellStyle name="쉼표 [0] 8 3 2 5 4" xfId="28321"/>
    <cellStyle name="쉼표 [0] 8 3 2 5 5" xfId="23495"/>
    <cellStyle name="쉼표 [0] 8 3 2 6" xfId="3051"/>
    <cellStyle name="쉼표 [0] 8 3 2 6 2" xfId="3052"/>
    <cellStyle name="쉼표 [0] 8 3 2 6 2 2" xfId="23499"/>
    <cellStyle name="쉼표 [0] 8 3 2 6 2 2 2" xfId="9622"/>
    <cellStyle name="쉼표 [0] 8 3 2 6 2 3" xfId="9623"/>
    <cellStyle name="쉼표 [0] 8 3 2 6 2 4" xfId="23498"/>
    <cellStyle name="쉼표 [0] 8 3 2 6 3" xfId="23500"/>
    <cellStyle name="쉼표 [0] 8 3 2 6 3 2" xfId="9621"/>
    <cellStyle name="쉼표 [0] 8 3 2 6 4" xfId="9624"/>
    <cellStyle name="쉼표 [0] 8 3 2 6 5" xfId="23497"/>
    <cellStyle name="쉼표 [0] 8 3 2 7" xfId="23501"/>
    <cellStyle name="쉼표 [0] 8 3 2 7 2" xfId="9620"/>
    <cellStyle name="쉼표 [0] 8 3 2 8" xfId="9667"/>
    <cellStyle name="쉼표 [0] 8 3 2 9" xfId="28330"/>
    <cellStyle name="쉼표 [0] 8 3 3" xfId="3053"/>
    <cellStyle name="쉼표 [0] 8 3 3 2" xfId="3054"/>
    <cellStyle name="쉼표 [0] 8 3 3 2 2" xfId="3055"/>
    <cellStyle name="쉼표 [0] 8 3 3 2 2 2" xfId="3056"/>
    <cellStyle name="쉼표 [0] 8 3 3 2 2 2 2" xfId="23506"/>
    <cellStyle name="쉼표 [0] 8 3 3 2 2 2 2 2" xfId="9615"/>
    <cellStyle name="쉼표 [0] 8 3 3 2 2 2 3" xfId="9616"/>
    <cellStyle name="쉼표 [0] 8 3 3 2 2 2 4" xfId="23505"/>
    <cellStyle name="쉼표 [0] 8 3 3 2 2 3" xfId="23507"/>
    <cellStyle name="쉼표 [0] 8 3 3 2 2 3 2" xfId="9614"/>
    <cellStyle name="쉼표 [0] 8 3 3 2 2 4" xfId="9617"/>
    <cellStyle name="쉼표 [0] 8 3 3 2 2 5" xfId="23504"/>
    <cellStyle name="쉼표 [0] 8 3 3 2 3" xfId="23508"/>
    <cellStyle name="쉼표 [0] 8 3 3 2 3 2" xfId="9613"/>
    <cellStyle name="쉼표 [0] 8 3 3 2 4" xfId="9618"/>
    <cellStyle name="쉼표 [0] 8 3 3 2 5" xfId="28319"/>
    <cellStyle name="쉼표 [0] 8 3 3 2 6" xfId="23503"/>
    <cellStyle name="쉼표 [0] 8 3 3 3" xfId="3057"/>
    <cellStyle name="쉼표 [0] 8 3 3 3 2" xfId="3058"/>
    <cellStyle name="쉼표 [0] 8 3 3 3 2 2" xfId="23511"/>
    <cellStyle name="쉼표 [0] 8 3 3 3 2 2 2" xfId="9610"/>
    <cellStyle name="쉼표 [0] 8 3 3 3 2 3" xfId="9611"/>
    <cellStyle name="쉼표 [0] 8 3 3 3 2 4" xfId="23510"/>
    <cellStyle name="쉼표 [0] 8 3 3 3 3" xfId="23512"/>
    <cellStyle name="쉼표 [0] 8 3 3 3 3 2" xfId="9609"/>
    <cellStyle name="쉼표 [0] 8 3 3 3 4" xfId="9612"/>
    <cellStyle name="쉼표 [0] 8 3 3 3 5" xfId="23509"/>
    <cellStyle name="쉼표 [0] 8 3 3 4" xfId="3059"/>
    <cellStyle name="쉼표 [0] 8 3 3 4 2" xfId="3060"/>
    <cellStyle name="쉼표 [0] 8 3 3 4 2 2" xfId="23515"/>
    <cellStyle name="쉼표 [0] 8 3 3 4 2 2 2" xfId="9606"/>
    <cellStyle name="쉼표 [0] 8 3 3 4 2 3" xfId="9607"/>
    <cellStyle name="쉼표 [0] 8 3 3 4 2 4" xfId="23514"/>
    <cellStyle name="쉼표 [0] 8 3 3 4 3" xfId="23516"/>
    <cellStyle name="쉼표 [0] 8 3 3 4 3 2" xfId="9605"/>
    <cellStyle name="쉼표 [0] 8 3 3 4 4" xfId="9608"/>
    <cellStyle name="쉼표 [0] 8 3 3 4 5" xfId="23513"/>
    <cellStyle name="쉼표 [0] 8 3 3 5" xfId="23517"/>
    <cellStyle name="쉼표 [0] 8 3 3 5 2" xfId="9604"/>
    <cellStyle name="쉼표 [0] 8 3 3 6" xfId="9619"/>
    <cellStyle name="쉼표 [0] 8 3 3 7" xfId="28320"/>
    <cellStyle name="쉼표 [0] 8 3 3 8" xfId="23502"/>
    <cellStyle name="쉼표 [0] 8 3 4" xfId="3061"/>
    <cellStyle name="쉼표 [0] 8 3 4 2" xfId="3062"/>
    <cellStyle name="쉼표 [0] 8 3 4 2 2" xfId="3063"/>
    <cellStyle name="쉼표 [0] 8 3 4 2 2 2" xfId="23521"/>
    <cellStyle name="쉼표 [0] 8 3 4 2 2 2 2" xfId="9600"/>
    <cellStyle name="쉼표 [0] 8 3 4 2 2 3" xfId="9601"/>
    <cellStyle name="쉼표 [0] 8 3 4 2 2 4" xfId="28316"/>
    <cellStyle name="쉼표 [0] 8 3 4 2 2 5" xfId="23520"/>
    <cellStyle name="쉼표 [0] 8 3 4 2 3" xfId="3064"/>
    <cellStyle name="쉼표 [0] 8 3 4 2 3 2" xfId="3065"/>
    <cellStyle name="쉼표 [0] 8 3 4 2 3 2 2" xfId="23524"/>
    <cellStyle name="쉼표 [0] 8 3 4 2 3 2 2 2" xfId="9597"/>
    <cellStyle name="쉼표 [0] 8 3 4 2 3 2 3" xfId="9598"/>
    <cellStyle name="쉼표 [0] 8 3 4 2 3 2 4" xfId="23523"/>
    <cellStyle name="쉼표 [0] 8 3 4 2 3 3" xfId="23525"/>
    <cellStyle name="쉼표 [0] 8 3 4 2 3 3 2" xfId="9596"/>
    <cellStyle name="쉼표 [0] 8 3 4 2 3 4" xfId="9599"/>
    <cellStyle name="쉼표 [0] 8 3 4 2 3 5" xfId="23522"/>
    <cellStyle name="쉼표 [0] 8 3 4 2 4" xfId="23526"/>
    <cellStyle name="쉼표 [0] 8 3 4 2 4 2" xfId="9595"/>
    <cellStyle name="쉼표 [0] 8 3 4 2 5" xfId="9602"/>
    <cellStyle name="쉼표 [0] 8 3 4 2 6" xfId="28317"/>
    <cellStyle name="쉼표 [0] 8 3 4 2 7" xfId="23519"/>
    <cellStyle name="쉼표 [0] 8 3 4 3" xfId="3066"/>
    <cellStyle name="쉼표 [0] 8 3 4 3 2" xfId="23528"/>
    <cellStyle name="쉼표 [0] 8 3 4 3 2 2" xfId="9593"/>
    <cellStyle name="쉼표 [0] 8 3 4 3 3" xfId="9594"/>
    <cellStyle name="쉼표 [0] 8 3 4 3 4" xfId="28315"/>
    <cellStyle name="쉼표 [0] 8 3 4 3 5" xfId="23527"/>
    <cellStyle name="쉼표 [0] 8 3 4 4" xfId="3067"/>
    <cellStyle name="쉼표 [0] 8 3 4 4 2" xfId="3068"/>
    <cellStyle name="쉼표 [0] 8 3 4 4 2 2" xfId="23531"/>
    <cellStyle name="쉼표 [0] 8 3 4 4 2 2 2" xfId="9590"/>
    <cellStyle name="쉼표 [0] 8 3 4 4 2 3" xfId="9591"/>
    <cellStyle name="쉼표 [0] 8 3 4 4 2 4" xfId="23530"/>
    <cellStyle name="쉼표 [0] 8 3 4 4 3" xfId="23532"/>
    <cellStyle name="쉼표 [0] 8 3 4 4 3 2" xfId="9589"/>
    <cellStyle name="쉼표 [0] 8 3 4 4 4" xfId="9592"/>
    <cellStyle name="쉼표 [0] 8 3 4 4 5" xfId="23529"/>
    <cellStyle name="쉼표 [0] 8 3 4 5" xfId="23533"/>
    <cellStyle name="쉼표 [0] 8 3 4 5 2" xfId="9588"/>
    <cellStyle name="쉼표 [0] 8 3 4 6" xfId="9603"/>
    <cellStyle name="쉼표 [0] 8 3 4 7" xfId="28318"/>
    <cellStyle name="쉼표 [0] 8 3 4 8" xfId="23518"/>
    <cellStyle name="쉼표 [0] 8 3 5" xfId="3069"/>
    <cellStyle name="쉼표 [0] 8 3 5 2" xfId="3070"/>
    <cellStyle name="쉼표 [0] 8 3 5 2 2" xfId="23536"/>
    <cellStyle name="쉼표 [0] 8 3 5 2 2 2" xfId="9585"/>
    <cellStyle name="쉼표 [0] 8 3 5 2 3" xfId="9586"/>
    <cellStyle name="쉼표 [0] 8 3 5 2 4" xfId="28313"/>
    <cellStyle name="쉼표 [0] 8 3 5 2 5" xfId="23535"/>
    <cellStyle name="쉼표 [0] 8 3 5 3" xfId="3071"/>
    <cellStyle name="쉼표 [0] 8 3 5 3 2" xfId="3072"/>
    <cellStyle name="쉼표 [0] 8 3 5 3 2 2" xfId="23539"/>
    <cellStyle name="쉼표 [0] 8 3 5 3 2 2 2" xfId="9582"/>
    <cellStyle name="쉼표 [0] 8 3 5 3 2 3" xfId="9583"/>
    <cellStyle name="쉼표 [0] 8 3 5 3 2 4" xfId="23538"/>
    <cellStyle name="쉼표 [0] 8 3 5 3 3" xfId="23540"/>
    <cellStyle name="쉼표 [0] 8 3 5 3 3 2" xfId="9581"/>
    <cellStyle name="쉼표 [0] 8 3 5 3 4" xfId="9584"/>
    <cellStyle name="쉼표 [0] 8 3 5 3 5" xfId="23537"/>
    <cellStyle name="쉼표 [0] 8 3 5 4" xfId="23541"/>
    <cellStyle name="쉼표 [0] 8 3 5 4 2" xfId="9580"/>
    <cellStyle name="쉼표 [0] 8 3 5 5" xfId="9587"/>
    <cellStyle name="쉼표 [0] 8 3 5 6" xfId="28314"/>
    <cellStyle name="쉼표 [0] 8 3 5 7" xfId="23534"/>
    <cellStyle name="쉼표 [0] 8 3 6" xfId="3073"/>
    <cellStyle name="쉼표 [0] 8 3 6 2" xfId="3074"/>
    <cellStyle name="쉼표 [0] 8 3 6 2 2" xfId="23544"/>
    <cellStyle name="쉼표 [0] 8 3 6 2 2 2" xfId="9577"/>
    <cellStyle name="쉼표 [0] 8 3 6 2 3" xfId="9578"/>
    <cellStyle name="쉼표 [0] 8 3 6 2 4" xfId="28311"/>
    <cellStyle name="쉼표 [0] 8 3 6 2 5" xfId="23543"/>
    <cellStyle name="쉼표 [0] 8 3 6 3" xfId="23545"/>
    <cellStyle name="쉼표 [0] 8 3 6 3 2" xfId="9576"/>
    <cellStyle name="쉼표 [0] 8 3 6 4" xfId="9579"/>
    <cellStyle name="쉼표 [0] 8 3 6 5" xfId="28312"/>
    <cellStyle name="쉼표 [0] 8 3 6 6" xfId="23542"/>
    <cellStyle name="쉼표 [0] 8 3 7" xfId="3075"/>
    <cellStyle name="쉼표 [0] 8 3 7 2" xfId="23547"/>
    <cellStyle name="쉼표 [0] 8 3 7 2 2" xfId="9574"/>
    <cellStyle name="쉼표 [0] 8 3 7 3" xfId="9575"/>
    <cellStyle name="쉼표 [0] 8 3 7 4" xfId="28310"/>
    <cellStyle name="쉼표 [0] 8 3 7 5" xfId="23546"/>
    <cellStyle name="쉼표 [0] 8 3 8" xfId="3076"/>
    <cellStyle name="쉼표 [0] 8 3 8 2" xfId="3077"/>
    <cellStyle name="쉼표 [0] 8 3 8 2 2" xfId="23550"/>
    <cellStyle name="쉼표 [0] 8 3 8 2 2 2" xfId="9571"/>
    <cellStyle name="쉼표 [0] 8 3 8 2 3" xfId="9572"/>
    <cellStyle name="쉼표 [0] 8 3 8 2 4" xfId="23549"/>
    <cellStyle name="쉼표 [0] 8 3 8 3" xfId="23551"/>
    <cellStyle name="쉼표 [0] 8 3 8 3 2" xfId="9570"/>
    <cellStyle name="쉼표 [0] 8 3 8 4" xfId="9573"/>
    <cellStyle name="쉼표 [0] 8 3 8 5" xfId="23548"/>
    <cellStyle name="쉼표 [0] 8 3 9" xfId="23552"/>
    <cellStyle name="쉼표 [0] 8 3 9 2" xfId="23553"/>
    <cellStyle name="쉼표 [0] 8 3 9 2 2" xfId="9568"/>
    <cellStyle name="쉼표 [0] 8 3 9 3" xfId="9569"/>
    <cellStyle name="쉼표 [0] 8 30" xfId="23209"/>
    <cellStyle name="쉼표 [0] 8 31" xfId="30685"/>
    <cellStyle name="쉼표 [0] 8 4" xfId="3078"/>
    <cellStyle name="쉼표 [0] 8 4 10" xfId="28309"/>
    <cellStyle name="쉼표 [0] 8 4 11" xfId="23554"/>
    <cellStyle name="쉼표 [0] 8 4 12" xfId="29786"/>
    <cellStyle name="쉼표 [0] 8 4 2" xfId="3079"/>
    <cellStyle name="쉼표 [0] 8 4 2 2" xfId="3080"/>
    <cellStyle name="쉼표 [0] 8 4 2 2 2" xfId="3081"/>
    <cellStyle name="쉼표 [0] 8 4 2 2 2 2" xfId="3082"/>
    <cellStyle name="쉼표 [0] 8 4 2 2 2 2 2" xfId="23559"/>
    <cellStyle name="쉼표 [0] 8 4 2 2 2 2 2 2" xfId="9562"/>
    <cellStyle name="쉼표 [0] 8 4 2 2 2 2 3" xfId="9563"/>
    <cellStyle name="쉼표 [0] 8 4 2 2 2 2 4" xfId="23558"/>
    <cellStyle name="쉼표 [0] 8 4 2 2 2 3" xfId="23560"/>
    <cellStyle name="쉼표 [0] 8 4 2 2 2 3 2" xfId="9561"/>
    <cellStyle name="쉼표 [0] 8 4 2 2 2 4" xfId="9564"/>
    <cellStyle name="쉼표 [0] 8 4 2 2 2 5" xfId="23557"/>
    <cellStyle name="쉼표 [0] 8 4 2 2 3" xfId="23561"/>
    <cellStyle name="쉼표 [0] 8 4 2 2 3 2" xfId="9560"/>
    <cellStyle name="쉼표 [0] 8 4 2 2 4" xfId="9565"/>
    <cellStyle name="쉼표 [0] 8 4 2 2 5" xfId="28307"/>
    <cellStyle name="쉼표 [0] 8 4 2 2 6" xfId="23556"/>
    <cellStyle name="쉼표 [0] 8 4 2 3" xfId="3083"/>
    <cellStyle name="쉼표 [0] 8 4 2 3 2" xfId="3084"/>
    <cellStyle name="쉼표 [0] 8 4 2 3 2 2" xfId="23564"/>
    <cellStyle name="쉼표 [0] 8 4 2 3 2 2 2" xfId="9557"/>
    <cellStyle name="쉼표 [0] 8 4 2 3 2 3" xfId="9558"/>
    <cellStyle name="쉼표 [0] 8 4 2 3 2 4" xfId="23563"/>
    <cellStyle name="쉼표 [0] 8 4 2 3 3" xfId="23565"/>
    <cellStyle name="쉼표 [0] 8 4 2 3 3 2" xfId="9556"/>
    <cellStyle name="쉼표 [0] 8 4 2 3 4" xfId="9559"/>
    <cellStyle name="쉼표 [0] 8 4 2 3 5" xfId="23562"/>
    <cellStyle name="쉼표 [0] 8 4 2 4" xfId="3085"/>
    <cellStyle name="쉼표 [0] 8 4 2 4 2" xfId="3086"/>
    <cellStyle name="쉼표 [0] 8 4 2 4 2 2" xfId="23568"/>
    <cellStyle name="쉼표 [0] 8 4 2 4 2 2 2" xfId="9553"/>
    <cellStyle name="쉼표 [0] 8 4 2 4 2 3" xfId="9554"/>
    <cellStyle name="쉼표 [0] 8 4 2 4 2 4" xfId="23567"/>
    <cellStyle name="쉼표 [0] 8 4 2 4 3" xfId="23569"/>
    <cellStyle name="쉼표 [0] 8 4 2 4 3 2" xfId="9552"/>
    <cellStyle name="쉼표 [0] 8 4 2 4 4" xfId="9555"/>
    <cellStyle name="쉼표 [0] 8 4 2 4 5" xfId="23566"/>
    <cellStyle name="쉼표 [0] 8 4 2 5" xfId="23570"/>
    <cellStyle name="쉼표 [0] 8 4 2 5 2" xfId="9551"/>
    <cellStyle name="쉼표 [0] 8 4 2 6" xfId="9566"/>
    <cellStyle name="쉼표 [0] 8 4 2 7" xfId="28308"/>
    <cellStyle name="쉼표 [0] 8 4 2 8" xfId="23555"/>
    <cellStyle name="쉼표 [0] 8 4 3" xfId="3087"/>
    <cellStyle name="쉼표 [0] 8 4 3 2" xfId="3088"/>
    <cellStyle name="쉼표 [0] 8 4 3 2 2" xfId="3089"/>
    <cellStyle name="쉼표 [0] 8 4 3 2 2 2" xfId="23574"/>
    <cellStyle name="쉼표 [0] 8 4 3 2 2 2 2" xfId="9547"/>
    <cellStyle name="쉼표 [0] 8 4 3 2 2 3" xfId="9548"/>
    <cellStyle name="쉼표 [0] 8 4 3 2 2 4" xfId="28304"/>
    <cellStyle name="쉼표 [0] 8 4 3 2 2 5" xfId="23573"/>
    <cellStyle name="쉼표 [0] 8 4 3 2 3" xfId="3090"/>
    <cellStyle name="쉼표 [0] 8 4 3 2 3 2" xfId="3091"/>
    <cellStyle name="쉼표 [0] 8 4 3 2 3 2 2" xfId="23577"/>
    <cellStyle name="쉼표 [0] 8 4 3 2 3 2 2 2" xfId="9544"/>
    <cellStyle name="쉼표 [0] 8 4 3 2 3 2 3" xfId="9545"/>
    <cellStyle name="쉼표 [0] 8 4 3 2 3 2 4" xfId="23576"/>
    <cellStyle name="쉼표 [0] 8 4 3 2 3 3" xfId="23578"/>
    <cellStyle name="쉼표 [0] 8 4 3 2 3 3 2" xfId="9543"/>
    <cellStyle name="쉼표 [0] 8 4 3 2 3 4" xfId="9546"/>
    <cellStyle name="쉼표 [0] 8 4 3 2 3 5" xfId="23575"/>
    <cellStyle name="쉼표 [0] 8 4 3 2 4" xfId="23579"/>
    <cellStyle name="쉼표 [0] 8 4 3 2 4 2" xfId="9542"/>
    <cellStyle name="쉼표 [0] 8 4 3 2 5" xfId="9549"/>
    <cellStyle name="쉼표 [0] 8 4 3 2 6" xfId="28305"/>
    <cellStyle name="쉼표 [0] 8 4 3 2 7" xfId="23572"/>
    <cellStyle name="쉼표 [0] 8 4 3 3" xfId="3092"/>
    <cellStyle name="쉼표 [0] 8 4 3 3 2" xfId="23581"/>
    <cellStyle name="쉼표 [0] 8 4 3 3 2 2" xfId="9540"/>
    <cellStyle name="쉼표 [0] 8 4 3 3 3" xfId="9541"/>
    <cellStyle name="쉼표 [0] 8 4 3 3 4" xfId="28303"/>
    <cellStyle name="쉼표 [0] 8 4 3 3 5" xfId="23580"/>
    <cellStyle name="쉼표 [0] 8 4 3 4" xfId="3093"/>
    <cellStyle name="쉼표 [0] 8 4 3 4 2" xfId="3094"/>
    <cellStyle name="쉼표 [0] 8 4 3 4 2 2" xfId="23584"/>
    <cellStyle name="쉼표 [0] 8 4 3 4 2 2 2" xfId="9537"/>
    <cellStyle name="쉼표 [0] 8 4 3 4 2 3" xfId="9538"/>
    <cellStyle name="쉼표 [0] 8 4 3 4 2 4" xfId="23583"/>
    <cellStyle name="쉼표 [0] 8 4 3 4 3" xfId="23585"/>
    <cellStyle name="쉼표 [0] 8 4 3 4 3 2" xfId="9536"/>
    <cellStyle name="쉼표 [0] 8 4 3 4 4" xfId="9539"/>
    <cellStyle name="쉼표 [0] 8 4 3 4 5" xfId="23582"/>
    <cellStyle name="쉼표 [0] 8 4 3 5" xfId="23586"/>
    <cellStyle name="쉼표 [0] 8 4 3 5 2" xfId="9535"/>
    <cellStyle name="쉼표 [0] 8 4 3 6" xfId="9550"/>
    <cellStyle name="쉼표 [0] 8 4 3 7" xfId="28306"/>
    <cellStyle name="쉼표 [0] 8 4 3 8" xfId="23571"/>
    <cellStyle name="쉼표 [0] 8 4 4" xfId="3095"/>
    <cellStyle name="쉼표 [0] 8 4 4 2" xfId="3096"/>
    <cellStyle name="쉼표 [0] 8 4 4 2 2" xfId="23589"/>
    <cellStyle name="쉼표 [0] 8 4 4 2 2 2" xfId="9532"/>
    <cellStyle name="쉼표 [0] 8 4 4 2 3" xfId="9533"/>
    <cellStyle name="쉼표 [0] 8 4 4 2 4" xfId="28301"/>
    <cellStyle name="쉼표 [0] 8 4 4 2 5" xfId="23588"/>
    <cellStyle name="쉼표 [0] 8 4 4 3" xfId="3097"/>
    <cellStyle name="쉼표 [0] 8 4 4 3 2" xfId="3098"/>
    <cellStyle name="쉼표 [0] 8 4 4 3 2 2" xfId="23592"/>
    <cellStyle name="쉼표 [0] 8 4 4 3 2 2 2" xfId="9529"/>
    <cellStyle name="쉼표 [0] 8 4 4 3 2 3" xfId="9530"/>
    <cellStyle name="쉼표 [0] 8 4 4 3 2 4" xfId="23591"/>
    <cellStyle name="쉼표 [0] 8 4 4 3 3" xfId="23593"/>
    <cellStyle name="쉼표 [0] 8 4 4 3 3 2" xfId="9528"/>
    <cellStyle name="쉼표 [0] 8 4 4 3 4" xfId="9531"/>
    <cellStyle name="쉼표 [0] 8 4 4 3 5" xfId="23590"/>
    <cellStyle name="쉼표 [0] 8 4 4 4" xfId="23594"/>
    <cellStyle name="쉼표 [0] 8 4 4 4 2" xfId="9527"/>
    <cellStyle name="쉼표 [0] 8 4 4 5" xfId="9534"/>
    <cellStyle name="쉼표 [0] 8 4 4 6" xfId="28302"/>
    <cellStyle name="쉼표 [0] 8 4 4 7" xfId="23587"/>
    <cellStyle name="쉼표 [0] 8 4 5" xfId="3099"/>
    <cellStyle name="쉼표 [0] 8 4 5 2" xfId="23596"/>
    <cellStyle name="쉼표 [0] 8 4 5 2 2" xfId="9525"/>
    <cellStyle name="쉼표 [0] 8 4 5 3" xfId="9526"/>
    <cellStyle name="쉼표 [0] 8 4 5 4" xfId="28300"/>
    <cellStyle name="쉼표 [0] 8 4 5 5" xfId="23595"/>
    <cellStyle name="쉼표 [0] 8 4 6" xfId="3100"/>
    <cellStyle name="쉼표 [0] 8 4 6 2" xfId="3101"/>
    <cellStyle name="쉼표 [0] 8 4 6 2 2" xfId="23599"/>
    <cellStyle name="쉼표 [0] 8 4 6 2 2 2" xfId="9522"/>
    <cellStyle name="쉼표 [0] 8 4 6 2 3" xfId="9523"/>
    <cellStyle name="쉼표 [0] 8 4 6 2 4" xfId="23598"/>
    <cellStyle name="쉼표 [0] 8 4 6 3" xfId="23600"/>
    <cellStyle name="쉼표 [0] 8 4 6 3 2" xfId="9521"/>
    <cellStyle name="쉼표 [0] 8 4 6 4" xfId="9524"/>
    <cellStyle name="쉼표 [0] 8 4 6 5" xfId="23597"/>
    <cellStyle name="쉼표 [0] 8 4 7" xfId="23601"/>
    <cellStyle name="쉼표 [0] 8 4 7 2" xfId="9520"/>
    <cellStyle name="쉼표 [0] 8 4 8" xfId="23602"/>
    <cellStyle name="쉼표 [0] 8 4 8 2" xfId="9519"/>
    <cellStyle name="쉼표 [0] 8 4 9" xfId="9567"/>
    <cellStyle name="쉼표 [0] 8 5" xfId="3102"/>
    <cellStyle name="쉼표 [0] 8 5 10" xfId="23604"/>
    <cellStyle name="쉼표 [0] 8 5 10 2" xfId="23605"/>
    <cellStyle name="쉼표 [0] 8 5 10 2 2" xfId="9516"/>
    <cellStyle name="쉼표 [0] 8 5 10 3" xfId="9517"/>
    <cellStyle name="쉼표 [0] 8 5 11" xfId="23606"/>
    <cellStyle name="쉼표 [0] 8 5 11 2" xfId="9515"/>
    <cellStyle name="쉼표 [0] 8 5 12" xfId="9518"/>
    <cellStyle name="쉼표 [0] 8 5 13" xfId="28299"/>
    <cellStyle name="쉼표 [0] 8 5 14" xfId="23603"/>
    <cellStyle name="쉼표 [0] 8 5 15" xfId="30668"/>
    <cellStyle name="쉼표 [0] 8 5 2" xfId="3103"/>
    <cellStyle name="쉼표 [0] 8 5 2 2" xfId="3104"/>
    <cellStyle name="쉼표 [0] 8 5 2 2 2" xfId="23609"/>
    <cellStyle name="쉼표 [0] 8 5 2 2 2 2" xfId="9512"/>
    <cellStyle name="쉼표 [0] 8 5 2 2 3" xfId="9513"/>
    <cellStyle name="쉼표 [0] 8 5 2 2 4" xfId="23608"/>
    <cellStyle name="쉼표 [0] 8 5 2 3" xfId="23610"/>
    <cellStyle name="쉼표 [0] 8 5 2 3 2" xfId="23611"/>
    <cellStyle name="쉼표 [0] 8 5 2 3 2 2" xfId="9510"/>
    <cellStyle name="쉼표 [0] 8 5 2 3 3" xfId="9511"/>
    <cellStyle name="쉼표 [0] 8 5 2 4" xfId="23612"/>
    <cellStyle name="쉼표 [0] 8 5 2 4 2" xfId="9509"/>
    <cellStyle name="쉼표 [0] 8 5 2 5" xfId="9514"/>
    <cellStyle name="쉼표 [0] 8 5 2 6" xfId="23607"/>
    <cellStyle name="쉼표 [0] 8 5 2 7" xfId="29734"/>
    <cellStyle name="쉼표 [0] 8 5 3" xfId="3105"/>
    <cellStyle name="쉼표 [0] 8 5 3 2" xfId="3106"/>
    <cellStyle name="쉼표 [0] 8 5 3 2 2" xfId="23615"/>
    <cellStyle name="쉼표 [0] 8 5 3 2 2 2" xfId="9506"/>
    <cellStyle name="쉼표 [0] 8 5 3 2 3" xfId="9507"/>
    <cellStyle name="쉼표 [0] 8 5 3 2 4" xfId="23614"/>
    <cellStyle name="쉼표 [0] 8 5 3 3" xfId="23616"/>
    <cellStyle name="쉼표 [0] 8 5 3 3 2" xfId="23617"/>
    <cellStyle name="쉼표 [0] 8 5 3 3 2 2" xfId="9504"/>
    <cellStyle name="쉼표 [0] 8 5 3 3 3" xfId="9505"/>
    <cellStyle name="쉼표 [0] 8 5 3 4" xfId="23618"/>
    <cellStyle name="쉼표 [0] 8 5 3 4 2" xfId="9503"/>
    <cellStyle name="쉼표 [0] 8 5 3 5" xfId="9508"/>
    <cellStyle name="쉼표 [0] 8 5 3 6" xfId="23613"/>
    <cellStyle name="쉼표 [0] 8 5 3 7" xfId="29695"/>
    <cellStyle name="쉼표 [0] 8 5 4" xfId="3107"/>
    <cellStyle name="쉼표 [0] 8 5 4 2" xfId="3108"/>
    <cellStyle name="쉼표 [0] 8 5 4 2 2" xfId="23621"/>
    <cellStyle name="쉼표 [0] 8 5 4 2 2 2" xfId="9500"/>
    <cellStyle name="쉼표 [0] 8 5 4 2 3" xfId="9501"/>
    <cellStyle name="쉼표 [0] 8 5 4 2 4" xfId="23620"/>
    <cellStyle name="쉼표 [0] 8 5 4 3" xfId="23622"/>
    <cellStyle name="쉼표 [0] 8 5 4 3 2" xfId="23623"/>
    <cellStyle name="쉼표 [0] 8 5 4 3 2 2" xfId="9498"/>
    <cellStyle name="쉼표 [0] 8 5 4 3 3" xfId="9499"/>
    <cellStyle name="쉼표 [0] 8 5 4 4" xfId="23624"/>
    <cellStyle name="쉼표 [0] 8 5 4 4 2" xfId="9497"/>
    <cellStyle name="쉼표 [0] 8 5 4 5" xfId="9502"/>
    <cellStyle name="쉼표 [0] 8 5 4 6" xfId="23619"/>
    <cellStyle name="쉼표 [0] 8 5 5" xfId="23625"/>
    <cellStyle name="쉼표 [0] 8 5 5 2" xfId="23626"/>
    <cellStyle name="쉼표 [0] 8 5 5 2 2" xfId="9495"/>
    <cellStyle name="쉼표 [0] 8 5 5 3" xfId="9496"/>
    <cellStyle name="쉼표 [0] 8 5 6" xfId="23627"/>
    <cellStyle name="쉼표 [0] 8 5 6 2" xfId="23628"/>
    <cellStyle name="쉼표 [0] 8 5 6 2 2" xfId="9493"/>
    <cellStyle name="쉼표 [0] 8 5 6 3" xfId="9494"/>
    <cellStyle name="쉼표 [0] 8 5 7" xfId="23629"/>
    <cellStyle name="쉼표 [0] 8 5 7 2" xfId="23630"/>
    <cellStyle name="쉼표 [0] 8 5 7 2 2" xfId="9491"/>
    <cellStyle name="쉼표 [0] 8 5 7 3" xfId="9492"/>
    <cellStyle name="쉼표 [0] 8 5 8" xfId="23631"/>
    <cellStyle name="쉼표 [0] 8 5 8 2" xfId="23632"/>
    <cellStyle name="쉼표 [0] 8 5 8 2 2" xfId="9489"/>
    <cellStyle name="쉼표 [0] 8 5 8 3" xfId="9490"/>
    <cellStyle name="쉼표 [0] 8 5 9" xfId="23633"/>
    <cellStyle name="쉼표 [0] 8 5 9 2" xfId="23634"/>
    <cellStyle name="쉼표 [0] 8 5 9 2 2" xfId="9487"/>
    <cellStyle name="쉼표 [0] 8 5 9 3" xfId="9488"/>
    <cellStyle name="쉼표 [0] 8 6" xfId="3109"/>
    <cellStyle name="쉼표 [0] 8 6 10" xfId="28298"/>
    <cellStyle name="쉼표 [0] 8 6 11" xfId="23635"/>
    <cellStyle name="쉼표 [0] 8 6 2" xfId="3110"/>
    <cellStyle name="쉼표 [0] 8 6 2 2" xfId="3111"/>
    <cellStyle name="쉼표 [0] 8 6 2 2 2" xfId="3112"/>
    <cellStyle name="쉼표 [0] 8 6 2 2 2 2" xfId="23639"/>
    <cellStyle name="쉼표 [0] 8 6 2 2 2 2 2" xfId="9482"/>
    <cellStyle name="쉼표 [0] 8 6 2 2 2 3" xfId="9483"/>
    <cellStyle name="쉼표 [0] 8 6 2 2 2 4" xfId="23638"/>
    <cellStyle name="쉼표 [0] 8 6 2 2 3" xfId="23640"/>
    <cellStyle name="쉼표 [0] 8 6 2 2 3 2" xfId="9481"/>
    <cellStyle name="쉼표 [0] 8 6 2 2 4" xfId="9484"/>
    <cellStyle name="쉼표 [0] 8 6 2 2 5" xfId="23637"/>
    <cellStyle name="쉼표 [0] 8 6 2 3" xfId="23641"/>
    <cellStyle name="쉼표 [0] 8 6 2 3 2" xfId="23642"/>
    <cellStyle name="쉼표 [0] 8 6 2 3 2 2" xfId="9479"/>
    <cellStyle name="쉼표 [0] 8 6 2 3 3" xfId="9480"/>
    <cellStyle name="쉼표 [0] 8 6 2 4" xfId="23643"/>
    <cellStyle name="쉼표 [0] 8 6 2 4 2" xfId="9478"/>
    <cellStyle name="쉼표 [0] 8 6 2 5" xfId="9485"/>
    <cellStyle name="쉼표 [0] 8 6 2 6" xfId="28297"/>
    <cellStyle name="쉼표 [0] 8 6 2 7" xfId="23636"/>
    <cellStyle name="쉼표 [0] 8 6 3" xfId="3113"/>
    <cellStyle name="쉼표 [0] 8 6 3 2" xfId="3114"/>
    <cellStyle name="쉼표 [0] 8 6 3 2 2" xfId="23646"/>
    <cellStyle name="쉼표 [0] 8 6 3 2 2 2" xfId="9475"/>
    <cellStyle name="쉼표 [0] 8 6 3 2 3" xfId="9476"/>
    <cellStyle name="쉼표 [0] 8 6 3 2 4" xfId="23645"/>
    <cellStyle name="쉼표 [0] 8 6 3 3" xfId="23647"/>
    <cellStyle name="쉼표 [0] 8 6 3 3 2" xfId="23648"/>
    <cellStyle name="쉼표 [0] 8 6 3 3 2 2" xfId="9473"/>
    <cellStyle name="쉼표 [0] 8 6 3 3 3" xfId="9474"/>
    <cellStyle name="쉼표 [0] 8 6 3 4" xfId="23649"/>
    <cellStyle name="쉼표 [0] 8 6 3 4 2" xfId="9472"/>
    <cellStyle name="쉼표 [0] 8 6 3 5" xfId="9477"/>
    <cellStyle name="쉼표 [0] 8 6 3 6" xfId="23644"/>
    <cellStyle name="쉼표 [0] 8 6 4" xfId="23650"/>
    <cellStyle name="쉼표 [0] 8 6 4 2" xfId="23651"/>
    <cellStyle name="쉼표 [0] 8 6 4 2 2" xfId="9470"/>
    <cellStyle name="쉼표 [0] 8 6 4 3" xfId="9471"/>
    <cellStyle name="쉼표 [0] 8 6 5" xfId="23652"/>
    <cellStyle name="쉼표 [0] 8 6 5 2" xfId="23653"/>
    <cellStyle name="쉼표 [0] 8 6 5 2 2" xfId="9468"/>
    <cellStyle name="쉼표 [0] 8 6 5 3" xfId="9469"/>
    <cellStyle name="쉼표 [0] 8 6 6" xfId="23654"/>
    <cellStyle name="쉼표 [0] 8 6 6 2" xfId="23655"/>
    <cellStyle name="쉼표 [0] 8 6 6 2 2" xfId="9466"/>
    <cellStyle name="쉼표 [0] 8 6 6 3" xfId="9467"/>
    <cellStyle name="쉼표 [0] 8 6 7" xfId="23656"/>
    <cellStyle name="쉼표 [0] 8 6 7 2" xfId="23657"/>
    <cellStyle name="쉼표 [0] 8 6 7 2 2" xfId="9464"/>
    <cellStyle name="쉼표 [0] 8 6 7 3" xfId="9465"/>
    <cellStyle name="쉼표 [0] 8 6 8" xfId="23658"/>
    <cellStyle name="쉼표 [0] 8 6 8 2" xfId="9463"/>
    <cellStyle name="쉼표 [0] 8 6 9" xfId="9486"/>
    <cellStyle name="쉼표 [0] 8 7" xfId="3115"/>
    <cellStyle name="쉼표 [0] 8 7 2" xfId="3116"/>
    <cellStyle name="쉼표 [0] 8 7 2 2" xfId="3117"/>
    <cellStyle name="쉼표 [0] 8 7 2 2 2" xfId="23662"/>
    <cellStyle name="쉼표 [0] 8 7 2 2 2 2" xfId="9459"/>
    <cellStyle name="쉼표 [0] 8 7 2 2 3" xfId="9460"/>
    <cellStyle name="쉼표 [0] 8 7 2 2 4" xfId="28294"/>
    <cellStyle name="쉼표 [0] 8 7 2 2 5" xfId="23661"/>
    <cellStyle name="쉼표 [0] 8 7 2 3" xfId="23663"/>
    <cellStyle name="쉼표 [0] 8 7 2 3 2" xfId="23664"/>
    <cellStyle name="쉼표 [0] 8 7 2 3 2 2" xfId="9457"/>
    <cellStyle name="쉼표 [0] 8 7 2 3 3" xfId="9458"/>
    <cellStyle name="쉼표 [0] 8 7 2 4" xfId="23665"/>
    <cellStyle name="쉼표 [0] 8 7 2 4 2" xfId="9456"/>
    <cellStyle name="쉼표 [0] 8 7 2 5" xfId="9461"/>
    <cellStyle name="쉼표 [0] 8 7 2 6" xfId="28295"/>
    <cellStyle name="쉼표 [0] 8 7 2 7" xfId="23660"/>
    <cellStyle name="쉼표 [0] 8 7 3" xfId="3118"/>
    <cellStyle name="쉼표 [0] 8 7 3 2" xfId="23667"/>
    <cellStyle name="쉼표 [0] 8 7 3 2 2" xfId="23668"/>
    <cellStyle name="쉼표 [0] 8 7 3 2 2 2" xfId="9453"/>
    <cellStyle name="쉼표 [0] 8 7 3 2 3" xfId="9454"/>
    <cellStyle name="쉼표 [0] 8 7 3 3" xfId="23669"/>
    <cellStyle name="쉼표 [0] 8 7 3 3 2" xfId="9452"/>
    <cellStyle name="쉼표 [0] 8 7 3 4" xfId="9455"/>
    <cellStyle name="쉼표 [0] 8 7 3 5" xfId="28293"/>
    <cellStyle name="쉼표 [0] 8 7 3 6" xfId="23666"/>
    <cellStyle name="쉼표 [0] 8 7 4" xfId="3119"/>
    <cellStyle name="쉼표 [0] 8 7 4 2" xfId="3120"/>
    <cellStyle name="쉼표 [0] 8 7 4 2 2" xfId="23672"/>
    <cellStyle name="쉼표 [0] 8 7 4 2 2 2" xfId="9449"/>
    <cellStyle name="쉼표 [0] 8 7 4 2 3" xfId="9450"/>
    <cellStyle name="쉼표 [0] 8 7 4 2 4" xfId="23671"/>
    <cellStyle name="쉼표 [0] 8 7 4 3" xfId="23673"/>
    <cellStyle name="쉼표 [0] 8 7 4 3 2" xfId="23674"/>
    <cellStyle name="쉼표 [0] 8 7 4 3 2 2" xfId="9447"/>
    <cellStyle name="쉼표 [0] 8 7 4 3 3" xfId="9448"/>
    <cellStyle name="쉼표 [0] 8 7 4 4" xfId="23675"/>
    <cellStyle name="쉼표 [0] 8 7 4 4 2" xfId="9446"/>
    <cellStyle name="쉼표 [0] 8 7 4 5" xfId="9451"/>
    <cellStyle name="쉼표 [0] 8 7 4 6" xfId="23670"/>
    <cellStyle name="쉼표 [0] 8 7 5" xfId="23676"/>
    <cellStyle name="쉼표 [0] 8 7 5 2" xfId="9445"/>
    <cellStyle name="쉼표 [0] 8 7 6" xfId="9462"/>
    <cellStyle name="쉼표 [0] 8 7 7" xfId="28296"/>
    <cellStyle name="쉼표 [0] 8 7 8" xfId="23659"/>
    <cellStyle name="쉼표 [0] 8 8" xfId="3121"/>
    <cellStyle name="쉼표 [0] 8 8 2" xfId="3122"/>
    <cellStyle name="쉼표 [0] 8 8 2 2" xfId="23679"/>
    <cellStyle name="쉼표 [0] 8 8 2 2 2" xfId="9442"/>
    <cellStyle name="쉼표 [0] 8 8 2 3" xfId="9443"/>
    <cellStyle name="쉼표 [0] 8 8 2 4" xfId="28291"/>
    <cellStyle name="쉼표 [0] 8 8 2 5" xfId="23678"/>
    <cellStyle name="쉼표 [0] 8 8 3" xfId="23680"/>
    <cellStyle name="쉼표 [0] 8 8 3 2" xfId="9441"/>
    <cellStyle name="쉼표 [0] 8 8 4" xfId="9444"/>
    <cellStyle name="쉼표 [0] 8 8 5" xfId="28292"/>
    <cellStyle name="쉼표 [0] 8 8 6" xfId="23677"/>
    <cellStyle name="쉼표 [0] 8 9" xfId="3123"/>
    <cellStyle name="쉼표 [0] 8 9 2" xfId="3124"/>
    <cellStyle name="쉼표 [0] 8 9 2 2" xfId="23683"/>
    <cellStyle name="쉼표 [0] 8 9 2 2 2" xfId="9438"/>
    <cellStyle name="쉼표 [0] 8 9 2 3" xfId="9439"/>
    <cellStyle name="쉼표 [0] 8 9 2 4" xfId="28289"/>
    <cellStyle name="쉼표 [0] 8 9 2 5" xfId="23682"/>
    <cellStyle name="쉼표 [0] 8 9 3" xfId="23684"/>
    <cellStyle name="쉼표 [0] 8 9 3 2" xfId="9437"/>
    <cellStyle name="쉼표 [0] 8 9 4" xfId="9440"/>
    <cellStyle name="쉼표 [0] 8 9 5" xfId="28290"/>
    <cellStyle name="쉼표 [0] 8 9 6" xfId="23681"/>
    <cellStyle name="쉼표 [0] 9" xfId="3125"/>
    <cellStyle name="쉼표 [0] 9 10" xfId="9436"/>
    <cellStyle name="쉼표 [0] 9 11" xfId="28288"/>
    <cellStyle name="쉼표 [0] 9 12" xfId="23685"/>
    <cellStyle name="쉼표 [0] 9 2" xfId="3126"/>
    <cellStyle name="쉼표 [0] 9 2 2" xfId="3127"/>
    <cellStyle name="쉼표 [0] 9 2 2 2" xfId="23688"/>
    <cellStyle name="쉼표 [0] 9 2 2 2 2" xfId="9433"/>
    <cellStyle name="쉼표 [0] 9 2 2 3" xfId="9434"/>
    <cellStyle name="쉼표 [0] 9 2 2 4" xfId="28286"/>
    <cellStyle name="쉼표 [0] 9 2 2 5" xfId="23687"/>
    <cellStyle name="쉼표 [0] 9 2 3" xfId="23689"/>
    <cellStyle name="쉼표 [0] 9 2 3 2" xfId="23690"/>
    <cellStyle name="쉼표 [0] 9 2 3 2 2" xfId="9431"/>
    <cellStyle name="쉼표 [0] 9 2 3 3" xfId="9432"/>
    <cellStyle name="쉼표 [0] 9 2 4" xfId="23691"/>
    <cellStyle name="쉼표 [0] 9 2 4 2" xfId="9430"/>
    <cellStyle name="쉼표 [0] 9 2 5" xfId="23692"/>
    <cellStyle name="쉼표 [0] 9 2 5 2" xfId="9429"/>
    <cellStyle name="쉼표 [0] 9 2 6" xfId="9435"/>
    <cellStyle name="쉼표 [0] 9 2 7" xfId="28287"/>
    <cellStyle name="쉼표 [0] 9 2 8" xfId="23686"/>
    <cellStyle name="쉼표 [0] 9 2 9" xfId="29880"/>
    <cellStyle name="쉼표 [0] 9 3" xfId="3128"/>
    <cellStyle name="쉼표 [0] 9 3 2" xfId="3129"/>
    <cellStyle name="쉼표 [0] 9 3 2 2" xfId="23695"/>
    <cellStyle name="쉼표 [0] 9 3 2 2 2" xfId="9426"/>
    <cellStyle name="쉼표 [0] 9 3 2 3" xfId="9427"/>
    <cellStyle name="쉼표 [0] 9 3 2 4" xfId="23694"/>
    <cellStyle name="쉼표 [0] 9 3 3" xfId="23696"/>
    <cellStyle name="쉼표 [0] 9 3 3 2" xfId="23697"/>
    <cellStyle name="쉼표 [0] 9 3 3 2 2" xfId="9424"/>
    <cellStyle name="쉼표 [0] 9 3 3 3" xfId="9425"/>
    <cellStyle name="쉼표 [0] 9 3 4" xfId="23698"/>
    <cellStyle name="쉼표 [0] 9 3 4 2" xfId="9423"/>
    <cellStyle name="쉼표 [0] 9 3 5" xfId="23699"/>
    <cellStyle name="쉼표 [0] 9 3 5 2" xfId="9422"/>
    <cellStyle name="쉼표 [0] 9 3 6" xfId="9428"/>
    <cellStyle name="쉼표 [0] 9 3 7" xfId="23693"/>
    <cellStyle name="쉼표 [0] 9 3 8" xfId="29482"/>
    <cellStyle name="쉼표 [0] 9 4" xfId="23700"/>
    <cellStyle name="쉼표 [0] 9 4 2" xfId="23701"/>
    <cellStyle name="쉼표 [0] 9 4 2 2" xfId="9420"/>
    <cellStyle name="쉼표 [0] 9 4 3" xfId="9421"/>
    <cellStyle name="쉼표 [0] 9 5" xfId="23702"/>
    <cellStyle name="쉼표 [0] 9 5 2" xfId="23703"/>
    <cellStyle name="쉼표 [0] 9 5 2 2" xfId="9418"/>
    <cellStyle name="쉼표 [0] 9 5 3" xfId="9419"/>
    <cellStyle name="쉼표 [0] 9 6" xfId="23704"/>
    <cellStyle name="쉼표 [0] 9 6 2" xfId="23705"/>
    <cellStyle name="쉼표 [0] 9 6 2 2" xfId="9416"/>
    <cellStyle name="쉼표 [0] 9 6 3" xfId="9417"/>
    <cellStyle name="쉼표 [0] 9 7" xfId="23706"/>
    <cellStyle name="쉼표 [0] 9 7 2" xfId="9415"/>
    <cellStyle name="쉼표 [0] 9 8" xfId="23707"/>
    <cellStyle name="쉼표 [0] 9 8 2" xfId="9414"/>
    <cellStyle name="쉼표 [0] 9 9" xfId="23708"/>
    <cellStyle name="쉼표 [0] 9 9 2" xfId="9413"/>
    <cellStyle name="연결된 셀 10" xfId="23709"/>
    <cellStyle name="연결된 셀 10 2" xfId="23710"/>
    <cellStyle name="연결된 셀 10 2 2" xfId="9411"/>
    <cellStyle name="연결된 셀 10 3" xfId="23711"/>
    <cellStyle name="연결된 셀 10 3 2" xfId="9410"/>
    <cellStyle name="연결된 셀 10 4" xfId="9412"/>
    <cellStyle name="연결된 셀 10 5" xfId="29881"/>
    <cellStyle name="연결된 셀 11" xfId="23712"/>
    <cellStyle name="연결된 셀 11 2" xfId="23713"/>
    <cellStyle name="연결된 셀 11 2 2" xfId="9408"/>
    <cellStyle name="연결된 셀 11 3" xfId="23714"/>
    <cellStyle name="연결된 셀 11 3 2" xfId="9407"/>
    <cellStyle name="연결된 셀 11 4" xfId="9409"/>
    <cellStyle name="연결된 셀 11 5" xfId="29882"/>
    <cellStyle name="연결된 셀 12" xfId="23715"/>
    <cellStyle name="연결된 셀 12 2" xfId="23716"/>
    <cellStyle name="연결된 셀 12 2 2" xfId="9405"/>
    <cellStyle name="연결된 셀 12 3" xfId="23717"/>
    <cellStyle name="연결된 셀 12 3 2" xfId="9404"/>
    <cellStyle name="연결된 셀 12 4" xfId="9406"/>
    <cellStyle name="연결된 셀 12 5" xfId="29883"/>
    <cellStyle name="연결된 셀 13" xfId="23718"/>
    <cellStyle name="연결된 셀 13 2" xfId="23719"/>
    <cellStyle name="연결된 셀 13 2 2" xfId="9402"/>
    <cellStyle name="연결된 셀 13 3" xfId="23720"/>
    <cellStyle name="연결된 셀 13 3 2" xfId="9401"/>
    <cellStyle name="연결된 셀 13 4" xfId="9403"/>
    <cellStyle name="연결된 셀 13 5" xfId="29884"/>
    <cellStyle name="연결된 셀 14" xfId="23721"/>
    <cellStyle name="연결된 셀 14 2" xfId="23722"/>
    <cellStyle name="연결된 셀 14 2 2" xfId="9399"/>
    <cellStyle name="연결된 셀 14 3" xfId="23723"/>
    <cellStyle name="연결된 셀 14 3 2" xfId="9398"/>
    <cellStyle name="연결된 셀 14 4" xfId="9400"/>
    <cellStyle name="연결된 셀 14 5" xfId="29885"/>
    <cellStyle name="연결된 셀 15" xfId="23724"/>
    <cellStyle name="연결된 셀 15 2" xfId="23725"/>
    <cellStyle name="연결된 셀 15 2 2" xfId="9396"/>
    <cellStyle name="연결된 셀 15 3" xfId="23726"/>
    <cellStyle name="연결된 셀 15 3 2" xfId="9395"/>
    <cellStyle name="연결된 셀 15 4" xfId="9397"/>
    <cellStyle name="연결된 셀 15 5" xfId="29886"/>
    <cellStyle name="연결된 셀 16" xfId="23727"/>
    <cellStyle name="연결된 셀 16 2" xfId="23728"/>
    <cellStyle name="연결된 셀 16 2 2" xfId="9393"/>
    <cellStyle name="연결된 셀 16 3" xfId="23729"/>
    <cellStyle name="연결된 셀 16 3 2" xfId="9392"/>
    <cellStyle name="연결된 셀 16 4" xfId="9394"/>
    <cellStyle name="연결된 셀 16 5" xfId="29887"/>
    <cellStyle name="연결된 셀 17" xfId="23730"/>
    <cellStyle name="연결된 셀 17 2" xfId="23731"/>
    <cellStyle name="연결된 셀 17 2 2" xfId="9390"/>
    <cellStyle name="연결된 셀 17 3" xfId="23732"/>
    <cellStyle name="연결된 셀 17 3 2" xfId="9389"/>
    <cellStyle name="연결된 셀 17 4" xfId="9391"/>
    <cellStyle name="연결된 셀 17 5" xfId="29888"/>
    <cellStyle name="연결된 셀 18" xfId="23733"/>
    <cellStyle name="연결된 셀 18 2" xfId="23734"/>
    <cellStyle name="연결된 셀 18 2 2" xfId="9387"/>
    <cellStyle name="연결된 셀 18 3" xfId="23735"/>
    <cellStyle name="연결된 셀 18 3 2" xfId="9386"/>
    <cellStyle name="연결된 셀 18 4" xfId="9388"/>
    <cellStyle name="연결된 셀 18 5" xfId="29889"/>
    <cellStyle name="연결된 셀 19" xfId="23736"/>
    <cellStyle name="연결된 셀 19 2" xfId="23737"/>
    <cellStyle name="연결된 셀 19 2 2" xfId="9384"/>
    <cellStyle name="연결된 셀 19 3" xfId="23738"/>
    <cellStyle name="연결된 셀 19 3 2" xfId="9383"/>
    <cellStyle name="연결된 셀 19 4" xfId="9385"/>
    <cellStyle name="연결된 셀 19 5" xfId="29890"/>
    <cellStyle name="연결된 셀 2" xfId="3130"/>
    <cellStyle name="연결된 셀 2 2" xfId="23740"/>
    <cellStyle name="연결된 셀 2 2 2" xfId="9381"/>
    <cellStyle name="연결된 셀 2 3" xfId="23741"/>
    <cellStyle name="연결된 셀 2 3 2" xfId="9380"/>
    <cellStyle name="연결된 셀 2 4" xfId="9382"/>
    <cellStyle name="연결된 셀 2 5" xfId="28285"/>
    <cellStyle name="연결된 셀 2 6" xfId="23739"/>
    <cellStyle name="연결된 셀 20" xfId="23742"/>
    <cellStyle name="연결된 셀 20 2" xfId="23743"/>
    <cellStyle name="연결된 셀 20 2 2" xfId="9378"/>
    <cellStyle name="연결된 셀 20 3" xfId="23744"/>
    <cellStyle name="연결된 셀 20 3 2" xfId="9377"/>
    <cellStyle name="연결된 셀 20 4" xfId="9379"/>
    <cellStyle name="연결된 셀 20 5" xfId="29892"/>
    <cellStyle name="연결된 셀 21" xfId="23745"/>
    <cellStyle name="연결된 셀 21 2" xfId="23746"/>
    <cellStyle name="연결된 셀 21 2 2" xfId="9375"/>
    <cellStyle name="연결된 셀 21 3" xfId="23747"/>
    <cellStyle name="연결된 셀 21 3 2" xfId="9374"/>
    <cellStyle name="연결된 셀 21 4" xfId="9376"/>
    <cellStyle name="연결된 셀 21 5" xfId="29893"/>
    <cellStyle name="연결된 셀 22" xfId="23748"/>
    <cellStyle name="연결된 셀 22 2" xfId="23749"/>
    <cellStyle name="연결된 셀 22 2 2" xfId="9372"/>
    <cellStyle name="연결된 셀 22 3" xfId="23750"/>
    <cellStyle name="연결된 셀 22 3 2" xfId="9371"/>
    <cellStyle name="연결된 셀 22 4" xfId="9373"/>
    <cellStyle name="연결된 셀 22 5" xfId="29894"/>
    <cellStyle name="연결된 셀 23" xfId="23751"/>
    <cellStyle name="연결된 셀 23 2" xfId="23752"/>
    <cellStyle name="연결된 셀 23 2 2" xfId="9369"/>
    <cellStyle name="연결된 셀 23 3" xfId="23753"/>
    <cellStyle name="연결된 셀 23 3 2" xfId="9368"/>
    <cellStyle name="연결된 셀 23 4" xfId="9370"/>
    <cellStyle name="연결된 셀 23 5" xfId="29895"/>
    <cellStyle name="연결된 셀 24" xfId="23754"/>
    <cellStyle name="연결된 셀 24 2" xfId="23755"/>
    <cellStyle name="연결된 셀 24 2 2" xfId="9366"/>
    <cellStyle name="연결된 셀 24 3" xfId="23756"/>
    <cellStyle name="연결된 셀 24 3 2" xfId="9365"/>
    <cellStyle name="연결된 셀 24 4" xfId="9367"/>
    <cellStyle name="연결된 셀 24 5" xfId="29896"/>
    <cellStyle name="연결된 셀 25" xfId="23757"/>
    <cellStyle name="연결된 셀 25 2" xfId="23758"/>
    <cellStyle name="연결된 셀 25 2 2" xfId="9363"/>
    <cellStyle name="연결된 셀 25 3" xfId="23759"/>
    <cellStyle name="연결된 셀 25 3 2" xfId="9362"/>
    <cellStyle name="연결된 셀 25 4" xfId="9364"/>
    <cellStyle name="연결된 셀 25 5" xfId="29897"/>
    <cellStyle name="연결된 셀 26" xfId="23760"/>
    <cellStyle name="연결된 셀 26 2" xfId="23761"/>
    <cellStyle name="연결된 셀 26 2 2" xfId="9360"/>
    <cellStyle name="연결된 셀 26 3" xfId="23762"/>
    <cellStyle name="연결된 셀 26 3 2" xfId="9359"/>
    <cellStyle name="연결된 셀 26 4" xfId="9361"/>
    <cellStyle name="연결된 셀 26 5" xfId="29898"/>
    <cellStyle name="연결된 셀 27" xfId="23763"/>
    <cellStyle name="연결된 셀 27 2" xfId="23764"/>
    <cellStyle name="연결된 셀 27 2 2" xfId="9357"/>
    <cellStyle name="연결된 셀 27 3" xfId="23765"/>
    <cellStyle name="연결된 셀 27 3 2" xfId="9356"/>
    <cellStyle name="연결된 셀 27 4" xfId="9358"/>
    <cellStyle name="연결된 셀 27 5" xfId="29899"/>
    <cellStyle name="연결된 셀 28" xfId="23766"/>
    <cellStyle name="연결된 셀 28 2" xfId="23767"/>
    <cellStyle name="연결된 셀 28 2 2" xfId="9354"/>
    <cellStyle name="연결된 셀 28 3" xfId="23768"/>
    <cellStyle name="연결된 셀 28 3 2" xfId="9353"/>
    <cellStyle name="연결된 셀 28 4" xfId="9355"/>
    <cellStyle name="연결된 셀 28 5" xfId="29900"/>
    <cellStyle name="연결된 셀 29" xfId="23769"/>
    <cellStyle name="연결된 셀 29 2" xfId="23770"/>
    <cellStyle name="연결된 셀 29 2 2" xfId="9351"/>
    <cellStyle name="연결된 셀 29 3" xfId="23771"/>
    <cellStyle name="연결된 셀 29 3 2" xfId="9350"/>
    <cellStyle name="연결된 셀 29 4" xfId="9352"/>
    <cellStyle name="연결된 셀 29 5" xfId="29901"/>
    <cellStyle name="연결된 셀 3" xfId="3131"/>
    <cellStyle name="연결된 셀 3 2" xfId="23773"/>
    <cellStyle name="연결된 셀 3 2 2" xfId="23774"/>
    <cellStyle name="연결된 셀 3 2 2 2" xfId="9347"/>
    <cellStyle name="연결된 셀 3 2 3" xfId="23775"/>
    <cellStyle name="연결된 셀 3 2 3 2" xfId="9346"/>
    <cellStyle name="연결된 셀 3 2 4" xfId="9348"/>
    <cellStyle name="연결된 셀 3 2 5" xfId="29903"/>
    <cellStyle name="연결된 셀 3 3" xfId="23776"/>
    <cellStyle name="연결된 셀 3 3 2" xfId="23777"/>
    <cellStyle name="연결된 셀 3 3 2 2" xfId="9344"/>
    <cellStyle name="연결된 셀 3 3 3" xfId="23778"/>
    <cellStyle name="연결된 셀 3 3 3 2" xfId="9343"/>
    <cellStyle name="연결된 셀 3 3 4" xfId="9345"/>
    <cellStyle name="연결된 셀 3 3 5" xfId="29904"/>
    <cellStyle name="연결된 셀 3 4" xfId="23779"/>
    <cellStyle name="연결된 셀 3 4 2" xfId="23780"/>
    <cellStyle name="연결된 셀 3 4 2 2" xfId="9341"/>
    <cellStyle name="연결된 셀 3 4 3" xfId="23781"/>
    <cellStyle name="연결된 셀 3 4 3 2" xfId="9340"/>
    <cellStyle name="연결된 셀 3 4 4" xfId="9342"/>
    <cellStyle name="연결된 셀 3 4 5" xfId="29905"/>
    <cellStyle name="연결된 셀 3 5" xfId="23782"/>
    <cellStyle name="연결된 셀 3 5 2" xfId="9339"/>
    <cellStyle name="연결된 셀 3 6" xfId="23783"/>
    <cellStyle name="연결된 셀 3 6 2" xfId="9338"/>
    <cellStyle name="연결된 셀 3 7" xfId="9349"/>
    <cellStyle name="연결된 셀 3 8" xfId="28284"/>
    <cellStyle name="연결된 셀 3 9" xfId="23772"/>
    <cellStyle name="연결된 셀 30" xfId="23784"/>
    <cellStyle name="연결된 셀 30 2" xfId="9337"/>
    <cellStyle name="연결된 셀 31" xfId="28111"/>
    <cellStyle name="연결된 셀 4" xfId="3132"/>
    <cellStyle name="연결된 셀 4 2" xfId="23786"/>
    <cellStyle name="연결된 셀 4 2 2" xfId="9335"/>
    <cellStyle name="연결된 셀 4 3" xfId="23787"/>
    <cellStyle name="연결된 셀 4 3 2" xfId="9334"/>
    <cellStyle name="연결된 셀 4 4" xfId="9336"/>
    <cellStyle name="연결된 셀 4 5" xfId="28283"/>
    <cellStyle name="연결된 셀 4 6" xfId="23785"/>
    <cellStyle name="연결된 셀 5" xfId="3133"/>
    <cellStyle name="연결된 셀 5 2" xfId="23789"/>
    <cellStyle name="연결된 셀 5 2 2" xfId="9332"/>
    <cellStyle name="연결된 셀 5 3" xfId="23790"/>
    <cellStyle name="연결된 셀 5 3 2" xfId="9331"/>
    <cellStyle name="연결된 셀 5 4" xfId="9333"/>
    <cellStyle name="연결된 셀 5 5" xfId="28282"/>
    <cellStyle name="연결된 셀 5 6" xfId="23788"/>
    <cellStyle name="연결된 셀 6" xfId="3134"/>
    <cellStyle name="연결된 셀 6 2" xfId="23792"/>
    <cellStyle name="연결된 셀 6 2 2" xfId="9329"/>
    <cellStyle name="연결된 셀 6 3" xfId="23793"/>
    <cellStyle name="연결된 셀 6 3 2" xfId="9328"/>
    <cellStyle name="연결된 셀 6 4" xfId="9330"/>
    <cellStyle name="연결된 셀 6 5" xfId="28281"/>
    <cellStyle name="연결된 셀 6 6" xfId="23791"/>
    <cellStyle name="연결된 셀 7" xfId="3135"/>
    <cellStyle name="연결된 셀 7 2" xfId="23795"/>
    <cellStyle name="연결된 셀 7 2 2" xfId="9326"/>
    <cellStyle name="연결된 셀 7 3" xfId="23796"/>
    <cellStyle name="연결된 셀 7 3 2" xfId="9325"/>
    <cellStyle name="연결된 셀 7 4" xfId="9327"/>
    <cellStyle name="연결된 셀 7 5" xfId="28280"/>
    <cellStyle name="연결된 셀 7 6" xfId="23794"/>
    <cellStyle name="연결된 셀 8" xfId="3136"/>
    <cellStyle name="연결된 셀 8 2" xfId="23798"/>
    <cellStyle name="연결된 셀 8 2 2" xfId="9323"/>
    <cellStyle name="연결된 셀 8 3" xfId="23799"/>
    <cellStyle name="연결된 셀 8 3 2" xfId="9322"/>
    <cellStyle name="연결된 셀 8 4" xfId="9324"/>
    <cellStyle name="연결된 셀 8 5" xfId="28279"/>
    <cellStyle name="연결된 셀 8 6" xfId="23797"/>
    <cellStyle name="연결된 셀 9" xfId="23800"/>
    <cellStyle name="연결된 셀 9 2" xfId="23801"/>
    <cellStyle name="연결된 셀 9 2 2" xfId="9320"/>
    <cellStyle name="연결된 셀 9 3" xfId="23802"/>
    <cellStyle name="연결된 셀 9 3 2" xfId="9319"/>
    <cellStyle name="연결된 셀 9 4" xfId="9321"/>
    <cellStyle name="연결된 셀 9 5" xfId="29909"/>
    <cellStyle name="요약 10" xfId="23803"/>
    <cellStyle name="요약 10 2" xfId="23804"/>
    <cellStyle name="요약 10 2 2" xfId="9317"/>
    <cellStyle name="요약 10 2 3" xfId="30500"/>
    <cellStyle name="요약 10 3" xfId="23805"/>
    <cellStyle name="요약 10 3 2" xfId="9316"/>
    <cellStyle name="요약 10 4" xfId="9318"/>
    <cellStyle name="요약 10 5" xfId="29910"/>
    <cellStyle name="요약 11" xfId="23806"/>
    <cellStyle name="요약 11 2" xfId="23807"/>
    <cellStyle name="요약 11 2 2" xfId="9314"/>
    <cellStyle name="요약 11 2 3" xfId="30501"/>
    <cellStyle name="요약 11 3" xfId="23808"/>
    <cellStyle name="요약 11 3 2" xfId="9313"/>
    <cellStyle name="요약 11 4" xfId="9315"/>
    <cellStyle name="요약 11 5" xfId="29911"/>
    <cellStyle name="요약 12" xfId="23809"/>
    <cellStyle name="요약 12 2" xfId="23810"/>
    <cellStyle name="요약 12 2 2" xfId="9311"/>
    <cellStyle name="요약 12 2 3" xfId="30502"/>
    <cellStyle name="요약 12 3" xfId="23811"/>
    <cellStyle name="요약 12 3 2" xfId="9310"/>
    <cellStyle name="요약 12 4" xfId="9312"/>
    <cellStyle name="요약 12 5" xfId="29912"/>
    <cellStyle name="요약 13" xfId="23812"/>
    <cellStyle name="요약 13 2" xfId="23813"/>
    <cellStyle name="요약 13 2 2" xfId="9308"/>
    <cellStyle name="요약 13 2 3" xfId="30503"/>
    <cellStyle name="요약 13 3" xfId="23814"/>
    <cellStyle name="요약 13 3 2" xfId="9307"/>
    <cellStyle name="요약 13 4" xfId="9309"/>
    <cellStyle name="요약 13 5" xfId="29913"/>
    <cellStyle name="요약 14" xfId="23815"/>
    <cellStyle name="요약 14 2" xfId="23816"/>
    <cellStyle name="요약 14 2 2" xfId="9305"/>
    <cellStyle name="요약 14 2 3" xfId="30504"/>
    <cellStyle name="요약 14 3" xfId="23817"/>
    <cellStyle name="요약 14 3 2" xfId="9304"/>
    <cellStyle name="요약 14 4" xfId="9306"/>
    <cellStyle name="요약 14 5" xfId="29914"/>
    <cellStyle name="요약 15" xfId="23818"/>
    <cellStyle name="요약 15 2" xfId="23819"/>
    <cellStyle name="요약 15 2 2" xfId="9302"/>
    <cellStyle name="요약 15 2 3" xfId="30505"/>
    <cellStyle name="요약 15 3" xfId="23820"/>
    <cellStyle name="요약 15 3 2" xfId="9301"/>
    <cellStyle name="요약 15 4" xfId="9303"/>
    <cellStyle name="요약 15 5" xfId="29915"/>
    <cellStyle name="요약 16" xfId="23821"/>
    <cellStyle name="요약 16 2" xfId="23822"/>
    <cellStyle name="요약 16 2 2" xfId="9299"/>
    <cellStyle name="요약 16 2 3" xfId="30506"/>
    <cellStyle name="요약 16 3" xfId="23823"/>
    <cellStyle name="요약 16 3 2" xfId="9298"/>
    <cellStyle name="요약 16 4" xfId="9300"/>
    <cellStyle name="요약 16 5" xfId="29916"/>
    <cellStyle name="요약 17" xfId="23824"/>
    <cellStyle name="요약 17 2" xfId="23825"/>
    <cellStyle name="요약 17 2 2" xfId="9296"/>
    <cellStyle name="요약 17 2 3" xfId="30507"/>
    <cellStyle name="요약 17 3" xfId="23826"/>
    <cellStyle name="요약 17 3 2" xfId="9295"/>
    <cellStyle name="요약 17 4" xfId="9297"/>
    <cellStyle name="요약 17 5" xfId="29917"/>
    <cellStyle name="요약 18" xfId="23827"/>
    <cellStyle name="요약 18 2" xfId="23828"/>
    <cellStyle name="요약 18 2 2" xfId="9293"/>
    <cellStyle name="요약 18 2 3" xfId="30508"/>
    <cellStyle name="요약 18 3" xfId="23829"/>
    <cellStyle name="요약 18 3 2" xfId="9292"/>
    <cellStyle name="요약 18 4" xfId="9294"/>
    <cellStyle name="요약 18 5" xfId="29918"/>
    <cellStyle name="요약 19" xfId="23830"/>
    <cellStyle name="요약 19 2" xfId="23831"/>
    <cellStyle name="요약 19 2 2" xfId="9290"/>
    <cellStyle name="요약 19 2 3" xfId="30509"/>
    <cellStyle name="요약 19 3" xfId="23832"/>
    <cellStyle name="요약 19 3 2" xfId="9289"/>
    <cellStyle name="요약 19 4" xfId="9291"/>
    <cellStyle name="요약 19 5" xfId="29919"/>
    <cellStyle name="요약 2" xfId="3137"/>
    <cellStyle name="요약 2 2" xfId="23834"/>
    <cellStyle name="요약 2 2 2" xfId="9287"/>
    <cellStyle name="요약 2 2 3" xfId="30510"/>
    <cellStyle name="요약 2 3" xfId="23835"/>
    <cellStyle name="요약 2 3 2" xfId="9286"/>
    <cellStyle name="요약 2 4" xfId="9288"/>
    <cellStyle name="요약 2 5" xfId="28278"/>
    <cellStyle name="요약 2 6" xfId="23833"/>
    <cellStyle name="요약 20" xfId="23836"/>
    <cellStyle name="요약 20 2" xfId="23837"/>
    <cellStyle name="요약 20 2 2" xfId="9284"/>
    <cellStyle name="요약 20 2 3" xfId="30511"/>
    <cellStyle name="요약 20 3" xfId="23838"/>
    <cellStyle name="요약 20 3 2" xfId="9283"/>
    <cellStyle name="요약 20 4" xfId="9285"/>
    <cellStyle name="요약 20 5" xfId="29921"/>
    <cellStyle name="요약 21" xfId="23839"/>
    <cellStyle name="요약 21 2" xfId="23840"/>
    <cellStyle name="요약 21 2 2" xfId="9281"/>
    <cellStyle name="요약 21 2 3" xfId="30512"/>
    <cellStyle name="요약 21 3" xfId="23841"/>
    <cellStyle name="요약 21 3 2" xfId="9280"/>
    <cellStyle name="요약 21 4" xfId="9282"/>
    <cellStyle name="요약 21 5" xfId="29922"/>
    <cellStyle name="요약 22" xfId="23842"/>
    <cellStyle name="요약 22 2" xfId="23843"/>
    <cellStyle name="요약 22 2 2" xfId="9278"/>
    <cellStyle name="요약 22 2 3" xfId="30513"/>
    <cellStyle name="요약 22 3" xfId="23844"/>
    <cellStyle name="요약 22 3 2" xfId="9277"/>
    <cellStyle name="요약 22 4" xfId="9279"/>
    <cellStyle name="요약 22 5" xfId="29923"/>
    <cellStyle name="요약 23" xfId="23845"/>
    <cellStyle name="요약 23 2" xfId="23846"/>
    <cellStyle name="요약 23 2 2" xfId="9275"/>
    <cellStyle name="요약 23 2 3" xfId="30514"/>
    <cellStyle name="요약 23 3" xfId="23847"/>
    <cellStyle name="요약 23 3 2" xfId="9274"/>
    <cellStyle name="요약 23 4" xfId="9276"/>
    <cellStyle name="요약 23 5" xfId="29924"/>
    <cellStyle name="요약 24" xfId="23848"/>
    <cellStyle name="요약 24 2" xfId="23849"/>
    <cellStyle name="요약 24 2 2" xfId="9272"/>
    <cellStyle name="요약 24 2 3" xfId="30515"/>
    <cellStyle name="요약 24 3" xfId="23850"/>
    <cellStyle name="요약 24 3 2" xfId="9271"/>
    <cellStyle name="요약 24 4" xfId="9273"/>
    <cellStyle name="요약 24 5" xfId="29925"/>
    <cellStyle name="요약 25" xfId="23851"/>
    <cellStyle name="요약 25 2" xfId="23852"/>
    <cellStyle name="요약 25 2 2" xfId="9269"/>
    <cellStyle name="요약 25 2 3" xfId="30516"/>
    <cellStyle name="요약 25 3" xfId="23853"/>
    <cellStyle name="요약 25 3 2" xfId="9268"/>
    <cellStyle name="요약 25 4" xfId="9270"/>
    <cellStyle name="요약 25 5" xfId="29926"/>
    <cellStyle name="요약 26" xfId="23854"/>
    <cellStyle name="요약 26 2" xfId="23855"/>
    <cellStyle name="요약 26 2 2" xfId="9266"/>
    <cellStyle name="요약 26 2 3" xfId="30517"/>
    <cellStyle name="요약 26 3" xfId="23856"/>
    <cellStyle name="요약 26 3 2" xfId="9265"/>
    <cellStyle name="요약 26 4" xfId="9267"/>
    <cellStyle name="요약 26 5" xfId="29927"/>
    <cellStyle name="요약 27" xfId="23857"/>
    <cellStyle name="요약 27 2" xfId="23858"/>
    <cellStyle name="요약 27 2 2" xfId="9263"/>
    <cellStyle name="요약 27 2 3" xfId="30518"/>
    <cellStyle name="요약 27 3" xfId="23859"/>
    <cellStyle name="요약 27 3 2" xfId="9262"/>
    <cellStyle name="요약 27 4" xfId="9264"/>
    <cellStyle name="요약 27 5" xfId="29928"/>
    <cellStyle name="요약 28" xfId="23860"/>
    <cellStyle name="요약 28 2" xfId="23861"/>
    <cellStyle name="요약 28 2 2" xfId="9260"/>
    <cellStyle name="요약 28 2 3" xfId="30519"/>
    <cellStyle name="요약 28 3" xfId="23862"/>
    <cellStyle name="요약 28 3 2" xfId="9259"/>
    <cellStyle name="요약 28 4" xfId="9261"/>
    <cellStyle name="요약 28 5" xfId="29929"/>
    <cellStyle name="요약 29" xfId="23863"/>
    <cellStyle name="요약 29 2" xfId="23864"/>
    <cellStyle name="요약 29 2 2" xfId="9257"/>
    <cellStyle name="요약 29 2 3" xfId="30520"/>
    <cellStyle name="요약 29 3" xfId="23865"/>
    <cellStyle name="요약 29 3 2" xfId="9256"/>
    <cellStyle name="요약 29 4" xfId="9258"/>
    <cellStyle name="요약 29 5" xfId="29930"/>
    <cellStyle name="요약 3" xfId="3138"/>
    <cellStyle name="요약 3 2" xfId="23867"/>
    <cellStyle name="요약 3 2 2" xfId="23868"/>
    <cellStyle name="요약 3 2 2 2" xfId="9253"/>
    <cellStyle name="요약 3 2 2 3" xfId="30521"/>
    <cellStyle name="요약 3 2 3" xfId="23869"/>
    <cellStyle name="요약 3 2 3 2" xfId="9252"/>
    <cellStyle name="요약 3 2 4" xfId="9254"/>
    <cellStyle name="요약 3 2 5" xfId="29931"/>
    <cellStyle name="요약 3 3" xfId="23870"/>
    <cellStyle name="요약 3 3 2" xfId="23871"/>
    <cellStyle name="요약 3 3 2 2" xfId="9250"/>
    <cellStyle name="요약 3 3 2 3" xfId="30522"/>
    <cellStyle name="요약 3 3 3" xfId="23872"/>
    <cellStyle name="요약 3 3 3 2" xfId="9249"/>
    <cellStyle name="요약 3 3 4" xfId="9251"/>
    <cellStyle name="요약 3 3 5" xfId="29932"/>
    <cellStyle name="요약 3 4" xfId="23873"/>
    <cellStyle name="요약 3 4 2" xfId="23874"/>
    <cellStyle name="요약 3 4 2 2" xfId="9247"/>
    <cellStyle name="요약 3 4 2 3" xfId="30523"/>
    <cellStyle name="요약 3 4 3" xfId="23875"/>
    <cellStyle name="요약 3 4 3 2" xfId="9246"/>
    <cellStyle name="요약 3 4 4" xfId="9248"/>
    <cellStyle name="요약 3 4 5" xfId="29933"/>
    <cellStyle name="요약 3 5" xfId="23876"/>
    <cellStyle name="요약 3 5 2" xfId="9245"/>
    <cellStyle name="요약 3 5 3" xfId="30524"/>
    <cellStyle name="요약 3 6" xfId="23877"/>
    <cellStyle name="요약 3 6 2" xfId="9244"/>
    <cellStyle name="요약 3 7" xfId="9255"/>
    <cellStyle name="요약 3 8" xfId="28277"/>
    <cellStyle name="요약 3 9" xfId="23866"/>
    <cellStyle name="요약 30" xfId="23878"/>
    <cellStyle name="요약 31" xfId="28116"/>
    <cellStyle name="요약 4" xfId="3139"/>
    <cellStyle name="요약 4 2" xfId="23880"/>
    <cellStyle name="요약 4 2 2" xfId="9242"/>
    <cellStyle name="요약 4 2 3" xfId="30525"/>
    <cellStyle name="요약 4 3" xfId="23881"/>
    <cellStyle name="요약 4 3 2" xfId="9241"/>
    <cellStyle name="요약 4 4" xfId="9243"/>
    <cellStyle name="요약 4 5" xfId="28276"/>
    <cellStyle name="요약 4 6" xfId="23879"/>
    <cellStyle name="요약 5" xfId="3140"/>
    <cellStyle name="요약 5 2" xfId="23883"/>
    <cellStyle name="요약 5 2 2" xfId="9239"/>
    <cellStyle name="요약 5 2 3" xfId="30526"/>
    <cellStyle name="요약 5 3" xfId="23884"/>
    <cellStyle name="요약 5 3 2" xfId="9238"/>
    <cellStyle name="요약 5 4" xfId="9240"/>
    <cellStyle name="요약 5 5" xfId="28275"/>
    <cellStyle name="요약 5 6" xfId="23882"/>
    <cellStyle name="요약 6" xfId="3141"/>
    <cellStyle name="요약 6 2" xfId="23886"/>
    <cellStyle name="요약 6 2 2" xfId="9236"/>
    <cellStyle name="요약 6 2 3" xfId="30527"/>
    <cellStyle name="요약 6 3" xfId="23887"/>
    <cellStyle name="요약 6 3 2" xfId="9235"/>
    <cellStyle name="요약 6 4" xfId="9237"/>
    <cellStyle name="요약 6 5" xfId="28274"/>
    <cellStyle name="요약 6 6" xfId="23885"/>
    <cellStyle name="요약 7" xfId="3142"/>
    <cellStyle name="요약 7 2" xfId="23889"/>
    <cellStyle name="요약 7 2 2" xfId="9233"/>
    <cellStyle name="요약 7 2 3" xfId="30528"/>
    <cellStyle name="요약 7 3" xfId="23890"/>
    <cellStyle name="요약 7 3 2" xfId="9232"/>
    <cellStyle name="요약 7 4" xfId="9234"/>
    <cellStyle name="요약 7 5" xfId="28273"/>
    <cellStyle name="요약 7 6" xfId="23888"/>
    <cellStyle name="요약 8" xfId="3143"/>
    <cellStyle name="요약 8 2" xfId="23892"/>
    <cellStyle name="요약 8 2 2" xfId="9230"/>
    <cellStyle name="요약 8 2 3" xfId="30529"/>
    <cellStyle name="요약 8 3" xfId="23893"/>
    <cellStyle name="요약 8 3 2" xfId="9229"/>
    <cellStyle name="요약 8 4" xfId="9231"/>
    <cellStyle name="요약 8 5" xfId="28272"/>
    <cellStyle name="요약 8 6" xfId="23891"/>
    <cellStyle name="요약 9" xfId="23894"/>
    <cellStyle name="요약 9 2" xfId="23895"/>
    <cellStyle name="요약 9 2 2" xfId="9227"/>
    <cellStyle name="요약 9 2 3" xfId="30530"/>
    <cellStyle name="요약 9 3" xfId="23896"/>
    <cellStyle name="요약 9 3 2" xfId="9226"/>
    <cellStyle name="요약 9 4" xfId="9228"/>
    <cellStyle name="요약 9 5" xfId="29937"/>
    <cellStyle name="입력 10" xfId="23897"/>
    <cellStyle name="입력 10 2" xfId="23898"/>
    <cellStyle name="입력 10 2 2" xfId="9224"/>
    <cellStyle name="입력 10 2 3" xfId="30531"/>
    <cellStyle name="입력 10 3" xfId="23899"/>
    <cellStyle name="입력 10 3 2" xfId="9223"/>
    <cellStyle name="입력 10 4" xfId="9225"/>
    <cellStyle name="입력 10 5" xfId="29938"/>
    <cellStyle name="입력 10 6" xfId="30322"/>
    <cellStyle name="입력 11" xfId="23900"/>
    <cellStyle name="입력 11 2" xfId="23901"/>
    <cellStyle name="입력 11 2 2" xfId="9221"/>
    <cellStyle name="입력 11 2 3" xfId="30532"/>
    <cellStyle name="입력 11 3" xfId="23902"/>
    <cellStyle name="입력 11 3 2" xfId="9220"/>
    <cellStyle name="입력 11 4" xfId="9222"/>
    <cellStyle name="입력 11 5" xfId="29939"/>
    <cellStyle name="입력 11 6" xfId="30299"/>
    <cellStyle name="입력 12" xfId="23903"/>
    <cellStyle name="입력 12 2" xfId="23904"/>
    <cellStyle name="입력 12 2 2" xfId="9218"/>
    <cellStyle name="입력 12 2 3" xfId="30533"/>
    <cellStyle name="입력 12 3" xfId="23905"/>
    <cellStyle name="입력 12 3 2" xfId="9217"/>
    <cellStyle name="입력 12 4" xfId="9219"/>
    <cellStyle name="입력 12 5" xfId="29940"/>
    <cellStyle name="입력 12 6" xfId="29461"/>
    <cellStyle name="입력 13" xfId="23906"/>
    <cellStyle name="입력 13 2" xfId="23907"/>
    <cellStyle name="입력 13 2 2" xfId="9215"/>
    <cellStyle name="입력 13 2 3" xfId="30534"/>
    <cellStyle name="입력 13 3" xfId="23908"/>
    <cellStyle name="입력 13 3 2" xfId="9214"/>
    <cellStyle name="입력 13 4" xfId="9216"/>
    <cellStyle name="입력 13 5" xfId="29941"/>
    <cellStyle name="입력 13 6" xfId="29805"/>
    <cellStyle name="입력 14" xfId="23909"/>
    <cellStyle name="입력 14 2" xfId="23910"/>
    <cellStyle name="입력 14 2 2" xfId="9212"/>
    <cellStyle name="입력 14 2 3" xfId="30535"/>
    <cellStyle name="입력 14 3" xfId="23911"/>
    <cellStyle name="입력 14 3 2" xfId="9211"/>
    <cellStyle name="입력 14 4" xfId="9213"/>
    <cellStyle name="입력 14 5" xfId="29942"/>
    <cellStyle name="입력 15" xfId="23912"/>
    <cellStyle name="입력 15 2" xfId="23913"/>
    <cellStyle name="입력 15 2 2" xfId="9209"/>
    <cellStyle name="입력 15 2 3" xfId="30536"/>
    <cellStyle name="입력 15 3" xfId="23914"/>
    <cellStyle name="입력 15 3 2" xfId="9208"/>
    <cellStyle name="입력 15 4" xfId="9210"/>
    <cellStyle name="입력 15 5" xfId="29943"/>
    <cellStyle name="입력 16" xfId="23915"/>
    <cellStyle name="입력 16 2" xfId="23916"/>
    <cellStyle name="입력 16 2 2" xfId="9206"/>
    <cellStyle name="입력 16 2 3" xfId="30537"/>
    <cellStyle name="입력 16 3" xfId="23917"/>
    <cellStyle name="입력 16 3 2" xfId="9205"/>
    <cellStyle name="입력 16 4" xfId="9207"/>
    <cellStyle name="입력 16 5" xfId="29944"/>
    <cellStyle name="입력 17" xfId="23918"/>
    <cellStyle name="입력 17 2" xfId="23919"/>
    <cellStyle name="입력 17 2 2" xfId="9203"/>
    <cellStyle name="입력 17 2 3" xfId="30538"/>
    <cellStyle name="입력 17 3" xfId="23920"/>
    <cellStyle name="입력 17 3 2" xfId="9202"/>
    <cellStyle name="입력 17 4" xfId="9204"/>
    <cellStyle name="입력 17 5" xfId="29945"/>
    <cellStyle name="입력 18" xfId="23921"/>
    <cellStyle name="입력 18 2" xfId="23922"/>
    <cellStyle name="입력 18 2 2" xfId="9200"/>
    <cellStyle name="입력 18 2 3" xfId="30539"/>
    <cellStyle name="입력 18 3" xfId="23923"/>
    <cellStyle name="입력 18 3 2" xfId="9199"/>
    <cellStyle name="입력 18 4" xfId="9201"/>
    <cellStyle name="입력 18 5" xfId="29946"/>
    <cellStyle name="입력 19" xfId="23924"/>
    <cellStyle name="입력 19 2" xfId="23925"/>
    <cellStyle name="입력 19 2 2" xfId="9197"/>
    <cellStyle name="입력 19 2 3" xfId="30540"/>
    <cellStyle name="입력 19 3" xfId="23926"/>
    <cellStyle name="입력 19 3 2" xfId="9196"/>
    <cellStyle name="입력 19 4" xfId="9198"/>
    <cellStyle name="입력 19 5" xfId="29947"/>
    <cellStyle name="입력 2" xfId="3144"/>
    <cellStyle name="입력 2 2" xfId="23928"/>
    <cellStyle name="입력 2 2 2" xfId="23929"/>
    <cellStyle name="입력 2 2 2 2" xfId="9193"/>
    <cellStyle name="입력 2 2 2 3" xfId="30541"/>
    <cellStyle name="입력 2 2 3" xfId="23930"/>
    <cellStyle name="입력 2 2 3 2" xfId="9192"/>
    <cellStyle name="입력 2 2 4" xfId="9194"/>
    <cellStyle name="입력 2 2 5" xfId="29948"/>
    <cellStyle name="입력 2 3" xfId="23931"/>
    <cellStyle name="입력 2 3 2" xfId="23932"/>
    <cellStyle name="입력 2 3 2 2" xfId="9190"/>
    <cellStyle name="입력 2 3 2 3" xfId="30542"/>
    <cellStyle name="입력 2 3 3" xfId="23933"/>
    <cellStyle name="입력 2 3 3 2" xfId="9189"/>
    <cellStyle name="입력 2 3 4" xfId="9191"/>
    <cellStyle name="입력 2 3 5" xfId="29949"/>
    <cellStyle name="입력 2 4" xfId="23934"/>
    <cellStyle name="입력 2 4 2" xfId="23935"/>
    <cellStyle name="입력 2 4 2 2" xfId="9187"/>
    <cellStyle name="입력 2 4 2 3" xfId="30543"/>
    <cellStyle name="입력 2 4 3" xfId="23936"/>
    <cellStyle name="입력 2 4 3 2" xfId="9186"/>
    <cellStyle name="입력 2 4 4" xfId="9188"/>
    <cellStyle name="입력 2 4 5" xfId="29950"/>
    <cellStyle name="입력 2 5" xfId="23937"/>
    <cellStyle name="입력 2 5 2" xfId="9185"/>
    <cellStyle name="입력 2 5 3" xfId="30544"/>
    <cellStyle name="입력 2 6" xfId="23938"/>
    <cellStyle name="입력 2 6 2" xfId="9184"/>
    <cellStyle name="입력 2 7" xfId="9195"/>
    <cellStyle name="입력 2 8" xfId="28271"/>
    <cellStyle name="입력 2 9" xfId="23927"/>
    <cellStyle name="입력 20" xfId="23939"/>
    <cellStyle name="입력 20 2" xfId="23940"/>
    <cellStyle name="입력 20 2 2" xfId="9182"/>
    <cellStyle name="입력 20 2 3" xfId="30545"/>
    <cellStyle name="입력 20 3" xfId="23941"/>
    <cellStyle name="입력 20 3 2" xfId="9181"/>
    <cellStyle name="입력 20 4" xfId="9183"/>
    <cellStyle name="입력 20 5" xfId="29951"/>
    <cellStyle name="입력 21" xfId="23942"/>
    <cellStyle name="입력 21 2" xfId="23943"/>
    <cellStyle name="입력 21 2 2" xfId="9179"/>
    <cellStyle name="입력 21 2 3" xfId="30546"/>
    <cellStyle name="입력 21 3" xfId="23944"/>
    <cellStyle name="입력 21 3 2" xfId="9178"/>
    <cellStyle name="입력 21 4" xfId="9180"/>
    <cellStyle name="입력 21 5" xfId="29952"/>
    <cellStyle name="입력 22" xfId="23945"/>
    <cellStyle name="입력 22 2" xfId="23946"/>
    <cellStyle name="입력 22 2 2" xfId="9176"/>
    <cellStyle name="입력 22 2 3" xfId="30547"/>
    <cellStyle name="입력 22 3" xfId="23947"/>
    <cellStyle name="입력 22 3 2" xfId="9175"/>
    <cellStyle name="입력 22 4" xfId="9177"/>
    <cellStyle name="입력 22 5" xfId="29953"/>
    <cellStyle name="입력 23" xfId="23948"/>
    <cellStyle name="입력 23 2" xfId="23949"/>
    <cellStyle name="입력 23 2 2" xfId="9173"/>
    <cellStyle name="입력 23 2 3" xfId="30548"/>
    <cellStyle name="입력 23 3" xfId="23950"/>
    <cellStyle name="입력 23 3 2" xfId="9172"/>
    <cellStyle name="입력 23 4" xfId="9174"/>
    <cellStyle name="입력 23 5" xfId="29954"/>
    <cellStyle name="입력 24" xfId="23951"/>
    <cellStyle name="입력 24 2" xfId="23952"/>
    <cellStyle name="입력 24 2 2" xfId="9170"/>
    <cellStyle name="입력 24 2 3" xfId="30549"/>
    <cellStyle name="입력 24 3" xfId="23953"/>
    <cellStyle name="입력 24 3 2" xfId="9169"/>
    <cellStyle name="입력 24 4" xfId="9171"/>
    <cellStyle name="입력 24 5" xfId="29955"/>
    <cellStyle name="입력 25" xfId="23954"/>
    <cellStyle name="입력 25 2" xfId="23955"/>
    <cellStyle name="입력 25 2 2" xfId="9167"/>
    <cellStyle name="입력 25 2 3" xfId="30550"/>
    <cellStyle name="입력 25 3" xfId="23956"/>
    <cellStyle name="입력 25 3 2" xfId="9166"/>
    <cellStyle name="입력 25 4" xfId="9168"/>
    <cellStyle name="입력 25 5" xfId="29956"/>
    <cellStyle name="입력 26" xfId="23957"/>
    <cellStyle name="입력 26 2" xfId="23958"/>
    <cellStyle name="입력 26 2 2" xfId="9164"/>
    <cellStyle name="입력 26 2 3" xfId="30551"/>
    <cellStyle name="입력 26 3" xfId="23959"/>
    <cellStyle name="입력 26 3 2" xfId="9163"/>
    <cellStyle name="입력 26 4" xfId="9165"/>
    <cellStyle name="입력 26 5" xfId="29957"/>
    <cellStyle name="입력 27" xfId="23960"/>
    <cellStyle name="입력 27 2" xfId="23961"/>
    <cellStyle name="입력 27 2 2" xfId="9161"/>
    <cellStyle name="입력 27 2 3" xfId="30552"/>
    <cellStyle name="입력 27 3" xfId="23962"/>
    <cellStyle name="입력 27 3 2" xfId="9160"/>
    <cellStyle name="입력 27 4" xfId="9162"/>
    <cellStyle name="입력 27 5" xfId="29958"/>
    <cellStyle name="입력 28" xfId="23963"/>
    <cellStyle name="입력 28 2" xfId="23964"/>
    <cellStyle name="입력 28 2 2" xfId="9158"/>
    <cellStyle name="입력 28 2 3" xfId="30553"/>
    <cellStyle name="입력 28 3" xfId="23965"/>
    <cellStyle name="입력 28 3 2" xfId="9157"/>
    <cellStyle name="입력 28 4" xfId="9159"/>
    <cellStyle name="입력 28 5" xfId="29959"/>
    <cellStyle name="입력 29" xfId="23966"/>
    <cellStyle name="입력 29 2" xfId="23967"/>
    <cellStyle name="입력 29 2 2" xfId="9155"/>
    <cellStyle name="입력 29 2 3" xfId="30554"/>
    <cellStyle name="입력 29 3" xfId="23968"/>
    <cellStyle name="입력 29 3 2" xfId="9154"/>
    <cellStyle name="입력 29 4" xfId="9156"/>
    <cellStyle name="입력 29 5" xfId="29960"/>
    <cellStyle name="입력 3" xfId="3145"/>
    <cellStyle name="입력 3 10" xfId="29961"/>
    <cellStyle name="입력 3 2" xfId="23970"/>
    <cellStyle name="입력 3 2 2" xfId="23971"/>
    <cellStyle name="입력 3 2 2 2" xfId="23972"/>
    <cellStyle name="입력 3 2 2 2 2" xfId="9150"/>
    <cellStyle name="입력 3 2 2 3" xfId="9151"/>
    <cellStyle name="입력 3 2 2 4" xfId="30555"/>
    <cellStyle name="입력 3 2 3" xfId="23973"/>
    <cellStyle name="입력 3 2 3 2" xfId="9149"/>
    <cellStyle name="입력 3 2 4" xfId="23974"/>
    <cellStyle name="입력 3 2 4 2" xfId="9148"/>
    <cellStyle name="입력 3 2 5" xfId="9152"/>
    <cellStyle name="입력 3 2 6" xfId="29962"/>
    <cellStyle name="입력 3 3" xfId="23975"/>
    <cellStyle name="입력 3 3 2" xfId="23976"/>
    <cellStyle name="입력 3 3 2 2" xfId="9146"/>
    <cellStyle name="입력 3 3 2 3" xfId="30556"/>
    <cellStyle name="입력 3 3 3" xfId="23977"/>
    <cellStyle name="입력 3 3 3 2" xfId="9145"/>
    <cellStyle name="입력 3 3 4" xfId="9147"/>
    <cellStyle name="입력 3 3 5" xfId="29963"/>
    <cellStyle name="입력 3 4" xfId="23978"/>
    <cellStyle name="입력 3 4 2" xfId="23979"/>
    <cellStyle name="입력 3 4 2 2" xfId="9143"/>
    <cellStyle name="입력 3 4 2 3" xfId="30557"/>
    <cellStyle name="입력 3 4 3" xfId="23980"/>
    <cellStyle name="입력 3 4 3 2" xfId="9142"/>
    <cellStyle name="입력 3 4 4" xfId="9144"/>
    <cellStyle name="입력 3 4 5" xfId="29964"/>
    <cellStyle name="입력 3 5" xfId="23981"/>
    <cellStyle name="입력 3 5 2" xfId="9141"/>
    <cellStyle name="입력 3 5 3" xfId="30558"/>
    <cellStyle name="입력 3 6" xfId="23982"/>
    <cellStyle name="입력 3 6 2" xfId="9140"/>
    <cellStyle name="입력 3 7" xfId="9153"/>
    <cellStyle name="입력 3 8" xfId="28270"/>
    <cellStyle name="입력 3 9" xfId="23969"/>
    <cellStyle name="입력 30" xfId="23983"/>
    <cellStyle name="입력 30 2" xfId="23984"/>
    <cellStyle name="입력 30 2 2" xfId="9138"/>
    <cellStyle name="입력 30 2 3" xfId="30559"/>
    <cellStyle name="입력 30 3" xfId="23985"/>
    <cellStyle name="입력 30 3 2" xfId="9137"/>
    <cellStyle name="입력 30 4" xfId="9139"/>
    <cellStyle name="입력 30 5" xfId="29965"/>
    <cellStyle name="입력 31" xfId="23986"/>
    <cellStyle name="입력 31 2" xfId="23987"/>
    <cellStyle name="입력 31 2 2" xfId="9135"/>
    <cellStyle name="입력 31 2 3" xfId="30560"/>
    <cellStyle name="입력 31 3" xfId="23988"/>
    <cellStyle name="입력 31 3 2" xfId="9134"/>
    <cellStyle name="입력 31 4" xfId="9136"/>
    <cellStyle name="입력 31 5" xfId="29966"/>
    <cellStyle name="입력 32" xfId="23989"/>
    <cellStyle name="입력 32 2" xfId="23990"/>
    <cellStyle name="입력 32 2 2" xfId="9132"/>
    <cellStyle name="입력 32 2 3" xfId="30561"/>
    <cellStyle name="입력 32 3" xfId="23991"/>
    <cellStyle name="입력 32 3 2" xfId="9131"/>
    <cellStyle name="입력 32 4" xfId="9133"/>
    <cellStyle name="입력 32 5" xfId="29967"/>
    <cellStyle name="입력 33" xfId="23992"/>
    <cellStyle name="입력 33 2" xfId="23993"/>
    <cellStyle name="입력 33 2 2" xfId="9129"/>
    <cellStyle name="입력 33 2 3" xfId="30562"/>
    <cellStyle name="입력 33 3" xfId="23994"/>
    <cellStyle name="입력 33 3 2" xfId="9128"/>
    <cellStyle name="입력 33 4" xfId="9130"/>
    <cellStyle name="입력 33 5" xfId="29968"/>
    <cellStyle name="입력 34" xfId="23995"/>
    <cellStyle name="입력 34 2" xfId="23996"/>
    <cellStyle name="입력 34 2 2" xfId="9126"/>
    <cellStyle name="입력 34 2 3" xfId="30563"/>
    <cellStyle name="입력 34 3" xfId="23997"/>
    <cellStyle name="입력 34 3 2" xfId="9125"/>
    <cellStyle name="입력 34 4" xfId="9127"/>
    <cellStyle name="입력 34 5" xfId="29969"/>
    <cellStyle name="입력 35" xfId="23998"/>
    <cellStyle name="입력 35 2" xfId="23999"/>
    <cellStyle name="입력 35 2 2" xfId="9123"/>
    <cellStyle name="입력 35 2 3" xfId="30564"/>
    <cellStyle name="입력 35 3" xfId="24000"/>
    <cellStyle name="입력 35 3 2" xfId="9122"/>
    <cellStyle name="입력 35 4" xfId="9124"/>
    <cellStyle name="입력 35 5" xfId="29970"/>
    <cellStyle name="입력 36" xfId="24001"/>
    <cellStyle name="입력 36 2" xfId="24002"/>
    <cellStyle name="입력 36 2 2" xfId="9120"/>
    <cellStyle name="입력 36 2 3" xfId="30565"/>
    <cellStyle name="입력 36 3" xfId="24003"/>
    <cellStyle name="입력 36 3 2" xfId="9119"/>
    <cellStyle name="입력 36 4" xfId="9121"/>
    <cellStyle name="입력 36 5" xfId="29971"/>
    <cellStyle name="입력 37" xfId="24004"/>
    <cellStyle name="입력 37 2" xfId="24005"/>
    <cellStyle name="입력 37 2 2" xfId="9117"/>
    <cellStyle name="입력 37 2 3" xfId="30566"/>
    <cellStyle name="입력 37 3" xfId="24006"/>
    <cellStyle name="입력 37 3 2" xfId="9116"/>
    <cellStyle name="입력 37 4" xfId="9118"/>
    <cellStyle name="입력 37 5" xfId="29972"/>
    <cellStyle name="입력 38" xfId="24007"/>
    <cellStyle name="입력 38 2" xfId="24008"/>
    <cellStyle name="입력 38 2 2" xfId="9114"/>
    <cellStyle name="입력 38 2 3" xfId="30567"/>
    <cellStyle name="입력 38 3" xfId="24009"/>
    <cellStyle name="입력 38 3 2" xfId="9113"/>
    <cellStyle name="입력 38 4" xfId="9115"/>
    <cellStyle name="입력 38 5" xfId="29973"/>
    <cellStyle name="입력 39" xfId="24010"/>
    <cellStyle name="입력 39 2" xfId="24011"/>
    <cellStyle name="입력 39 2 2" xfId="9111"/>
    <cellStyle name="입력 39 2 3" xfId="30568"/>
    <cellStyle name="입력 39 3" xfId="24012"/>
    <cellStyle name="입력 39 3 2" xfId="9110"/>
    <cellStyle name="입력 39 4" xfId="9112"/>
    <cellStyle name="입력 39 5" xfId="29974"/>
    <cellStyle name="입력 4" xfId="3146"/>
    <cellStyle name="입력 4 2" xfId="24014"/>
    <cellStyle name="입력 4 2 2" xfId="24015"/>
    <cellStyle name="입력 4 2 2 2" xfId="9107"/>
    <cellStyle name="입력 4 2 2 3" xfId="30569"/>
    <cellStyle name="입력 4 2 3" xfId="24016"/>
    <cellStyle name="입력 4 2 3 2" xfId="9106"/>
    <cellStyle name="입력 4 2 4" xfId="9108"/>
    <cellStyle name="입력 4 2 5" xfId="29976"/>
    <cellStyle name="입력 4 3" xfId="24017"/>
    <cellStyle name="입력 4 3 2" xfId="24018"/>
    <cellStyle name="입력 4 3 2 2" xfId="9104"/>
    <cellStyle name="입력 4 3 2 3" xfId="30570"/>
    <cellStyle name="입력 4 3 3" xfId="24019"/>
    <cellStyle name="입력 4 3 3 2" xfId="9103"/>
    <cellStyle name="입력 4 3 4" xfId="9105"/>
    <cellStyle name="입력 4 3 5" xfId="29977"/>
    <cellStyle name="입력 4 4" xfId="24020"/>
    <cellStyle name="입력 4 4 2" xfId="24021"/>
    <cellStyle name="입력 4 4 2 2" xfId="9101"/>
    <cellStyle name="입력 4 4 2 3" xfId="30571"/>
    <cellStyle name="입력 4 4 3" xfId="24022"/>
    <cellStyle name="입력 4 4 3 2" xfId="9100"/>
    <cellStyle name="입력 4 4 4" xfId="9102"/>
    <cellStyle name="입력 4 4 5" xfId="29978"/>
    <cellStyle name="입력 4 5" xfId="24023"/>
    <cellStyle name="입력 4 5 2" xfId="9099"/>
    <cellStyle name="입력 4 5 3" xfId="30572"/>
    <cellStyle name="입력 4 6" xfId="24024"/>
    <cellStyle name="입력 4 6 2" xfId="9098"/>
    <cellStyle name="입력 4 7" xfId="9109"/>
    <cellStyle name="입력 4 8" xfId="28269"/>
    <cellStyle name="입력 4 9" xfId="24013"/>
    <cellStyle name="입력 40" xfId="24025"/>
    <cellStyle name="입력 40 2" xfId="24026"/>
    <cellStyle name="입력 40 2 2" xfId="9096"/>
    <cellStyle name="입력 40 2 3" xfId="30573"/>
    <cellStyle name="입력 40 3" xfId="24027"/>
    <cellStyle name="입력 40 3 2" xfId="9095"/>
    <cellStyle name="입력 40 4" xfId="9097"/>
    <cellStyle name="입력 40 5" xfId="29979"/>
    <cellStyle name="입력 41" xfId="24028"/>
    <cellStyle name="입력 41 2" xfId="24029"/>
    <cellStyle name="입력 41 2 2" xfId="9093"/>
    <cellStyle name="입력 41 2 3" xfId="30574"/>
    <cellStyle name="입력 41 3" xfId="24030"/>
    <cellStyle name="입력 41 3 2" xfId="9092"/>
    <cellStyle name="입력 41 4" xfId="9094"/>
    <cellStyle name="입력 41 5" xfId="29980"/>
    <cellStyle name="입력 42" xfId="24031"/>
    <cellStyle name="입력 42 2" xfId="24032"/>
    <cellStyle name="입력 42 2 2" xfId="9090"/>
    <cellStyle name="입력 42 2 3" xfId="30575"/>
    <cellStyle name="입력 42 3" xfId="24033"/>
    <cellStyle name="입력 42 3 2" xfId="9089"/>
    <cellStyle name="입력 42 4" xfId="9091"/>
    <cellStyle name="입력 42 5" xfId="29981"/>
    <cellStyle name="입력 43" xfId="24034"/>
    <cellStyle name="입력 43 2" xfId="24035"/>
    <cellStyle name="입력 43 2 2" xfId="9087"/>
    <cellStyle name="입력 43 2 3" xfId="30576"/>
    <cellStyle name="입력 43 3" xfId="24036"/>
    <cellStyle name="입력 43 3 2" xfId="9086"/>
    <cellStyle name="입력 43 4" xfId="9088"/>
    <cellStyle name="입력 43 5" xfId="29982"/>
    <cellStyle name="입력 44" xfId="24037"/>
    <cellStyle name="입력 44 2" xfId="24038"/>
    <cellStyle name="입력 44 2 2" xfId="9084"/>
    <cellStyle name="입력 44 2 3" xfId="30577"/>
    <cellStyle name="입력 44 3" xfId="24039"/>
    <cellStyle name="입력 44 3 2" xfId="9083"/>
    <cellStyle name="입력 44 4" xfId="9085"/>
    <cellStyle name="입력 44 5" xfId="29983"/>
    <cellStyle name="입력 45" xfId="24040"/>
    <cellStyle name="입력 45 2" xfId="24041"/>
    <cellStyle name="입력 45 2 2" xfId="9081"/>
    <cellStyle name="입력 45 2 3" xfId="30578"/>
    <cellStyle name="입력 45 3" xfId="24042"/>
    <cellStyle name="입력 45 3 2" xfId="9080"/>
    <cellStyle name="입력 45 4" xfId="9082"/>
    <cellStyle name="입력 45 5" xfId="29984"/>
    <cellStyle name="입력 46" xfId="24043"/>
    <cellStyle name="입력 46 2" xfId="24044"/>
    <cellStyle name="입력 46 2 2" xfId="9078"/>
    <cellStyle name="입력 46 2 3" xfId="30579"/>
    <cellStyle name="입력 46 3" xfId="24045"/>
    <cellStyle name="입력 46 3 2" xfId="9077"/>
    <cellStyle name="입력 46 4" xfId="9079"/>
    <cellStyle name="입력 46 5" xfId="29985"/>
    <cellStyle name="입력 47" xfId="24046"/>
    <cellStyle name="입력 47 2" xfId="24047"/>
    <cellStyle name="입력 47 2 2" xfId="9075"/>
    <cellStyle name="입력 47 2 3" xfId="30580"/>
    <cellStyle name="입력 47 3" xfId="24048"/>
    <cellStyle name="입력 47 3 2" xfId="9074"/>
    <cellStyle name="입력 47 4" xfId="9076"/>
    <cellStyle name="입력 47 5" xfId="29986"/>
    <cellStyle name="입력 48" xfId="24049"/>
    <cellStyle name="입력 48 2" xfId="24050"/>
    <cellStyle name="입력 48 2 2" xfId="9072"/>
    <cellStyle name="입력 48 2 3" xfId="30581"/>
    <cellStyle name="입력 48 3" xfId="24051"/>
    <cellStyle name="입력 48 3 2" xfId="9071"/>
    <cellStyle name="입력 48 4" xfId="9073"/>
    <cellStyle name="입력 48 5" xfId="29987"/>
    <cellStyle name="입력 49" xfId="24052"/>
    <cellStyle name="입력 49 2" xfId="9070"/>
    <cellStyle name="입력 5" xfId="3147"/>
    <cellStyle name="입력 5 2" xfId="24054"/>
    <cellStyle name="입력 5 2 2" xfId="24055"/>
    <cellStyle name="입력 5 2 2 2" xfId="9067"/>
    <cellStyle name="입력 5 2 3" xfId="9068"/>
    <cellStyle name="입력 5 2 4" xfId="30582"/>
    <cellStyle name="입력 5 3" xfId="24056"/>
    <cellStyle name="입력 5 3 2" xfId="9066"/>
    <cellStyle name="입력 5 4" xfId="24057"/>
    <cellStyle name="입력 5 4 2" xfId="9065"/>
    <cellStyle name="입력 5 5" xfId="9069"/>
    <cellStyle name="입력 5 6" xfId="28268"/>
    <cellStyle name="입력 5 7" xfId="24053"/>
    <cellStyle name="입력 5 8" xfId="29988"/>
    <cellStyle name="입력 50" xfId="28108"/>
    <cellStyle name="입력 6" xfId="3148"/>
    <cellStyle name="입력 6 2" xfId="24059"/>
    <cellStyle name="입력 6 2 2" xfId="24060"/>
    <cellStyle name="입력 6 2 2 2" xfId="9062"/>
    <cellStyle name="입력 6 2 3" xfId="9063"/>
    <cellStyle name="입력 6 2 4" xfId="30583"/>
    <cellStyle name="입력 6 3" xfId="24061"/>
    <cellStyle name="입력 6 3 2" xfId="9061"/>
    <cellStyle name="입력 6 4" xfId="24062"/>
    <cellStyle name="입력 6 4 2" xfId="9060"/>
    <cellStyle name="입력 6 5" xfId="9064"/>
    <cellStyle name="입력 6 6" xfId="28267"/>
    <cellStyle name="입력 6 7" xfId="24058"/>
    <cellStyle name="입력 6 8" xfId="29989"/>
    <cellStyle name="입력 7" xfId="3149"/>
    <cellStyle name="입력 7 2" xfId="24064"/>
    <cellStyle name="입력 7 2 2" xfId="24065"/>
    <cellStyle name="입력 7 2 2 2" xfId="9057"/>
    <cellStyle name="입력 7 2 3" xfId="9058"/>
    <cellStyle name="입력 7 2 4" xfId="30584"/>
    <cellStyle name="입력 7 3" xfId="24066"/>
    <cellStyle name="입력 7 3 2" xfId="9056"/>
    <cellStyle name="입력 7 4" xfId="24067"/>
    <cellStyle name="입력 7 4 2" xfId="9055"/>
    <cellStyle name="입력 7 5" xfId="9059"/>
    <cellStyle name="입력 7 6" xfId="28266"/>
    <cellStyle name="입력 7 7" xfId="24063"/>
    <cellStyle name="입력 7 8" xfId="29990"/>
    <cellStyle name="입력 8" xfId="3150"/>
    <cellStyle name="입력 8 2" xfId="24069"/>
    <cellStyle name="입력 8 2 2" xfId="24070"/>
    <cellStyle name="입력 8 2 2 2" xfId="9052"/>
    <cellStyle name="입력 8 2 3" xfId="9053"/>
    <cellStyle name="입력 8 2 4" xfId="30585"/>
    <cellStyle name="입력 8 3" xfId="24071"/>
    <cellStyle name="입력 8 3 2" xfId="9051"/>
    <cellStyle name="입력 8 4" xfId="24072"/>
    <cellStyle name="입력 8 4 2" xfId="9050"/>
    <cellStyle name="입력 8 5" xfId="9054"/>
    <cellStyle name="입력 8 6" xfId="28265"/>
    <cellStyle name="입력 8 7" xfId="24068"/>
    <cellStyle name="입력 8 8" xfId="29991"/>
    <cellStyle name="입력 9" xfId="24073"/>
    <cellStyle name="입력 9 2" xfId="24074"/>
    <cellStyle name="입력 9 2 2" xfId="9048"/>
    <cellStyle name="입력 9 2 3" xfId="30586"/>
    <cellStyle name="입력 9 3" xfId="24075"/>
    <cellStyle name="입력 9 3 2" xfId="9047"/>
    <cellStyle name="입력 9 4" xfId="9049"/>
    <cellStyle name="입력 9 5" xfId="29992"/>
    <cellStyle name="입력 9 6" xfId="30316"/>
    <cellStyle name="제목 1 10" xfId="24076"/>
    <cellStyle name="제목 1 10 2" xfId="24077"/>
    <cellStyle name="제목 1 10 2 2" xfId="9045"/>
    <cellStyle name="제목 1 10 3" xfId="24078"/>
    <cellStyle name="제목 1 10 3 2" xfId="9044"/>
    <cellStyle name="제목 1 10 4" xfId="9046"/>
    <cellStyle name="제목 1 10 5" xfId="29993"/>
    <cellStyle name="제목 1 11" xfId="24079"/>
    <cellStyle name="제목 1 11 2" xfId="24080"/>
    <cellStyle name="제목 1 11 2 2" xfId="9042"/>
    <cellStyle name="제목 1 11 3" xfId="24081"/>
    <cellStyle name="제목 1 11 3 2" xfId="9041"/>
    <cellStyle name="제목 1 11 4" xfId="9043"/>
    <cellStyle name="제목 1 11 5" xfId="29994"/>
    <cellStyle name="제목 1 12" xfId="24082"/>
    <cellStyle name="제목 1 12 2" xfId="24083"/>
    <cellStyle name="제목 1 12 2 2" xfId="9039"/>
    <cellStyle name="제목 1 12 3" xfId="24084"/>
    <cellStyle name="제목 1 12 3 2" xfId="9038"/>
    <cellStyle name="제목 1 12 4" xfId="9040"/>
    <cellStyle name="제목 1 12 5" xfId="29995"/>
    <cellStyle name="제목 1 13" xfId="24085"/>
    <cellStyle name="제목 1 13 2" xfId="24086"/>
    <cellStyle name="제목 1 13 2 2" xfId="9036"/>
    <cellStyle name="제목 1 13 3" xfId="24087"/>
    <cellStyle name="제목 1 13 3 2" xfId="9035"/>
    <cellStyle name="제목 1 13 4" xfId="9037"/>
    <cellStyle name="제목 1 13 5" xfId="29996"/>
    <cellStyle name="제목 1 14" xfId="24088"/>
    <cellStyle name="제목 1 14 2" xfId="24089"/>
    <cellStyle name="제목 1 14 2 2" xfId="9033"/>
    <cellStyle name="제목 1 14 3" xfId="24090"/>
    <cellStyle name="제목 1 14 3 2" xfId="9032"/>
    <cellStyle name="제목 1 14 4" xfId="9034"/>
    <cellStyle name="제목 1 14 5" xfId="29997"/>
    <cellStyle name="제목 1 15" xfId="24091"/>
    <cellStyle name="제목 1 15 2" xfId="24092"/>
    <cellStyle name="제목 1 15 2 2" xfId="9030"/>
    <cellStyle name="제목 1 15 3" xfId="24093"/>
    <cellStyle name="제목 1 15 3 2" xfId="9029"/>
    <cellStyle name="제목 1 15 4" xfId="9031"/>
    <cellStyle name="제목 1 15 5" xfId="29998"/>
    <cellStyle name="제목 1 16" xfId="24094"/>
    <cellStyle name="제목 1 16 2" xfId="24095"/>
    <cellStyle name="제목 1 16 2 2" xfId="9027"/>
    <cellStyle name="제목 1 16 3" xfId="24096"/>
    <cellStyle name="제목 1 16 3 2" xfId="9026"/>
    <cellStyle name="제목 1 16 4" xfId="9028"/>
    <cellStyle name="제목 1 16 5" xfId="29999"/>
    <cellStyle name="제목 1 17" xfId="24097"/>
    <cellStyle name="제목 1 17 2" xfId="24098"/>
    <cellStyle name="제목 1 17 2 2" xfId="9024"/>
    <cellStyle name="제목 1 17 3" xfId="24099"/>
    <cellStyle name="제목 1 17 3 2" xfId="9023"/>
    <cellStyle name="제목 1 17 4" xfId="9025"/>
    <cellStyle name="제목 1 17 5" xfId="30000"/>
    <cellStyle name="제목 1 18" xfId="24100"/>
    <cellStyle name="제목 1 18 2" xfId="24101"/>
    <cellStyle name="제목 1 18 2 2" xfId="9021"/>
    <cellStyle name="제목 1 18 3" xfId="24102"/>
    <cellStyle name="제목 1 18 3 2" xfId="9020"/>
    <cellStyle name="제목 1 18 4" xfId="9022"/>
    <cellStyle name="제목 1 18 5" xfId="30001"/>
    <cellStyle name="제목 1 19" xfId="24103"/>
    <cellStyle name="제목 1 19 2" xfId="24104"/>
    <cellStyle name="제목 1 19 2 2" xfId="9018"/>
    <cellStyle name="제목 1 19 3" xfId="24105"/>
    <cellStyle name="제목 1 19 3 2" xfId="9017"/>
    <cellStyle name="제목 1 19 4" xfId="9019"/>
    <cellStyle name="제목 1 19 5" xfId="30002"/>
    <cellStyle name="제목 1 2" xfId="3151"/>
    <cellStyle name="제목 1 2 2" xfId="24107"/>
    <cellStyle name="제목 1 2 2 2" xfId="9015"/>
    <cellStyle name="제목 1 2 3" xfId="24108"/>
    <cellStyle name="제목 1 2 3 2" xfId="9014"/>
    <cellStyle name="제목 1 2 4" xfId="9016"/>
    <cellStyle name="제목 1 2 5" xfId="28264"/>
    <cellStyle name="제목 1 2 6" xfId="24106"/>
    <cellStyle name="제목 1 20" xfId="24109"/>
    <cellStyle name="제목 1 20 2" xfId="24110"/>
    <cellStyle name="제목 1 20 2 2" xfId="9012"/>
    <cellStyle name="제목 1 20 3" xfId="24111"/>
    <cellStyle name="제목 1 20 3 2" xfId="9011"/>
    <cellStyle name="제목 1 20 4" xfId="9013"/>
    <cellStyle name="제목 1 20 5" xfId="30004"/>
    <cellStyle name="제목 1 21" xfId="24112"/>
    <cellStyle name="제목 1 21 2" xfId="24113"/>
    <cellStyle name="제목 1 21 2 2" xfId="9009"/>
    <cellStyle name="제목 1 21 3" xfId="24114"/>
    <cellStyle name="제목 1 21 3 2" xfId="9008"/>
    <cellStyle name="제목 1 21 4" xfId="9010"/>
    <cellStyle name="제목 1 21 5" xfId="30005"/>
    <cellStyle name="제목 1 22" xfId="24115"/>
    <cellStyle name="제목 1 22 2" xfId="24116"/>
    <cellStyle name="제목 1 22 2 2" xfId="9006"/>
    <cellStyle name="제목 1 22 3" xfId="24117"/>
    <cellStyle name="제목 1 22 3 2" xfId="9005"/>
    <cellStyle name="제목 1 22 4" xfId="9007"/>
    <cellStyle name="제목 1 22 5" xfId="30006"/>
    <cellStyle name="제목 1 23" xfId="24118"/>
    <cellStyle name="제목 1 23 2" xfId="24119"/>
    <cellStyle name="제목 1 23 2 2" xfId="9003"/>
    <cellStyle name="제목 1 23 3" xfId="24120"/>
    <cellStyle name="제목 1 23 3 2" xfId="9002"/>
    <cellStyle name="제목 1 23 4" xfId="9004"/>
    <cellStyle name="제목 1 23 5" xfId="30007"/>
    <cellStyle name="제목 1 24" xfId="24121"/>
    <cellStyle name="제목 1 24 2" xfId="24122"/>
    <cellStyle name="제목 1 24 2 2" xfId="9000"/>
    <cellStyle name="제목 1 24 3" xfId="24123"/>
    <cellStyle name="제목 1 24 3 2" xfId="8999"/>
    <cellStyle name="제목 1 24 4" xfId="9001"/>
    <cellStyle name="제목 1 24 5" xfId="30008"/>
    <cellStyle name="제목 1 25" xfId="24124"/>
    <cellStyle name="제목 1 25 2" xfId="24125"/>
    <cellStyle name="제목 1 25 2 2" xfId="8997"/>
    <cellStyle name="제목 1 25 3" xfId="24126"/>
    <cellStyle name="제목 1 25 3 2" xfId="8996"/>
    <cellStyle name="제목 1 25 4" xfId="8998"/>
    <cellStyle name="제목 1 25 5" xfId="30009"/>
    <cellStyle name="제목 1 26" xfId="24127"/>
    <cellStyle name="제목 1 26 2" xfId="24128"/>
    <cellStyle name="제목 1 26 2 2" xfId="8994"/>
    <cellStyle name="제목 1 26 3" xfId="24129"/>
    <cellStyle name="제목 1 26 3 2" xfId="8993"/>
    <cellStyle name="제목 1 26 4" xfId="8995"/>
    <cellStyle name="제목 1 26 5" xfId="30010"/>
    <cellStyle name="제목 1 27" xfId="24130"/>
    <cellStyle name="제목 1 27 2" xfId="24131"/>
    <cellStyle name="제목 1 27 2 2" xfId="8991"/>
    <cellStyle name="제목 1 27 3" xfId="24132"/>
    <cellStyle name="제목 1 27 3 2" xfId="8990"/>
    <cellStyle name="제목 1 27 4" xfId="8992"/>
    <cellStyle name="제목 1 27 5" xfId="30011"/>
    <cellStyle name="제목 1 28" xfId="24133"/>
    <cellStyle name="제목 1 28 2" xfId="24134"/>
    <cellStyle name="제목 1 28 2 2" xfId="8988"/>
    <cellStyle name="제목 1 28 3" xfId="24135"/>
    <cellStyle name="제목 1 28 3 2" xfId="8987"/>
    <cellStyle name="제목 1 28 4" xfId="8989"/>
    <cellStyle name="제목 1 28 5" xfId="30012"/>
    <cellStyle name="제목 1 29" xfId="24136"/>
    <cellStyle name="제목 1 29 2" xfId="24137"/>
    <cellStyle name="제목 1 29 2 2" xfId="8985"/>
    <cellStyle name="제목 1 29 3" xfId="24138"/>
    <cellStyle name="제목 1 29 3 2" xfId="8984"/>
    <cellStyle name="제목 1 29 4" xfId="8986"/>
    <cellStyle name="제목 1 29 5" xfId="30013"/>
    <cellStyle name="제목 1 3" xfId="3152"/>
    <cellStyle name="제목 1 3 2" xfId="24140"/>
    <cellStyle name="제목 1 3 2 2" xfId="24141"/>
    <cellStyle name="제목 1 3 2 2 2" xfId="8981"/>
    <cellStyle name="제목 1 3 2 3" xfId="24142"/>
    <cellStyle name="제목 1 3 2 3 2" xfId="8980"/>
    <cellStyle name="제목 1 3 2 4" xfId="8982"/>
    <cellStyle name="제목 1 3 2 5" xfId="30015"/>
    <cellStyle name="제목 1 3 3" xfId="24143"/>
    <cellStyle name="제목 1 3 3 2" xfId="24144"/>
    <cellStyle name="제목 1 3 3 2 2" xfId="8978"/>
    <cellStyle name="제목 1 3 3 3" xfId="24145"/>
    <cellStyle name="제목 1 3 3 3 2" xfId="8977"/>
    <cellStyle name="제목 1 3 3 4" xfId="8979"/>
    <cellStyle name="제목 1 3 3 5" xfId="30016"/>
    <cellStyle name="제목 1 3 4" xfId="24146"/>
    <cellStyle name="제목 1 3 4 2" xfId="24147"/>
    <cellStyle name="제목 1 3 4 2 2" xfId="8975"/>
    <cellStyle name="제목 1 3 4 3" xfId="24148"/>
    <cellStyle name="제목 1 3 4 3 2" xfId="8974"/>
    <cellStyle name="제목 1 3 4 4" xfId="8976"/>
    <cellStyle name="제목 1 3 4 5" xfId="30017"/>
    <cellStyle name="제목 1 3 5" xfId="24149"/>
    <cellStyle name="제목 1 3 5 2" xfId="8973"/>
    <cellStyle name="제목 1 3 6" xfId="24150"/>
    <cellStyle name="제목 1 3 6 2" xfId="8972"/>
    <cellStyle name="제목 1 3 7" xfId="8983"/>
    <cellStyle name="제목 1 3 8" xfId="28263"/>
    <cellStyle name="제목 1 3 9" xfId="24139"/>
    <cellStyle name="제목 1 30" xfId="24151"/>
    <cellStyle name="제목 1 30 2" xfId="8971"/>
    <cellStyle name="제목 1 31" xfId="28101"/>
    <cellStyle name="제목 1 4" xfId="3153"/>
    <cellStyle name="제목 1 4 2" xfId="24153"/>
    <cellStyle name="제목 1 4 2 2" xfId="8969"/>
    <cellStyle name="제목 1 4 3" xfId="24154"/>
    <cellStyle name="제목 1 4 3 2" xfId="8968"/>
    <cellStyle name="제목 1 4 4" xfId="8970"/>
    <cellStyle name="제목 1 4 5" xfId="28262"/>
    <cellStyle name="제목 1 4 6" xfId="24152"/>
    <cellStyle name="제목 1 5" xfId="3154"/>
    <cellStyle name="제목 1 5 2" xfId="24156"/>
    <cellStyle name="제목 1 5 2 2" xfId="8966"/>
    <cellStyle name="제목 1 5 3" xfId="24157"/>
    <cellStyle name="제목 1 5 3 2" xfId="8965"/>
    <cellStyle name="제목 1 5 4" xfId="8967"/>
    <cellStyle name="제목 1 5 5" xfId="28261"/>
    <cellStyle name="제목 1 5 6" xfId="24155"/>
    <cellStyle name="제목 1 6" xfId="3155"/>
    <cellStyle name="제목 1 6 2" xfId="24159"/>
    <cellStyle name="제목 1 6 2 2" xfId="8963"/>
    <cellStyle name="제목 1 6 3" xfId="24160"/>
    <cellStyle name="제목 1 6 3 2" xfId="8962"/>
    <cellStyle name="제목 1 6 4" xfId="8964"/>
    <cellStyle name="제목 1 6 5" xfId="28260"/>
    <cellStyle name="제목 1 6 6" xfId="24158"/>
    <cellStyle name="제목 1 7" xfId="3156"/>
    <cellStyle name="제목 1 7 2" xfId="24162"/>
    <cellStyle name="제목 1 7 2 2" xfId="8960"/>
    <cellStyle name="제목 1 7 3" xfId="24163"/>
    <cellStyle name="제목 1 7 3 2" xfId="8959"/>
    <cellStyle name="제목 1 7 4" xfId="8961"/>
    <cellStyle name="제목 1 7 5" xfId="28259"/>
    <cellStyle name="제목 1 7 6" xfId="24161"/>
    <cellStyle name="제목 1 8" xfId="3157"/>
    <cellStyle name="제목 1 8 2" xfId="24165"/>
    <cellStyle name="제목 1 8 2 2" xfId="8957"/>
    <cellStyle name="제목 1 8 3" xfId="24166"/>
    <cellStyle name="제목 1 8 3 2" xfId="8956"/>
    <cellStyle name="제목 1 8 4" xfId="8958"/>
    <cellStyle name="제목 1 8 5" xfId="28258"/>
    <cellStyle name="제목 1 8 6" xfId="24164"/>
    <cellStyle name="제목 1 9" xfId="24167"/>
    <cellStyle name="제목 1 9 2" xfId="24168"/>
    <cellStyle name="제목 1 9 2 2" xfId="8954"/>
    <cellStyle name="제목 1 9 3" xfId="24169"/>
    <cellStyle name="제목 1 9 3 2" xfId="8953"/>
    <cellStyle name="제목 1 9 4" xfId="8955"/>
    <cellStyle name="제목 1 9 5" xfId="30020"/>
    <cellStyle name="제목 10" xfId="3158"/>
    <cellStyle name="제목 10 2" xfId="24171"/>
    <cellStyle name="제목 10 2 2" xfId="8951"/>
    <cellStyle name="제목 10 3" xfId="24172"/>
    <cellStyle name="제목 10 3 2" xfId="8950"/>
    <cellStyle name="제목 10 4" xfId="8952"/>
    <cellStyle name="제목 10 5" xfId="28257"/>
    <cellStyle name="제목 10 6" xfId="24170"/>
    <cellStyle name="제목 11" xfId="3159"/>
    <cellStyle name="제목 11 2" xfId="24174"/>
    <cellStyle name="제목 11 2 2" xfId="8948"/>
    <cellStyle name="제목 11 3" xfId="24175"/>
    <cellStyle name="제목 11 3 2" xfId="8947"/>
    <cellStyle name="제목 11 4" xfId="8949"/>
    <cellStyle name="제목 11 5" xfId="28256"/>
    <cellStyle name="제목 11 6" xfId="24173"/>
    <cellStyle name="제목 12" xfId="24176"/>
    <cellStyle name="제목 12 2" xfId="24177"/>
    <cellStyle name="제목 12 2 2" xfId="8945"/>
    <cellStyle name="제목 12 3" xfId="24178"/>
    <cellStyle name="제목 12 3 2" xfId="8944"/>
    <cellStyle name="제목 12 4" xfId="8946"/>
    <cellStyle name="제목 12 5" xfId="30023"/>
    <cellStyle name="제목 13" xfId="24179"/>
    <cellStyle name="제목 13 2" xfId="24180"/>
    <cellStyle name="제목 13 2 2" xfId="8942"/>
    <cellStyle name="제목 13 3" xfId="24181"/>
    <cellStyle name="제목 13 3 2" xfId="8941"/>
    <cellStyle name="제목 13 4" xfId="8943"/>
    <cellStyle name="제목 13 5" xfId="30024"/>
    <cellStyle name="제목 14" xfId="24182"/>
    <cellStyle name="제목 14 2" xfId="24183"/>
    <cellStyle name="제목 14 2 2" xfId="8939"/>
    <cellStyle name="제목 14 3" xfId="24184"/>
    <cellStyle name="제목 14 3 2" xfId="8938"/>
    <cellStyle name="제목 14 4" xfId="8940"/>
    <cellStyle name="제목 14 5" xfId="30025"/>
    <cellStyle name="제목 15" xfId="24185"/>
    <cellStyle name="제목 15 2" xfId="24186"/>
    <cellStyle name="제목 15 2 2" xfId="8936"/>
    <cellStyle name="제목 15 3" xfId="24187"/>
    <cellStyle name="제목 15 3 2" xfId="8935"/>
    <cellStyle name="제목 15 4" xfId="8937"/>
    <cellStyle name="제목 15 5" xfId="30026"/>
    <cellStyle name="제목 16" xfId="24188"/>
    <cellStyle name="제목 16 2" xfId="24189"/>
    <cellStyle name="제목 16 2 2" xfId="8933"/>
    <cellStyle name="제목 16 3" xfId="24190"/>
    <cellStyle name="제목 16 3 2" xfId="8932"/>
    <cellStyle name="제목 16 4" xfId="8934"/>
    <cellStyle name="제목 16 5" xfId="30027"/>
    <cellStyle name="제목 17" xfId="24191"/>
    <cellStyle name="제목 17 2" xfId="24192"/>
    <cellStyle name="제목 17 2 2" xfId="8930"/>
    <cellStyle name="제목 17 3" xfId="24193"/>
    <cellStyle name="제목 17 3 2" xfId="8929"/>
    <cellStyle name="제목 17 4" xfId="8931"/>
    <cellStyle name="제목 17 5" xfId="30028"/>
    <cellStyle name="제목 18" xfId="24194"/>
    <cellStyle name="제목 18 2" xfId="24195"/>
    <cellStyle name="제목 18 2 2" xfId="8927"/>
    <cellStyle name="제목 18 3" xfId="24196"/>
    <cellStyle name="제목 18 3 2" xfId="8926"/>
    <cellStyle name="제목 18 4" xfId="8928"/>
    <cellStyle name="제목 18 5" xfId="30029"/>
    <cellStyle name="제목 19" xfId="24197"/>
    <cellStyle name="제목 19 2" xfId="24198"/>
    <cellStyle name="제목 19 2 2" xfId="8924"/>
    <cellStyle name="제목 19 3" xfId="24199"/>
    <cellStyle name="제목 19 3 2" xfId="8923"/>
    <cellStyle name="제목 19 4" xfId="8925"/>
    <cellStyle name="제목 19 5" xfId="30030"/>
    <cellStyle name="제목 2 10" xfId="24200"/>
    <cellStyle name="제목 2 10 2" xfId="24201"/>
    <cellStyle name="제목 2 10 2 2" xfId="8921"/>
    <cellStyle name="제목 2 10 3" xfId="24202"/>
    <cellStyle name="제목 2 10 3 2" xfId="8920"/>
    <cellStyle name="제목 2 10 4" xfId="8922"/>
    <cellStyle name="제목 2 10 5" xfId="30031"/>
    <cellStyle name="제목 2 11" xfId="24203"/>
    <cellStyle name="제목 2 11 2" xfId="24204"/>
    <cellStyle name="제목 2 11 2 2" xfId="8918"/>
    <cellStyle name="제목 2 11 3" xfId="24205"/>
    <cellStyle name="제목 2 11 3 2" xfId="8917"/>
    <cellStyle name="제목 2 11 4" xfId="8919"/>
    <cellStyle name="제목 2 11 5" xfId="30032"/>
    <cellStyle name="제목 2 12" xfId="24206"/>
    <cellStyle name="제목 2 12 2" xfId="24207"/>
    <cellStyle name="제목 2 12 2 2" xfId="8915"/>
    <cellStyle name="제목 2 12 3" xfId="24208"/>
    <cellStyle name="제목 2 12 3 2" xfId="8914"/>
    <cellStyle name="제목 2 12 4" xfId="8916"/>
    <cellStyle name="제목 2 12 5" xfId="30033"/>
    <cellStyle name="제목 2 13" xfId="24209"/>
    <cellStyle name="제목 2 13 2" xfId="24210"/>
    <cellStyle name="제목 2 13 2 2" xfId="8912"/>
    <cellStyle name="제목 2 13 3" xfId="24211"/>
    <cellStyle name="제목 2 13 3 2" xfId="8911"/>
    <cellStyle name="제목 2 13 4" xfId="8913"/>
    <cellStyle name="제목 2 13 5" xfId="30034"/>
    <cellStyle name="제목 2 14" xfId="24212"/>
    <cellStyle name="제목 2 14 2" xfId="24213"/>
    <cellStyle name="제목 2 14 2 2" xfId="8909"/>
    <cellStyle name="제목 2 14 3" xfId="24214"/>
    <cellStyle name="제목 2 14 3 2" xfId="8908"/>
    <cellStyle name="제목 2 14 4" xfId="8910"/>
    <cellStyle name="제목 2 14 5" xfId="30035"/>
    <cellStyle name="제목 2 15" xfId="24215"/>
    <cellStyle name="제목 2 15 2" xfId="24216"/>
    <cellStyle name="제목 2 15 2 2" xfId="8906"/>
    <cellStyle name="제목 2 15 3" xfId="24217"/>
    <cellStyle name="제목 2 15 3 2" xfId="8905"/>
    <cellStyle name="제목 2 15 4" xfId="8907"/>
    <cellStyle name="제목 2 15 5" xfId="30036"/>
    <cellStyle name="제목 2 16" xfId="24218"/>
    <cellStyle name="제목 2 16 2" xfId="24219"/>
    <cellStyle name="제목 2 16 2 2" xfId="8903"/>
    <cellStyle name="제목 2 16 3" xfId="24220"/>
    <cellStyle name="제목 2 16 3 2" xfId="8902"/>
    <cellStyle name="제목 2 16 4" xfId="8904"/>
    <cellStyle name="제목 2 16 5" xfId="30037"/>
    <cellStyle name="제목 2 17" xfId="24221"/>
    <cellStyle name="제목 2 17 2" xfId="24222"/>
    <cellStyle name="제목 2 17 2 2" xfId="8900"/>
    <cellStyle name="제목 2 17 3" xfId="24223"/>
    <cellStyle name="제목 2 17 3 2" xfId="8899"/>
    <cellStyle name="제목 2 17 4" xfId="8901"/>
    <cellStyle name="제목 2 17 5" xfId="30038"/>
    <cellStyle name="제목 2 18" xfId="24224"/>
    <cellStyle name="제목 2 18 2" xfId="24225"/>
    <cellStyle name="제목 2 18 2 2" xfId="8897"/>
    <cellStyle name="제목 2 18 3" xfId="24226"/>
    <cellStyle name="제목 2 18 3 2" xfId="8896"/>
    <cellStyle name="제목 2 18 4" xfId="8898"/>
    <cellStyle name="제목 2 18 5" xfId="30039"/>
    <cellStyle name="제목 2 19" xfId="24227"/>
    <cellStyle name="제목 2 19 2" xfId="24228"/>
    <cellStyle name="제목 2 19 2 2" xfId="8894"/>
    <cellStyle name="제목 2 19 3" xfId="24229"/>
    <cellStyle name="제목 2 19 3 2" xfId="8893"/>
    <cellStyle name="제목 2 19 4" xfId="8895"/>
    <cellStyle name="제목 2 19 5" xfId="30040"/>
    <cellStyle name="제목 2 2" xfId="3160"/>
    <cellStyle name="제목 2 2 2" xfId="24231"/>
    <cellStyle name="제목 2 2 2 2" xfId="8891"/>
    <cellStyle name="제목 2 2 3" xfId="24232"/>
    <cellStyle name="제목 2 2 3 2" xfId="8890"/>
    <cellStyle name="제목 2 2 4" xfId="8892"/>
    <cellStyle name="제목 2 2 5" xfId="28255"/>
    <cellStyle name="제목 2 2 6" xfId="24230"/>
    <cellStyle name="제목 2 20" xfId="24233"/>
    <cellStyle name="제목 2 20 2" xfId="24234"/>
    <cellStyle name="제목 2 20 2 2" xfId="8888"/>
    <cellStyle name="제목 2 20 3" xfId="24235"/>
    <cellStyle name="제목 2 20 3 2" xfId="8887"/>
    <cellStyle name="제목 2 20 4" xfId="8889"/>
    <cellStyle name="제목 2 20 5" xfId="30042"/>
    <cellStyle name="제목 2 21" xfId="24236"/>
    <cellStyle name="제목 2 21 2" xfId="24237"/>
    <cellStyle name="제목 2 21 2 2" xfId="8885"/>
    <cellStyle name="제목 2 21 3" xfId="24238"/>
    <cellStyle name="제목 2 21 3 2" xfId="8884"/>
    <cellStyle name="제목 2 21 4" xfId="8886"/>
    <cellStyle name="제목 2 21 5" xfId="30043"/>
    <cellStyle name="제목 2 22" xfId="24239"/>
    <cellStyle name="제목 2 22 2" xfId="24240"/>
    <cellStyle name="제목 2 22 2 2" xfId="8882"/>
    <cellStyle name="제목 2 22 3" xfId="24241"/>
    <cellStyle name="제목 2 22 3 2" xfId="8881"/>
    <cellStyle name="제목 2 22 4" xfId="8883"/>
    <cellStyle name="제목 2 22 5" xfId="30044"/>
    <cellStyle name="제목 2 23" xfId="24242"/>
    <cellStyle name="제목 2 23 2" xfId="24243"/>
    <cellStyle name="제목 2 23 2 2" xfId="8879"/>
    <cellStyle name="제목 2 23 3" xfId="24244"/>
    <cellStyle name="제목 2 23 3 2" xfId="8878"/>
    <cellStyle name="제목 2 23 4" xfId="8880"/>
    <cellStyle name="제목 2 23 5" xfId="30045"/>
    <cellStyle name="제목 2 24" xfId="24245"/>
    <cellStyle name="제목 2 24 2" xfId="24246"/>
    <cellStyle name="제목 2 24 2 2" xfId="8876"/>
    <cellStyle name="제목 2 24 3" xfId="24247"/>
    <cellStyle name="제목 2 24 3 2" xfId="8875"/>
    <cellStyle name="제목 2 24 4" xfId="8877"/>
    <cellStyle name="제목 2 24 5" xfId="30046"/>
    <cellStyle name="제목 2 25" xfId="24248"/>
    <cellStyle name="제목 2 25 2" xfId="24249"/>
    <cellStyle name="제목 2 25 2 2" xfId="8873"/>
    <cellStyle name="제목 2 25 3" xfId="24250"/>
    <cellStyle name="제목 2 25 3 2" xfId="8872"/>
    <cellStyle name="제목 2 25 4" xfId="8874"/>
    <cellStyle name="제목 2 25 5" xfId="30047"/>
    <cellStyle name="제목 2 26" xfId="24251"/>
    <cellStyle name="제목 2 26 2" xfId="24252"/>
    <cellStyle name="제목 2 26 2 2" xfId="8870"/>
    <cellStyle name="제목 2 26 3" xfId="24253"/>
    <cellStyle name="제목 2 26 3 2" xfId="8869"/>
    <cellStyle name="제목 2 26 4" xfId="8871"/>
    <cellStyle name="제목 2 26 5" xfId="30048"/>
    <cellStyle name="제목 2 27" xfId="24254"/>
    <cellStyle name="제목 2 27 2" xfId="24255"/>
    <cellStyle name="제목 2 27 2 2" xfId="8867"/>
    <cellStyle name="제목 2 27 3" xfId="24256"/>
    <cellStyle name="제목 2 27 3 2" xfId="8866"/>
    <cellStyle name="제목 2 27 4" xfId="8868"/>
    <cellStyle name="제목 2 27 5" xfId="30049"/>
    <cellStyle name="제목 2 28" xfId="24257"/>
    <cellStyle name="제목 2 28 2" xfId="24258"/>
    <cellStyle name="제목 2 28 2 2" xfId="8864"/>
    <cellStyle name="제목 2 28 3" xfId="24259"/>
    <cellStyle name="제목 2 28 3 2" xfId="8863"/>
    <cellStyle name="제목 2 28 4" xfId="8865"/>
    <cellStyle name="제목 2 28 5" xfId="30050"/>
    <cellStyle name="제목 2 29" xfId="24260"/>
    <cellStyle name="제목 2 29 2" xfId="24261"/>
    <cellStyle name="제목 2 29 2 2" xfId="8861"/>
    <cellStyle name="제목 2 29 3" xfId="24262"/>
    <cellStyle name="제목 2 29 3 2" xfId="8860"/>
    <cellStyle name="제목 2 29 4" xfId="8862"/>
    <cellStyle name="제목 2 29 5" xfId="30051"/>
    <cellStyle name="제목 2 3" xfId="3161"/>
    <cellStyle name="제목 2 3 2" xfId="24264"/>
    <cellStyle name="제목 2 3 2 2" xfId="24265"/>
    <cellStyle name="제목 2 3 2 2 2" xfId="8857"/>
    <cellStyle name="제목 2 3 2 3" xfId="24266"/>
    <cellStyle name="제목 2 3 2 3 2" xfId="8856"/>
    <cellStyle name="제목 2 3 2 4" xfId="8858"/>
    <cellStyle name="제목 2 3 2 5" xfId="30053"/>
    <cellStyle name="제목 2 3 3" xfId="24267"/>
    <cellStyle name="제목 2 3 3 2" xfId="24268"/>
    <cellStyle name="제목 2 3 3 2 2" xfId="8854"/>
    <cellStyle name="제목 2 3 3 3" xfId="24269"/>
    <cellStyle name="제목 2 3 3 3 2" xfId="8853"/>
    <cellStyle name="제목 2 3 3 4" xfId="8855"/>
    <cellStyle name="제목 2 3 3 5" xfId="30054"/>
    <cellStyle name="제목 2 3 4" xfId="24270"/>
    <cellStyle name="제목 2 3 4 2" xfId="24271"/>
    <cellStyle name="제목 2 3 4 2 2" xfId="8851"/>
    <cellStyle name="제목 2 3 4 3" xfId="24272"/>
    <cellStyle name="제목 2 3 4 3 2" xfId="8850"/>
    <cellStyle name="제목 2 3 4 4" xfId="8852"/>
    <cellStyle name="제목 2 3 4 5" xfId="30055"/>
    <cellStyle name="제목 2 3 5" xfId="24273"/>
    <cellStyle name="제목 2 3 5 2" xfId="8849"/>
    <cellStyle name="제목 2 3 6" xfId="24274"/>
    <cellStyle name="제목 2 3 6 2" xfId="8848"/>
    <cellStyle name="제목 2 3 7" xfId="8859"/>
    <cellStyle name="제목 2 3 8" xfId="28254"/>
    <cellStyle name="제목 2 3 9" xfId="24263"/>
    <cellStyle name="제목 2 30" xfId="24275"/>
    <cellStyle name="제목 2 30 2" xfId="8847"/>
    <cellStyle name="제목 2 31" xfId="28102"/>
    <cellStyle name="제목 2 4" xfId="3162"/>
    <cellStyle name="제목 2 4 2" xfId="24277"/>
    <cellStyle name="제목 2 4 2 2" xfId="8845"/>
    <cellStyle name="제목 2 4 3" xfId="24278"/>
    <cellStyle name="제목 2 4 3 2" xfId="8844"/>
    <cellStyle name="제목 2 4 4" xfId="8846"/>
    <cellStyle name="제목 2 4 5" xfId="28253"/>
    <cellStyle name="제목 2 4 6" xfId="24276"/>
    <cellStyle name="제목 2 5" xfId="3163"/>
    <cellStyle name="제목 2 5 2" xfId="24280"/>
    <cellStyle name="제목 2 5 2 2" xfId="8842"/>
    <cellStyle name="제목 2 5 3" xfId="24281"/>
    <cellStyle name="제목 2 5 3 2" xfId="8841"/>
    <cellStyle name="제목 2 5 4" xfId="8843"/>
    <cellStyle name="제목 2 5 5" xfId="28252"/>
    <cellStyle name="제목 2 5 6" xfId="24279"/>
    <cellStyle name="제목 2 6" xfId="3164"/>
    <cellStyle name="제목 2 6 2" xfId="24283"/>
    <cellStyle name="제목 2 6 2 2" xfId="8839"/>
    <cellStyle name="제목 2 6 3" xfId="24284"/>
    <cellStyle name="제목 2 6 3 2" xfId="8838"/>
    <cellStyle name="제목 2 6 4" xfId="8840"/>
    <cellStyle name="제목 2 6 5" xfId="28251"/>
    <cellStyle name="제목 2 6 6" xfId="24282"/>
    <cellStyle name="제목 2 7" xfId="3165"/>
    <cellStyle name="제목 2 7 2" xfId="24286"/>
    <cellStyle name="제목 2 7 2 2" xfId="8836"/>
    <cellStyle name="제목 2 7 3" xfId="24287"/>
    <cellStyle name="제목 2 7 3 2" xfId="8835"/>
    <cellStyle name="제목 2 7 4" xfId="8837"/>
    <cellStyle name="제목 2 7 5" xfId="28250"/>
    <cellStyle name="제목 2 7 6" xfId="24285"/>
    <cellStyle name="제목 2 8" xfId="3166"/>
    <cellStyle name="제목 2 8 2" xfId="24289"/>
    <cellStyle name="제목 2 8 2 2" xfId="8833"/>
    <cellStyle name="제목 2 8 3" xfId="24290"/>
    <cellStyle name="제목 2 8 3 2" xfId="8832"/>
    <cellStyle name="제목 2 8 4" xfId="8834"/>
    <cellStyle name="제목 2 8 5" xfId="28249"/>
    <cellStyle name="제목 2 8 6" xfId="24288"/>
    <cellStyle name="제목 2 9" xfId="24291"/>
    <cellStyle name="제목 2 9 2" xfId="24292"/>
    <cellStyle name="제목 2 9 2 2" xfId="8830"/>
    <cellStyle name="제목 2 9 3" xfId="24293"/>
    <cellStyle name="제목 2 9 3 2" xfId="8829"/>
    <cellStyle name="제목 2 9 4" xfId="8831"/>
    <cellStyle name="제목 2 9 5" xfId="30060"/>
    <cellStyle name="제목 20" xfId="24294"/>
    <cellStyle name="제목 20 2" xfId="24295"/>
    <cellStyle name="제목 20 2 2" xfId="8827"/>
    <cellStyle name="제목 20 3" xfId="24296"/>
    <cellStyle name="제목 20 3 2" xfId="8826"/>
    <cellStyle name="제목 20 4" xfId="8828"/>
    <cellStyle name="제목 20 5" xfId="30061"/>
    <cellStyle name="제목 21" xfId="24297"/>
    <cellStyle name="제목 21 2" xfId="24298"/>
    <cellStyle name="제목 21 2 2" xfId="8824"/>
    <cellStyle name="제목 21 3" xfId="24299"/>
    <cellStyle name="제목 21 3 2" xfId="8823"/>
    <cellStyle name="제목 21 4" xfId="8825"/>
    <cellStyle name="제목 21 5" xfId="30062"/>
    <cellStyle name="제목 22" xfId="24300"/>
    <cellStyle name="제목 22 2" xfId="24301"/>
    <cellStyle name="제목 22 2 2" xfId="8821"/>
    <cellStyle name="제목 22 3" xfId="24302"/>
    <cellStyle name="제목 22 3 2" xfId="8820"/>
    <cellStyle name="제목 22 4" xfId="8822"/>
    <cellStyle name="제목 22 5" xfId="30063"/>
    <cellStyle name="제목 23" xfId="24303"/>
    <cellStyle name="제목 23 2" xfId="24304"/>
    <cellStyle name="제목 23 2 2" xfId="8818"/>
    <cellStyle name="제목 23 3" xfId="24305"/>
    <cellStyle name="제목 23 3 2" xfId="8817"/>
    <cellStyle name="제목 23 4" xfId="8819"/>
    <cellStyle name="제목 23 5" xfId="30064"/>
    <cellStyle name="제목 24" xfId="24306"/>
    <cellStyle name="제목 24 2" xfId="24307"/>
    <cellStyle name="제목 24 2 2" xfId="8815"/>
    <cellStyle name="제목 24 3" xfId="24308"/>
    <cellStyle name="제목 24 3 2" xfId="8814"/>
    <cellStyle name="제목 24 4" xfId="8816"/>
    <cellStyle name="제목 24 5" xfId="30065"/>
    <cellStyle name="제목 25" xfId="24309"/>
    <cellStyle name="제목 25 2" xfId="24310"/>
    <cellStyle name="제목 25 2 2" xfId="8812"/>
    <cellStyle name="제목 25 3" xfId="24311"/>
    <cellStyle name="제목 25 3 2" xfId="8811"/>
    <cellStyle name="제목 25 4" xfId="8813"/>
    <cellStyle name="제목 25 5" xfId="30066"/>
    <cellStyle name="제목 26" xfId="24312"/>
    <cellStyle name="제목 26 2" xfId="24313"/>
    <cellStyle name="제목 26 2 2" xfId="8809"/>
    <cellStyle name="제목 26 3" xfId="24314"/>
    <cellStyle name="제목 26 3 2" xfId="8808"/>
    <cellStyle name="제목 26 4" xfId="8810"/>
    <cellStyle name="제목 26 5" xfId="30067"/>
    <cellStyle name="제목 27" xfId="24315"/>
    <cellStyle name="제목 27 2" xfId="24316"/>
    <cellStyle name="제목 27 2 2" xfId="8806"/>
    <cellStyle name="제목 27 3" xfId="24317"/>
    <cellStyle name="제목 27 3 2" xfId="8805"/>
    <cellStyle name="제목 27 4" xfId="8807"/>
    <cellStyle name="제목 27 5" xfId="30068"/>
    <cellStyle name="제목 28" xfId="24318"/>
    <cellStyle name="제목 28 2" xfId="24319"/>
    <cellStyle name="제목 28 2 2" xfId="8803"/>
    <cellStyle name="제목 28 3" xfId="24320"/>
    <cellStyle name="제목 28 3 2" xfId="8802"/>
    <cellStyle name="제목 28 4" xfId="8804"/>
    <cellStyle name="제목 28 5" xfId="30069"/>
    <cellStyle name="제목 29" xfId="24321"/>
    <cellStyle name="제목 29 2" xfId="24322"/>
    <cellStyle name="제목 29 2 2" xfId="8800"/>
    <cellStyle name="제목 29 3" xfId="24323"/>
    <cellStyle name="제목 29 3 2" xfId="8799"/>
    <cellStyle name="제목 29 4" xfId="8801"/>
    <cellStyle name="제목 29 5" xfId="30070"/>
    <cellStyle name="제목 3 10" xfId="24324"/>
    <cellStyle name="제목 3 10 2" xfId="24325"/>
    <cellStyle name="제목 3 10 2 2" xfId="8797"/>
    <cellStyle name="제목 3 10 3" xfId="24326"/>
    <cellStyle name="제목 3 10 3 2" xfId="8796"/>
    <cellStyle name="제목 3 10 4" xfId="8798"/>
    <cellStyle name="제목 3 10 5" xfId="30071"/>
    <cellStyle name="제목 3 11" xfId="24327"/>
    <cellStyle name="제목 3 11 2" xfId="24328"/>
    <cellStyle name="제목 3 11 2 2" xfId="8794"/>
    <cellStyle name="제목 3 11 3" xfId="24329"/>
    <cellStyle name="제목 3 11 3 2" xfId="8793"/>
    <cellStyle name="제목 3 11 4" xfId="8795"/>
    <cellStyle name="제목 3 11 5" xfId="30072"/>
    <cellStyle name="제목 3 12" xfId="24330"/>
    <cellStyle name="제목 3 12 2" xfId="24331"/>
    <cellStyle name="제목 3 12 2 2" xfId="8791"/>
    <cellStyle name="제목 3 12 3" xfId="24332"/>
    <cellStyle name="제목 3 12 3 2" xfId="8790"/>
    <cellStyle name="제목 3 12 4" xfId="8792"/>
    <cellStyle name="제목 3 12 5" xfId="30073"/>
    <cellStyle name="제목 3 13" xfId="24333"/>
    <cellStyle name="제목 3 13 2" xfId="24334"/>
    <cellStyle name="제목 3 13 2 2" xfId="8788"/>
    <cellStyle name="제목 3 13 3" xfId="24335"/>
    <cellStyle name="제목 3 13 3 2" xfId="8787"/>
    <cellStyle name="제목 3 13 4" xfId="8789"/>
    <cellStyle name="제목 3 13 5" xfId="30074"/>
    <cellStyle name="제목 3 14" xfId="24336"/>
    <cellStyle name="제목 3 14 2" xfId="24337"/>
    <cellStyle name="제목 3 14 2 2" xfId="8785"/>
    <cellStyle name="제목 3 14 3" xfId="24338"/>
    <cellStyle name="제목 3 14 3 2" xfId="8784"/>
    <cellStyle name="제목 3 14 4" xfId="8786"/>
    <cellStyle name="제목 3 14 5" xfId="30075"/>
    <cellStyle name="제목 3 15" xfId="24339"/>
    <cellStyle name="제목 3 15 2" xfId="24340"/>
    <cellStyle name="제목 3 15 2 2" xfId="8782"/>
    <cellStyle name="제목 3 15 3" xfId="24341"/>
    <cellStyle name="제목 3 15 3 2" xfId="8781"/>
    <cellStyle name="제목 3 15 4" xfId="8783"/>
    <cellStyle name="제목 3 15 5" xfId="30076"/>
    <cellStyle name="제목 3 16" xfId="24342"/>
    <cellStyle name="제목 3 16 2" xfId="24343"/>
    <cellStyle name="제목 3 16 2 2" xfId="8779"/>
    <cellStyle name="제목 3 16 3" xfId="24344"/>
    <cellStyle name="제목 3 16 3 2" xfId="8778"/>
    <cellStyle name="제목 3 16 4" xfId="8780"/>
    <cellStyle name="제목 3 16 5" xfId="30077"/>
    <cellStyle name="제목 3 17" xfId="24345"/>
    <cellStyle name="제목 3 17 2" xfId="24346"/>
    <cellStyle name="제목 3 17 2 2" xfId="8776"/>
    <cellStyle name="제목 3 17 3" xfId="24347"/>
    <cellStyle name="제목 3 17 3 2" xfId="8775"/>
    <cellStyle name="제목 3 17 4" xfId="8777"/>
    <cellStyle name="제목 3 17 5" xfId="30078"/>
    <cellStyle name="제목 3 18" xfId="24348"/>
    <cellStyle name="제목 3 18 2" xfId="24349"/>
    <cellStyle name="제목 3 18 2 2" xfId="8773"/>
    <cellStyle name="제목 3 18 3" xfId="24350"/>
    <cellStyle name="제목 3 18 3 2" xfId="8772"/>
    <cellStyle name="제목 3 18 4" xfId="8774"/>
    <cellStyle name="제목 3 18 5" xfId="30079"/>
    <cellStyle name="제목 3 19" xfId="24351"/>
    <cellStyle name="제목 3 19 2" xfId="24352"/>
    <cellStyle name="제목 3 19 2 2" xfId="8770"/>
    <cellStyle name="제목 3 19 3" xfId="24353"/>
    <cellStyle name="제목 3 19 3 2" xfId="8769"/>
    <cellStyle name="제목 3 19 4" xfId="8771"/>
    <cellStyle name="제목 3 19 5" xfId="30080"/>
    <cellStyle name="제목 3 2" xfId="3167"/>
    <cellStyle name="제목 3 2 2" xfId="24355"/>
    <cellStyle name="제목 3 2 2 2" xfId="8767"/>
    <cellStyle name="제목 3 2 3" xfId="24356"/>
    <cellStyle name="제목 3 2 3 2" xfId="8766"/>
    <cellStyle name="제목 3 2 4" xfId="8768"/>
    <cellStyle name="제목 3 2 5" xfId="28248"/>
    <cellStyle name="제목 3 2 6" xfId="24354"/>
    <cellStyle name="제목 3 20" xfId="24357"/>
    <cellStyle name="제목 3 20 2" xfId="24358"/>
    <cellStyle name="제목 3 20 2 2" xfId="8764"/>
    <cellStyle name="제목 3 20 3" xfId="24359"/>
    <cellStyle name="제목 3 20 3 2" xfId="8763"/>
    <cellStyle name="제목 3 20 4" xfId="8765"/>
    <cellStyle name="제목 3 20 5" xfId="30081"/>
    <cellStyle name="제목 3 21" xfId="24360"/>
    <cellStyle name="제목 3 21 2" xfId="24361"/>
    <cellStyle name="제목 3 21 2 2" xfId="8761"/>
    <cellStyle name="제목 3 21 3" xfId="24362"/>
    <cellStyle name="제목 3 21 3 2" xfId="8760"/>
    <cellStyle name="제목 3 21 4" xfId="8762"/>
    <cellStyle name="제목 3 21 5" xfId="30082"/>
    <cellStyle name="제목 3 22" xfId="24363"/>
    <cellStyle name="제목 3 22 2" xfId="24364"/>
    <cellStyle name="제목 3 22 2 2" xfId="8758"/>
    <cellStyle name="제목 3 22 3" xfId="24365"/>
    <cellStyle name="제목 3 22 3 2" xfId="8757"/>
    <cellStyle name="제목 3 22 4" xfId="8759"/>
    <cellStyle name="제목 3 22 5" xfId="30083"/>
    <cellStyle name="제목 3 23" xfId="24366"/>
    <cellStyle name="제목 3 23 2" xfId="24367"/>
    <cellStyle name="제목 3 23 2 2" xfId="8755"/>
    <cellStyle name="제목 3 23 3" xfId="24368"/>
    <cellStyle name="제목 3 23 3 2" xfId="8754"/>
    <cellStyle name="제목 3 23 4" xfId="8756"/>
    <cellStyle name="제목 3 23 5" xfId="30084"/>
    <cellStyle name="제목 3 24" xfId="24369"/>
    <cellStyle name="제목 3 24 2" xfId="24370"/>
    <cellStyle name="제목 3 24 2 2" xfId="8752"/>
    <cellStyle name="제목 3 24 3" xfId="24371"/>
    <cellStyle name="제목 3 24 3 2" xfId="8751"/>
    <cellStyle name="제목 3 24 4" xfId="8753"/>
    <cellStyle name="제목 3 24 5" xfId="30085"/>
    <cellStyle name="제목 3 25" xfId="24372"/>
    <cellStyle name="제목 3 25 2" xfId="24373"/>
    <cellStyle name="제목 3 25 2 2" xfId="8749"/>
    <cellStyle name="제목 3 25 3" xfId="24374"/>
    <cellStyle name="제목 3 25 3 2" xfId="8748"/>
    <cellStyle name="제목 3 25 4" xfId="8750"/>
    <cellStyle name="제목 3 25 5" xfId="30086"/>
    <cellStyle name="제목 3 26" xfId="24375"/>
    <cellStyle name="제목 3 26 2" xfId="24376"/>
    <cellStyle name="제목 3 26 2 2" xfId="8746"/>
    <cellStyle name="제목 3 26 3" xfId="24377"/>
    <cellStyle name="제목 3 26 3 2" xfId="8745"/>
    <cellStyle name="제목 3 26 4" xfId="8747"/>
    <cellStyle name="제목 3 26 5" xfId="30087"/>
    <cellStyle name="제목 3 27" xfId="24378"/>
    <cellStyle name="제목 3 27 2" xfId="24379"/>
    <cellStyle name="제목 3 27 2 2" xfId="8743"/>
    <cellStyle name="제목 3 27 3" xfId="24380"/>
    <cellStyle name="제목 3 27 3 2" xfId="8742"/>
    <cellStyle name="제목 3 27 4" xfId="8744"/>
    <cellStyle name="제목 3 27 5" xfId="30088"/>
    <cellStyle name="제목 3 28" xfId="24381"/>
    <cellStyle name="제목 3 28 2" xfId="24382"/>
    <cellStyle name="제목 3 28 2 2" xfId="8740"/>
    <cellStyle name="제목 3 28 3" xfId="24383"/>
    <cellStyle name="제목 3 28 3 2" xfId="8739"/>
    <cellStyle name="제목 3 28 4" xfId="8741"/>
    <cellStyle name="제목 3 28 5" xfId="30089"/>
    <cellStyle name="제목 3 29" xfId="24384"/>
    <cellStyle name="제목 3 29 2" xfId="24385"/>
    <cellStyle name="제목 3 29 2 2" xfId="8737"/>
    <cellStyle name="제목 3 29 3" xfId="24386"/>
    <cellStyle name="제목 3 29 3 2" xfId="8736"/>
    <cellStyle name="제목 3 29 4" xfId="8738"/>
    <cellStyle name="제목 3 29 5" xfId="30090"/>
    <cellStyle name="제목 3 3" xfId="3168"/>
    <cellStyle name="제목 3 3 2" xfId="24388"/>
    <cellStyle name="제목 3 3 2 2" xfId="24389"/>
    <cellStyle name="제목 3 3 2 2 2" xfId="8733"/>
    <cellStyle name="제목 3 3 2 3" xfId="24390"/>
    <cellStyle name="제목 3 3 2 3 2" xfId="8732"/>
    <cellStyle name="제목 3 3 2 4" xfId="8734"/>
    <cellStyle name="제목 3 3 2 5" xfId="30092"/>
    <cellStyle name="제목 3 3 3" xfId="24391"/>
    <cellStyle name="제목 3 3 3 2" xfId="24392"/>
    <cellStyle name="제목 3 3 3 2 2" xfId="8730"/>
    <cellStyle name="제목 3 3 3 3" xfId="24393"/>
    <cellStyle name="제목 3 3 3 3 2" xfId="8729"/>
    <cellStyle name="제목 3 3 3 4" xfId="8731"/>
    <cellStyle name="제목 3 3 3 5" xfId="30093"/>
    <cellStyle name="제목 3 3 4" xfId="24394"/>
    <cellStyle name="제목 3 3 4 2" xfId="24395"/>
    <cellStyle name="제목 3 3 4 2 2" xfId="8727"/>
    <cellStyle name="제목 3 3 4 3" xfId="24396"/>
    <cellStyle name="제목 3 3 4 3 2" xfId="8726"/>
    <cellStyle name="제목 3 3 4 4" xfId="8728"/>
    <cellStyle name="제목 3 3 4 5" xfId="30094"/>
    <cellStyle name="제목 3 3 5" xfId="24397"/>
    <cellStyle name="제목 3 3 5 2" xfId="8725"/>
    <cellStyle name="제목 3 3 6" xfId="24398"/>
    <cellStyle name="제목 3 3 6 2" xfId="8724"/>
    <cellStyle name="제목 3 3 7" xfId="8735"/>
    <cellStyle name="제목 3 3 8" xfId="28247"/>
    <cellStyle name="제목 3 3 9" xfId="24387"/>
    <cellStyle name="제목 3 30" xfId="24399"/>
    <cellStyle name="제목 3 30 2" xfId="8723"/>
    <cellStyle name="제목 3 31" xfId="28103"/>
    <cellStyle name="제목 3 4" xfId="3169"/>
    <cellStyle name="제목 3 4 2" xfId="24401"/>
    <cellStyle name="제목 3 4 2 2" xfId="8721"/>
    <cellStyle name="제목 3 4 3" xfId="24402"/>
    <cellStyle name="제목 3 4 3 2" xfId="8720"/>
    <cellStyle name="제목 3 4 4" xfId="8722"/>
    <cellStyle name="제목 3 4 5" xfId="28246"/>
    <cellStyle name="제목 3 4 6" xfId="24400"/>
    <cellStyle name="제목 3 5" xfId="3170"/>
    <cellStyle name="제목 3 5 2" xfId="24404"/>
    <cellStyle name="제목 3 5 2 2" xfId="8718"/>
    <cellStyle name="제목 3 5 3" xfId="24405"/>
    <cellStyle name="제목 3 5 3 2" xfId="8717"/>
    <cellStyle name="제목 3 5 4" xfId="8719"/>
    <cellStyle name="제목 3 5 5" xfId="28245"/>
    <cellStyle name="제목 3 5 6" xfId="24403"/>
    <cellStyle name="제목 3 6" xfId="3171"/>
    <cellStyle name="제목 3 6 2" xfId="24407"/>
    <cellStyle name="제목 3 6 2 2" xfId="8715"/>
    <cellStyle name="제목 3 6 3" xfId="24408"/>
    <cellStyle name="제목 3 6 3 2" xfId="8714"/>
    <cellStyle name="제목 3 6 4" xfId="8716"/>
    <cellStyle name="제목 3 6 5" xfId="28244"/>
    <cellStyle name="제목 3 6 6" xfId="24406"/>
    <cellStyle name="제목 3 7" xfId="3172"/>
    <cellStyle name="제목 3 7 2" xfId="24410"/>
    <cellStyle name="제목 3 7 2 2" xfId="8712"/>
    <cellStyle name="제목 3 7 3" xfId="24411"/>
    <cellStyle name="제목 3 7 3 2" xfId="8711"/>
    <cellStyle name="제목 3 7 4" xfId="8713"/>
    <cellStyle name="제목 3 7 5" xfId="28243"/>
    <cellStyle name="제목 3 7 6" xfId="24409"/>
    <cellStyle name="제목 3 8" xfId="3173"/>
    <cellStyle name="제목 3 8 2" xfId="24413"/>
    <cellStyle name="제목 3 8 2 2" xfId="8709"/>
    <cellStyle name="제목 3 8 3" xfId="24414"/>
    <cellStyle name="제목 3 8 3 2" xfId="8708"/>
    <cellStyle name="제목 3 8 4" xfId="8710"/>
    <cellStyle name="제목 3 8 5" xfId="28242"/>
    <cellStyle name="제목 3 8 6" xfId="24412"/>
    <cellStyle name="제목 3 9" xfId="24415"/>
    <cellStyle name="제목 3 9 2" xfId="24416"/>
    <cellStyle name="제목 3 9 2 2" xfId="8706"/>
    <cellStyle name="제목 3 9 3" xfId="24417"/>
    <cellStyle name="제목 3 9 3 2" xfId="8705"/>
    <cellStyle name="제목 3 9 4" xfId="8707"/>
    <cellStyle name="제목 3 9 5" xfId="30095"/>
    <cellStyle name="제목 30" xfId="24418"/>
    <cellStyle name="제목 30 2" xfId="24419"/>
    <cellStyle name="제목 30 2 2" xfId="8703"/>
    <cellStyle name="제목 30 3" xfId="24420"/>
    <cellStyle name="제목 30 3 2" xfId="8702"/>
    <cellStyle name="제목 30 4" xfId="8704"/>
    <cellStyle name="제목 30 5" xfId="30096"/>
    <cellStyle name="제목 31" xfId="24421"/>
    <cellStyle name="제목 31 2" xfId="24422"/>
    <cellStyle name="제목 31 2 2" xfId="8700"/>
    <cellStyle name="제목 31 3" xfId="24423"/>
    <cellStyle name="제목 31 3 2" xfId="8699"/>
    <cellStyle name="제목 31 4" xfId="8701"/>
    <cellStyle name="제목 31 5" xfId="30097"/>
    <cellStyle name="제목 32" xfId="24424"/>
    <cellStyle name="제목 32 2" xfId="24425"/>
    <cellStyle name="제목 32 2 2" xfId="8697"/>
    <cellStyle name="제목 32 3" xfId="24426"/>
    <cellStyle name="제목 32 3 2" xfId="8696"/>
    <cellStyle name="제목 32 4" xfId="8698"/>
    <cellStyle name="제목 32 5" xfId="30098"/>
    <cellStyle name="제목 33" xfId="24427"/>
    <cellStyle name="제목 33 2" xfId="8695"/>
    <cellStyle name="제목 34" xfId="28100"/>
    <cellStyle name="제목 4 10" xfId="24428"/>
    <cellStyle name="제목 4 10 2" xfId="24429"/>
    <cellStyle name="제목 4 10 2 2" xfId="8693"/>
    <cellStyle name="제목 4 10 3" xfId="24430"/>
    <cellStyle name="제목 4 10 3 2" xfId="8692"/>
    <cellStyle name="제목 4 10 4" xfId="8694"/>
    <cellStyle name="제목 4 10 5" xfId="30099"/>
    <cellStyle name="제목 4 11" xfId="24431"/>
    <cellStyle name="제목 4 11 2" xfId="24432"/>
    <cellStyle name="제목 4 11 2 2" xfId="8690"/>
    <cellStyle name="제목 4 11 3" xfId="24433"/>
    <cellStyle name="제목 4 11 3 2" xfId="8689"/>
    <cellStyle name="제목 4 11 4" xfId="8691"/>
    <cellStyle name="제목 4 11 5" xfId="30100"/>
    <cellStyle name="제목 4 12" xfId="24434"/>
    <cellStyle name="제목 4 12 2" xfId="24435"/>
    <cellStyle name="제목 4 12 2 2" xfId="8687"/>
    <cellStyle name="제목 4 12 3" xfId="24436"/>
    <cellStyle name="제목 4 12 3 2" xfId="8686"/>
    <cellStyle name="제목 4 12 4" xfId="8688"/>
    <cellStyle name="제목 4 12 5" xfId="30101"/>
    <cellStyle name="제목 4 13" xfId="24437"/>
    <cellStyle name="제목 4 13 2" xfId="24438"/>
    <cellStyle name="제목 4 13 2 2" xfId="8684"/>
    <cellStyle name="제목 4 13 3" xfId="24439"/>
    <cellStyle name="제목 4 13 3 2" xfId="8683"/>
    <cellStyle name="제목 4 13 4" xfId="8685"/>
    <cellStyle name="제목 4 13 5" xfId="30102"/>
    <cellStyle name="제목 4 14" xfId="24440"/>
    <cellStyle name="제목 4 14 2" xfId="24441"/>
    <cellStyle name="제목 4 14 2 2" xfId="8681"/>
    <cellStyle name="제목 4 14 3" xfId="24442"/>
    <cellStyle name="제목 4 14 3 2" xfId="8680"/>
    <cellStyle name="제목 4 14 4" xfId="8682"/>
    <cellStyle name="제목 4 14 5" xfId="30103"/>
    <cellStyle name="제목 4 15" xfId="24443"/>
    <cellStyle name="제목 4 15 2" xfId="24444"/>
    <cellStyle name="제목 4 15 2 2" xfId="8678"/>
    <cellStyle name="제목 4 15 3" xfId="24445"/>
    <cellStyle name="제목 4 15 3 2" xfId="8677"/>
    <cellStyle name="제목 4 15 4" xfId="8679"/>
    <cellStyle name="제목 4 15 5" xfId="30104"/>
    <cellStyle name="제목 4 16" xfId="24446"/>
    <cellStyle name="제목 4 16 2" xfId="24447"/>
    <cellStyle name="제목 4 16 2 2" xfId="8675"/>
    <cellStyle name="제목 4 16 3" xfId="24448"/>
    <cellStyle name="제목 4 16 3 2" xfId="8674"/>
    <cellStyle name="제목 4 16 4" xfId="8676"/>
    <cellStyle name="제목 4 16 5" xfId="30105"/>
    <cellStyle name="제목 4 17" xfId="24449"/>
    <cellStyle name="제목 4 17 2" xfId="24450"/>
    <cellStyle name="제목 4 17 2 2" xfId="8672"/>
    <cellStyle name="제목 4 17 3" xfId="24451"/>
    <cellStyle name="제목 4 17 3 2" xfId="8671"/>
    <cellStyle name="제목 4 17 4" xfId="8673"/>
    <cellStyle name="제목 4 17 5" xfId="30106"/>
    <cellStyle name="제목 4 18" xfId="24452"/>
    <cellStyle name="제목 4 18 2" xfId="24453"/>
    <cellStyle name="제목 4 18 2 2" xfId="8669"/>
    <cellStyle name="제목 4 18 3" xfId="24454"/>
    <cellStyle name="제목 4 18 3 2" xfId="8668"/>
    <cellStyle name="제목 4 18 4" xfId="8670"/>
    <cellStyle name="제목 4 18 5" xfId="30107"/>
    <cellStyle name="제목 4 19" xfId="24455"/>
    <cellStyle name="제목 4 19 2" xfId="24456"/>
    <cellStyle name="제목 4 19 2 2" xfId="8666"/>
    <cellStyle name="제목 4 19 3" xfId="24457"/>
    <cellStyle name="제목 4 19 3 2" xfId="8665"/>
    <cellStyle name="제목 4 19 4" xfId="8667"/>
    <cellStyle name="제목 4 19 5" xfId="30108"/>
    <cellStyle name="제목 4 2" xfId="3174"/>
    <cellStyle name="제목 4 2 2" xfId="24459"/>
    <cellStyle name="제목 4 2 2 2" xfId="8663"/>
    <cellStyle name="제목 4 2 3" xfId="24460"/>
    <cellStyle name="제목 4 2 3 2" xfId="8662"/>
    <cellStyle name="제목 4 2 4" xfId="8664"/>
    <cellStyle name="제목 4 2 5" xfId="28241"/>
    <cellStyle name="제목 4 2 6" xfId="24458"/>
    <cellStyle name="제목 4 20" xfId="24461"/>
    <cellStyle name="제목 4 20 2" xfId="24462"/>
    <cellStyle name="제목 4 20 2 2" xfId="8660"/>
    <cellStyle name="제목 4 20 3" xfId="24463"/>
    <cellStyle name="제목 4 20 3 2" xfId="8659"/>
    <cellStyle name="제목 4 20 4" xfId="8661"/>
    <cellStyle name="제목 4 20 5" xfId="30109"/>
    <cellStyle name="제목 4 21" xfId="24464"/>
    <cellStyle name="제목 4 21 2" xfId="24465"/>
    <cellStyle name="제목 4 21 2 2" xfId="8657"/>
    <cellStyle name="제목 4 21 3" xfId="24466"/>
    <cellStyle name="제목 4 21 3 2" xfId="8656"/>
    <cellStyle name="제목 4 21 4" xfId="8658"/>
    <cellStyle name="제목 4 21 5" xfId="30110"/>
    <cellStyle name="제목 4 22" xfId="24467"/>
    <cellStyle name="제목 4 22 2" xfId="24468"/>
    <cellStyle name="제목 4 22 2 2" xfId="8654"/>
    <cellStyle name="제목 4 22 3" xfId="24469"/>
    <cellStyle name="제목 4 22 3 2" xfId="8653"/>
    <cellStyle name="제목 4 22 4" xfId="8655"/>
    <cellStyle name="제목 4 22 5" xfId="30111"/>
    <cellStyle name="제목 4 23" xfId="24470"/>
    <cellStyle name="제목 4 23 2" xfId="24471"/>
    <cellStyle name="제목 4 23 2 2" xfId="8651"/>
    <cellStyle name="제목 4 23 3" xfId="24472"/>
    <cellStyle name="제목 4 23 3 2" xfId="8650"/>
    <cellStyle name="제목 4 23 4" xfId="8652"/>
    <cellStyle name="제목 4 23 5" xfId="30112"/>
    <cellStyle name="제목 4 24" xfId="24473"/>
    <cellStyle name="제목 4 24 2" xfId="24474"/>
    <cellStyle name="제목 4 24 2 2" xfId="8648"/>
    <cellStyle name="제목 4 24 3" xfId="24475"/>
    <cellStyle name="제목 4 24 3 2" xfId="8647"/>
    <cellStyle name="제목 4 24 4" xfId="8649"/>
    <cellStyle name="제목 4 24 5" xfId="30113"/>
    <cellStyle name="제목 4 25" xfId="24476"/>
    <cellStyle name="제목 4 25 2" xfId="24477"/>
    <cellStyle name="제목 4 25 2 2" xfId="8645"/>
    <cellStyle name="제목 4 25 3" xfId="24478"/>
    <cellStyle name="제목 4 25 3 2" xfId="8644"/>
    <cellStyle name="제목 4 25 4" xfId="8646"/>
    <cellStyle name="제목 4 25 5" xfId="30114"/>
    <cellStyle name="제목 4 26" xfId="24479"/>
    <cellStyle name="제목 4 26 2" xfId="24480"/>
    <cellStyle name="제목 4 26 2 2" xfId="8642"/>
    <cellStyle name="제목 4 26 3" xfId="24481"/>
    <cellStyle name="제목 4 26 3 2" xfId="8641"/>
    <cellStyle name="제목 4 26 4" xfId="8643"/>
    <cellStyle name="제목 4 26 5" xfId="30115"/>
    <cellStyle name="제목 4 27" xfId="24482"/>
    <cellStyle name="제목 4 27 2" xfId="24483"/>
    <cellStyle name="제목 4 27 2 2" xfId="8639"/>
    <cellStyle name="제목 4 27 3" xfId="24484"/>
    <cellStyle name="제목 4 27 3 2" xfId="8638"/>
    <cellStyle name="제목 4 27 4" xfId="8640"/>
    <cellStyle name="제목 4 27 5" xfId="30116"/>
    <cellStyle name="제목 4 28" xfId="24485"/>
    <cellStyle name="제목 4 28 2" xfId="24486"/>
    <cellStyle name="제목 4 28 2 2" xfId="8636"/>
    <cellStyle name="제목 4 28 3" xfId="24487"/>
    <cellStyle name="제목 4 28 3 2" xfId="8635"/>
    <cellStyle name="제목 4 28 4" xfId="8637"/>
    <cellStyle name="제목 4 28 5" xfId="30117"/>
    <cellStyle name="제목 4 29" xfId="24488"/>
    <cellStyle name="제목 4 29 2" xfId="24489"/>
    <cellStyle name="제목 4 29 2 2" xfId="8633"/>
    <cellStyle name="제목 4 29 3" xfId="24490"/>
    <cellStyle name="제목 4 29 3 2" xfId="8632"/>
    <cellStyle name="제목 4 29 4" xfId="8634"/>
    <cellStyle name="제목 4 29 5" xfId="30118"/>
    <cellStyle name="제목 4 3" xfId="3175"/>
    <cellStyle name="제목 4 3 2" xfId="24492"/>
    <cellStyle name="제목 4 3 2 2" xfId="24493"/>
    <cellStyle name="제목 4 3 2 2 2" xfId="8629"/>
    <cellStyle name="제목 4 3 2 3" xfId="24494"/>
    <cellStyle name="제목 4 3 2 3 2" xfId="8628"/>
    <cellStyle name="제목 4 3 2 4" xfId="8630"/>
    <cellStyle name="제목 4 3 2 5" xfId="30119"/>
    <cellStyle name="제목 4 3 3" xfId="24495"/>
    <cellStyle name="제목 4 3 3 2" xfId="24496"/>
    <cellStyle name="제목 4 3 3 2 2" xfId="8626"/>
    <cellStyle name="제목 4 3 3 3" xfId="24497"/>
    <cellStyle name="제목 4 3 3 3 2" xfId="8625"/>
    <cellStyle name="제목 4 3 3 4" xfId="8627"/>
    <cellStyle name="제목 4 3 3 5" xfId="30120"/>
    <cellStyle name="제목 4 3 4" xfId="24498"/>
    <cellStyle name="제목 4 3 4 2" xfId="24499"/>
    <cellStyle name="제목 4 3 4 2 2" xfId="8623"/>
    <cellStyle name="제목 4 3 4 3" xfId="24500"/>
    <cellStyle name="제목 4 3 4 3 2" xfId="8622"/>
    <cellStyle name="제목 4 3 4 4" xfId="8624"/>
    <cellStyle name="제목 4 3 4 5" xfId="30121"/>
    <cellStyle name="제목 4 3 5" xfId="24501"/>
    <cellStyle name="제목 4 3 5 2" xfId="8621"/>
    <cellStyle name="제목 4 3 6" xfId="24502"/>
    <cellStyle name="제목 4 3 6 2" xfId="8620"/>
    <cellStyle name="제목 4 3 7" xfId="8631"/>
    <cellStyle name="제목 4 3 8" xfId="28240"/>
    <cellStyle name="제목 4 3 9" xfId="24491"/>
    <cellStyle name="제목 4 30" xfId="24503"/>
    <cellStyle name="제목 4 30 2" xfId="8619"/>
    <cellStyle name="제목 4 31" xfId="28104"/>
    <cellStyle name="제목 4 4" xfId="3176"/>
    <cellStyle name="제목 4 4 2" xfId="24505"/>
    <cellStyle name="제목 4 4 2 2" xfId="8617"/>
    <cellStyle name="제목 4 4 3" xfId="24506"/>
    <cellStyle name="제목 4 4 3 2" xfId="8616"/>
    <cellStyle name="제목 4 4 4" xfId="8618"/>
    <cellStyle name="제목 4 4 5" xfId="28239"/>
    <cellStyle name="제목 4 4 6" xfId="24504"/>
    <cellStyle name="제목 4 5" xfId="3177"/>
    <cellStyle name="제목 4 5 2" xfId="24508"/>
    <cellStyle name="제목 4 5 2 2" xfId="8614"/>
    <cellStyle name="제목 4 5 3" xfId="24509"/>
    <cellStyle name="제목 4 5 3 2" xfId="8613"/>
    <cellStyle name="제목 4 5 4" xfId="8615"/>
    <cellStyle name="제목 4 5 5" xfId="28238"/>
    <cellStyle name="제목 4 5 6" xfId="24507"/>
    <cellStyle name="제목 4 6" xfId="3178"/>
    <cellStyle name="제목 4 6 2" xfId="24511"/>
    <cellStyle name="제목 4 6 2 2" xfId="8611"/>
    <cellStyle name="제목 4 6 3" xfId="24512"/>
    <cellStyle name="제목 4 6 3 2" xfId="8610"/>
    <cellStyle name="제목 4 6 4" xfId="8612"/>
    <cellStyle name="제목 4 6 5" xfId="28237"/>
    <cellStyle name="제목 4 6 6" xfId="24510"/>
    <cellStyle name="제목 4 7" xfId="3179"/>
    <cellStyle name="제목 4 7 2" xfId="24514"/>
    <cellStyle name="제목 4 7 2 2" xfId="8608"/>
    <cellStyle name="제목 4 7 3" xfId="24515"/>
    <cellStyle name="제목 4 7 3 2" xfId="8607"/>
    <cellStyle name="제목 4 7 4" xfId="8609"/>
    <cellStyle name="제목 4 7 5" xfId="28236"/>
    <cellStyle name="제목 4 7 6" xfId="24513"/>
    <cellStyle name="제목 4 8" xfId="3180"/>
    <cellStyle name="제목 4 8 2" xfId="24517"/>
    <cellStyle name="제목 4 8 2 2" xfId="8605"/>
    <cellStyle name="제목 4 8 3" xfId="24518"/>
    <cellStyle name="제목 4 8 3 2" xfId="8604"/>
    <cellStyle name="제목 4 8 4" xfId="8606"/>
    <cellStyle name="제목 4 8 5" xfId="28235"/>
    <cellStyle name="제목 4 8 6" xfId="24516"/>
    <cellStyle name="제목 4 9" xfId="24519"/>
    <cellStyle name="제목 4 9 2" xfId="24520"/>
    <cellStyle name="제목 4 9 2 2" xfId="8602"/>
    <cellStyle name="제목 4 9 3" xfId="24521"/>
    <cellStyle name="제목 4 9 3 2" xfId="8601"/>
    <cellStyle name="제목 4 9 4" xfId="8603"/>
    <cellStyle name="제목 4 9 5" xfId="30123"/>
    <cellStyle name="제목 5" xfId="3181"/>
    <cellStyle name="제목 5 2" xfId="24523"/>
    <cellStyle name="제목 5 2 2" xfId="8599"/>
    <cellStyle name="제목 5 3" xfId="24524"/>
    <cellStyle name="제목 5 3 2" xfId="8598"/>
    <cellStyle name="제목 5 4" xfId="8600"/>
    <cellStyle name="제목 5 5" xfId="28234"/>
    <cellStyle name="제목 5 6" xfId="24522"/>
    <cellStyle name="제목 6" xfId="3182"/>
    <cellStyle name="제목 6 2" xfId="24526"/>
    <cellStyle name="제목 6 2 2" xfId="24527"/>
    <cellStyle name="제목 6 2 2 2" xfId="8595"/>
    <cellStyle name="제목 6 2 3" xfId="24528"/>
    <cellStyle name="제목 6 2 3 2" xfId="8594"/>
    <cellStyle name="제목 6 2 4" xfId="8596"/>
    <cellStyle name="제목 6 2 5" xfId="30126"/>
    <cellStyle name="제목 6 3" xfId="24529"/>
    <cellStyle name="제목 6 3 2" xfId="24530"/>
    <cellStyle name="제목 6 3 2 2" xfId="8592"/>
    <cellStyle name="제목 6 3 3" xfId="24531"/>
    <cellStyle name="제목 6 3 3 2" xfId="8591"/>
    <cellStyle name="제목 6 3 4" xfId="8593"/>
    <cellStyle name="제목 6 3 5" xfId="30127"/>
    <cellStyle name="제목 6 4" xfId="24532"/>
    <cellStyle name="제목 6 4 2" xfId="24533"/>
    <cellStyle name="제목 6 4 2 2" xfId="8589"/>
    <cellStyle name="제목 6 4 3" xfId="24534"/>
    <cellStyle name="제목 6 4 3 2" xfId="8588"/>
    <cellStyle name="제목 6 4 4" xfId="8590"/>
    <cellStyle name="제목 6 4 5" xfId="30128"/>
    <cellStyle name="제목 6 5" xfId="24535"/>
    <cellStyle name="제목 6 5 2" xfId="8587"/>
    <cellStyle name="제목 6 6" xfId="24536"/>
    <cellStyle name="제목 6 6 2" xfId="8586"/>
    <cellStyle name="제목 6 7" xfId="8597"/>
    <cellStyle name="제목 6 8" xfId="28233"/>
    <cellStyle name="제목 6 9" xfId="24525"/>
    <cellStyle name="제목 7" xfId="3183"/>
    <cellStyle name="제목 7 2" xfId="24538"/>
    <cellStyle name="제목 7 2 2" xfId="8584"/>
    <cellStyle name="제목 7 3" xfId="24539"/>
    <cellStyle name="제목 7 3 2" xfId="8583"/>
    <cellStyle name="제목 7 4" xfId="8585"/>
    <cellStyle name="제목 7 5" xfId="28232"/>
    <cellStyle name="제목 7 6" xfId="24537"/>
    <cellStyle name="제목 8" xfId="3184"/>
    <cellStyle name="제목 8 2" xfId="24541"/>
    <cellStyle name="제목 8 2 2" xfId="8581"/>
    <cellStyle name="제목 8 3" xfId="24542"/>
    <cellStyle name="제목 8 3 2" xfId="8580"/>
    <cellStyle name="제목 8 4" xfId="8582"/>
    <cellStyle name="제목 8 5" xfId="28231"/>
    <cellStyle name="제목 8 6" xfId="24540"/>
    <cellStyle name="제목 9" xfId="3185"/>
    <cellStyle name="제목 9 2" xfId="24544"/>
    <cellStyle name="제목 9 2 2" xfId="8578"/>
    <cellStyle name="제목 9 3" xfId="24545"/>
    <cellStyle name="제목 9 3 2" xfId="8577"/>
    <cellStyle name="제목 9 4" xfId="8579"/>
    <cellStyle name="제목 9 5" xfId="28230"/>
    <cellStyle name="제목 9 6" xfId="24543"/>
    <cellStyle name="좋음 10" xfId="24546"/>
    <cellStyle name="좋음 10 2" xfId="24547"/>
    <cellStyle name="좋음 10 2 2" xfId="8575"/>
    <cellStyle name="좋음 10 3" xfId="24548"/>
    <cellStyle name="좋음 10 3 2" xfId="8574"/>
    <cellStyle name="좋음 10 4" xfId="8576"/>
    <cellStyle name="좋음 10 5" xfId="30132"/>
    <cellStyle name="좋음 10 6" xfId="29715"/>
    <cellStyle name="좋음 11" xfId="24549"/>
    <cellStyle name="좋음 11 2" xfId="24550"/>
    <cellStyle name="좋음 11 2 2" xfId="8572"/>
    <cellStyle name="좋음 11 3" xfId="24551"/>
    <cellStyle name="좋음 11 3 2" xfId="8571"/>
    <cellStyle name="좋음 11 4" xfId="8573"/>
    <cellStyle name="좋음 11 5" xfId="30133"/>
    <cellStyle name="좋음 11 6" xfId="29780"/>
    <cellStyle name="좋음 12" xfId="24552"/>
    <cellStyle name="좋음 12 2" xfId="24553"/>
    <cellStyle name="좋음 12 2 2" xfId="8569"/>
    <cellStyle name="좋음 12 3" xfId="24554"/>
    <cellStyle name="좋음 12 3 2" xfId="8568"/>
    <cellStyle name="좋음 12 4" xfId="8570"/>
    <cellStyle name="좋음 12 5" xfId="30134"/>
    <cellStyle name="좋음 12 6" xfId="29481"/>
    <cellStyle name="좋음 13" xfId="24555"/>
    <cellStyle name="좋음 13 2" xfId="24556"/>
    <cellStyle name="좋음 13 2 2" xfId="8566"/>
    <cellStyle name="좋음 13 3" xfId="24557"/>
    <cellStyle name="좋음 13 3 2" xfId="8565"/>
    <cellStyle name="좋음 13 4" xfId="8567"/>
    <cellStyle name="좋음 13 5" xfId="30135"/>
    <cellStyle name="좋음 13 6" xfId="29835"/>
    <cellStyle name="좋음 14" xfId="24558"/>
    <cellStyle name="좋음 14 2" xfId="24559"/>
    <cellStyle name="좋음 14 2 2" xfId="8563"/>
    <cellStyle name="좋음 14 3" xfId="24560"/>
    <cellStyle name="좋음 14 3 2" xfId="8562"/>
    <cellStyle name="좋음 14 4" xfId="8564"/>
    <cellStyle name="좋음 14 5" xfId="30136"/>
    <cellStyle name="좋음 15" xfId="24561"/>
    <cellStyle name="좋음 15 2" xfId="24562"/>
    <cellStyle name="좋음 15 2 2" xfId="8560"/>
    <cellStyle name="좋음 15 3" xfId="24563"/>
    <cellStyle name="좋음 15 3 2" xfId="8559"/>
    <cellStyle name="좋음 15 4" xfId="8561"/>
    <cellStyle name="좋음 15 5" xfId="30137"/>
    <cellStyle name="좋음 16" xfId="24564"/>
    <cellStyle name="좋음 16 2" xfId="24565"/>
    <cellStyle name="좋음 16 2 2" xfId="8557"/>
    <cellStyle name="좋음 16 3" xfId="24566"/>
    <cellStyle name="좋음 16 3 2" xfId="8556"/>
    <cellStyle name="좋음 16 4" xfId="8558"/>
    <cellStyle name="좋음 16 5" xfId="30138"/>
    <cellStyle name="좋음 17" xfId="24567"/>
    <cellStyle name="좋음 17 2" xfId="24568"/>
    <cellStyle name="좋음 17 2 2" xfId="8554"/>
    <cellStyle name="좋음 17 3" xfId="24569"/>
    <cellStyle name="좋음 17 3 2" xfId="8553"/>
    <cellStyle name="좋음 17 4" xfId="8555"/>
    <cellStyle name="좋음 17 5" xfId="30139"/>
    <cellStyle name="좋음 18" xfId="24570"/>
    <cellStyle name="좋음 18 2" xfId="24571"/>
    <cellStyle name="좋음 18 2 2" xfId="8551"/>
    <cellStyle name="좋음 18 3" xfId="24572"/>
    <cellStyle name="좋음 18 3 2" xfId="8550"/>
    <cellStyle name="좋음 18 4" xfId="8552"/>
    <cellStyle name="좋음 18 5" xfId="30140"/>
    <cellStyle name="좋음 19" xfId="24573"/>
    <cellStyle name="좋음 19 2" xfId="24574"/>
    <cellStyle name="좋음 19 2 2" xfId="8548"/>
    <cellStyle name="좋음 19 3" xfId="24575"/>
    <cellStyle name="좋음 19 3 2" xfId="8547"/>
    <cellStyle name="좋음 19 4" xfId="8549"/>
    <cellStyle name="좋음 19 5" xfId="30141"/>
    <cellStyle name="좋음 2" xfId="3186"/>
    <cellStyle name="좋음 2 2" xfId="24577"/>
    <cellStyle name="좋음 2 2 2" xfId="24578"/>
    <cellStyle name="좋음 2 2 2 2" xfId="8544"/>
    <cellStyle name="좋음 2 2 3" xfId="24579"/>
    <cellStyle name="좋음 2 2 3 2" xfId="8543"/>
    <cellStyle name="좋음 2 2 4" xfId="8545"/>
    <cellStyle name="좋음 2 2 5" xfId="30142"/>
    <cellStyle name="좋음 2 3" xfId="24580"/>
    <cellStyle name="좋음 2 3 2" xfId="24581"/>
    <cellStyle name="좋음 2 3 2 2" xfId="8541"/>
    <cellStyle name="좋음 2 3 3" xfId="24582"/>
    <cellStyle name="좋음 2 3 3 2" xfId="8540"/>
    <cellStyle name="좋음 2 3 4" xfId="8542"/>
    <cellStyle name="좋음 2 3 5" xfId="30143"/>
    <cellStyle name="좋음 2 4" xfId="24583"/>
    <cellStyle name="좋음 2 4 2" xfId="24584"/>
    <cellStyle name="좋음 2 4 2 2" xfId="8538"/>
    <cellStyle name="좋음 2 4 3" xfId="24585"/>
    <cellStyle name="좋음 2 4 3 2" xfId="8537"/>
    <cellStyle name="좋음 2 4 4" xfId="8539"/>
    <cellStyle name="좋음 2 4 5" xfId="30144"/>
    <cellStyle name="좋음 2 5" xfId="24586"/>
    <cellStyle name="좋음 2 5 2" xfId="8536"/>
    <cellStyle name="좋음 2 6" xfId="24587"/>
    <cellStyle name="좋음 2 6 2" xfId="8535"/>
    <cellStyle name="좋음 2 7" xfId="8546"/>
    <cellStyle name="좋음 2 8" xfId="28229"/>
    <cellStyle name="좋음 2 9" xfId="24576"/>
    <cellStyle name="좋음 20" xfId="24588"/>
    <cellStyle name="좋음 20 2" xfId="24589"/>
    <cellStyle name="좋음 20 2 2" xfId="8533"/>
    <cellStyle name="좋음 20 3" xfId="24590"/>
    <cellStyle name="좋음 20 3 2" xfId="8532"/>
    <cellStyle name="좋음 20 4" xfId="8534"/>
    <cellStyle name="좋음 20 5" xfId="30145"/>
    <cellStyle name="좋음 21" xfId="24591"/>
    <cellStyle name="좋음 21 2" xfId="24592"/>
    <cellStyle name="좋음 21 2 2" xfId="8530"/>
    <cellStyle name="좋음 21 3" xfId="24593"/>
    <cellStyle name="좋음 21 3 2" xfId="8529"/>
    <cellStyle name="좋음 21 4" xfId="8531"/>
    <cellStyle name="좋음 21 5" xfId="30146"/>
    <cellStyle name="좋음 22" xfId="24594"/>
    <cellStyle name="좋음 22 2" xfId="24595"/>
    <cellStyle name="좋음 22 2 2" xfId="8527"/>
    <cellStyle name="좋음 22 3" xfId="24596"/>
    <cellStyle name="좋음 22 3 2" xfId="8526"/>
    <cellStyle name="좋음 22 4" xfId="8528"/>
    <cellStyle name="좋음 22 5" xfId="30147"/>
    <cellStyle name="좋음 23" xfId="24597"/>
    <cellStyle name="좋음 23 2" xfId="24598"/>
    <cellStyle name="좋음 23 2 2" xfId="8524"/>
    <cellStyle name="좋음 23 3" xfId="24599"/>
    <cellStyle name="좋음 23 3 2" xfId="8523"/>
    <cellStyle name="좋음 23 4" xfId="8525"/>
    <cellStyle name="좋음 23 5" xfId="30148"/>
    <cellStyle name="좋음 24" xfId="24600"/>
    <cellStyle name="좋음 24 2" xfId="24601"/>
    <cellStyle name="좋음 24 2 2" xfId="8521"/>
    <cellStyle name="좋음 24 3" xfId="24602"/>
    <cellStyle name="좋음 24 3 2" xfId="8520"/>
    <cellStyle name="좋음 24 4" xfId="8522"/>
    <cellStyle name="좋음 24 5" xfId="30149"/>
    <cellStyle name="좋음 25" xfId="24603"/>
    <cellStyle name="좋음 25 2" xfId="24604"/>
    <cellStyle name="좋음 25 2 2" xfId="8518"/>
    <cellStyle name="좋음 25 3" xfId="24605"/>
    <cellStyle name="좋음 25 3 2" xfId="8517"/>
    <cellStyle name="좋음 25 4" xfId="8519"/>
    <cellStyle name="좋음 25 5" xfId="30150"/>
    <cellStyle name="좋음 26" xfId="24606"/>
    <cellStyle name="좋음 26 2" xfId="24607"/>
    <cellStyle name="좋음 26 2 2" xfId="8515"/>
    <cellStyle name="좋음 26 3" xfId="24608"/>
    <cellStyle name="좋음 26 3 2" xfId="8514"/>
    <cellStyle name="좋음 26 4" xfId="8516"/>
    <cellStyle name="좋음 26 5" xfId="30151"/>
    <cellStyle name="좋음 27" xfId="24609"/>
    <cellStyle name="좋음 27 2" xfId="24610"/>
    <cellStyle name="좋음 27 2 2" xfId="8512"/>
    <cellStyle name="좋음 27 3" xfId="24611"/>
    <cellStyle name="좋음 27 3 2" xfId="8511"/>
    <cellStyle name="좋음 27 4" xfId="8513"/>
    <cellStyle name="좋음 27 5" xfId="30152"/>
    <cellStyle name="좋음 28" xfId="24612"/>
    <cellStyle name="좋음 28 2" xfId="24613"/>
    <cellStyle name="좋음 28 2 2" xfId="8509"/>
    <cellStyle name="좋음 28 3" xfId="24614"/>
    <cellStyle name="좋음 28 3 2" xfId="8508"/>
    <cellStyle name="좋음 28 4" xfId="8510"/>
    <cellStyle name="좋음 28 5" xfId="30153"/>
    <cellStyle name="좋음 29" xfId="24615"/>
    <cellStyle name="좋음 29 2" xfId="24616"/>
    <cellStyle name="좋음 29 2 2" xfId="8506"/>
    <cellStyle name="좋음 29 3" xfId="24617"/>
    <cellStyle name="좋음 29 3 2" xfId="8505"/>
    <cellStyle name="좋음 29 4" xfId="8507"/>
    <cellStyle name="좋음 29 5" xfId="30154"/>
    <cellStyle name="좋음 3" xfId="3187"/>
    <cellStyle name="좋음 3 10" xfId="30155"/>
    <cellStyle name="좋음 3 2" xfId="24619"/>
    <cellStyle name="좋음 3 2 2" xfId="24620"/>
    <cellStyle name="좋음 3 2 2 2" xfId="24621"/>
    <cellStyle name="좋음 3 2 2 2 2" xfId="8501"/>
    <cellStyle name="좋음 3 2 2 3" xfId="8502"/>
    <cellStyle name="좋음 3 2 3" xfId="24622"/>
    <cellStyle name="좋음 3 2 3 2" xfId="8500"/>
    <cellStyle name="좋음 3 2 4" xfId="24623"/>
    <cellStyle name="좋음 3 2 4 2" xfId="8499"/>
    <cellStyle name="좋음 3 2 5" xfId="8503"/>
    <cellStyle name="좋음 3 2 6" xfId="30156"/>
    <cellStyle name="좋음 3 3" xfId="24624"/>
    <cellStyle name="좋음 3 3 2" xfId="24625"/>
    <cellStyle name="좋음 3 3 2 2" xfId="8497"/>
    <cellStyle name="좋음 3 3 3" xfId="24626"/>
    <cellStyle name="좋음 3 3 3 2" xfId="8496"/>
    <cellStyle name="좋음 3 3 4" xfId="8498"/>
    <cellStyle name="좋음 3 3 5" xfId="30157"/>
    <cellStyle name="좋음 3 4" xfId="24627"/>
    <cellStyle name="좋음 3 4 2" xfId="24628"/>
    <cellStyle name="좋음 3 4 2 2" xfId="8494"/>
    <cellStyle name="좋음 3 4 3" xfId="24629"/>
    <cellStyle name="좋음 3 4 3 2" xfId="8493"/>
    <cellStyle name="좋음 3 4 4" xfId="8495"/>
    <cellStyle name="좋음 3 4 5" xfId="30158"/>
    <cellStyle name="좋음 3 5" xfId="24630"/>
    <cellStyle name="좋음 3 5 2" xfId="8492"/>
    <cellStyle name="좋음 3 6" xfId="24631"/>
    <cellStyle name="좋음 3 6 2" xfId="8491"/>
    <cellStyle name="좋음 3 7" xfId="8504"/>
    <cellStyle name="좋음 3 8" xfId="28228"/>
    <cellStyle name="좋음 3 9" xfId="24618"/>
    <cellStyle name="좋음 30" xfId="24632"/>
    <cellStyle name="좋음 30 2" xfId="24633"/>
    <cellStyle name="좋음 30 2 2" xfId="8489"/>
    <cellStyle name="좋음 30 3" xfId="24634"/>
    <cellStyle name="좋음 30 3 2" xfId="8488"/>
    <cellStyle name="좋음 30 4" xfId="8490"/>
    <cellStyle name="좋음 30 5" xfId="30159"/>
    <cellStyle name="좋음 31" xfId="24635"/>
    <cellStyle name="좋음 31 2" xfId="24636"/>
    <cellStyle name="좋음 31 2 2" xfId="8486"/>
    <cellStyle name="좋음 31 3" xfId="24637"/>
    <cellStyle name="좋음 31 3 2" xfId="8485"/>
    <cellStyle name="좋음 31 4" xfId="8487"/>
    <cellStyle name="좋음 31 5" xfId="30160"/>
    <cellStyle name="좋음 32" xfId="24638"/>
    <cellStyle name="좋음 32 2" xfId="24639"/>
    <cellStyle name="좋음 32 2 2" xfId="8483"/>
    <cellStyle name="좋음 32 3" xfId="24640"/>
    <cellStyle name="좋음 32 3 2" xfId="8482"/>
    <cellStyle name="좋음 32 4" xfId="8484"/>
    <cellStyle name="좋음 32 5" xfId="30161"/>
    <cellStyle name="좋음 33" xfId="24641"/>
    <cellStyle name="좋음 33 2" xfId="24642"/>
    <cellStyle name="좋음 33 2 2" xfId="8480"/>
    <cellStyle name="좋음 33 3" xfId="24643"/>
    <cellStyle name="좋음 33 3 2" xfId="8479"/>
    <cellStyle name="좋음 33 4" xfId="8481"/>
    <cellStyle name="좋음 33 5" xfId="30162"/>
    <cellStyle name="좋음 34" xfId="24644"/>
    <cellStyle name="좋음 34 2" xfId="24645"/>
    <cellStyle name="좋음 34 2 2" xfId="8477"/>
    <cellStyle name="좋음 34 3" xfId="24646"/>
    <cellStyle name="좋음 34 3 2" xfId="8476"/>
    <cellStyle name="좋음 34 4" xfId="8478"/>
    <cellStyle name="좋음 34 5" xfId="30163"/>
    <cellStyle name="좋음 35" xfId="24647"/>
    <cellStyle name="좋음 35 2" xfId="24648"/>
    <cellStyle name="좋음 35 2 2" xfId="8474"/>
    <cellStyle name="좋음 35 3" xfId="24649"/>
    <cellStyle name="좋음 35 3 2" xfId="8473"/>
    <cellStyle name="좋음 35 4" xfId="8475"/>
    <cellStyle name="좋음 35 5" xfId="30164"/>
    <cellStyle name="좋음 36" xfId="24650"/>
    <cellStyle name="좋음 36 2" xfId="24651"/>
    <cellStyle name="좋음 36 2 2" xfId="8471"/>
    <cellStyle name="좋음 36 3" xfId="24652"/>
    <cellStyle name="좋음 36 3 2" xfId="8470"/>
    <cellStyle name="좋음 36 4" xfId="8472"/>
    <cellStyle name="좋음 36 5" xfId="30165"/>
    <cellStyle name="좋음 37" xfId="24653"/>
    <cellStyle name="좋음 37 2" xfId="24654"/>
    <cellStyle name="좋음 37 2 2" xfId="8468"/>
    <cellStyle name="좋음 37 3" xfId="24655"/>
    <cellStyle name="좋음 37 3 2" xfId="8467"/>
    <cellStyle name="좋음 37 4" xfId="8469"/>
    <cellStyle name="좋음 37 5" xfId="30166"/>
    <cellStyle name="좋음 38" xfId="24656"/>
    <cellStyle name="좋음 38 2" xfId="24657"/>
    <cellStyle name="좋음 38 2 2" xfId="8465"/>
    <cellStyle name="좋음 38 3" xfId="24658"/>
    <cellStyle name="좋음 38 3 2" xfId="8464"/>
    <cellStyle name="좋음 38 4" xfId="8466"/>
    <cellStyle name="좋음 38 5" xfId="30167"/>
    <cellStyle name="좋음 39" xfId="24659"/>
    <cellStyle name="좋음 39 2" xfId="24660"/>
    <cellStyle name="좋음 39 2 2" xfId="8462"/>
    <cellStyle name="좋음 39 3" xfId="24661"/>
    <cellStyle name="좋음 39 3 2" xfId="8461"/>
    <cellStyle name="좋음 39 4" xfId="8463"/>
    <cellStyle name="좋음 39 5" xfId="30168"/>
    <cellStyle name="좋음 4" xfId="3188"/>
    <cellStyle name="좋음 4 2" xfId="24663"/>
    <cellStyle name="좋음 4 2 2" xfId="24664"/>
    <cellStyle name="좋음 4 2 2 2" xfId="8458"/>
    <cellStyle name="좋음 4 2 3" xfId="24665"/>
    <cellStyle name="좋음 4 2 3 2" xfId="8457"/>
    <cellStyle name="좋음 4 2 4" xfId="8459"/>
    <cellStyle name="좋음 4 2 5" xfId="30169"/>
    <cellStyle name="좋음 4 3" xfId="24666"/>
    <cellStyle name="좋음 4 3 2" xfId="24667"/>
    <cellStyle name="좋음 4 3 2 2" xfId="8455"/>
    <cellStyle name="좋음 4 3 3" xfId="24668"/>
    <cellStyle name="좋음 4 3 3 2" xfId="8454"/>
    <cellStyle name="좋음 4 3 4" xfId="8456"/>
    <cellStyle name="좋음 4 3 5" xfId="30170"/>
    <cellStyle name="좋음 4 4" xfId="24669"/>
    <cellStyle name="좋음 4 4 2" xfId="24670"/>
    <cellStyle name="좋음 4 4 2 2" xfId="8452"/>
    <cellStyle name="좋음 4 4 3" xfId="24671"/>
    <cellStyle name="좋음 4 4 3 2" xfId="8451"/>
    <cellStyle name="좋음 4 4 4" xfId="8453"/>
    <cellStyle name="좋음 4 4 5" xfId="30171"/>
    <cellStyle name="좋음 4 5" xfId="24672"/>
    <cellStyle name="좋음 4 5 2" xfId="8450"/>
    <cellStyle name="좋음 4 6" xfId="24673"/>
    <cellStyle name="좋음 4 6 2" xfId="8449"/>
    <cellStyle name="좋음 4 7" xfId="8460"/>
    <cellStyle name="좋음 4 8" xfId="28227"/>
    <cellStyle name="좋음 4 9" xfId="24662"/>
    <cellStyle name="좋음 40" xfId="24674"/>
    <cellStyle name="좋음 40 2" xfId="24675"/>
    <cellStyle name="좋음 40 2 2" xfId="8447"/>
    <cellStyle name="좋음 40 3" xfId="24676"/>
    <cellStyle name="좋음 40 3 2" xfId="8446"/>
    <cellStyle name="좋음 40 4" xfId="8448"/>
    <cellStyle name="좋음 40 5" xfId="30172"/>
    <cellStyle name="좋음 41" xfId="24677"/>
    <cellStyle name="좋음 41 2" xfId="24678"/>
    <cellStyle name="좋음 41 2 2" xfId="8444"/>
    <cellStyle name="좋음 41 3" xfId="24679"/>
    <cellStyle name="좋음 41 3 2" xfId="8443"/>
    <cellStyle name="좋음 41 4" xfId="8445"/>
    <cellStyle name="좋음 41 5" xfId="30173"/>
    <cellStyle name="좋음 42" xfId="24680"/>
    <cellStyle name="좋음 42 2" xfId="24681"/>
    <cellStyle name="좋음 42 2 2" xfId="8441"/>
    <cellStyle name="좋음 42 3" xfId="24682"/>
    <cellStyle name="좋음 42 3 2" xfId="8440"/>
    <cellStyle name="좋음 42 4" xfId="8442"/>
    <cellStyle name="좋음 42 5" xfId="30174"/>
    <cellStyle name="좋음 43" xfId="24683"/>
    <cellStyle name="좋음 43 2" xfId="24684"/>
    <cellStyle name="좋음 43 2 2" xfId="8438"/>
    <cellStyle name="좋음 43 3" xfId="24685"/>
    <cellStyle name="좋음 43 3 2" xfId="8437"/>
    <cellStyle name="좋음 43 4" xfId="8439"/>
    <cellStyle name="좋음 43 5" xfId="30175"/>
    <cellStyle name="좋음 44" xfId="24686"/>
    <cellStyle name="좋음 44 2" xfId="24687"/>
    <cellStyle name="좋음 44 2 2" xfId="8435"/>
    <cellStyle name="좋음 44 3" xfId="24688"/>
    <cellStyle name="좋음 44 3 2" xfId="8434"/>
    <cellStyle name="좋음 44 4" xfId="8436"/>
    <cellStyle name="좋음 44 5" xfId="30176"/>
    <cellStyle name="좋음 45" xfId="24689"/>
    <cellStyle name="좋음 45 2" xfId="24690"/>
    <cellStyle name="좋음 45 2 2" xfId="8432"/>
    <cellStyle name="좋음 45 3" xfId="24691"/>
    <cellStyle name="좋음 45 3 2" xfId="8431"/>
    <cellStyle name="좋음 45 4" xfId="8433"/>
    <cellStyle name="좋음 45 5" xfId="30177"/>
    <cellStyle name="좋음 46" xfId="24692"/>
    <cellStyle name="좋음 46 2" xfId="24693"/>
    <cellStyle name="좋음 46 2 2" xfId="8429"/>
    <cellStyle name="좋음 46 3" xfId="24694"/>
    <cellStyle name="좋음 46 3 2" xfId="8428"/>
    <cellStyle name="좋음 46 4" xfId="8430"/>
    <cellStyle name="좋음 46 5" xfId="30178"/>
    <cellStyle name="좋음 47" xfId="24695"/>
    <cellStyle name="좋음 47 2" xfId="24696"/>
    <cellStyle name="좋음 47 2 2" xfId="8426"/>
    <cellStyle name="좋음 47 3" xfId="24697"/>
    <cellStyle name="좋음 47 3 2" xfId="8425"/>
    <cellStyle name="좋음 47 4" xfId="8427"/>
    <cellStyle name="좋음 47 5" xfId="30179"/>
    <cellStyle name="좋음 48" xfId="24698"/>
    <cellStyle name="좋음 48 2" xfId="24699"/>
    <cellStyle name="좋음 48 2 2" xfId="8423"/>
    <cellStyle name="좋음 48 3" xfId="24700"/>
    <cellStyle name="좋음 48 3 2" xfId="8422"/>
    <cellStyle name="좋음 48 4" xfId="8424"/>
    <cellStyle name="좋음 48 5" xfId="30180"/>
    <cellStyle name="좋음 49" xfId="24701"/>
    <cellStyle name="좋음 49 2" xfId="8421"/>
    <cellStyle name="좋음 5" xfId="3189"/>
    <cellStyle name="좋음 5 2" xfId="24703"/>
    <cellStyle name="좋음 5 2 2" xfId="24704"/>
    <cellStyle name="좋음 5 2 2 2" xfId="8418"/>
    <cellStyle name="좋음 5 2 3" xfId="8419"/>
    <cellStyle name="좋음 5 3" xfId="24705"/>
    <cellStyle name="좋음 5 3 2" xfId="8417"/>
    <cellStyle name="좋음 5 4" xfId="24706"/>
    <cellStyle name="좋음 5 4 2" xfId="8416"/>
    <cellStyle name="좋음 5 5" xfId="8420"/>
    <cellStyle name="좋음 5 6" xfId="28226"/>
    <cellStyle name="좋음 5 7" xfId="24702"/>
    <cellStyle name="좋음 5 8" xfId="30181"/>
    <cellStyle name="좋음 50" xfId="28105"/>
    <cellStyle name="좋음 6" xfId="3190"/>
    <cellStyle name="좋음 6 2" xfId="24708"/>
    <cellStyle name="좋음 6 2 2" xfId="24709"/>
    <cellStyle name="좋음 6 2 2 2" xfId="8413"/>
    <cellStyle name="좋음 6 2 3" xfId="8414"/>
    <cellStyle name="좋음 6 3" xfId="24710"/>
    <cellStyle name="좋음 6 3 2" xfId="8412"/>
    <cellStyle name="좋음 6 4" xfId="24711"/>
    <cellStyle name="좋음 6 4 2" xfId="8411"/>
    <cellStyle name="좋음 6 5" xfId="8415"/>
    <cellStyle name="좋음 6 6" xfId="28225"/>
    <cellStyle name="좋음 6 7" xfId="24707"/>
    <cellStyle name="좋음 6 8" xfId="30182"/>
    <cellStyle name="좋음 7" xfId="3191"/>
    <cellStyle name="좋음 7 2" xfId="24713"/>
    <cellStyle name="좋음 7 2 2" xfId="24714"/>
    <cellStyle name="좋음 7 2 2 2" xfId="8408"/>
    <cellStyle name="좋음 7 2 3" xfId="8409"/>
    <cellStyle name="좋음 7 3" xfId="24715"/>
    <cellStyle name="좋음 7 3 2" xfId="8407"/>
    <cellStyle name="좋음 7 4" xfId="24716"/>
    <cellStyle name="좋음 7 4 2" xfId="8406"/>
    <cellStyle name="좋음 7 5" xfId="8410"/>
    <cellStyle name="좋음 7 6" xfId="28224"/>
    <cellStyle name="좋음 7 7" xfId="24712"/>
    <cellStyle name="좋음 7 8" xfId="30183"/>
    <cellStyle name="좋음 8" xfId="3192"/>
    <cellStyle name="좋음 8 2" xfId="24718"/>
    <cellStyle name="좋음 8 2 2" xfId="24719"/>
    <cellStyle name="좋음 8 2 2 2" xfId="8403"/>
    <cellStyle name="좋음 8 2 3" xfId="8404"/>
    <cellStyle name="좋음 8 3" xfId="24720"/>
    <cellStyle name="좋음 8 3 2" xfId="8402"/>
    <cellStyle name="좋음 8 4" xfId="24721"/>
    <cellStyle name="좋음 8 4 2" xfId="8401"/>
    <cellStyle name="좋음 8 5" xfId="8405"/>
    <cellStyle name="좋음 8 6" xfId="28223"/>
    <cellStyle name="좋음 8 7" xfId="24717"/>
    <cellStyle name="좋음 8 8" xfId="30184"/>
    <cellStyle name="좋음 9" xfId="24722"/>
    <cellStyle name="좋음 9 2" xfId="24723"/>
    <cellStyle name="좋음 9 2 2" xfId="8399"/>
    <cellStyle name="좋음 9 3" xfId="24724"/>
    <cellStyle name="좋음 9 3 2" xfId="8398"/>
    <cellStyle name="좋음 9 4" xfId="8400"/>
    <cellStyle name="좋음 9 5" xfId="30185"/>
    <cellStyle name="좋음 9 6" xfId="29647"/>
    <cellStyle name="출력 10" xfId="24725"/>
    <cellStyle name="출력 10 2" xfId="24726"/>
    <cellStyle name="출력 10 2 2" xfId="8396"/>
    <cellStyle name="출력 10 2 3" xfId="30587"/>
    <cellStyle name="출력 10 3" xfId="24727"/>
    <cellStyle name="출력 10 3 2" xfId="8395"/>
    <cellStyle name="출력 10 4" xfId="8397"/>
    <cellStyle name="출력 10 5" xfId="30186"/>
    <cellStyle name="출력 10 6" xfId="29816"/>
    <cellStyle name="출력 11" xfId="24728"/>
    <cellStyle name="출력 11 2" xfId="24729"/>
    <cellStyle name="출력 11 2 2" xfId="8393"/>
    <cellStyle name="출력 11 2 3" xfId="30588"/>
    <cellStyle name="출력 11 3" xfId="24730"/>
    <cellStyle name="출력 11 3 2" xfId="8392"/>
    <cellStyle name="출력 11 4" xfId="8394"/>
    <cellStyle name="출력 11 5" xfId="30187"/>
    <cellStyle name="출력 11 6" xfId="29543"/>
    <cellStyle name="출력 12" xfId="24731"/>
    <cellStyle name="출력 12 2" xfId="24732"/>
    <cellStyle name="출력 12 2 2" xfId="8390"/>
    <cellStyle name="출력 12 2 3" xfId="30589"/>
    <cellStyle name="출력 12 3" xfId="24733"/>
    <cellStyle name="출력 12 3 2" xfId="8389"/>
    <cellStyle name="출력 12 4" xfId="8391"/>
    <cellStyle name="출력 12 5" xfId="30188"/>
    <cellStyle name="출력 12 6" xfId="30690"/>
    <cellStyle name="출력 13" xfId="24734"/>
    <cellStyle name="출력 13 2" xfId="24735"/>
    <cellStyle name="출력 13 2 2" xfId="8387"/>
    <cellStyle name="출력 13 2 3" xfId="30590"/>
    <cellStyle name="출력 13 3" xfId="24736"/>
    <cellStyle name="출력 13 3 2" xfId="8386"/>
    <cellStyle name="출력 13 4" xfId="8388"/>
    <cellStyle name="출력 13 5" xfId="30189"/>
    <cellStyle name="출력 13 6" xfId="29661"/>
    <cellStyle name="출력 14" xfId="24737"/>
    <cellStyle name="출력 14 2" xfId="24738"/>
    <cellStyle name="출력 14 2 2" xfId="8384"/>
    <cellStyle name="출력 14 2 3" xfId="30591"/>
    <cellStyle name="출력 14 3" xfId="24739"/>
    <cellStyle name="출력 14 3 2" xfId="8383"/>
    <cellStyle name="출력 14 4" xfId="8385"/>
    <cellStyle name="출력 14 5" xfId="30190"/>
    <cellStyle name="출력 15" xfId="24740"/>
    <cellStyle name="출력 15 2" xfId="24741"/>
    <cellStyle name="출력 15 2 2" xfId="8381"/>
    <cellStyle name="출력 15 2 3" xfId="30592"/>
    <cellStyle name="출력 15 3" xfId="24742"/>
    <cellStyle name="출력 15 3 2" xfId="8380"/>
    <cellStyle name="출력 15 4" xfId="8382"/>
    <cellStyle name="출력 15 5" xfId="30191"/>
    <cellStyle name="출력 16" xfId="24743"/>
    <cellStyle name="출력 16 2" xfId="24744"/>
    <cellStyle name="출력 16 2 2" xfId="8378"/>
    <cellStyle name="출력 16 2 3" xfId="30593"/>
    <cellStyle name="출력 16 3" xfId="24745"/>
    <cellStyle name="출력 16 3 2" xfId="8377"/>
    <cellStyle name="출력 16 4" xfId="8379"/>
    <cellStyle name="출력 16 5" xfId="30192"/>
    <cellStyle name="출력 17" xfId="24746"/>
    <cellStyle name="출력 17 2" xfId="24747"/>
    <cellStyle name="출력 17 2 2" xfId="8375"/>
    <cellStyle name="출력 17 2 3" xfId="30594"/>
    <cellStyle name="출력 17 3" xfId="24748"/>
    <cellStyle name="출력 17 3 2" xfId="8374"/>
    <cellStyle name="출력 17 4" xfId="8376"/>
    <cellStyle name="출력 17 5" xfId="30193"/>
    <cellStyle name="출력 18" xfId="24749"/>
    <cellStyle name="출력 18 2" xfId="24750"/>
    <cellStyle name="출력 18 2 2" xfId="8372"/>
    <cellStyle name="출력 18 2 3" xfId="30595"/>
    <cellStyle name="출력 18 3" xfId="24751"/>
    <cellStyle name="출력 18 3 2" xfId="8371"/>
    <cellStyle name="출력 18 4" xfId="8373"/>
    <cellStyle name="출력 18 5" xfId="30194"/>
    <cellStyle name="출력 19" xfId="24752"/>
    <cellStyle name="출력 19 2" xfId="24753"/>
    <cellStyle name="출력 19 2 2" xfId="8369"/>
    <cellStyle name="출력 19 2 3" xfId="30596"/>
    <cellStyle name="출력 19 3" xfId="24754"/>
    <cellStyle name="출력 19 3 2" xfId="8368"/>
    <cellStyle name="출력 19 4" xfId="8370"/>
    <cellStyle name="출력 19 5" xfId="30195"/>
    <cellStyle name="출력 2" xfId="3193"/>
    <cellStyle name="출력 2 2" xfId="24756"/>
    <cellStyle name="출력 2 2 2" xfId="24757"/>
    <cellStyle name="출력 2 2 2 2" xfId="8365"/>
    <cellStyle name="출력 2 2 2 3" xfId="30597"/>
    <cellStyle name="출력 2 2 3" xfId="24758"/>
    <cellStyle name="출력 2 2 3 2" xfId="8364"/>
    <cellStyle name="출력 2 2 4" xfId="8366"/>
    <cellStyle name="출력 2 2 5" xfId="30197"/>
    <cellStyle name="출력 2 3" xfId="24759"/>
    <cellStyle name="출력 2 3 2" xfId="24760"/>
    <cellStyle name="출력 2 3 2 2" xfId="8362"/>
    <cellStyle name="출력 2 3 2 3" xfId="30598"/>
    <cellStyle name="출력 2 3 3" xfId="24761"/>
    <cellStyle name="출력 2 3 3 2" xfId="8361"/>
    <cellStyle name="출력 2 3 4" xfId="8363"/>
    <cellStyle name="출력 2 3 5" xfId="30198"/>
    <cellStyle name="출력 2 4" xfId="24762"/>
    <cellStyle name="출력 2 4 2" xfId="24763"/>
    <cellStyle name="출력 2 4 2 2" xfId="8359"/>
    <cellStyle name="출력 2 4 2 3" xfId="30599"/>
    <cellStyle name="출력 2 4 3" xfId="24764"/>
    <cellStyle name="출력 2 4 3 2" xfId="8358"/>
    <cellStyle name="출력 2 4 4" xfId="8360"/>
    <cellStyle name="출력 2 4 5" xfId="30199"/>
    <cellStyle name="출력 2 5" xfId="24765"/>
    <cellStyle name="출력 2 5 2" xfId="8357"/>
    <cellStyle name="출력 2 5 3" xfId="30600"/>
    <cellStyle name="출력 2 6" xfId="24766"/>
    <cellStyle name="출력 2 6 2" xfId="8356"/>
    <cellStyle name="출력 2 7" xfId="8367"/>
    <cellStyle name="출력 2 8" xfId="28222"/>
    <cellStyle name="출력 2 9" xfId="24755"/>
    <cellStyle name="출력 20" xfId="24767"/>
    <cellStyle name="출력 20 2" xfId="24768"/>
    <cellStyle name="출력 20 2 2" xfId="8354"/>
    <cellStyle name="출력 20 2 3" xfId="30601"/>
    <cellStyle name="출력 20 3" xfId="24769"/>
    <cellStyle name="출력 20 3 2" xfId="8353"/>
    <cellStyle name="출력 20 4" xfId="8355"/>
    <cellStyle name="출력 20 5" xfId="30200"/>
    <cellStyle name="출력 21" xfId="24770"/>
    <cellStyle name="출력 21 2" xfId="24771"/>
    <cellStyle name="출력 21 2 2" xfId="8351"/>
    <cellStyle name="출력 21 2 3" xfId="30602"/>
    <cellStyle name="출력 21 3" xfId="24772"/>
    <cellStyle name="출력 21 3 2" xfId="8350"/>
    <cellStyle name="출력 21 4" xfId="8352"/>
    <cellStyle name="출력 21 5" xfId="30201"/>
    <cellStyle name="출력 22" xfId="24773"/>
    <cellStyle name="출력 22 2" xfId="24774"/>
    <cellStyle name="출력 22 2 2" xfId="8348"/>
    <cellStyle name="출력 22 2 3" xfId="30603"/>
    <cellStyle name="출력 22 3" xfId="24775"/>
    <cellStyle name="출력 22 3 2" xfId="8347"/>
    <cellStyle name="출력 22 4" xfId="8349"/>
    <cellStyle name="출력 22 5" xfId="30202"/>
    <cellStyle name="출력 23" xfId="24776"/>
    <cellStyle name="출력 23 2" xfId="24777"/>
    <cellStyle name="출력 23 2 2" xfId="8345"/>
    <cellStyle name="출력 23 2 3" xfId="30604"/>
    <cellStyle name="출력 23 3" xfId="24778"/>
    <cellStyle name="출력 23 3 2" xfId="8344"/>
    <cellStyle name="출력 23 4" xfId="8346"/>
    <cellStyle name="출력 23 5" xfId="30203"/>
    <cellStyle name="출력 24" xfId="24779"/>
    <cellStyle name="출력 24 2" xfId="24780"/>
    <cellStyle name="출력 24 2 2" xfId="8342"/>
    <cellStyle name="출력 24 2 3" xfId="30605"/>
    <cellStyle name="출력 24 3" xfId="24781"/>
    <cellStyle name="출력 24 3 2" xfId="8341"/>
    <cellStyle name="출력 24 4" xfId="8343"/>
    <cellStyle name="출력 24 5" xfId="30204"/>
    <cellStyle name="출력 25" xfId="24782"/>
    <cellStyle name="출력 25 2" xfId="24783"/>
    <cellStyle name="출력 25 2 2" xfId="8339"/>
    <cellStyle name="출력 25 2 3" xfId="30606"/>
    <cellStyle name="출력 25 3" xfId="24784"/>
    <cellStyle name="출력 25 3 2" xfId="8338"/>
    <cellStyle name="출력 25 4" xfId="8340"/>
    <cellStyle name="출력 25 5" xfId="30205"/>
    <cellStyle name="출력 26" xfId="24785"/>
    <cellStyle name="출력 26 2" xfId="24786"/>
    <cellStyle name="출력 26 2 2" xfId="8336"/>
    <cellStyle name="출력 26 2 3" xfId="30607"/>
    <cellStyle name="출력 26 3" xfId="24787"/>
    <cellStyle name="출력 26 3 2" xfId="8335"/>
    <cellStyle name="출력 26 4" xfId="8337"/>
    <cellStyle name="출력 26 5" xfId="30206"/>
    <cellStyle name="출력 27" xfId="24788"/>
    <cellStyle name="출력 27 2" xfId="24789"/>
    <cellStyle name="출력 27 2 2" xfId="8333"/>
    <cellStyle name="출력 27 2 3" xfId="30608"/>
    <cellStyle name="출력 27 3" xfId="24790"/>
    <cellStyle name="출력 27 3 2" xfId="8332"/>
    <cellStyle name="출력 27 4" xfId="8334"/>
    <cellStyle name="출력 27 5" xfId="30207"/>
    <cellStyle name="출력 28" xfId="24791"/>
    <cellStyle name="출력 28 2" xfId="24792"/>
    <cellStyle name="출력 28 2 2" xfId="8330"/>
    <cellStyle name="출력 28 2 3" xfId="30609"/>
    <cellStyle name="출력 28 3" xfId="24793"/>
    <cellStyle name="출력 28 3 2" xfId="8329"/>
    <cellStyle name="출력 28 4" xfId="8331"/>
    <cellStyle name="출력 28 5" xfId="30208"/>
    <cellStyle name="출력 29" xfId="24794"/>
    <cellStyle name="출력 29 2" xfId="24795"/>
    <cellStyle name="출력 29 2 2" xfId="8327"/>
    <cellStyle name="출력 29 2 3" xfId="30610"/>
    <cellStyle name="출력 29 3" xfId="24796"/>
    <cellStyle name="출력 29 3 2" xfId="8326"/>
    <cellStyle name="출력 29 4" xfId="8328"/>
    <cellStyle name="출력 29 5" xfId="30209"/>
    <cellStyle name="출력 3" xfId="3194"/>
    <cellStyle name="출력 3 10" xfId="30210"/>
    <cellStyle name="출력 3 2" xfId="24798"/>
    <cellStyle name="출력 3 2 2" xfId="24799"/>
    <cellStyle name="출력 3 2 2 2" xfId="24800"/>
    <cellStyle name="출력 3 2 2 2 2" xfId="8322"/>
    <cellStyle name="출력 3 2 2 3" xfId="8323"/>
    <cellStyle name="출력 3 2 2 4" xfId="30611"/>
    <cellStyle name="출력 3 2 3" xfId="24801"/>
    <cellStyle name="출력 3 2 3 2" xfId="8321"/>
    <cellStyle name="출력 3 2 4" xfId="24802"/>
    <cellStyle name="출력 3 2 4 2" xfId="8320"/>
    <cellStyle name="출력 3 2 5" xfId="8324"/>
    <cellStyle name="출력 3 2 6" xfId="30211"/>
    <cellStyle name="출력 3 3" xfId="24803"/>
    <cellStyle name="출력 3 3 2" xfId="24804"/>
    <cellStyle name="출력 3 3 2 2" xfId="8318"/>
    <cellStyle name="출력 3 3 2 3" xfId="30612"/>
    <cellStyle name="출력 3 3 3" xfId="24805"/>
    <cellStyle name="출력 3 3 3 2" xfId="8317"/>
    <cellStyle name="출력 3 3 4" xfId="8319"/>
    <cellStyle name="출력 3 3 5" xfId="30212"/>
    <cellStyle name="출력 3 4" xfId="24806"/>
    <cellStyle name="출력 3 4 2" xfId="24807"/>
    <cellStyle name="출력 3 4 2 2" xfId="8315"/>
    <cellStyle name="출력 3 4 2 3" xfId="30613"/>
    <cellStyle name="출력 3 4 3" xfId="24808"/>
    <cellStyle name="출력 3 4 3 2" xfId="8314"/>
    <cellStyle name="출력 3 4 4" xfId="8316"/>
    <cellStyle name="출력 3 4 5" xfId="30213"/>
    <cellStyle name="출력 3 5" xfId="24809"/>
    <cellStyle name="출력 3 5 2" xfId="8313"/>
    <cellStyle name="출력 3 5 3" xfId="30614"/>
    <cellStyle name="출력 3 6" xfId="24810"/>
    <cellStyle name="출력 3 6 2" xfId="8312"/>
    <cellStyle name="출력 3 7" xfId="8325"/>
    <cellStyle name="출력 3 8" xfId="28221"/>
    <cellStyle name="출력 3 9" xfId="24797"/>
    <cellStyle name="출력 30" xfId="24811"/>
    <cellStyle name="출력 30 2" xfId="24812"/>
    <cellStyle name="출력 30 2 2" xfId="8310"/>
    <cellStyle name="출력 30 2 3" xfId="30615"/>
    <cellStyle name="출력 30 3" xfId="24813"/>
    <cellStyle name="출력 30 3 2" xfId="8309"/>
    <cellStyle name="출력 30 4" xfId="8311"/>
    <cellStyle name="출력 30 5" xfId="30214"/>
    <cellStyle name="출력 31" xfId="24814"/>
    <cellStyle name="출력 31 2" xfId="24815"/>
    <cellStyle name="출력 31 2 2" xfId="8307"/>
    <cellStyle name="출력 31 2 3" xfId="30616"/>
    <cellStyle name="출력 31 3" xfId="24816"/>
    <cellStyle name="출력 31 3 2" xfId="8306"/>
    <cellStyle name="출력 31 4" xfId="8308"/>
    <cellStyle name="출력 31 5" xfId="30215"/>
    <cellStyle name="출력 32" xfId="24817"/>
    <cellStyle name="출력 32 2" xfId="24818"/>
    <cellStyle name="출력 32 2 2" xfId="8304"/>
    <cellStyle name="출력 32 2 3" xfId="30617"/>
    <cellStyle name="출력 32 3" xfId="24819"/>
    <cellStyle name="출력 32 3 2" xfId="8303"/>
    <cellStyle name="출력 32 4" xfId="8305"/>
    <cellStyle name="출력 32 5" xfId="30216"/>
    <cellStyle name="출력 33" xfId="24820"/>
    <cellStyle name="출력 33 2" xfId="24821"/>
    <cellStyle name="출력 33 2 2" xfId="8301"/>
    <cellStyle name="출력 33 2 3" xfId="30618"/>
    <cellStyle name="출력 33 3" xfId="24822"/>
    <cellStyle name="출력 33 3 2" xfId="8300"/>
    <cellStyle name="출력 33 4" xfId="8302"/>
    <cellStyle name="출력 33 5" xfId="30217"/>
    <cellStyle name="출력 34" xfId="24823"/>
    <cellStyle name="출력 34 2" xfId="24824"/>
    <cellStyle name="출력 34 2 2" xfId="8298"/>
    <cellStyle name="출력 34 2 3" xfId="30619"/>
    <cellStyle name="출력 34 3" xfId="24825"/>
    <cellStyle name="출력 34 3 2" xfId="8297"/>
    <cellStyle name="출력 34 4" xfId="8299"/>
    <cellStyle name="출력 34 5" xfId="30218"/>
    <cellStyle name="출력 35" xfId="24826"/>
    <cellStyle name="출력 35 2" xfId="24827"/>
    <cellStyle name="출력 35 2 2" xfId="8295"/>
    <cellStyle name="출력 35 2 3" xfId="30620"/>
    <cellStyle name="출력 35 3" xfId="24828"/>
    <cellStyle name="출력 35 3 2" xfId="8294"/>
    <cellStyle name="출력 35 4" xfId="8296"/>
    <cellStyle name="출력 35 5" xfId="30219"/>
    <cellStyle name="출력 36" xfId="24829"/>
    <cellStyle name="출력 36 2" xfId="24830"/>
    <cellStyle name="출력 36 2 2" xfId="8292"/>
    <cellStyle name="출력 36 2 3" xfId="30621"/>
    <cellStyle name="출력 36 3" xfId="24831"/>
    <cellStyle name="출력 36 3 2" xfId="8291"/>
    <cellStyle name="출력 36 4" xfId="8293"/>
    <cellStyle name="출력 36 5" xfId="30220"/>
    <cellStyle name="출력 37" xfId="24832"/>
    <cellStyle name="출력 37 2" xfId="24833"/>
    <cellStyle name="출력 37 2 2" xfId="8289"/>
    <cellStyle name="출력 37 2 3" xfId="30622"/>
    <cellStyle name="출력 37 3" xfId="24834"/>
    <cellStyle name="출력 37 3 2" xfId="8288"/>
    <cellStyle name="출력 37 4" xfId="8290"/>
    <cellStyle name="출력 37 5" xfId="30221"/>
    <cellStyle name="출력 38" xfId="24835"/>
    <cellStyle name="출력 38 2" xfId="24836"/>
    <cellStyle name="출력 38 2 2" xfId="8286"/>
    <cellStyle name="출력 38 2 3" xfId="30623"/>
    <cellStyle name="출력 38 3" xfId="24837"/>
    <cellStyle name="출력 38 3 2" xfId="8285"/>
    <cellStyle name="출력 38 4" xfId="8287"/>
    <cellStyle name="출력 38 5" xfId="30222"/>
    <cellStyle name="출력 39" xfId="24838"/>
    <cellStyle name="출력 39 2" xfId="24839"/>
    <cellStyle name="출력 39 2 2" xfId="8283"/>
    <cellStyle name="출력 39 2 3" xfId="30624"/>
    <cellStyle name="출력 39 3" xfId="24840"/>
    <cellStyle name="출력 39 3 2" xfId="8282"/>
    <cellStyle name="출력 39 4" xfId="8284"/>
    <cellStyle name="출력 39 5" xfId="30223"/>
    <cellStyle name="출력 4" xfId="3195"/>
    <cellStyle name="출력 4 2" xfId="24842"/>
    <cellStyle name="출력 4 2 2" xfId="24843"/>
    <cellStyle name="출력 4 2 2 2" xfId="8279"/>
    <cellStyle name="출력 4 2 2 3" xfId="30625"/>
    <cellStyle name="출력 4 2 3" xfId="24844"/>
    <cellStyle name="출력 4 2 3 2" xfId="8278"/>
    <cellStyle name="출력 4 2 4" xfId="8280"/>
    <cellStyle name="출력 4 2 5" xfId="30224"/>
    <cellStyle name="출력 4 3" xfId="24845"/>
    <cellStyle name="출력 4 3 2" xfId="24846"/>
    <cellStyle name="출력 4 3 2 2" xfId="8276"/>
    <cellStyle name="출력 4 3 2 3" xfId="30626"/>
    <cellStyle name="출력 4 3 3" xfId="24847"/>
    <cellStyle name="출력 4 3 3 2" xfId="8275"/>
    <cellStyle name="출력 4 3 4" xfId="8277"/>
    <cellStyle name="출력 4 3 5" xfId="30225"/>
    <cellStyle name="출력 4 4" xfId="24848"/>
    <cellStyle name="출력 4 4 2" xfId="24849"/>
    <cellStyle name="출력 4 4 2 2" xfId="8273"/>
    <cellStyle name="출력 4 4 2 3" xfId="30627"/>
    <cellStyle name="출력 4 4 3" xfId="24850"/>
    <cellStyle name="출력 4 4 3 2" xfId="8272"/>
    <cellStyle name="출력 4 4 4" xfId="8274"/>
    <cellStyle name="출력 4 4 5" xfId="30226"/>
    <cellStyle name="출력 4 5" xfId="24851"/>
    <cellStyle name="출력 4 5 2" xfId="8271"/>
    <cellStyle name="출력 4 5 3" xfId="30628"/>
    <cellStyle name="출력 4 6" xfId="24852"/>
    <cellStyle name="출력 4 6 2" xfId="8270"/>
    <cellStyle name="출력 4 7" xfId="8281"/>
    <cellStyle name="출력 4 8" xfId="28220"/>
    <cellStyle name="출력 4 9" xfId="24841"/>
    <cellStyle name="출력 40" xfId="24853"/>
    <cellStyle name="출력 40 2" xfId="24854"/>
    <cellStyle name="출력 40 2 2" xfId="8268"/>
    <cellStyle name="출력 40 2 3" xfId="30629"/>
    <cellStyle name="출력 40 3" xfId="24855"/>
    <cellStyle name="출력 40 3 2" xfId="8267"/>
    <cellStyle name="출력 40 4" xfId="8269"/>
    <cellStyle name="출력 40 5" xfId="30227"/>
    <cellStyle name="출력 41" xfId="24856"/>
    <cellStyle name="출력 41 2" xfId="24857"/>
    <cellStyle name="출력 41 2 2" xfId="8265"/>
    <cellStyle name="출력 41 2 3" xfId="30630"/>
    <cellStyle name="출력 41 3" xfId="24858"/>
    <cellStyle name="출력 41 3 2" xfId="8264"/>
    <cellStyle name="출력 41 4" xfId="8266"/>
    <cellStyle name="출력 41 5" xfId="30228"/>
    <cellStyle name="출력 42" xfId="24859"/>
    <cellStyle name="출력 42 2" xfId="24860"/>
    <cellStyle name="출력 42 2 2" xfId="8262"/>
    <cellStyle name="출력 42 2 3" xfId="30631"/>
    <cellStyle name="출력 42 3" xfId="24861"/>
    <cellStyle name="출력 42 3 2" xfId="8261"/>
    <cellStyle name="출력 42 4" xfId="8263"/>
    <cellStyle name="출력 42 5" xfId="30229"/>
    <cellStyle name="출력 43" xfId="24862"/>
    <cellStyle name="출력 43 2" xfId="24863"/>
    <cellStyle name="출력 43 2 2" xfId="8259"/>
    <cellStyle name="출력 43 2 3" xfId="30632"/>
    <cellStyle name="출력 43 3" xfId="24864"/>
    <cellStyle name="출력 43 3 2" xfId="8258"/>
    <cellStyle name="출력 43 4" xfId="8260"/>
    <cellStyle name="출력 43 5" xfId="30230"/>
    <cellStyle name="출력 44" xfId="24865"/>
    <cellStyle name="출력 44 2" xfId="24866"/>
    <cellStyle name="출력 44 2 2" xfId="8256"/>
    <cellStyle name="출력 44 2 3" xfId="30633"/>
    <cellStyle name="출력 44 3" xfId="24867"/>
    <cellStyle name="출력 44 3 2" xfId="8255"/>
    <cellStyle name="출력 44 4" xfId="8257"/>
    <cellStyle name="출력 44 5" xfId="30231"/>
    <cellStyle name="출력 45" xfId="24868"/>
    <cellStyle name="출력 45 2" xfId="24869"/>
    <cellStyle name="출력 45 2 2" xfId="8253"/>
    <cellStyle name="출력 45 2 3" xfId="30634"/>
    <cellStyle name="출력 45 3" xfId="24870"/>
    <cellStyle name="출력 45 3 2" xfId="8252"/>
    <cellStyle name="출력 45 4" xfId="8254"/>
    <cellStyle name="출력 45 5" xfId="30232"/>
    <cellStyle name="출력 46" xfId="24871"/>
    <cellStyle name="출력 46 2" xfId="24872"/>
    <cellStyle name="출력 46 2 2" xfId="8250"/>
    <cellStyle name="출력 46 2 3" xfId="30635"/>
    <cellStyle name="출력 46 3" xfId="24873"/>
    <cellStyle name="출력 46 3 2" xfId="8249"/>
    <cellStyle name="출력 46 4" xfId="8251"/>
    <cellStyle name="출력 46 5" xfId="30233"/>
    <cellStyle name="출력 47" xfId="24874"/>
    <cellStyle name="출력 47 2" xfId="24875"/>
    <cellStyle name="출력 47 2 2" xfId="8247"/>
    <cellStyle name="출력 47 2 3" xfId="30636"/>
    <cellStyle name="출력 47 3" xfId="24876"/>
    <cellStyle name="출력 47 3 2" xfId="8246"/>
    <cellStyle name="출력 47 4" xfId="8248"/>
    <cellStyle name="출력 47 5" xfId="30234"/>
    <cellStyle name="출력 48" xfId="24877"/>
    <cellStyle name="출력 48 2" xfId="24878"/>
    <cellStyle name="출력 48 2 2" xfId="8244"/>
    <cellStyle name="출력 48 2 3" xfId="30637"/>
    <cellStyle name="출력 48 3" xfId="24879"/>
    <cellStyle name="출력 48 3 2" xfId="8243"/>
    <cellStyle name="출력 48 4" xfId="8245"/>
    <cellStyle name="출력 48 5" xfId="30235"/>
    <cellStyle name="출력 49" xfId="24880"/>
    <cellStyle name="출력 49 2" xfId="8242"/>
    <cellStyle name="출력 5" xfId="3196"/>
    <cellStyle name="출력 5 2" xfId="24882"/>
    <cellStyle name="출력 5 2 2" xfId="24883"/>
    <cellStyle name="출력 5 2 2 2" xfId="8239"/>
    <cellStyle name="출력 5 2 3" xfId="8240"/>
    <cellStyle name="출력 5 2 4" xfId="30638"/>
    <cellStyle name="출력 5 3" xfId="24884"/>
    <cellStyle name="출력 5 3 2" xfId="8238"/>
    <cellStyle name="출력 5 4" xfId="24885"/>
    <cellStyle name="출력 5 4 2" xfId="8237"/>
    <cellStyle name="출력 5 5" xfId="8241"/>
    <cellStyle name="출력 5 6" xfId="28219"/>
    <cellStyle name="출력 5 7" xfId="24881"/>
    <cellStyle name="출력 5 8" xfId="30236"/>
    <cellStyle name="출력 50" xfId="28109"/>
    <cellStyle name="출력 6" xfId="3197"/>
    <cellStyle name="출력 6 2" xfId="24887"/>
    <cellStyle name="출력 6 2 2" xfId="24888"/>
    <cellStyle name="출력 6 2 2 2" xfId="8234"/>
    <cellStyle name="출력 6 2 3" xfId="8235"/>
    <cellStyle name="출력 6 2 4" xfId="30639"/>
    <cellStyle name="출력 6 3" xfId="24889"/>
    <cellStyle name="출력 6 3 2" xfId="8233"/>
    <cellStyle name="출력 6 4" xfId="24890"/>
    <cellStyle name="출력 6 4 2" xfId="8232"/>
    <cellStyle name="출력 6 5" xfId="8236"/>
    <cellStyle name="출력 6 6" xfId="28218"/>
    <cellStyle name="출력 6 7" xfId="24886"/>
    <cellStyle name="출력 6 8" xfId="30237"/>
    <cellStyle name="출력 7" xfId="3198"/>
    <cellStyle name="출력 7 2" xfId="24892"/>
    <cellStyle name="출력 7 2 2" xfId="24893"/>
    <cellStyle name="출력 7 2 2 2" xfId="8229"/>
    <cellStyle name="출력 7 2 3" xfId="8230"/>
    <cellStyle name="출력 7 2 4" xfId="30640"/>
    <cellStyle name="출력 7 3" xfId="24894"/>
    <cellStyle name="출력 7 3 2" xfId="8228"/>
    <cellStyle name="출력 7 4" xfId="24895"/>
    <cellStyle name="출력 7 4 2" xfId="8227"/>
    <cellStyle name="출력 7 5" xfId="8231"/>
    <cellStyle name="출력 7 6" xfId="28217"/>
    <cellStyle name="출력 7 7" xfId="24891"/>
    <cellStyle name="출력 7 8" xfId="30238"/>
    <cellStyle name="출력 8" xfId="3199"/>
    <cellStyle name="출력 8 2" xfId="24897"/>
    <cellStyle name="출력 8 2 2" xfId="24898"/>
    <cellStyle name="출력 8 2 2 2" xfId="8224"/>
    <cellStyle name="출력 8 2 3" xfId="8225"/>
    <cellStyle name="출력 8 2 4" xfId="30641"/>
    <cellStyle name="출력 8 3" xfId="24899"/>
    <cellStyle name="출력 8 3 2" xfId="8223"/>
    <cellStyle name="출력 8 4" xfId="24900"/>
    <cellStyle name="출력 8 4 2" xfId="8222"/>
    <cellStyle name="출력 8 5" xfId="8226"/>
    <cellStyle name="출력 8 6" xfId="28216"/>
    <cellStyle name="출력 8 7" xfId="24896"/>
    <cellStyle name="출력 8 8" xfId="30239"/>
    <cellStyle name="출력 9" xfId="24901"/>
    <cellStyle name="출력 9 2" xfId="24902"/>
    <cellStyle name="출력 9 2 2" xfId="8220"/>
    <cellStyle name="출력 9 2 3" xfId="30642"/>
    <cellStyle name="출력 9 3" xfId="24903"/>
    <cellStyle name="출력 9 3 2" xfId="8219"/>
    <cellStyle name="출력 9 4" xfId="8221"/>
    <cellStyle name="출력 9 5" xfId="30240"/>
    <cellStyle name="출력 9 6" xfId="30665"/>
    <cellStyle name="콤마 [0]_98jeug" xfId="3200"/>
    <cellStyle name="콤마_98jeug" xfId="3201"/>
    <cellStyle name="통화 [0] 2" xfId="30694"/>
    <cellStyle name="표준" xfId="0" builtinId="0"/>
    <cellStyle name="표준 10" xfId="3202"/>
    <cellStyle name="표준 10 10" xfId="24904"/>
    <cellStyle name="표준 10 11" xfId="24905"/>
    <cellStyle name="표준 10 12" xfId="24906"/>
    <cellStyle name="표준 10 13" xfId="24907"/>
    <cellStyle name="표준 10 14" xfId="24908"/>
    <cellStyle name="표준 10 15" xfId="24909"/>
    <cellStyle name="표준 10 16" xfId="24910"/>
    <cellStyle name="표준 10 17" xfId="28215"/>
    <cellStyle name="표준 10 2" xfId="3203"/>
    <cellStyle name="표준 10 2 10" xfId="31492"/>
    <cellStyle name="표준 10 2 11" xfId="31491"/>
    <cellStyle name="표준 10 2 12" xfId="31490"/>
    <cellStyle name="표준 10 2 13" xfId="31489"/>
    <cellStyle name="표준 10 2 2" xfId="3204"/>
    <cellStyle name="표준 10 2 2 2" xfId="3205"/>
    <cellStyle name="표준 10 2 2 2 2" xfId="3206"/>
    <cellStyle name="표준 10 2 2 2 3" xfId="3207"/>
    <cellStyle name="표준 10 2 2 3" xfId="3208"/>
    <cellStyle name="표준 10 2 2 3 2" xfId="3209"/>
    <cellStyle name="표준 10 2 2 4" xfId="3210"/>
    <cellStyle name="표준 10 2 2 5" xfId="3211"/>
    <cellStyle name="표준 10 2 2 6" xfId="24911"/>
    <cellStyle name="표준 10 2 3" xfId="3212"/>
    <cellStyle name="표준 10 2 3 2" xfId="3213"/>
    <cellStyle name="표준 10 2 3 3" xfId="3214"/>
    <cellStyle name="표준 10 2 3 4" xfId="24912"/>
    <cellStyle name="표준 10 2 4" xfId="3215"/>
    <cellStyle name="표준 10 2 4 2" xfId="3216"/>
    <cellStyle name="표준 10 2 4 3" xfId="24913"/>
    <cellStyle name="표준 10 2 5" xfId="3217"/>
    <cellStyle name="표준 10 2 6" xfId="3218"/>
    <cellStyle name="표준 10 2 7" xfId="28214"/>
    <cellStyle name="표준 10 2 7 2" xfId="31488"/>
    <cellStyle name="표준 10 2 8" xfId="31487"/>
    <cellStyle name="표준 10 2 9" xfId="31486"/>
    <cellStyle name="표준 10 3" xfId="3219"/>
    <cellStyle name="표준 10 3 10" xfId="31485"/>
    <cellStyle name="표준 10 3 11" xfId="31484"/>
    <cellStyle name="표준 10 3 12" xfId="31483"/>
    <cellStyle name="표준 10 3 13" xfId="31482"/>
    <cellStyle name="표준 10 3 14" xfId="31481"/>
    <cellStyle name="표준 10 3 15" xfId="31480"/>
    <cellStyle name="표준 10 3 2" xfId="3220"/>
    <cellStyle name="표준 10 3 2 2" xfId="3221"/>
    <cellStyle name="표준 10 3 2 3" xfId="3222"/>
    <cellStyle name="표준 10 3 2 4" xfId="24914"/>
    <cellStyle name="표준 10 3 3" xfId="3223"/>
    <cellStyle name="표준 10 3 3 2" xfId="3224"/>
    <cellStyle name="표준 10 3 3 3" xfId="24915"/>
    <cellStyle name="표준 10 3 4" xfId="3225"/>
    <cellStyle name="표준 10 3 4 2" xfId="24916"/>
    <cellStyle name="표준 10 3 5" xfId="3226"/>
    <cellStyle name="표준 10 3 6" xfId="30643"/>
    <cellStyle name="표준 10 3 6 2" xfId="31479"/>
    <cellStyle name="표준 10 3 7" xfId="31478"/>
    <cellStyle name="표준 10 3 8" xfId="31477"/>
    <cellStyle name="표준 10 3 9" xfId="31476"/>
    <cellStyle name="표준 10 4" xfId="3227"/>
    <cellStyle name="표준 10 4 10" xfId="31927"/>
    <cellStyle name="표준 10 4 11" xfId="31475"/>
    <cellStyle name="표준 10 4 12" xfId="31474"/>
    <cellStyle name="표준 10 4 13" xfId="31473"/>
    <cellStyle name="표준 10 4 14" xfId="31472"/>
    <cellStyle name="표준 10 4 15" xfId="31926"/>
    <cellStyle name="표준 10 4 2" xfId="3228"/>
    <cellStyle name="표준 10 4 3" xfId="3229"/>
    <cellStyle name="표준 10 4 4" xfId="3230"/>
    <cellStyle name="표준 10 4 5" xfId="30671"/>
    <cellStyle name="표준 10 4 5 2" xfId="31471"/>
    <cellStyle name="표준 10 4 6" xfId="31470"/>
    <cellStyle name="표준 10 4 7" xfId="31469"/>
    <cellStyle name="표준 10 4 8" xfId="31468"/>
    <cellStyle name="표준 10 4 9" xfId="31467"/>
    <cellStyle name="표준 10 5" xfId="3231"/>
    <cellStyle name="표준 10 5 10" xfId="31925"/>
    <cellStyle name="표준 10 5 11" xfId="31466"/>
    <cellStyle name="표준 10 5 12" xfId="31465"/>
    <cellStyle name="표준 10 5 13" xfId="31464"/>
    <cellStyle name="표준 10 5 14" xfId="31463"/>
    <cellStyle name="표준 10 5 15" xfId="31462"/>
    <cellStyle name="표준 10 5 2" xfId="3232"/>
    <cellStyle name="표준 10 5 3" xfId="31461"/>
    <cellStyle name="표준 10 5 4" xfId="31460"/>
    <cellStyle name="표준 10 5 5" xfId="31459"/>
    <cellStyle name="표준 10 5 6" xfId="31458"/>
    <cellStyle name="표준 10 5 7" xfId="31457"/>
    <cellStyle name="표준 10 5 8" xfId="31456"/>
    <cellStyle name="표준 10 5 9" xfId="31455"/>
    <cellStyle name="표준 10 6" xfId="3233"/>
    <cellStyle name="표준 10 6 10" xfId="31454"/>
    <cellStyle name="표준 10 6 11" xfId="31453"/>
    <cellStyle name="표준 10 6 12" xfId="31452"/>
    <cellStyle name="표준 10 6 13" xfId="31924"/>
    <cellStyle name="표준 10 6 14" xfId="31451"/>
    <cellStyle name="표준 10 6 15" xfId="31923"/>
    <cellStyle name="표준 10 6 2" xfId="24917"/>
    <cellStyle name="표준 10 6 3" xfId="31922"/>
    <cellStyle name="표준 10 6 4" xfId="31450"/>
    <cellStyle name="표준 10 6 5" xfId="31449"/>
    <cellStyle name="표준 10 6 6" xfId="31448"/>
    <cellStyle name="표준 10 6 7" xfId="31982"/>
    <cellStyle name="표준 10 6 8" xfId="31921"/>
    <cellStyle name="표준 10 6 9" xfId="31447"/>
    <cellStyle name="표준 10 7" xfId="3234"/>
    <cellStyle name="표준 10 7 2" xfId="24918"/>
    <cellStyle name="표준 10 8" xfId="24919"/>
    <cellStyle name="표준 10 9" xfId="24920"/>
    <cellStyle name="표준 100" xfId="24921"/>
    <cellStyle name="표준 101" xfId="24922"/>
    <cellStyle name="표준 102" xfId="28099"/>
    <cellStyle name="표준 102 2" xfId="30716"/>
    <cellStyle name="표준 102 2 2" xfId="30766"/>
    <cellStyle name="표준 102 2 2 2" xfId="30863"/>
    <cellStyle name="표준 102 2 2 2 2" xfId="32217"/>
    <cellStyle name="표준 102 2 2 3" xfId="32122"/>
    <cellStyle name="표준 102 2 3" xfId="30816"/>
    <cellStyle name="표준 102 2 3 2" xfId="32170"/>
    <cellStyle name="표준 102 2 4" xfId="32075"/>
    <cellStyle name="표준 102 3" xfId="30743"/>
    <cellStyle name="표준 102 3 2" xfId="30840"/>
    <cellStyle name="표준 102 3 2 2" xfId="32194"/>
    <cellStyle name="표준 102 3 3" xfId="32099"/>
    <cellStyle name="표준 102 4" xfId="30792"/>
    <cellStyle name="표준 102 4 2" xfId="32147"/>
    <cellStyle name="표준 102 5" xfId="32051"/>
    <cellStyle name="표준 103" xfId="16557"/>
    <cellStyle name="표준 104" xfId="29438"/>
    <cellStyle name="표준 104 2" xfId="30730"/>
    <cellStyle name="표준 104 2 2" xfId="30780"/>
    <cellStyle name="표준 104 2 2 2" xfId="30877"/>
    <cellStyle name="표준 104 2 2 2 2" xfId="32231"/>
    <cellStyle name="표준 104 2 2 3" xfId="32136"/>
    <cellStyle name="표준 104 2 3" xfId="30830"/>
    <cellStyle name="표준 104 2 3 2" xfId="32184"/>
    <cellStyle name="표준 104 2 4" xfId="32089"/>
    <cellStyle name="표준 104 3" xfId="30757"/>
    <cellStyle name="표준 104 3 2" xfId="30854"/>
    <cellStyle name="표준 104 3 2 2" xfId="32208"/>
    <cellStyle name="표준 104 3 3" xfId="32113"/>
    <cellStyle name="표준 104 4" xfId="30807"/>
    <cellStyle name="표준 104 4 2" xfId="32161"/>
    <cellStyle name="표준 104 5" xfId="32066"/>
    <cellStyle name="표준 105" xfId="30693"/>
    <cellStyle name="표준 106" xfId="30739"/>
    <cellStyle name="표준 106 2" xfId="30789"/>
    <cellStyle name="표준 106 2 2" xfId="30886"/>
    <cellStyle name="표준 106 2 2 2" xfId="32240"/>
    <cellStyle name="표준 106 2 3" xfId="32145"/>
    <cellStyle name="표준 106 3" xfId="30839"/>
    <cellStyle name="표준 106 3 2" xfId="32193"/>
    <cellStyle name="표준 106 4" xfId="32098"/>
    <cellStyle name="표준 107" xfId="30791"/>
    <cellStyle name="표준 108" xfId="30790"/>
    <cellStyle name="표준 108 2" xfId="32146"/>
    <cellStyle name="표준 109" xfId="32050"/>
    <cellStyle name="표준 11" xfId="3235"/>
    <cellStyle name="표준 11 10" xfId="24923"/>
    <cellStyle name="표준 11 11" xfId="24924"/>
    <cellStyle name="표준 11 12" xfId="24925"/>
    <cellStyle name="표준 11 13" xfId="24926"/>
    <cellStyle name="표준 11 14" xfId="24927"/>
    <cellStyle name="표준 11 15" xfId="24928"/>
    <cellStyle name="표준 11 16" xfId="24929"/>
    <cellStyle name="표준 11 17" xfId="24930"/>
    <cellStyle name="표준 11 18" xfId="24931"/>
    <cellStyle name="표준 11 19" xfId="30244"/>
    <cellStyle name="표준 11 2" xfId="3236"/>
    <cellStyle name="표준 11 2 10" xfId="31446"/>
    <cellStyle name="표준 11 2 11" xfId="31920"/>
    <cellStyle name="표준 11 2 12" xfId="31445"/>
    <cellStyle name="표준 11 2 13" xfId="31444"/>
    <cellStyle name="표준 11 2 2" xfId="3237"/>
    <cellStyle name="표준 11 2 2 2" xfId="3238"/>
    <cellStyle name="표준 11 2 2 3" xfId="3239"/>
    <cellStyle name="표준 11 2 2 3 2" xfId="3240"/>
    <cellStyle name="표준 11 2 2 4" xfId="3241"/>
    <cellStyle name="표준 11 2 3" xfId="3242"/>
    <cellStyle name="표준 11 2 3 2" xfId="28213"/>
    <cellStyle name="표준 11 2 3 2 2" xfId="30674"/>
    <cellStyle name="표준 11 2 3 3" xfId="24932"/>
    <cellStyle name="표준 11 2 3 4" xfId="30687"/>
    <cellStyle name="표준 11 2 4" xfId="3243"/>
    <cellStyle name="표준 11 2 5" xfId="3244"/>
    <cellStyle name="표준 11 2 5 2" xfId="3245"/>
    <cellStyle name="표준 11 2 5 3" xfId="29815"/>
    <cellStyle name="표준 11 2 6" xfId="3246"/>
    <cellStyle name="표준 11 2 6 2" xfId="29757"/>
    <cellStyle name="표준 11 2 7" xfId="24933"/>
    <cellStyle name="표준 11 2 8" xfId="31443"/>
    <cellStyle name="표준 11 2 9" xfId="31442"/>
    <cellStyle name="표준 11 3" xfId="3247"/>
    <cellStyle name="표준 11 3 10" xfId="31441"/>
    <cellStyle name="표준 11 3 11" xfId="31440"/>
    <cellStyle name="표준 11 3 12" xfId="31439"/>
    <cellStyle name="표준 11 3 13" xfId="31438"/>
    <cellStyle name="표준 11 3 14" xfId="31437"/>
    <cellStyle name="표준 11 3 15" xfId="31436"/>
    <cellStyle name="표준 11 3 2" xfId="24934"/>
    <cellStyle name="표준 11 3 3" xfId="31919"/>
    <cellStyle name="표준 11 3 4" xfId="31918"/>
    <cellStyle name="표준 11 3 5" xfId="31435"/>
    <cellStyle name="표준 11 3 6" xfId="31434"/>
    <cellStyle name="표준 11 3 7" xfId="31433"/>
    <cellStyle name="표준 11 3 8" xfId="31432"/>
    <cellStyle name="표준 11 3 9" xfId="31431"/>
    <cellStyle name="표준 11 4" xfId="3248"/>
    <cellStyle name="표준 11 4 10" xfId="31430"/>
    <cellStyle name="표준 11 4 11" xfId="31429"/>
    <cellStyle name="표준 11 4 12" xfId="31428"/>
    <cellStyle name="표준 11 4 13" xfId="31427"/>
    <cellStyle name="표준 11 4 14" xfId="31426"/>
    <cellStyle name="표준 11 4 15" xfId="31425"/>
    <cellStyle name="표준 11 4 2" xfId="3249"/>
    <cellStyle name="표준 11 4 2 2" xfId="29660"/>
    <cellStyle name="표준 11 4 3" xfId="24935"/>
    <cellStyle name="표준 11 4 4" xfId="28212"/>
    <cellStyle name="표준 11 4 4 2" xfId="31424"/>
    <cellStyle name="표준 11 4 5" xfId="31423"/>
    <cellStyle name="표준 11 4 6" xfId="31422"/>
    <cellStyle name="표준 11 4 7" xfId="31421"/>
    <cellStyle name="표준 11 4 8" xfId="31420"/>
    <cellStyle name="표준 11 4 9" xfId="31419"/>
    <cellStyle name="표준 11 5" xfId="3250"/>
    <cellStyle name="표준 11 5 10" xfId="31418"/>
    <cellStyle name="표준 11 5 11" xfId="31417"/>
    <cellStyle name="표준 11 5 12" xfId="31416"/>
    <cellStyle name="표준 11 5 13" xfId="31415"/>
    <cellStyle name="표준 11 5 14" xfId="31917"/>
    <cellStyle name="표준 11 5 15" xfId="31916"/>
    <cellStyle name="표준 11 5 2" xfId="3251"/>
    <cellStyle name="표준 11 5 2 2" xfId="3252"/>
    <cellStyle name="표준 11 5 2 3" xfId="29542"/>
    <cellStyle name="표준 11 5 3" xfId="3253"/>
    <cellStyle name="표준 11 5 3 2" xfId="29748"/>
    <cellStyle name="표준 11 5 4" xfId="24936"/>
    <cellStyle name="표준 11 5 5" xfId="30129"/>
    <cellStyle name="표준 11 5 5 2" xfId="31915"/>
    <cellStyle name="표준 11 5 6" xfId="31914"/>
    <cellStyle name="표준 11 5 7" xfId="31913"/>
    <cellStyle name="표준 11 5 8" xfId="31912"/>
    <cellStyle name="표준 11 5 9" xfId="31911"/>
    <cellStyle name="표준 11 6" xfId="3254"/>
    <cellStyle name="표준 11 6 10" xfId="31414"/>
    <cellStyle name="표준 11 6 11" xfId="31413"/>
    <cellStyle name="표준 11 6 12" xfId="31412"/>
    <cellStyle name="표준 11 6 13" xfId="31411"/>
    <cellStyle name="표준 11 6 14" xfId="31410"/>
    <cellStyle name="표준 11 6 15" xfId="31409"/>
    <cellStyle name="표준 11 6 2" xfId="24938"/>
    <cellStyle name="표준 11 6 3" xfId="28211"/>
    <cellStyle name="표준 11 6 3 2" xfId="31408"/>
    <cellStyle name="표준 11 6 4" xfId="24937"/>
    <cellStyle name="표준 11 6 5" xfId="31407"/>
    <cellStyle name="표준 11 6 6" xfId="31406"/>
    <cellStyle name="표준 11 6 7" xfId="31405"/>
    <cellStyle name="표준 11 6 8" xfId="31404"/>
    <cellStyle name="표준 11 6 9" xfId="31403"/>
    <cellStyle name="표준 11 7" xfId="3255"/>
    <cellStyle name="표준 11 7 2" xfId="28210"/>
    <cellStyle name="표준 11 7 3" xfId="24939"/>
    <cellStyle name="표준 11 8" xfId="3256"/>
    <cellStyle name="표준 11 8 2" xfId="3257"/>
    <cellStyle name="표준 11 8 3" xfId="24940"/>
    <cellStyle name="표준 11 9" xfId="3258"/>
    <cellStyle name="표준 11 9 2" xfId="24941"/>
    <cellStyle name="표준 110" xfId="32049"/>
    <cellStyle name="표준 111" xfId="32383"/>
    <cellStyle name="표준 12" xfId="3259"/>
    <cellStyle name="표준 12 10" xfId="3260"/>
    <cellStyle name="표준 12 11" xfId="28209"/>
    <cellStyle name="표준 12 2" xfId="3261"/>
    <cellStyle name="표준 12 2 10" xfId="31402"/>
    <cellStyle name="표준 12 2 11" xfId="31401"/>
    <cellStyle name="표준 12 2 12" xfId="31400"/>
    <cellStyle name="표준 12 2 13" xfId="31399"/>
    <cellStyle name="표준 12 2 2" xfId="3262"/>
    <cellStyle name="표준 12 2 2 2" xfId="3263"/>
    <cellStyle name="표준 12 2 2 3" xfId="3264"/>
    <cellStyle name="표준 12 2 2 3 2" xfId="3265"/>
    <cellStyle name="표준 12 2 2 4" xfId="3266"/>
    <cellStyle name="표준 12 2 2 5" xfId="3267"/>
    <cellStyle name="표준 12 2 3" xfId="3268"/>
    <cellStyle name="표준 12 2 3 2" xfId="3269"/>
    <cellStyle name="표준 12 2 3 2 2" xfId="29516"/>
    <cellStyle name="표준 12 2 3 3" xfId="30270"/>
    <cellStyle name="표준 12 2 3 4" xfId="29439"/>
    <cellStyle name="표준 12 2 4" xfId="3270"/>
    <cellStyle name="표준 12 2 4 2" xfId="3271"/>
    <cellStyle name="표준 12 2 5" xfId="3272"/>
    <cellStyle name="표준 12 2 5 2" xfId="29659"/>
    <cellStyle name="표준 12 2 6" xfId="3273"/>
    <cellStyle name="표준 12 2 6 2" xfId="30265"/>
    <cellStyle name="표준 12 2 7" xfId="31398"/>
    <cellStyle name="표준 12 2 8" xfId="31397"/>
    <cellStyle name="표준 12 2 9" xfId="31396"/>
    <cellStyle name="표준 12 3" xfId="3274"/>
    <cellStyle name="표준 12 3 10" xfId="31395"/>
    <cellStyle name="표준 12 3 11" xfId="31910"/>
    <cellStyle name="표준 12 3 12" xfId="31909"/>
    <cellStyle name="표준 12 3 13" xfId="31908"/>
    <cellStyle name="표준 12 3 14" xfId="31907"/>
    <cellStyle name="표준 12 3 15" xfId="31906"/>
    <cellStyle name="표준 12 3 2" xfId="3275"/>
    <cellStyle name="표준 12 3 2 2" xfId="3276"/>
    <cellStyle name="표준 12 3 2 3" xfId="29711"/>
    <cellStyle name="표준 12 3 3" xfId="3277"/>
    <cellStyle name="표준 12 3 4" xfId="28208"/>
    <cellStyle name="표준 12 3 4 2" xfId="31905"/>
    <cellStyle name="표준 12 3 5" xfId="31904"/>
    <cellStyle name="표준 12 3 6" xfId="31903"/>
    <cellStyle name="표준 12 3 7" xfId="31394"/>
    <cellStyle name="표준 12 3 8" xfId="31393"/>
    <cellStyle name="표준 12 3 9" xfId="32041"/>
    <cellStyle name="표준 12 4" xfId="3278"/>
    <cellStyle name="표준 12 4 10" xfId="31392"/>
    <cellStyle name="표준 12 4 11" xfId="31391"/>
    <cellStyle name="표준 12 4 12" xfId="31390"/>
    <cellStyle name="표준 12 4 13" xfId="31902"/>
    <cellStyle name="표준 12 4 14" xfId="31901"/>
    <cellStyle name="표준 12 4 15" xfId="31900"/>
    <cellStyle name="표준 12 4 2" xfId="3279"/>
    <cellStyle name="표준 12 4 3" xfId="31899"/>
    <cellStyle name="표준 12 4 4" xfId="31898"/>
    <cellStyle name="표준 12 4 5" xfId="31897"/>
    <cellStyle name="표준 12 4 6" xfId="31896"/>
    <cellStyle name="표준 12 4 7" xfId="31895"/>
    <cellStyle name="표준 12 4 8" xfId="31894"/>
    <cellStyle name="표준 12 4 9" xfId="31389"/>
    <cellStyle name="표준 12 5" xfId="3280"/>
    <cellStyle name="표준 12 5 10" xfId="31388"/>
    <cellStyle name="표준 12 5 11" xfId="31387"/>
    <cellStyle name="표준 12 5 12" xfId="31893"/>
    <cellStyle name="표준 12 5 13" xfId="31892"/>
    <cellStyle name="표준 12 5 14" xfId="31891"/>
    <cellStyle name="표준 12 5 15" xfId="31890"/>
    <cellStyle name="표준 12 5 2" xfId="3281"/>
    <cellStyle name="표준 12 5 2 2" xfId="3282"/>
    <cellStyle name="표준 12 5 2 3" xfId="29843"/>
    <cellStyle name="표준 12 5 3" xfId="3283"/>
    <cellStyle name="표준 12 5 4" xfId="30691"/>
    <cellStyle name="표준 12 5 4 2" xfId="31889"/>
    <cellStyle name="표준 12 5 5" xfId="31386"/>
    <cellStyle name="표준 12 5 6" xfId="31888"/>
    <cellStyle name="표준 12 5 7" xfId="31385"/>
    <cellStyle name="표준 12 5 8" xfId="31384"/>
    <cellStyle name="표준 12 5 9" xfId="31383"/>
    <cellStyle name="표준 12 6" xfId="3284"/>
    <cellStyle name="표준 12 6 10" xfId="31887"/>
    <cellStyle name="표준 12 6 11" xfId="31886"/>
    <cellStyle name="표준 12 6 12" xfId="31885"/>
    <cellStyle name="표준 12 6 13" xfId="31382"/>
    <cellStyle name="표준 12 6 14" xfId="31884"/>
    <cellStyle name="표준 12 6 15" xfId="31381"/>
    <cellStyle name="표준 12 6 2" xfId="31883"/>
    <cellStyle name="표준 12 6 3" xfId="31380"/>
    <cellStyle name="표준 12 6 4" xfId="31882"/>
    <cellStyle name="표준 12 6 5" xfId="31379"/>
    <cellStyle name="표준 12 6 6" xfId="31378"/>
    <cellStyle name="표준 12 6 7" xfId="31377"/>
    <cellStyle name="표준 12 6 8" xfId="31881"/>
    <cellStyle name="표준 12 6 9" xfId="31880"/>
    <cellStyle name="표준 12 7" xfId="3285"/>
    <cellStyle name="표준 12 7 2" xfId="28207"/>
    <cellStyle name="표준 12 7 3" xfId="24942"/>
    <cellStyle name="표준 12 8" xfId="3286"/>
    <cellStyle name="표준 12 8 2" xfId="3287"/>
    <cellStyle name="표준 12 9" xfId="3288"/>
    <cellStyle name="표준 13" xfId="3289"/>
    <cellStyle name="표준 13 2" xfId="3290"/>
    <cellStyle name="표준 13 2 10" xfId="31879"/>
    <cellStyle name="표준 13 2 11" xfId="31376"/>
    <cellStyle name="표준 13 2 12" xfId="31878"/>
    <cellStyle name="표준 13 2 13" xfId="31375"/>
    <cellStyle name="표준 13 2 14" xfId="31374"/>
    <cellStyle name="표준 13 2 15" xfId="31877"/>
    <cellStyle name="표준 13 2 16" xfId="31373"/>
    <cellStyle name="표준 13 2 17" xfId="31372"/>
    <cellStyle name="표준 13 2 18" xfId="31371"/>
    <cellStyle name="표준 13 2 19" xfId="31370"/>
    <cellStyle name="표준 13 2 2" xfId="3291"/>
    <cellStyle name="표준 13 2 2 2" xfId="31876"/>
    <cellStyle name="표준 13 2 2 3" xfId="31875"/>
    <cellStyle name="표준 13 2 2 4" xfId="31874"/>
    <cellStyle name="표준 13 2 20" xfId="31873"/>
    <cellStyle name="표준 13 2 21" xfId="31369"/>
    <cellStyle name="표준 13 2 22" xfId="31872"/>
    <cellStyle name="표준 13 2 23" xfId="31368"/>
    <cellStyle name="표준 13 2 3" xfId="24943"/>
    <cellStyle name="표준 13 2 3 2" xfId="29709"/>
    <cellStyle name="표준 13 2 4" xfId="28206"/>
    <cellStyle name="표준 13 2 4 2" xfId="31367"/>
    <cellStyle name="표준 13 2 5" xfId="30645"/>
    <cellStyle name="표준 13 2 5 2" xfId="30736"/>
    <cellStyle name="표준 13 2 5 2 2" xfId="30786"/>
    <cellStyle name="표준 13 2 5 2 2 2" xfId="30883"/>
    <cellStyle name="표준 13 2 5 2 2 2 2" xfId="32237"/>
    <cellStyle name="표준 13 2 5 2 2 3" xfId="32142"/>
    <cellStyle name="표준 13 2 5 2 3" xfId="30836"/>
    <cellStyle name="표준 13 2 5 2 3 2" xfId="32190"/>
    <cellStyle name="표준 13 2 5 2 4" xfId="32095"/>
    <cellStyle name="표준 13 2 5 3" xfId="30763"/>
    <cellStyle name="표준 13 2 5 3 2" xfId="30860"/>
    <cellStyle name="표준 13 2 5 3 2 2" xfId="32214"/>
    <cellStyle name="표준 13 2 5 3 3" xfId="32119"/>
    <cellStyle name="표준 13 2 5 4" xfId="31366"/>
    <cellStyle name="표준 13 2 5 5" xfId="30813"/>
    <cellStyle name="표준 13 2 5 5 2" xfId="32167"/>
    <cellStyle name="표준 13 2 5 6" xfId="32072"/>
    <cellStyle name="표준 13 2 6" xfId="31871"/>
    <cellStyle name="표준 13 2 7" xfId="31365"/>
    <cellStyle name="표준 13 2 8" xfId="31364"/>
    <cellStyle name="표준 13 2 9" xfId="31363"/>
    <cellStyle name="표준 13 3" xfId="3292"/>
    <cellStyle name="표준 13 3 10" xfId="31983"/>
    <cellStyle name="표준 13 3 11" xfId="31870"/>
    <cellStyle name="표준 13 3 12" xfId="31362"/>
    <cellStyle name="표준 13 3 13" xfId="31361"/>
    <cellStyle name="표준 13 3 14" xfId="31360"/>
    <cellStyle name="표준 13 3 15" xfId="31359"/>
    <cellStyle name="표준 13 3 16" xfId="31358"/>
    <cellStyle name="표준 13 3 17" xfId="31357"/>
    <cellStyle name="표준 13 3 18" xfId="31356"/>
    <cellStyle name="표준 13 3 19" xfId="31355"/>
    <cellStyle name="표준 13 3 2" xfId="24944"/>
    <cellStyle name="표준 13 3 3" xfId="31354"/>
    <cellStyle name="표준 13 3 4" xfId="31869"/>
    <cellStyle name="표준 13 3 5" xfId="31868"/>
    <cellStyle name="표준 13 3 6" xfId="31353"/>
    <cellStyle name="표준 13 3 7" xfId="31867"/>
    <cellStyle name="표준 13 3 8" xfId="31866"/>
    <cellStyle name="표준 13 3 9" xfId="31865"/>
    <cellStyle name="표준 13 4" xfId="24945"/>
    <cellStyle name="표준 13 4 10" xfId="31864"/>
    <cellStyle name="표준 13 4 11" xfId="31352"/>
    <cellStyle name="표준 13 4 12" xfId="31351"/>
    <cellStyle name="표준 13 4 13" xfId="31984"/>
    <cellStyle name="표준 13 4 14" xfId="31863"/>
    <cellStyle name="표준 13 4 15" xfId="31350"/>
    <cellStyle name="표준 13 4 16" xfId="31349"/>
    <cellStyle name="표준 13 4 17" xfId="31348"/>
    <cellStyle name="표준 13 4 18" xfId="31347"/>
    <cellStyle name="표준 13 4 19" xfId="31346"/>
    <cellStyle name="표준 13 4 2" xfId="31862"/>
    <cellStyle name="표준 13 4 3" xfId="31345"/>
    <cellStyle name="표준 13 4 4" xfId="31344"/>
    <cellStyle name="표준 13 4 5" xfId="31343"/>
    <cellStyle name="표준 13 4 6" xfId="31342"/>
    <cellStyle name="표준 13 4 7" xfId="31861"/>
    <cellStyle name="표준 13 4 8" xfId="31341"/>
    <cellStyle name="표준 13 4 9" xfId="31340"/>
    <cellStyle name="표준 13 5" xfId="30644"/>
    <cellStyle name="표준 13 5 10" xfId="31338"/>
    <cellStyle name="표준 13 5 11" xfId="31337"/>
    <cellStyle name="표준 13 5 12" xfId="31336"/>
    <cellStyle name="표준 13 5 13" xfId="31335"/>
    <cellStyle name="표준 13 5 14" xfId="31334"/>
    <cellStyle name="표준 13 5 15" xfId="31333"/>
    <cellStyle name="표준 13 5 16" xfId="31860"/>
    <cellStyle name="표준 13 5 17" xfId="31332"/>
    <cellStyle name="표준 13 5 18" xfId="31331"/>
    <cellStyle name="표준 13 5 19" xfId="31330"/>
    <cellStyle name="표준 13 5 2" xfId="30735"/>
    <cellStyle name="표준 13 5 2 2" xfId="30785"/>
    <cellStyle name="표준 13 5 2 2 2" xfId="30882"/>
    <cellStyle name="표준 13 5 2 2 2 2" xfId="32236"/>
    <cellStyle name="표준 13 5 2 2 3" xfId="32141"/>
    <cellStyle name="표준 13 5 2 3" xfId="31329"/>
    <cellStyle name="표준 13 5 2 4" xfId="30835"/>
    <cellStyle name="표준 13 5 2 4 2" xfId="32189"/>
    <cellStyle name="표준 13 5 2 5" xfId="32094"/>
    <cellStyle name="표준 13 5 20" xfId="31339"/>
    <cellStyle name="표준 13 5 21" xfId="30812"/>
    <cellStyle name="표준 13 5 21 2" xfId="32166"/>
    <cellStyle name="표준 13 5 22" xfId="32071"/>
    <cellStyle name="표준 13 5 3" xfId="30762"/>
    <cellStyle name="표준 13 5 3 2" xfId="31328"/>
    <cellStyle name="표준 13 5 3 3" xfId="30859"/>
    <cellStyle name="표준 13 5 3 3 2" xfId="32213"/>
    <cellStyle name="표준 13 5 3 4" xfId="32118"/>
    <cellStyle name="표준 13 5 4" xfId="31327"/>
    <cellStyle name="표준 13 5 5" xfId="31326"/>
    <cellStyle name="표준 13 5 6" xfId="31325"/>
    <cellStyle name="표준 13 5 7" xfId="31324"/>
    <cellStyle name="표준 13 5 8" xfId="31323"/>
    <cellStyle name="표준 13 5 9" xfId="31322"/>
    <cellStyle name="표준 13 6" xfId="31321"/>
    <cellStyle name="표준 13 7" xfId="31320"/>
    <cellStyle name="표준 13 8" xfId="31319"/>
    <cellStyle name="표준 13 9" xfId="31318"/>
    <cellStyle name="표준 14" xfId="3293"/>
    <cellStyle name="표준 14 10" xfId="24946"/>
    <cellStyle name="표준 14 11" xfId="24947"/>
    <cellStyle name="표준 14 12" xfId="24948"/>
    <cellStyle name="표준 14 13" xfId="28205"/>
    <cellStyle name="표준 14 14" xfId="30646"/>
    <cellStyle name="표준 14 14 2" xfId="30737"/>
    <cellStyle name="표준 14 14 2 2" xfId="30787"/>
    <cellStyle name="표준 14 14 2 2 2" xfId="30884"/>
    <cellStyle name="표준 14 14 2 2 2 2" xfId="32238"/>
    <cellStyle name="표준 14 14 2 2 3" xfId="32143"/>
    <cellStyle name="표준 14 14 2 3" xfId="30837"/>
    <cellStyle name="표준 14 14 2 3 2" xfId="32191"/>
    <cellStyle name="표준 14 14 2 4" xfId="32096"/>
    <cellStyle name="표준 14 14 3" xfId="30764"/>
    <cellStyle name="표준 14 14 3 2" xfId="30861"/>
    <cellStyle name="표준 14 14 3 2 2" xfId="32215"/>
    <cellStyle name="표준 14 14 3 3" xfId="32120"/>
    <cellStyle name="표준 14 14 4" xfId="30814"/>
    <cellStyle name="표준 14 14 4 2" xfId="32168"/>
    <cellStyle name="표준 14 14 5" xfId="32073"/>
    <cellStyle name="표준 14 2" xfId="3294"/>
    <cellStyle name="표준 14 2 2" xfId="3295"/>
    <cellStyle name="표준 14 2 3" xfId="3296"/>
    <cellStyle name="표준 14 2 4" xfId="24949"/>
    <cellStyle name="표준 14 2 5" xfId="29878"/>
    <cellStyle name="표준 14 3" xfId="3297"/>
    <cellStyle name="표준 14 3 2" xfId="3298"/>
    <cellStyle name="표준 14 3 2 2" xfId="29658"/>
    <cellStyle name="표준 14 3 3" xfId="24950"/>
    <cellStyle name="표준 14 3 3 2" xfId="29795"/>
    <cellStyle name="표준 14 3 4" xfId="28204"/>
    <cellStyle name="표준 14 3 5" xfId="29793"/>
    <cellStyle name="표준 14 4" xfId="3299"/>
    <cellStyle name="표준 14 4 2" xfId="3300"/>
    <cellStyle name="표준 14 4 2 2" xfId="28203"/>
    <cellStyle name="표준 14 4 2 3" xfId="24951"/>
    <cellStyle name="표준 14 4 3" xfId="3301"/>
    <cellStyle name="표준 14 4 4" xfId="29708"/>
    <cellStyle name="표준 14 5" xfId="3302"/>
    <cellStyle name="표준 14 5 2" xfId="24952"/>
    <cellStyle name="표준 14 6" xfId="24953"/>
    <cellStyle name="표준 14 7" xfId="24954"/>
    <cellStyle name="표준 14 8" xfId="24955"/>
    <cellStyle name="표준 14 9" xfId="24956"/>
    <cellStyle name="표준 15" xfId="3303"/>
    <cellStyle name="표준 15 2" xfId="3304"/>
    <cellStyle name="표준 15 2 2" xfId="3305"/>
    <cellStyle name="표준 15 2 2 2" xfId="29531"/>
    <cellStyle name="표준 15 2 3" xfId="28201"/>
    <cellStyle name="표준 15 2 4" xfId="29828"/>
    <cellStyle name="표준 15 3" xfId="3306"/>
    <cellStyle name="표준 15 3 2" xfId="3307"/>
    <cellStyle name="표준 15 4" xfId="3308"/>
    <cellStyle name="표준 15 4 2" xfId="28200"/>
    <cellStyle name="표준 15 4 3" xfId="24957"/>
    <cellStyle name="표준 15 5" xfId="3309"/>
    <cellStyle name="표준 15 5 2" xfId="29530"/>
    <cellStyle name="표준 15 6" xfId="24958"/>
    <cellStyle name="표준 15 7" xfId="28202"/>
    <cellStyle name="표준 15 7 2" xfId="31859"/>
    <cellStyle name="표준 15 8" xfId="31317"/>
    <cellStyle name="표준 16" xfId="3310"/>
    <cellStyle name="표준 16 2" xfId="3311"/>
    <cellStyle name="표준 16 2 2" xfId="28199"/>
    <cellStyle name="표준 16 2 3" xfId="24959"/>
    <cellStyle name="표준 16 3" xfId="3312"/>
    <cellStyle name="표준 16 4" xfId="31316"/>
    <cellStyle name="표준 16 5" xfId="31315"/>
    <cellStyle name="표준 16 6" xfId="31314"/>
    <cellStyle name="표준 16 7" xfId="31985"/>
    <cellStyle name="표준 16 8" xfId="31858"/>
    <cellStyle name="표준 17" xfId="3313"/>
    <cellStyle name="표준 17 2" xfId="3314"/>
    <cellStyle name="표준 17 2 2" xfId="24961"/>
    <cellStyle name="표준 17 2 2 2" xfId="30436"/>
    <cellStyle name="표준 17 2 3" xfId="28197"/>
    <cellStyle name="표준 17 2 3 2" xfId="30003"/>
    <cellStyle name="표준 17 2 4" xfId="24960"/>
    <cellStyle name="표준 17 3" xfId="3315"/>
    <cellStyle name="표준 17 3 2" xfId="24962"/>
    <cellStyle name="표준 17 4" xfId="24963"/>
    <cellStyle name="표준 17 5" xfId="28198"/>
    <cellStyle name="표준 17 5 2" xfId="31313"/>
    <cellStyle name="표준 17 6" xfId="31312"/>
    <cellStyle name="표준 17 7" xfId="31311"/>
    <cellStyle name="표준 17 8" xfId="31857"/>
    <cellStyle name="표준 18" xfId="3316"/>
    <cellStyle name="표준 18 2" xfId="3317"/>
    <cellStyle name="표준 18 2 2" xfId="24965"/>
    <cellStyle name="표준 18 2 2 2" xfId="29613"/>
    <cellStyle name="표준 18 2 2 2 2" xfId="30987"/>
    <cellStyle name="표준 18 2 2 2 2 2" xfId="30946"/>
    <cellStyle name="표준 18 2 2 2 2 2 2" xfId="32299"/>
    <cellStyle name="표준 18 2 2 2 2 3" xfId="32338"/>
    <cellStyle name="표준 18 2 2 2 3" xfId="30971"/>
    <cellStyle name="표준 18 2 2 2 3 2" xfId="32323"/>
    <cellStyle name="표준 18 2 2 3" xfId="30975"/>
    <cellStyle name="표준 18 2 2 3 2" xfId="30980"/>
    <cellStyle name="표준 18 2 2 3 2 2" xfId="32332"/>
    <cellStyle name="표준 18 2 2 3 3" xfId="32327"/>
    <cellStyle name="표준 18 2 2 4" xfId="30960"/>
    <cellStyle name="표준 18 2 2 4 2" xfId="32312"/>
    <cellStyle name="표준 18 2 3" xfId="28196"/>
    <cellStyle name="표준 18 2 3 2" xfId="29804"/>
    <cellStyle name="표준 18 2 3 2 2" xfId="30976"/>
    <cellStyle name="표준 18 2 3 2 2 2" xfId="32328"/>
    <cellStyle name="표준 18 2 3 3" xfId="30984"/>
    <cellStyle name="표준 18 2 3 3 2" xfId="32336"/>
    <cellStyle name="표준 18 2 4" xfId="24964"/>
    <cellStyle name="표준 18 2 4 2" xfId="30921"/>
    <cellStyle name="표준 18 2 4 2 2" xfId="32275"/>
    <cellStyle name="표준 18 2 5" xfId="31022"/>
    <cellStyle name="표준 18 2 5 2" xfId="32372"/>
    <cellStyle name="표준 18 3" xfId="24966"/>
    <cellStyle name="표준 18 3 2" xfId="30970"/>
    <cellStyle name="표준 18 3 2 2" xfId="30966"/>
    <cellStyle name="표준 18 3 2 2 2" xfId="30997"/>
    <cellStyle name="표준 18 3 2 2 2 2" xfId="32348"/>
    <cellStyle name="표준 18 3 2 2 3" xfId="32318"/>
    <cellStyle name="표준 18 3 2 3" xfId="31027"/>
    <cellStyle name="표준 18 3 2 3 2" xfId="32377"/>
    <cellStyle name="표준 18 3 2 4" xfId="32322"/>
    <cellStyle name="표준 18 3 3" xfId="31024"/>
    <cellStyle name="표준 18 3 3 2" xfId="30907"/>
    <cellStyle name="표준 18 3 3 2 2" xfId="32261"/>
    <cellStyle name="표준 18 3 3 3" xfId="32374"/>
    <cellStyle name="표준 18 3 4" xfId="30961"/>
    <cellStyle name="표준 18 3 4 2" xfId="32313"/>
    <cellStyle name="표준 18 4" xfId="24967"/>
    <cellStyle name="표준 18 4 2" xfId="31016"/>
    <cellStyle name="표준 18 4 2 2" xfId="31020"/>
    <cellStyle name="표준 18 4 2 2 2" xfId="32370"/>
    <cellStyle name="표준 18 4 2 3" xfId="32366"/>
    <cellStyle name="표준 18 4 3" xfId="30982"/>
    <cellStyle name="표준 18 4 3 2" xfId="32334"/>
    <cellStyle name="표준 18 5" xfId="30912"/>
    <cellStyle name="표준 18 5 2" xfId="30918"/>
    <cellStyle name="표준 18 5 2 2" xfId="32272"/>
    <cellStyle name="표준 18 5 3" xfId="31310"/>
    <cellStyle name="표준 18 5 4" xfId="32266"/>
    <cellStyle name="표준 18 6" xfId="30895"/>
    <cellStyle name="표준 18 6 2" xfId="31309"/>
    <cellStyle name="표준 18 6 3" xfId="32249"/>
    <cellStyle name="표준 18 7" xfId="31308"/>
    <cellStyle name="표준 18 8" xfId="31856"/>
    <cellStyle name="표준 19" xfId="3318"/>
    <cellStyle name="표준 19 2" xfId="3319"/>
    <cellStyle name="표준 19 2 2" xfId="24969"/>
    <cellStyle name="표준 19 2 2 2" xfId="29975"/>
    <cellStyle name="표준 19 2 3" xfId="28195"/>
    <cellStyle name="표준 19 2 3 2" xfId="29494"/>
    <cellStyle name="표준 19 2 4" xfId="24968"/>
    <cellStyle name="표준 19 3" xfId="3320"/>
    <cellStyle name="표준 19 3 2" xfId="3321"/>
    <cellStyle name="표준 19 3 3" xfId="24970"/>
    <cellStyle name="표준 19 4" xfId="3322"/>
    <cellStyle name="표준 19 5" xfId="24971"/>
    <cellStyle name="표준 19 6" xfId="24972"/>
    <cellStyle name="표준 19 7" xfId="24973"/>
    <cellStyle name="표준 19 8" xfId="31307"/>
    <cellStyle name="표준 2" xfId="3323"/>
    <cellStyle name="표준 2 10" xfId="3324"/>
    <cellStyle name="표준 2 10 10" xfId="24974"/>
    <cellStyle name="표준 2 10 11" xfId="24975"/>
    <cellStyle name="표준 2 10 12" xfId="24976"/>
    <cellStyle name="표준 2 10 13" xfId="24977"/>
    <cellStyle name="표준 2 10 14" xfId="30246"/>
    <cellStyle name="표준 2 10 15" xfId="31306"/>
    <cellStyle name="표준 2 10 2" xfId="3325"/>
    <cellStyle name="표준 2 10 2 2" xfId="24978"/>
    <cellStyle name="표준 2 10 2 2 2" xfId="31305"/>
    <cellStyle name="표준 2 10 2 3" xfId="31304"/>
    <cellStyle name="표준 2 10 2 4" xfId="31855"/>
    <cellStyle name="표준 2 10 2 5" xfId="31303"/>
    <cellStyle name="표준 2 10 2 6" xfId="31302"/>
    <cellStyle name="표준 2 10 2 7" xfId="31301"/>
    <cellStyle name="표준 2 10 2 8" xfId="31300"/>
    <cellStyle name="표준 2 10 3" xfId="24979"/>
    <cellStyle name="표준 2 10 4" xfId="24980"/>
    <cellStyle name="표준 2 10 5" xfId="24981"/>
    <cellStyle name="표준 2 10 6" xfId="24982"/>
    <cellStyle name="표준 2 10 7" xfId="24983"/>
    <cellStyle name="표준 2 10 8" xfId="24984"/>
    <cellStyle name="표준 2 10 9" xfId="24985"/>
    <cellStyle name="표준 2 11" xfId="3326"/>
    <cellStyle name="표준 2 11 10" xfId="24986"/>
    <cellStyle name="표준 2 11 11" xfId="24987"/>
    <cellStyle name="표준 2 11 12" xfId="24988"/>
    <cellStyle name="표준 2 11 13" xfId="24989"/>
    <cellStyle name="표준 2 11 14" xfId="30247"/>
    <cellStyle name="표준 2 11 15" xfId="31299"/>
    <cellStyle name="표준 2 11 2" xfId="24990"/>
    <cellStyle name="표준 2 11 3" xfId="24991"/>
    <cellStyle name="표준 2 11 4" xfId="24992"/>
    <cellStyle name="표준 2 11 5" xfId="24993"/>
    <cellStyle name="표준 2 11 6" xfId="24994"/>
    <cellStyle name="표준 2 11 7" xfId="24995"/>
    <cellStyle name="표준 2 11 8" xfId="24996"/>
    <cellStyle name="표준 2 11 9" xfId="24997"/>
    <cellStyle name="표준 2 12" xfId="3327"/>
    <cellStyle name="표준 2 12 10" xfId="24999"/>
    <cellStyle name="표준 2 12 11" xfId="25000"/>
    <cellStyle name="표준 2 12 12" xfId="25001"/>
    <cellStyle name="표준 2 12 13" xfId="25002"/>
    <cellStyle name="표준 2 12 14" xfId="25003"/>
    <cellStyle name="표준 2 12 15" xfId="28193"/>
    <cellStyle name="표준 2 12 16" xfId="24998"/>
    <cellStyle name="표준 2 12 17" xfId="30248"/>
    <cellStyle name="표준 2 12 2" xfId="25004"/>
    <cellStyle name="표준 2 12 3" xfId="25005"/>
    <cellStyle name="표준 2 12 4" xfId="25006"/>
    <cellStyle name="표준 2 12 5" xfId="25007"/>
    <cellStyle name="표준 2 12 6" xfId="25008"/>
    <cellStyle name="표준 2 12 7" xfId="25009"/>
    <cellStyle name="표준 2 12 8" xfId="25010"/>
    <cellStyle name="표준 2 12 9" xfId="25011"/>
    <cellStyle name="표준 2 13" xfId="25012"/>
    <cellStyle name="표준 2 13 10" xfId="25013"/>
    <cellStyle name="표준 2 13 11" xfId="25014"/>
    <cellStyle name="표준 2 13 12" xfId="25015"/>
    <cellStyle name="표준 2 13 13" xfId="25016"/>
    <cellStyle name="표준 2 13 14" xfId="30249"/>
    <cellStyle name="표준 2 13 15" xfId="31298"/>
    <cellStyle name="표준 2 13 2" xfId="25017"/>
    <cellStyle name="표준 2 13 3" xfId="25018"/>
    <cellStyle name="표준 2 13 4" xfId="25019"/>
    <cellStyle name="표준 2 13 5" xfId="25020"/>
    <cellStyle name="표준 2 13 6" xfId="25021"/>
    <cellStyle name="표준 2 13 7" xfId="25022"/>
    <cellStyle name="표준 2 13 8" xfId="25023"/>
    <cellStyle name="표준 2 13 9" xfId="25024"/>
    <cellStyle name="표준 2 14" xfId="25025"/>
    <cellStyle name="표준 2 14 10" xfId="25026"/>
    <cellStyle name="표준 2 14 11" xfId="25027"/>
    <cellStyle name="표준 2 14 12" xfId="25028"/>
    <cellStyle name="표준 2 14 13" xfId="25029"/>
    <cellStyle name="표준 2 14 14" xfId="30250"/>
    <cellStyle name="표준 2 14 15" xfId="31297"/>
    <cellStyle name="표준 2 14 2" xfId="25030"/>
    <cellStyle name="표준 2 14 3" xfId="25031"/>
    <cellStyle name="표준 2 14 4" xfId="25032"/>
    <cellStyle name="표준 2 14 5" xfId="25033"/>
    <cellStyle name="표준 2 14 6" xfId="25034"/>
    <cellStyle name="표준 2 14 7" xfId="25035"/>
    <cellStyle name="표준 2 14 8" xfId="25036"/>
    <cellStyle name="표준 2 14 9" xfId="25037"/>
    <cellStyle name="표준 2 15" xfId="25038"/>
    <cellStyle name="표준 2 15 10" xfId="25039"/>
    <cellStyle name="표준 2 15 11" xfId="25040"/>
    <cellStyle name="표준 2 15 12" xfId="25041"/>
    <cellStyle name="표준 2 15 13" xfId="25042"/>
    <cellStyle name="표준 2 15 14" xfId="30251"/>
    <cellStyle name="표준 2 15 2" xfId="25043"/>
    <cellStyle name="표준 2 15 3" xfId="25044"/>
    <cellStyle name="표준 2 15 4" xfId="25045"/>
    <cellStyle name="표준 2 15 5" xfId="25046"/>
    <cellStyle name="표준 2 15 6" xfId="25047"/>
    <cellStyle name="표준 2 15 7" xfId="25048"/>
    <cellStyle name="표준 2 15 8" xfId="25049"/>
    <cellStyle name="표준 2 15 9" xfId="25050"/>
    <cellStyle name="표준 2 16" xfId="25051"/>
    <cellStyle name="표준 2 16 10" xfId="25052"/>
    <cellStyle name="표준 2 16 11" xfId="25053"/>
    <cellStyle name="표준 2 16 12" xfId="25054"/>
    <cellStyle name="표준 2 16 13" xfId="25055"/>
    <cellStyle name="표준 2 16 14" xfId="30252"/>
    <cellStyle name="표준 2 16 2" xfId="25056"/>
    <cellStyle name="표준 2 16 3" xfId="25057"/>
    <cellStyle name="표준 2 16 4" xfId="25058"/>
    <cellStyle name="표준 2 16 5" xfId="25059"/>
    <cellStyle name="표준 2 16 6" xfId="25060"/>
    <cellStyle name="표준 2 16 7" xfId="25061"/>
    <cellStyle name="표준 2 16 8" xfId="25062"/>
    <cellStyle name="표준 2 16 9" xfId="25063"/>
    <cellStyle name="표준 2 17" xfId="25064"/>
    <cellStyle name="표준 2 17 10" xfId="25065"/>
    <cellStyle name="표준 2 17 11" xfId="25066"/>
    <cellStyle name="표준 2 17 12" xfId="25067"/>
    <cellStyle name="표준 2 17 13" xfId="25068"/>
    <cellStyle name="표준 2 17 14" xfId="30253"/>
    <cellStyle name="표준 2 17 2" xfId="25069"/>
    <cellStyle name="표준 2 17 3" xfId="25070"/>
    <cellStyle name="표준 2 17 4" xfId="25071"/>
    <cellStyle name="표준 2 17 5" xfId="25072"/>
    <cellStyle name="표준 2 17 6" xfId="25073"/>
    <cellStyle name="표준 2 17 7" xfId="25074"/>
    <cellStyle name="표준 2 17 8" xfId="25075"/>
    <cellStyle name="표준 2 17 9" xfId="25076"/>
    <cellStyle name="표준 2 18" xfId="25077"/>
    <cellStyle name="표준 2 18 10" xfId="25078"/>
    <cellStyle name="표준 2 18 11" xfId="25079"/>
    <cellStyle name="표준 2 18 12" xfId="25080"/>
    <cellStyle name="표준 2 18 13" xfId="25081"/>
    <cellStyle name="표준 2 18 14" xfId="30254"/>
    <cellStyle name="표준 2 18 2" xfId="25082"/>
    <cellStyle name="표준 2 18 3" xfId="25083"/>
    <cellStyle name="표준 2 18 4" xfId="25084"/>
    <cellStyle name="표준 2 18 5" xfId="25085"/>
    <cellStyle name="표준 2 18 6" xfId="25086"/>
    <cellStyle name="표준 2 18 7" xfId="25087"/>
    <cellStyle name="표준 2 18 8" xfId="25088"/>
    <cellStyle name="표준 2 18 9" xfId="25089"/>
    <cellStyle name="표준 2 19" xfId="25090"/>
    <cellStyle name="표준 2 19 10" xfId="25091"/>
    <cellStyle name="표준 2 19 11" xfId="25092"/>
    <cellStyle name="표준 2 19 12" xfId="25093"/>
    <cellStyle name="표준 2 19 13" xfId="25094"/>
    <cellStyle name="표준 2 19 14" xfId="30255"/>
    <cellStyle name="표준 2 19 2" xfId="25095"/>
    <cellStyle name="표준 2 19 3" xfId="25096"/>
    <cellStyle name="표준 2 19 4" xfId="25097"/>
    <cellStyle name="표준 2 19 5" xfId="25098"/>
    <cellStyle name="표준 2 19 6" xfId="25099"/>
    <cellStyle name="표준 2 19 7" xfId="25100"/>
    <cellStyle name="표준 2 19 8" xfId="25101"/>
    <cellStyle name="표준 2 19 9" xfId="25102"/>
    <cellStyle name="표준 2 2" xfId="3328"/>
    <cellStyle name="표준 2 2 10" xfId="3329"/>
    <cellStyle name="표준 2 2 10 10" xfId="25103"/>
    <cellStyle name="표준 2 2 10 11" xfId="25104"/>
    <cellStyle name="표준 2 2 10 12" xfId="25105"/>
    <cellStyle name="표준 2 2 10 13" xfId="25106"/>
    <cellStyle name="표준 2 2 10 14" xfId="25107"/>
    <cellStyle name="표준 2 2 10 15" xfId="25108"/>
    <cellStyle name="표준 2 2 10 16" xfId="25109"/>
    <cellStyle name="표준 2 2 10 17" xfId="25110"/>
    <cellStyle name="표준 2 2 10 18" xfId="25111"/>
    <cellStyle name="표준 2 2 10 19" xfId="25112"/>
    <cellStyle name="표준 2 2 10 2" xfId="3330"/>
    <cellStyle name="표준 2 2 10 20" xfId="25113"/>
    <cellStyle name="표준 2 2 10 21" xfId="25114"/>
    <cellStyle name="표준 2 2 10 22" xfId="25115"/>
    <cellStyle name="표준 2 2 10 23" xfId="25116"/>
    <cellStyle name="표준 2 2 10 24" xfId="25117"/>
    <cellStyle name="표준 2 2 10 25" xfId="25118"/>
    <cellStyle name="표준 2 2 10 26" xfId="25119"/>
    <cellStyle name="표준 2 2 10 27" xfId="25120"/>
    <cellStyle name="표준 2 2 10 28" xfId="25121"/>
    <cellStyle name="표준 2 2 10 29" xfId="25122"/>
    <cellStyle name="표준 2 2 10 3" xfId="25123"/>
    <cellStyle name="표준 2 2 10 30" xfId="25124"/>
    <cellStyle name="표준 2 2 10 31" xfId="25125"/>
    <cellStyle name="표준 2 2 10 32" xfId="25126"/>
    <cellStyle name="표준 2 2 10 33" xfId="25127"/>
    <cellStyle name="표준 2 2 10 34" xfId="25128"/>
    <cellStyle name="표준 2 2 10 35" xfId="25129"/>
    <cellStyle name="표준 2 2 10 36" xfId="25130"/>
    <cellStyle name="표준 2 2 10 37" xfId="25131"/>
    <cellStyle name="표준 2 2 10 38" xfId="25132"/>
    <cellStyle name="표준 2 2 10 39" xfId="25133"/>
    <cellStyle name="표준 2 2 10 4" xfId="25134"/>
    <cellStyle name="표준 2 2 10 40" xfId="25135"/>
    <cellStyle name="표준 2 2 10 41" xfId="25136"/>
    <cellStyle name="표준 2 2 10 42" xfId="25137"/>
    <cellStyle name="표준 2 2 10 43" xfId="25138"/>
    <cellStyle name="표준 2 2 10 44" xfId="25139"/>
    <cellStyle name="표준 2 2 10 45" xfId="25140"/>
    <cellStyle name="표준 2 2 10 46" xfId="25141"/>
    <cellStyle name="표준 2 2 10 47" xfId="25142"/>
    <cellStyle name="표준 2 2 10 48" xfId="25143"/>
    <cellStyle name="표준 2 2 10 49" xfId="25144"/>
    <cellStyle name="표준 2 2 10 5" xfId="25145"/>
    <cellStyle name="표준 2 2 10 50" xfId="25146"/>
    <cellStyle name="표준 2 2 10 51" xfId="25147"/>
    <cellStyle name="표준 2 2 10 52" xfId="25148"/>
    <cellStyle name="표준 2 2 10 53" xfId="25149"/>
    <cellStyle name="표준 2 2 10 6" xfId="25150"/>
    <cellStyle name="표준 2 2 10 7" xfId="25151"/>
    <cellStyle name="표준 2 2 10 8" xfId="25152"/>
    <cellStyle name="표준 2 2 10 9" xfId="25153"/>
    <cellStyle name="표준 2 2 11" xfId="3331"/>
    <cellStyle name="표준 2 2 11 10" xfId="25154"/>
    <cellStyle name="표준 2 2 11 11" xfId="25155"/>
    <cellStyle name="표준 2 2 11 12" xfId="25156"/>
    <cellStyle name="표준 2 2 11 13" xfId="25157"/>
    <cellStyle name="표준 2 2 11 2" xfId="25158"/>
    <cellStyle name="표준 2 2 11 3" xfId="25159"/>
    <cellStyle name="표준 2 2 11 4" xfId="25160"/>
    <cellStyle name="표준 2 2 11 5" xfId="25161"/>
    <cellStyle name="표준 2 2 11 6" xfId="25162"/>
    <cellStyle name="표준 2 2 11 7" xfId="25163"/>
    <cellStyle name="표준 2 2 11 8" xfId="25164"/>
    <cellStyle name="표준 2 2 11 9" xfId="25165"/>
    <cellStyle name="표준 2 2 12" xfId="25166"/>
    <cellStyle name="표준 2 2 12 10" xfId="25167"/>
    <cellStyle name="표준 2 2 12 11" xfId="25168"/>
    <cellStyle name="표준 2 2 12 12" xfId="25169"/>
    <cellStyle name="표준 2 2 12 2" xfId="25170"/>
    <cellStyle name="표준 2 2 12 3" xfId="25171"/>
    <cellStyle name="표준 2 2 12 4" xfId="25172"/>
    <cellStyle name="표준 2 2 12 5" xfId="25173"/>
    <cellStyle name="표준 2 2 12 6" xfId="25174"/>
    <cellStyle name="표준 2 2 12 7" xfId="25175"/>
    <cellStyle name="표준 2 2 12 8" xfId="25176"/>
    <cellStyle name="표준 2 2 12 9" xfId="25177"/>
    <cellStyle name="표준 2 2 13" xfId="25178"/>
    <cellStyle name="표준 2 2 13 10" xfId="25179"/>
    <cellStyle name="표준 2 2 13 11" xfId="25180"/>
    <cellStyle name="표준 2 2 13 12" xfId="25181"/>
    <cellStyle name="표준 2 2 13 2" xfId="25182"/>
    <cellStyle name="표준 2 2 13 3" xfId="25183"/>
    <cellStyle name="표준 2 2 13 4" xfId="25184"/>
    <cellStyle name="표준 2 2 13 5" xfId="25185"/>
    <cellStyle name="표준 2 2 13 6" xfId="25186"/>
    <cellStyle name="표준 2 2 13 7" xfId="25187"/>
    <cellStyle name="표준 2 2 13 8" xfId="25188"/>
    <cellStyle name="표준 2 2 13 9" xfId="25189"/>
    <cellStyle name="표준 2 2 14" xfId="25190"/>
    <cellStyle name="표준 2 2 14 10" xfId="25191"/>
    <cellStyle name="표준 2 2 14 11" xfId="25192"/>
    <cellStyle name="표준 2 2 14 12" xfId="25193"/>
    <cellStyle name="표준 2 2 14 13" xfId="31296"/>
    <cellStyle name="표준 2 2 14 2" xfId="25194"/>
    <cellStyle name="표준 2 2 14 3" xfId="25195"/>
    <cellStyle name="표준 2 2 14 4" xfId="25196"/>
    <cellStyle name="표준 2 2 14 5" xfId="25197"/>
    <cellStyle name="표준 2 2 14 6" xfId="25198"/>
    <cellStyle name="표준 2 2 14 7" xfId="25199"/>
    <cellStyle name="표준 2 2 14 8" xfId="25200"/>
    <cellStyle name="표준 2 2 14 9" xfId="25201"/>
    <cellStyle name="표준 2 2 15" xfId="25202"/>
    <cellStyle name="표준 2 2 15 10" xfId="25203"/>
    <cellStyle name="표준 2 2 15 11" xfId="25204"/>
    <cellStyle name="표준 2 2 15 12" xfId="25205"/>
    <cellStyle name="표준 2 2 15 2" xfId="25206"/>
    <cellStyle name="표준 2 2 15 3" xfId="25207"/>
    <cellStyle name="표준 2 2 15 4" xfId="25208"/>
    <cellStyle name="표준 2 2 15 5" xfId="25209"/>
    <cellStyle name="표준 2 2 15 6" xfId="25210"/>
    <cellStyle name="표준 2 2 15 7" xfId="25211"/>
    <cellStyle name="표준 2 2 15 8" xfId="25212"/>
    <cellStyle name="표준 2 2 15 9" xfId="25213"/>
    <cellStyle name="표준 2 2 16" xfId="25214"/>
    <cellStyle name="표준 2 2 16 10" xfId="25215"/>
    <cellStyle name="표준 2 2 16 11" xfId="25216"/>
    <cellStyle name="표준 2 2 16 12" xfId="25217"/>
    <cellStyle name="표준 2 2 16 13" xfId="31295"/>
    <cellStyle name="표준 2 2 16 2" xfId="25218"/>
    <cellStyle name="표준 2 2 16 3" xfId="25219"/>
    <cellStyle name="표준 2 2 16 4" xfId="25220"/>
    <cellStyle name="표준 2 2 16 5" xfId="25221"/>
    <cellStyle name="표준 2 2 16 6" xfId="25222"/>
    <cellStyle name="표준 2 2 16 7" xfId="25223"/>
    <cellStyle name="표준 2 2 16 8" xfId="25224"/>
    <cellStyle name="표준 2 2 16 9" xfId="25225"/>
    <cellStyle name="표준 2 2 17" xfId="25226"/>
    <cellStyle name="표준 2 2 17 10" xfId="25227"/>
    <cellStyle name="표준 2 2 17 11" xfId="25228"/>
    <cellStyle name="표준 2 2 17 12" xfId="25229"/>
    <cellStyle name="표준 2 2 17 2" xfId="25230"/>
    <cellStyle name="표준 2 2 17 3" xfId="25231"/>
    <cellStyle name="표준 2 2 17 4" xfId="25232"/>
    <cellStyle name="표준 2 2 17 5" xfId="25233"/>
    <cellStyle name="표준 2 2 17 6" xfId="25234"/>
    <cellStyle name="표준 2 2 17 7" xfId="25235"/>
    <cellStyle name="표준 2 2 17 8" xfId="25236"/>
    <cellStyle name="표준 2 2 17 9" xfId="25237"/>
    <cellStyle name="표준 2 2 18" xfId="25238"/>
    <cellStyle name="표준 2 2 18 10" xfId="25239"/>
    <cellStyle name="표준 2 2 18 11" xfId="25240"/>
    <cellStyle name="표준 2 2 18 12" xfId="25241"/>
    <cellStyle name="표준 2 2 18 2" xfId="25242"/>
    <cellStyle name="표준 2 2 18 3" xfId="25243"/>
    <cellStyle name="표준 2 2 18 4" xfId="25244"/>
    <cellStyle name="표준 2 2 18 5" xfId="25245"/>
    <cellStyle name="표준 2 2 18 6" xfId="25246"/>
    <cellStyle name="표준 2 2 18 7" xfId="25247"/>
    <cellStyle name="표준 2 2 18 8" xfId="25248"/>
    <cellStyle name="표준 2 2 18 9" xfId="25249"/>
    <cellStyle name="표준 2 2 19" xfId="25250"/>
    <cellStyle name="표준 2 2 19 10" xfId="25251"/>
    <cellStyle name="표준 2 2 19 11" xfId="25252"/>
    <cellStyle name="표준 2 2 19 12" xfId="25253"/>
    <cellStyle name="표준 2 2 19 13" xfId="25254"/>
    <cellStyle name="표준 2 2 19 14" xfId="25255"/>
    <cellStyle name="표준 2 2 19 15" xfId="25256"/>
    <cellStyle name="표준 2 2 19 2" xfId="25257"/>
    <cellStyle name="표준 2 2 19 3" xfId="25258"/>
    <cellStyle name="표준 2 2 19 4" xfId="25259"/>
    <cellStyle name="표준 2 2 19 5" xfId="25260"/>
    <cellStyle name="표준 2 2 19 6" xfId="25261"/>
    <cellStyle name="표준 2 2 19 7" xfId="25262"/>
    <cellStyle name="표준 2 2 19 8" xfId="25263"/>
    <cellStyle name="표준 2 2 19 9" xfId="25264"/>
    <cellStyle name="표준 2 2 2" xfId="3332"/>
    <cellStyle name="표준 2 2 2 10" xfId="25265"/>
    <cellStyle name="표준 2 2 2 10 2" xfId="31294"/>
    <cellStyle name="표준 2 2 2 11" xfId="25266"/>
    <cellStyle name="표준 2 2 2 11 2" xfId="31293"/>
    <cellStyle name="표준 2 2 2 12" xfId="25267"/>
    <cellStyle name="표준 2 2 2 12 2" xfId="25268"/>
    <cellStyle name="표준 2 2 2 12 3" xfId="25269"/>
    <cellStyle name="표준 2 2 2 12 4" xfId="25270"/>
    <cellStyle name="표준 2 2 2 12 5" xfId="31292"/>
    <cellStyle name="표준 2 2 2 13" xfId="25271"/>
    <cellStyle name="표준 2 2 2 13 2" xfId="31291"/>
    <cellStyle name="표준 2 2 2 14" xfId="25272"/>
    <cellStyle name="표준 2 2 2 15" xfId="25273"/>
    <cellStyle name="표준 2 2 2 15 2" xfId="31290"/>
    <cellStyle name="표준 2 2 2 16" xfId="25274"/>
    <cellStyle name="표준 2 2 2 17" xfId="25275"/>
    <cellStyle name="표준 2 2 2 18" xfId="25276"/>
    <cellStyle name="표준 2 2 2 19" xfId="25277"/>
    <cellStyle name="표준 2 2 2 2" xfId="3333"/>
    <cellStyle name="표준 2 2 2 2 10" xfId="25278"/>
    <cellStyle name="표준 2 2 2 2 11" xfId="25279"/>
    <cellStyle name="표준 2 2 2 2 12" xfId="25280"/>
    <cellStyle name="표준 2 2 2 2 13" xfId="25281"/>
    <cellStyle name="표준 2 2 2 2 14" xfId="25282"/>
    <cellStyle name="표준 2 2 2 2 15" xfId="25283"/>
    <cellStyle name="표준 2 2 2 2 16" xfId="25284"/>
    <cellStyle name="표준 2 2 2 2 17" xfId="25285"/>
    <cellStyle name="표준 2 2 2 2 18" xfId="25286"/>
    <cellStyle name="표준 2 2 2 2 19" xfId="25287"/>
    <cellStyle name="표준 2 2 2 2 2" xfId="3334"/>
    <cellStyle name="표준 2 2 2 2 2 10" xfId="25288"/>
    <cellStyle name="표준 2 2 2 2 2 11" xfId="25289"/>
    <cellStyle name="표준 2 2 2 2 2 12" xfId="25290"/>
    <cellStyle name="표준 2 2 2 2 2 13" xfId="25291"/>
    <cellStyle name="표준 2 2 2 2 2 14" xfId="25292"/>
    <cellStyle name="표준 2 2 2 2 2 15" xfId="25293"/>
    <cellStyle name="표준 2 2 2 2 2 16" xfId="25294"/>
    <cellStyle name="표준 2 2 2 2 2 17" xfId="25295"/>
    <cellStyle name="표준 2 2 2 2 2 18" xfId="25296"/>
    <cellStyle name="표준 2 2 2 2 2 19" xfId="25297"/>
    <cellStyle name="표준 2 2 2 2 2 2" xfId="3335"/>
    <cellStyle name="표준 2 2 2 2 2 2 10" xfId="25298"/>
    <cellStyle name="표준 2 2 2 2 2 2 11" xfId="25299"/>
    <cellStyle name="표준 2 2 2 2 2 2 12" xfId="25300"/>
    <cellStyle name="표준 2 2 2 2 2 2 13" xfId="25301"/>
    <cellStyle name="표준 2 2 2 2 2 2 14" xfId="25302"/>
    <cellStyle name="표준 2 2 2 2 2 2 15" xfId="25303"/>
    <cellStyle name="표준 2 2 2 2 2 2 16" xfId="25304"/>
    <cellStyle name="표준 2 2 2 2 2 2 17" xfId="25305"/>
    <cellStyle name="표준 2 2 2 2 2 2 18" xfId="25306"/>
    <cellStyle name="표준 2 2 2 2 2 2 19" xfId="25307"/>
    <cellStyle name="표준 2 2 2 2 2 2 2" xfId="3336"/>
    <cellStyle name="표준 2 2 2 2 2 2 2 10" xfId="25308"/>
    <cellStyle name="표준 2 2 2 2 2 2 2 11" xfId="25309"/>
    <cellStyle name="표준 2 2 2 2 2 2 2 12" xfId="25310"/>
    <cellStyle name="표준 2 2 2 2 2 2 2 13" xfId="25311"/>
    <cellStyle name="표준 2 2 2 2 2 2 2 14" xfId="25312"/>
    <cellStyle name="표준 2 2 2 2 2 2 2 15" xfId="25313"/>
    <cellStyle name="표준 2 2 2 2 2 2 2 16" xfId="25314"/>
    <cellStyle name="표준 2 2 2 2 2 2 2 17" xfId="25315"/>
    <cellStyle name="표준 2 2 2 2 2 2 2 18" xfId="25316"/>
    <cellStyle name="표준 2 2 2 2 2 2 2 19" xfId="25317"/>
    <cellStyle name="표준 2 2 2 2 2 2 2 2" xfId="3337"/>
    <cellStyle name="표준 2 2 2 2 2 2 2 2 10" xfId="25318"/>
    <cellStyle name="표준 2 2 2 2 2 2 2 2 11" xfId="25319"/>
    <cellStyle name="표준 2 2 2 2 2 2 2 2 12" xfId="25320"/>
    <cellStyle name="표준 2 2 2 2 2 2 2 2 13" xfId="25321"/>
    <cellStyle name="표준 2 2 2 2 2 2 2 2 14" xfId="25322"/>
    <cellStyle name="표준 2 2 2 2 2 2 2 2 15" xfId="25323"/>
    <cellStyle name="표준 2 2 2 2 2 2 2 2 16" xfId="25324"/>
    <cellStyle name="표준 2 2 2 2 2 2 2 2 17" xfId="25325"/>
    <cellStyle name="표준 2 2 2 2 2 2 2 2 18" xfId="25326"/>
    <cellStyle name="표준 2 2 2 2 2 2 2 2 19" xfId="25327"/>
    <cellStyle name="표준 2 2 2 2 2 2 2 2 2" xfId="25328"/>
    <cellStyle name="표준 2 2 2 2 2 2 2 2 2 2" xfId="31287"/>
    <cellStyle name="표준 2 2 2 2 2 2 2 2 2 3" xfId="31286"/>
    <cellStyle name="표준 2 2 2 2 2 2 2 2 20" xfId="25329"/>
    <cellStyle name="표준 2 2 2 2 2 2 2 2 21" xfId="25330"/>
    <cellStyle name="표준 2 2 2 2 2 2 2 2 22" xfId="25331"/>
    <cellStyle name="표준 2 2 2 2 2 2 2 2 23" xfId="25332"/>
    <cellStyle name="표준 2 2 2 2 2 2 2 2 24" xfId="25333"/>
    <cellStyle name="표준 2 2 2 2 2 2 2 2 25" xfId="25334"/>
    <cellStyle name="표준 2 2 2 2 2 2 2 2 26" xfId="25335"/>
    <cellStyle name="표준 2 2 2 2 2 2 2 2 27" xfId="25336"/>
    <cellStyle name="표준 2 2 2 2 2 2 2 2 28" xfId="25337"/>
    <cellStyle name="표준 2 2 2 2 2 2 2 2 29" xfId="25338"/>
    <cellStyle name="표준 2 2 2 2 2 2 2 2 3" xfId="25339"/>
    <cellStyle name="표준 2 2 2 2 2 2 2 2 3 2" xfId="31285"/>
    <cellStyle name="표준 2 2 2 2 2 2 2 2 30" xfId="25340"/>
    <cellStyle name="표준 2 2 2 2 2 2 2 2 31" xfId="25341"/>
    <cellStyle name="표준 2 2 2 2 2 2 2 2 32" xfId="25342"/>
    <cellStyle name="표준 2 2 2 2 2 2 2 2 33" xfId="25343"/>
    <cellStyle name="표준 2 2 2 2 2 2 2 2 34" xfId="25344"/>
    <cellStyle name="표준 2 2 2 2 2 2 2 2 35" xfId="25345"/>
    <cellStyle name="표준 2 2 2 2 2 2 2 2 36" xfId="25346"/>
    <cellStyle name="표준 2 2 2 2 2 2 2 2 37" xfId="25347"/>
    <cellStyle name="표준 2 2 2 2 2 2 2 2 38" xfId="25348"/>
    <cellStyle name="표준 2 2 2 2 2 2 2 2 39" xfId="25349"/>
    <cellStyle name="표준 2 2 2 2 2 2 2 2 4" xfId="25350"/>
    <cellStyle name="표준 2 2 2 2 2 2 2 2 40" xfId="25351"/>
    <cellStyle name="표준 2 2 2 2 2 2 2 2 41" xfId="25352"/>
    <cellStyle name="표준 2 2 2 2 2 2 2 2 42" xfId="25353"/>
    <cellStyle name="표준 2 2 2 2 2 2 2 2 43" xfId="25354"/>
    <cellStyle name="표준 2 2 2 2 2 2 2 2 44" xfId="25355"/>
    <cellStyle name="표준 2 2 2 2 2 2 2 2 45" xfId="25356"/>
    <cellStyle name="표준 2 2 2 2 2 2 2 2 46" xfId="31288"/>
    <cellStyle name="표준 2 2 2 2 2 2 2 2 5" xfId="25357"/>
    <cellStyle name="표준 2 2 2 2 2 2 2 2 6" xfId="25358"/>
    <cellStyle name="표준 2 2 2 2 2 2 2 2 7" xfId="25359"/>
    <cellStyle name="표준 2 2 2 2 2 2 2 2 8" xfId="25360"/>
    <cellStyle name="표준 2 2 2 2 2 2 2 2 9" xfId="25361"/>
    <cellStyle name="표준 2 2 2 2 2 2 2 20" xfId="25362"/>
    <cellStyle name="표준 2 2 2 2 2 2 2 21" xfId="25363"/>
    <cellStyle name="표준 2 2 2 2 2 2 2 22" xfId="25364"/>
    <cellStyle name="표준 2 2 2 2 2 2 2 23" xfId="25365"/>
    <cellStyle name="표준 2 2 2 2 2 2 2 24" xfId="25366"/>
    <cellStyle name="표준 2 2 2 2 2 2 2 25" xfId="25367"/>
    <cellStyle name="표준 2 2 2 2 2 2 2 26" xfId="25368"/>
    <cellStyle name="표준 2 2 2 2 2 2 2 27" xfId="25369"/>
    <cellStyle name="표준 2 2 2 2 2 2 2 28" xfId="25370"/>
    <cellStyle name="표준 2 2 2 2 2 2 2 29" xfId="25371"/>
    <cellStyle name="표준 2 2 2 2 2 2 2 3" xfId="3338"/>
    <cellStyle name="표준 2 2 2 2 2 2 2 3 2" xfId="3339"/>
    <cellStyle name="표준 2 2 2 2 2 2 2 3 3" xfId="25372"/>
    <cellStyle name="표준 2 2 2 2 2 2 2 3 4" xfId="25373"/>
    <cellStyle name="표준 2 2 2 2 2 2 2 3 5" xfId="31284"/>
    <cellStyle name="표준 2 2 2 2 2 2 2 30" xfId="25374"/>
    <cellStyle name="표준 2 2 2 2 2 2 2 31" xfId="25375"/>
    <cellStyle name="표준 2 2 2 2 2 2 2 32" xfId="25376"/>
    <cellStyle name="표준 2 2 2 2 2 2 2 33" xfId="25377"/>
    <cellStyle name="표준 2 2 2 2 2 2 2 34" xfId="25378"/>
    <cellStyle name="표준 2 2 2 2 2 2 2 35" xfId="25379"/>
    <cellStyle name="표준 2 2 2 2 2 2 2 36" xfId="25380"/>
    <cellStyle name="표준 2 2 2 2 2 2 2 37" xfId="25381"/>
    <cellStyle name="표준 2 2 2 2 2 2 2 38" xfId="25382"/>
    <cellStyle name="표준 2 2 2 2 2 2 2 39" xfId="25383"/>
    <cellStyle name="표준 2 2 2 2 2 2 2 4" xfId="3340"/>
    <cellStyle name="표준 2 2 2 2 2 2 2 4 2" xfId="31283"/>
    <cellStyle name="표준 2 2 2 2 2 2 2 40" xfId="25384"/>
    <cellStyle name="표준 2 2 2 2 2 2 2 41" xfId="25385"/>
    <cellStyle name="표준 2 2 2 2 2 2 2 42" xfId="25386"/>
    <cellStyle name="표준 2 2 2 2 2 2 2 43" xfId="25387"/>
    <cellStyle name="표준 2 2 2 2 2 2 2 44" xfId="25388"/>
    <cellStyle name="표준 2 2 2 2 2 2 2 45" xfId="25389"/>
    <cellStyle name="표준 2 2 2 2 2 2 2 5" xfId="25390"/>
    <cellStyle name="표준 2 2 2 2 2 2 2 5 2" xfId="31282"/>
    <cellStyle name="표준 2 2 2 2 2 2 2 6" xfId="25391"/>
    <cellStyle name="표준 2 2 2 2 2 2 2 7" xfId="25392"/>
    <cellStyle name="표준 2 2 2 2 2 2 2 7 2" xfId="31281"/>
    <cellStyle name="표준 2 2 2 2 2 2 2 8" xfId="25393"/>
    <cellStyle name="표준 2 2 2 2 2 2 2 9" xfId="25394"/>
    <cellStyle name="표준 2 2 2 2 2 2 20" xfId="25395"/>
    <cellStyle name="표준 2 2 2 2 2 2 21" xfId="25396"/>
    <cellStyle name="표준 2 2 2 2 2 2 22" xfId="25397"/>
    <cellStyle name="표준 2 2 2 2 2 2 23" xfId="25398"/>
    <cellStyle name="표준 2 2 2 2 2 2 24" xfId="25399"/>
    <cellStyle name="표준 2 2 2 2 2 2 25" xfId="25400"/>
    <cellStyle name="표준 2 2 2 2 2 2 26" xfId="25401"/>
    <cellStyle name="표준 2 2 2 2 2 2 27" xfId="25402"/>
    <cellStyle name="표준 2 2 2 2 2 2 28" xfId="25403"/>
    <cellStyle name="표준 2 2 2 2 2 2 29" xfId="25404"/>
    <cellStyle name="표준 2 2 2 2 2 2 3" xfId="3341"/>
    <cellStyle name="표준 2 2 2 2 2 2 3 2" xfId="25405"/>
    <cellStyle name="표준 2 2 2 2 2 2 3 3" xfId="25406"/>
    <cellStyle name="표준 2 2 2 2 2 2 30" xfId="25407"/>
    <cellStyle name="표준 2 2 2 2 2 2 31" xfId="25408"/>
    <cellStyle name="표준 2 2 2 2 2 2 32" xfId="25409"/>
    <cellStyle name="표준 2 2 2 2 2 2 33" xfId="25410"/>
    <cellStyle name="표준 2 2 2 2 2 2 34" xfId="25411"/>
    <cellStyle name="표준 2 2 2 2 2 2 35" xfId="25412"/>
    <cellStyle name="표준 2 2 2 2 2 2 36" xfId="25413"/>
    <cellStyle name="표준 2 2 2 2 2 2 37" xfId="25414"/>
    <cellStyle name="표준 2 2 2 2 2 2 38" xfId="25415"/>
    <cellStyle name="표준 2 2 2 2 2 2 39" xfId="25416"/>
    <cellStyle name="표준 2 2 2 2 2 2 4" xfId="3342"/>
    <cellStyle name="표준 2 2 2 2 2 2 4 2" xfId="3343"/>
    <cellStyle name="표준 2 2 2 2 2 2 40" xfId="25417"/>
    <cellStyle name="표준 2 2 2 2 2 2 41" xfId="25418"/>
    <cellStyle name="표준 2 2 2 2 2 2 42" xfId="25419"/>
    <cellStyle name="표준 2 2 2 2 2 2 43" xfId="25420"/>
    <cellStyle name="표준 2 2 2 2 2 2 44" xfId="25421"/>
    <cellStyle name="표준 2 2 2 2 2 2 45" xfId="25422"/>
    <cellStyle name="표준 2 2 2 2 2 2 46" xfId="25423"/>
    <cellStyle name="표준 2 2 2 2 2 2 47" xfId="25424"/>
    <cellStyle name="표준 2 2 2 2 2 2 48" xfId="31289"/>
    <cellStyle name="표준 2 2 2 2 2 2 5" xfId="3344"/>
    <cellStyle name="표준 2 2 2 2 2 2 5 2" xfId="25425"/>
    <cellStyle name="표준 2 2 2 2 2 2 6" xfId="25426"/>
    <cellStyle name="표준 2 2 2 2 2 2 6 2" xfId="31280"/>
    <cellStyle name="표준 2 2 2 2 2 2 7" xfId="25427"/>
    <cellStyle name="표준 2 2 2 2 2 2 8" xfId="25428"/>
    <cellStyle name="표준 2 2 2 2 2 2 9" xfId="25429"/>
    <cellStyle name="표준 2 2 2 2 2 20" xfId="25430"/>
    <cellStyle name="표준 2 2 2 2 2 21" xfId="25431"/>
    <cellStyle name="표준 2 2 2 2 2 22" xfId="25432"/>
    <cellStyle name="표준 2 2 2 2 2 23" xfId="25433"/>
    <cellStyle name="표준 2 2 2 2 2 24" xfId="25434"/>
    <cellStyle name="표준 2 2 2 2 2 25" xfId="25435"/>
    <cellStyle name="표준 2 2 2 2 2 26" xfId="25436"/>
    <cellStyle name="표준 2 2 2 2 2 27" xfId="25437"/>
    <cellStyle name="표준 2 2 2 2 2 28" xfId="25438"/>
    <cellStyle name="표준 2 2 2 2 2 29" xfId="25439"/>
    <cellStyle name="표준 2 2 2 2 2 3" xfId="3345"/>
    <cellStyle name="표준 2 2 2 2 2 3 2" xfId="3346"/>
    <cellStyle name="표준 2 2 2 2 2 3 3" xfId="3347"/>
    <cellStyle name="표준 2 2 2 2 2 3 3 2" xfId="3348"/>
    <cellStyle name="표준 2 2 2 2 2 3 4" xfId="3349"/>
    <cellStyle name="표준 2 2 2 2 2 3 5" xfId="25440"/>
    <cellStyle name="표준 2 2 2 2 2 3 6" xfId="25441"/>
    <cellStyle name="표준 2 2 2 2 2 3 7" xfId="32040"/>
    <cellStyle name="표준 2 2 2 2 2 30" xfId="25442"/>
    <cellStyle name="표준 2 2 2 2 2 31" xfId="25443"/>
    <cellStyle name="표준 2 2 2 2 2 32" xfId="25444"/>
    <cellStyle name="표준 2 2 2 2 2 33" xfId="25445"/>
    <cellStyle name="표준 2 2 2 2 2 34" xfId="25446"/>
    <cellStyle name="표준 2 2 2 2 2 35" xfId="25447"/>
    <cellStyle name="표준 2 2 2 2 2 36" xfId="25448"/>
    <cellStyle name="표준 2 2 2 2 2 37" xfId="25449"/>
    <cellStyle name="표준 2 2 2 2 2 38" xfId="25450"/>
    <cellStyle name="표준 2 2 2 2 2 39" xfId="25451"/>
    <cellStyle name="표준 2 2 2 2 2 4" xfId="3350"/>
    <cellStyle name="표준 2 2 2 2 2 4 2" xfId="25452"/>
    <cellStyle name="표준 2 2 2 2 2 4 3" xfId="25453"/>
    <cellStyle name="표준 2 2 2 2 2 4 4" xfId="25454"/>
    <cellStyle name="표준 2 2 2 2 2 4 5" xfId="25455"/>
    <cellStyle name="표준 2 2 2 2 2 4 6" xfId="32045"/>
    <cellStyle name="표준 2 2 2 2 2 40" xfId="25456"/>
    <cellStyle name="표준 2 2 2 2 2 41" xfId="25457"/>
    <cellStyle name="표준 2 2 2 2 2 42" xfId="25458"/>
    <cellStyle name="표준 2 2 2 2 2 43" xfId="25459"/>
    <cellStyle name="표준 2 2 2 2 2 44" xfId="25460"/>
    <cellStyle name="표준 2 2 2 2 2 45" xfId="25461"/>
    <cellStyle name="표준 2 2 2 2 2 46" xfId="25462"/>
    <cellStyle name="표준 2 2 2 2 2 47" xfId="25463"/>
    <cellStyle name="표준 2 2 2 2 2 48" xfId="25464"/>
    <cellStyle name="표준 2 2 2 2 2 49" xfId="25465"/>
    <cellStyle name="표준 2 2 2 2 2 5" xfId="3351"/>
    <cellStyle name="표준 2 2 2 2 2 5 2" xfId="3352"/>
    <cellStyle name="표준 2 2 2 2 2 5 3" xfId="25466"/>
    <cellStyle name="표준 2 2 2 2 2 5 4" xfId="25467"/>
    <cellStyle name="표준 2 2 2 2 2 5 5" xfId="31279"/>
    <cellStyle name="표준 2 2 2 2 2 50" xfId="25468"/>
    <cellStyle name="표준 2 2 2 2 2 51" xfId="25469"/>
    <cellStyle name="표준 2 2 2 2 2 52" xfId="30999"/>
    <cellStyle name="표준 2 2 2 2 2 52 2" xfId="32350"/>
    <cellStyle name="표준 2 2 2 2 2 6" xfId="3353"/>
    <cellStyle name="표준 2 2 2 2 2 6 2" xfId="31278"/>
    <cellStyle name="표준 2 2 2 2 2 7" xfId="25470"/>
    <cellStyle name="표준 2 2 2 2 2 8" xfId="25471"/>
    <cellStyle name="표준 2 2 2 2 2 8 2" xfId="31854"/>
    <cellStyle name="표준 2 2 2 2 2 9" xfId="25472"/>
    <cellStyle name="표준 2 2 2 2 20" xfId="25473"/>
    <cellStyle name="표준 2 2 2 2 21" xfId="25474"/>
    <cellStyle name="표준 2 2 2 2 22" xfId="25475"/>
    <cellStyle name="표준 2 2 2 2 23" xfId="25476"/>
    <cellStyle name="표준 2 2 2 2 24" xfId="25477"/>
    <cellStyle name="표준 2 2 2 2 25" xfId="25478"/>
    <cellStyle name="표준 2 2 2 2 26" xfId="25479"/>
    <cellStyle name="표준 2 2 2 2 27" xfId="25480"/>
    <cellStyle name="표준 2 2 2 2 28" xfId="25481"/>
    <cellStyle name="표준 2 2 2 2 29" xfId="25482"/>
    <cellStyle name="표준 2 2 2 2 3" xfId="3354"/>
    <cellStyle name="표준 2 2 2 2 3 2" xfId="25483"/>
    <cellStyle name="표준 2 2 2 2 3 2 2" xfId="25484"/>
    <cellStyle name="표준 2 2 2 2 3 2 3" xfId="25485"/>
    <cellStyle name="표준 2 2 2 2 3 2 4" xfId="25486"/>
    <cellStyle name="표준 2 2 2 2 3 2 5" xfId="25487"/>
    <cellStyle name="표준 2 2 2 2 3 2 6" xfId="31853"/>
    <cellStyle name="표준 2 2 2 2 3 3" xfId="25488"/>
    <cellStyle name="표준 2 2 2 2 3 3 2" xfId="31852"/>
    <cellStyle name="표준 2 2 2 2 3 4" xfId="25489"/>
    <cellStyle name="표준 2 2 2 2 3 4 2" xfId="31851"/>
    <cellStyle name="표준 2 2 2 2 3 5" xfId="25490"/>
    <cellStyle name="표준 2 2 2 2 3 5 2" xfId="31850"/>
    <cellStyle name="표준 2 2 2 2 3 6" xfId="25491"/>
    <cellStyle name="표준 2 2 2 2 3 6 2" xfId="31277"/>
    <cellStyle name="표준 2 2 2 2 3 7" xfId="25492"/>
    <cellStyle name="표준 2 2 2 2 3 7 2" xfId="31276"/>
    <cellStyle name="표준 2 2 2 2 3 8" xfId="31275"/>
    <cellStyle name="표준 2 2 2 2 30" xfId="25493"/>
    <cellStyle name="표준 2 2 2 2 31" xfId="25494"/>
    <cellStyle name="표준 2 2 2 2 32" xfId="25495"/>
    <cellStyle name="표준 2 2 2 2 33" xfId="25496"/>
    <cellStyle name="표준 2 2 2 2 34" xfId="25497"/>
    <cellStyle name="표준 2 2 2 2 35" xfId="25498"/>
    <cellStyle name="표준 2 2 2 2 36" xfId="25499"/>
    <cellStyle name="표준 2 2 2 2 37" xfId="25500"/>
    <cellStyle name="표준 2 2 2 2 38" xfId="25501"/>
    <cellStyle name="표준 2 2 2 2 39" xfId="25502"/>
    <cellStyle name="표준 2 2 2 2 4" xfId="3355"/>
    <cellStyle name="표준 2 2 2 2 4 2" xfId="3356"/>
    <cellStyle name="표준 2 2 2 2 4 2 2" xfId="3357"/>
    <cellStyle name="표준 2 2 2 2 4 2 3" xfId="3358"/>
    <cellStyle name="표준 2 2 2 2 4 2 3 2" xfId="3359"/>
    <cellStyle name="표준 2 2 2 2 4 2 4" xfId="3360"/>
    <cellStyle name="표준 2 2 2 2 4 2 5" xfId="25503"/>
    <cellStyle name="표준 2 2 2 2 4 2 6" xfId="25504"/>
    <cellStyle name="표준 2 2 2 2 4 3" xfId="3361"/>
    <cellStyle name="표준 2 2 2 2 4 4" xfId="3362"/>
    <cellStyle name="표준 2 2 2 2 4 4 2" xfId="3363"/>
    <cellStyle name="표준 2 2 2 2 4 4 3" xfId="25505"/>
    <cellStyle name="표준 2 2 2 2 4 4 4" xfId="25506"/>
    <cellStyle name="표준 2 2 2 2 4 5" xfId="3364"/>
    <cellStyle name="표준 2 2 2 2 40" xfId="25507"/>
    <cellStyle name="표준 2 2 2 2 41" xfId="25508"/>
    <cellStyle name="표준 2 2 2 2 42" xfId="25509"/>
    <cellStyle name="표준 2 2 2 2 43" xfId="25510"/>
    <cellStyle name="표준 2 2 2 2 44" xfId="25511"/>
    <cellStyle name="표준 2 2 2 2 45" xfId="25512"/>
    <cellStyle name="표준 2 2 2 2 46" xfId="25513"/>
    <cellStyle name="표준 2 2 2 2 47" xfId="25514"/>
    <cellStyle name="표준 2 2 2 2 48" xfId="25515"/>
    <cellStyle name="표준 2 2 2 2 49" xfId="25516"/>
    <cellStyle name="표준 2 2 2 2 5" xfId="3365"/>
    <cellStyle name="표준 2 2 2 2 5 2" xfId="3366"/>
    <cellStyle name="표준 2 2 2 2 5 2 2" xfId="25517"/>
    <cellStyle name="표준 2 2 2 2 5 2 2 2" xfId="25518"/>
    <cellStyle name="표준 2 2 2 2 5 2 2 3" xfId="25519"/>
    <cellStyle name="표준 2 2 2 2 5 2 2 4" xfId="25520"/>
    <cellStyle name="표준 2 2 2 2 5 2 2 5" xfId="25521"/>
    <cellStyle name="표준 2 2 2 2 5 2 3" xfId="25522"/>
    <cellStyle name="표준 2 2 2 2 5 2 4" xfId="25523"/>
    <cellStyle name="표준 2 2 2 2 5 2 5" xfId="25524"/>
    <cellStyle name="표준 2 2 2 2 5 2 6" xfId="25525"/>
    <cellStyle name="표준 2 2 2 2 5 2 7" xfId="25526"/>
    <cellStyle name="표준 2 2 2 2 5 3" xfId="3367"/>
    <cellStyle name="표준 2 2 2 2 5 3 2" xfId="3368"/>
    <cellStyle name="표준 2 2 2 2 5 3 3" xfId="25527"/>
    <cellStyle name="표준 2 2 2 2 5 3 4" xfId="25528"/>
    <cellStyle name="표준 2 2 2 2 5 4" xfId="3369"/>
    <cellStyle name="표준 2 2 2 2 5 4 2" xfId="25529"/>
    <cellStyle name="표준 2 2 2 2 5 4 3" xfId="25530"/>
    <cellStyle name="표준 2 2 2 2 5 4 4" xfId="25531"/>
    <cellStyle name="표준 2 2 2 2 5 4 5" xfId="25532"/>
    <cellStyle name="표준 2 2 2 2 5 5" xfId="25533"/>
    <cellStyle name="표준 2 2 2 2 5 6" xfId="25534"/>
    <cellStyle name="표준 2 2 2 2 5 7" xfId="25535"/>
    <cellStyle name="표준 2 2 2 2 50" xfId="25536"/>
    <cellStyle name="표준 2 2 2 2 51" xfId="25537"/>
    <cellStyle name="표준 2 2 2 2 52" xfId="25538"/>
    <cellStyle name="표준 2 2 2 2 53" xfId="25539"/>
    <cellStyle name="표준 2 2 2 2 54" xfId="29508"/>
    <cellStyle name="표준 2 2 2 2 55" xfId="30943"/>
    <cellStyle name="표준 2 2 2 2 55 2" xfId="32296"/>
    <cellStyle name="표준 2 2 2 2 6" xfId="3370"/>
    <cellStyle name="표준 2 2 2 2 6 2" xfId="3371"/>
    <cellStyle name="표준 2 2 2 2 7" xfId="3372"/>
    <cellStyle name="표준 2 2 2 2 7 2" xfId="25540"/>
    <cellStyle name="표준 2 2 2 2 7 3" xfId="30243"/>
    <cellStyle name="표준 2 2 2 2 8" xfId="25541"/>
    <cellStyle name="표준 2 2 2 2 9" xfId="25542"/>
    <cellStyle name="표준 2 2 2 20" xfId="25543"/>
    <cellStyle name="표준 2 2 2 21" xfId="25544"/>
    <cellStyle name="표준 2 2 2 22" xfId="25545"/>
    <cellStyle name="표준 2 2 2 23" xfId="25546"/>
    <cellStyle name="표준 2 2 2 24" xfId="25547"/>
    <cellStyle name="표준 2 2 2 25" xfId="25548"/>
    <cellStyle name="표준 2 2 2 26" xfId="25549"/>
    <cellStyle name="표준 2 2 2 27" xfId="25550"/>
    <cellStyle name="표준 2 2 2 28" xfId="25551"/>
    <cellStyle name="표준 2 2 2 29" xfId="25552"/>
    <cellStyle name="표준 2 2 2 3" xfId="3373"/>
    <cellStyle name="표준 2 2 2 3 10" xfId="25553"/>
    <cellStyle name="표준 2 2 2 3 11" xfId="25554"/>
    <cellStyle name="표준 2 2 2 3 12" xfId="25555"/>
    <cellStyle name="표준 2 2 2 3 13" xfId="25556"/>
    <cellStyle name="표준 2 2 2 3 14" xfId="25557"/>
    <cellStyle name="표준 2 2 2 3 15" xfId="25558"/>
    <cellStyle name="표준 2 2 2 3 16" xfId="25559"/>
    <cellStyle name="표준 2 2 2 3 17" xfId="25560"/>
    <cellStyle name="표준 2 2 2 3 18" xfId="25561"/>
    <cellStyle name="표준 2 2 2 3 19" xfId="25562"/>
    <cellStyle name="표준 2 2 2 3 2" xfId="3374"/>
    <cellStyle name="표준 2 2 2 3 2 10" xfId="25563"/>
    <cellStyle name="표준 2 2 2 3 2 11" xfId="25564"/>
    <cellStyle name="표준 2 2 2 3 2 12" xfId="25565"/>
    <cellStyle name="표준 2 2 2 3 2 13" xfId="25566"/>
    <cellStyle name="표준 2 2 2 3 2 14" xfId="25567"/>
    <cellStyle name="표준 2 2 2 3 2 15" xfId="25568"/>
    <cellStyle name="표준 2 2 2 3 2 16" xfId="25569"/>
    <cellStyle name="표준 2 2 2 3 2 17" xfId="25570"/>
    <cellStyle name="표준 2 2 2 3 2 18" xfId="25571"/>
    <cellStyle name="표준 2 2 2 3 2 19" xfId="25572"/>
    <cellStyle name="표준 2 2 2 3 2 2" xfId="3375"/>
    <cellStyle name="표준 2 2 2 3 2 2 10" xfId="25573"/>
    <cellStyle name="표준 2 2 2 3 2 2 11" xfId="25574"/>
    <cellStyle name="표준 2 2 2 3 2 2 12" xfId="25575"/>
    <cellStyle name="표준 2 2 2 3 2 2 13" xfId="25576"/>
    <cellStyle name="표준 2 2 2 3 2 2 14" xfId="25577"/>
    <cellStyle name="표준 2 2 2 3 2 2 15" xfId="25578"/>
    <cellStyle name="표준 2 2 2 3 2 2 16" xfId="25579"/>
    <cellStyle name="표준 2 2 2 3 2 2 17" xfId="25580"/>
    <cellStyle name="표준 2 2 2 3 2 2 18" xfId="25581"/>
    <cellStyle name="표준 2 2 2 3 2 2 19" xfId="25582"/>
    <cellStyle name="표준 2 2 2 3 2 2 2" xfId="3376"/>
    <cellStyle name="표준 2 2 2 3 2 2 2 10" xfId="25583"/>
    <cellStyle name="표준 2 2 2 3 2 2 2 11" xfId="25584"/>
    <cellStyle name="표준 2 2 2 3 2 2 2 12" xfId="25585"/>
    <cellStyle name="표준 2 2 2 3 2 2 2 13" xfId="25586"/>
    <cellStyle name="표준 2 2 2 3 2 2 2 14" xfId="25587"/>
    <cellStyle name="표준 2 2 2 3 2 2 2 15" xfId="25588"/>
    <cellStyle name="표준 2 2 2 3 2 2 2 16" xfId="25589"/>
    <cellStyle name="표준 2 2 2 3 2 2 2 17" xfId="25590"/>
    <cellStyle name="표준 2 2 2 3 2 2 2 18" xfId="25591"/>
    <cellStyle name="표준 2 2 2 3 2 2 2 19" xfId="25592"/>
    <cellStyle name="표준 2 2 2 3 2 2 2 2" xfId="25593"/>
    <cellStyle name="표준 2 2 2 3 2 2 2 20" xfId="25594"/>
    <cellStyle name="표준 2 2 2 3 2 2 2 21" xfId="25595"/>
    <cellStyle name="표준 2 2 2 3 2 2 2 22" xfId="25596"/>
    <cellStyle name="표준 2 2 2 3 2 2 2 23" xfId="25597"/>
    <cellStyle name="표준 2 2 2 3 2 2 2 24" xfId="25598"/>
    <cellStyle name="표준 2 2 2 3 2 2 2 25" xfId="25599"/>
    <cellStyle name="표준 2 2 2 3 2 2 2 26" xfId="25600"/>
    <cellStyle name="표준 2 2 2 3 2 2 2 27" xfId="25601"/>
    <cellStyle name="표준 2 2 2 3 2 2 2 28" xfId="25602"/>
    <cellStyle name="표준 2 2 2 3 2 2 2 29" xfId="25603"/>
    <cellStyle name="표준 2 2 2 3 2 2 2 3" xfId="25604"/>
    <cellStyle name="표준 2 2 2 3 2 2 2 30" xfId="25605"/>
    <cellStyle name="표준 2 2 2 3 2 2 2 31" xfId="25606"/>
    <cellStyle name="표준 2 2 2 3 2 2 2 32" xfId="25607"/>
    <cellStyle name="표준 2 2 2 3 2 2 2 33" xfId="25608"/>
    <cellStyle name="표준 2 2 2 3 2 2 2 34" xfId="25609"/>
    <cellStyle name="표준 2 2 2 3 2 2 2 35" xfId="25610"/>
    <cellStyle name="표준 2 2 2 3 2 2 2 36" xfId="25611"/>
    <cellStyle name="표준 2 2 2 3 2 2 2 37" xfId="25612"/>
    <cellStyle name="표준 2 2 2 3 2 2 2 38" xfId="25613"/>
    <cellStyle name="표준 2 2 2 3 2 2 2 39" xfId="25614"/>
    <cellStyle name="표준 2 2 2 3 2 2 2 4" xfId="25615"/>
    <cellStyle name="표준 2 2 2 3 2 2 2 40" xfId="25616"/>
    <cellStyle name="표준 2 2 2 3 2 2 2 41" xfId="25617"/>
    <cellStyle name="표준 2 2 2 3 2 2 2 42" xfId="25618"/>
    <cellStyle name="표준 2 2 2 3 2 2 2 43" xfId="25619"/>
    <cellStyle name="표준 2 2 2 3 2 2 2 44" xfId="25620"/>
    <cellStyle name="표준 2 2 2 3 2 2 2 45" xfId="25621"/>
    <cellStyle name="표준 2 2 2 3 2 2 2 5" xfId="25622"/>
    <cellStyle name="표준 2 2 2 3 2 2 2 6" xfId="25623"/>
    <cellStyle name="표준 2 2 2 3 2 2 2 7" xfId="25624"/>
    <cellStyle name="표준 2 2 2 3 2 2 2 8" xfId="25625"/>
    <cellStyle name="표준 2 2 2 3 2 2 2 9" xfId="25626"/>
    <cellStyle name="표준 2 2 2 3 2 2 20" xfId="25627"/>
    <cellStyle name="표준 2 2 2 3 2 2 21" xfId="25628"/>
    <cellStyle name="표준 2 2 2 3 2 2 22" xfId="25629"/>
    <cellStyle name="표준 2 2 2 3 2 2 23" xfId="25630"/>
    <cellStyle name="표준 2 2 2 3 2 2 24" xfId="25631"/>
    <cellStyle name="표준 2 2 2 3 2 2 25" xfId="25632"/>
    <cellStyle name="표준 2 2 2 3 2 2 26" xfId="25633"/>
    <cellStyle name="표준 2 2 2 3 2 2 27" xfId="25634"/>
    <cellStyle name="표준 2 2 2 3 2 2 28" xfId="25635"/>
    <cellStyle name="표준 2 2 2 3 2 2 29" xfId="25636"/>
    <cellStyle name="표준 2 2 2 3 2 2 3" xfId="3377"/>
    <cellStyle name="표준 2 2 2 3 2 2 3 2" xfId="3378"/>
    <cellStyle name="표준 2 2 2 3 2 2 30" xfId="25637"/>
    <cellStyle name="표준 2 2 2 3 2 2 31" xfId="25638"/>
    <cellStyle name="표준 2 2 2 3 2 2 32" xfId="25639"/>
    <cellStyle name="표준 2 2 2 3 2 2 33" xfId="25640"/>
    <cellStyle name="표준 2 2 2 3 2 2 34" xfId="25641"/>
    <cellStyle name="표준 2 2 2 3 2 2 35" xfId="25642"/>
    <cellStyle name="표준 2 2 2 3 2 2 36" xfId="25643"/>
    <cellStyle name="표준 2 2 2 3 2 2 37" xfId="25644"/>
    <cellStyle name="표준 2 2 2 3 2 2 38" xfId="25645"/>
    <cellStyle name="표준 2 2 2 3 2 2 39" xfId="25646"/>
    <cellStyle name="표준 2 2 2 3 2 2 4" xfId="3379"/>
    <cellStyle name="표준 2 2 2 3 2 2 4 2" xfId="25647"/>
    <cellStyle name="표준 2 2 2 3 2 2 40" xfId="25648"/>
    <cellStyle name="표준 2 2 2 3 2 2 41" xfId="25649"/>
    <cellStyle name="표준 2 2 2 3 2 2 42" xfId="25650"/>
    <cellStyle name="표준 2 2 2 3 2 2 43" xfId="25651"/>
    <cellStyle name="표준 2 2 2 3 2 2 44" xfId="25652"/>
    <cellStyle name="표준 2 2 2 3 2 2 45" xfId="25653"/>
    <cellStyle name="표준 2 2 2 3 2 2 46" xfId="25654"/>
    <cellStyle name="표준 2 2 2 3 2 2 5" xfId="25655"/>
    <cellStyle name="표준 2 2 2 3 2 2 6" xfId="25656"/>
    <cellStyle name="표준 2 2 2 3 2 2 7" xfId="25657"/>
    <cellStyle name="표준 2 2 2 3 2 2 8" xfId="25658"/>
    <cellStyle name="표준 2 2 2 3 2 2 9" xfId="25659"/>
    <cellStyle name="표준 2 2 2 3 2 20" xfId="25660"/>
    <cellStyle name="표준 2 2 2 3 2 21" xfId="25661"/>
    <cellStyle name="표준 2 2 2 3 2 22" xfId="25662"/>
    <cellStyle name="표준 2 2 2 3 2 23" xfId="25663"/>
    <cellStyle name="표준 2 2 2 3 2 24" xfId="25664"/>
    <cellStyle name="표준 2 2 2 3 2 25" xfId="25665"/>
    <cellStyle name="표준 2 2 2 3 2 26" xfId="25666"/>
    <cellStyle name="표준 2 2 2 3 2 27" xfId="25667"/>
    <cellStyle name="표준 2 2 2 3 2 28" xfId="25668"/>
    <cellStyle name="표준 2 2 2 3 2 29" xfId="25669"/>
    <cellStyle name="표준 2 2 2 3 2 3" xfId="3380"/>
    <cellStyle name="표준 2 2 2 3 2 30" xfId="25670"/>
    <cellStyle name="표준 2 2 2 3 2 31" xfId="25671"/>
    <cellStyle name="표준 2 2 2 3 2 32" xfId="25672"/>
    <cellStyle name="표준 2 2 2 3 2 33" xfId="25673"/>
    <cellStyle name="표준 2 2 2 3 2 34" xfId="25674"/>
    <cellStyle name="표준 2 2 2 3 2 35" xfId="25675"/>
    <cellStyle name="표준 2 2 2 3 2 36" xfId="25676"/>
    <cellStyle name="표준 2 2 2 3 2 37" xfId="25677"/>
    <cellStyle name="표준 2 2 2 3 2 38" xfId="25678"/>
    <cellStyle name="표준 2 2 2 3 2 39" xfId="25679"/>
    <cellStyle name="표준 2 2 2 3 2 4" xfId="3381"/>
    <cellStyle name="표준 2 2 2 3 2 4 2" xfId="3382"/>
    <cellStyle name="표준 2 2 2 3 2 4 3" xfId="25680"/>
    <cellStyle name="표준 2 2 2 3 2 4 4" xfId="25681"/>
    <cellStyle name="표준 2 2 2 3 2 40" xfId="25682"/>
    <cellStyle name="표준 2 2 2 3 2 41" xfId="25683"/>
    <cellStyle name="표준 2 2 2 3 2 42" xfId="25684"/>
    <cellStyle name="표준 2 2 2 3 2 43" xfId="25685"/>
    <cellStyle name="표준 2 2 2 3 2 44" xfId="25686"/>
    <cellStyle name="표준 2 2 2 3 2 45" xfId="25687"/>
    <cellStyle name="표준 2 2 2 3 2 46" xfId="25688"/>
    <cellStyle name="표준 2 2 2 3 2 47" xfId="25689"/>
    <cellStyle name="표준 2 2 2 3 2 48" xfId="25690"/>
    <cellStyle name="표준 2 2 2 3 2 49" xfId="25691"/>
    <cellStyle name="표준 2 2 2 3 2 5" xfId="3383"/>
    <cellStyle name="표준 2 2 2 3 2 50" xfId="25692"/>
    <cellStyle name="표준 2 2 2 3 2 6" xfId="25693"/>
    <cellStyle name="표준 2 2 2 3 2 7" xfId="25694"/>
    <cellStyle name="표준 2 2 2 3 2 8" xfId="25695"/>
    <cellStyle name="표준 2 2 2 3 2 9" xfId="25696"/>
    <cellStyle name="표준 2 2 2 3 20" xfId="25697"/>
    <cellStyle name="표준 2 2 2 3 21" xfId="25698"/>
    <cellStyle name="표준 2 2 2 3 22" xfId="25699"/>
    <cellStyle name="표준 2 2 2 3 23" xfId="25700"/>
    <cellStyle name="표준 2 2 2 3 24" xfId="25701"/>
    <cellStyle name="표준 2 2 2 3 25" xfId="25702"/>
    <cellStyle name="표준 2 2 2 3 26" xfId="25703"/>
    <cellStyle name="표준 2 2 2 3 27" xfId="25704"/>
    <cellStyle name="표준 2 2 2 3 28" xfId="25705"/>
    <cellStyle name="표준 2 2 2 3 29" xfId="25706"/>
    <cellStyle name="표준 2 2 2 3 3" xfId="3384"/>
    <cellStyle name="표준 2 2 2 3 3 2" xfId="3385"/>
    <cellStyle name="표준 2 2 2 3 3 3" xfId="3386"/>
    <cellStyle name="표준 2 2 2 3 3 3 2" xfId="3387"/>
    <cellStyle name="표준 2 2 2 3 3 4" xfId="3388"/>
    <cellStyle name="표준 2 2 2 3 30" xfId="25707"/>
    <cellStyle name="표준 2 2 2 3 31" xfId="25708"/>
    <cellStyle name="표준 2 2 2 3 32" xfId="25709"/>
    <cellStyle name="표준 2 2 2 3 33" xfId="25710"/>
    <cellStyle name="표준 2 2 2 3 34" xfId="25711"/>
    <cellStyle name="표준 2 2 2 3 35" xfId="25712"/>
    <cellStyle name="표준 2 2 2 3 36" xfId="25713"/>
    <cellStyle name="표준 2 2 2 3 37" xfId="25714"/>
    <cellStyle name="표준 2 2 2 3 38" xfId="25715"/>
    <cellStyle name="표준 2 2 2 3 39" xfId="25716"/>
    <cellStyle name="표준 2 2 2 3 4" xfId="3389"/>
    <cellStyle name="표준 2 2 2 3 4 2" xfId="25717"/>
    <cellStyle name="표준 2 2 2 3 4 2 2" xfId="25718"/>
    <cellStyle name="표준 2 2 2 3 4 3" xfId="25719"/>
    <cellStyle name="표준 2 2 2 3 4 3 2" xfId="25720"/>
    <cellStyle name="표준 2 2 2 3 40" xfId="25721"/>
    <cellStyle name="표준 2 2 2 3 41" xfId="25722"/>
    <cellStyle name="표준 2 2 2 3 42" xfId="25723"/>
    <cellStyle name="표준 2 2 2 3 43" xfId="25724"/>
    <cellStyle name="표준 2 2 2 3 44" xfId="25725"/>
    <cellStyle name="표준 2 2 2 3 45" xfId="25726"/>
    <cellStyle name="표준 2 2 2 3 46" xfId="25727"/>
    <cellStyle name="표준 2 2 2 3 47" xfId="25728"/>
    <cellStyle name="표준 2 2 2 3 48" xfId="25729"/>
    <cellStyle name="표준 2 2 2 3 49" xfId="25730"/>
    <cellStyle name="표준 2 2 2 3 5" xfId="3390"/>
    <cellStyle name="표준 2 2 2 3 5 2" xfId="3391"/>
    <cellStyle name="표준 2 2 2 3 5 2 2" xfId="25731"/>
    <cellStyle name="표준 2 2 2 3 5 2 3" xfId="25732"/>
    <cellStyle name="표준 2 2 2 3 5 2 4" xfId="25733"/>
    <cellStyle name="표준 2 2 2 3 5 2 5" xfId="25734"/>
    <cellStyle name="표준 2 2 2 3 5 3" xfId="25735"/>
    <cellStyle name="표준 2 2 2 3 5 4" xfId="25736"/>
    <cellStyle name="표준 2 2 2 3 5 5" xfId="25737"/>
    <cellStyle name="표준 2 2 2 3 5 6" xfId="25738"/>
    <cellStyle name="표준 2 2 2 3 5 7" xfId="29716"/>
    <cellStyle name="표준 2 2 2 3 50" xfId="25739"/>
    <cellStyle name="표준 2 2 2 3 51" xfId="25740"/>
    <cellStyle name="표준 2 2 2 3 52" xfId="25741"/>
    <cellStyle name="표준 2 2 2 3 53" xfId="25742"/>
    <cellStyle name="표준 2 2 2 3 54" xfId="25743"/>
    <cellStyle name="표준 2 2 2 3 55" xfId="25744"/>
    <cellStyle name="표준 2 2 2 3 56" xfId="25745"/>
    <cellStyle name="표준 2 2 2 3 57" xfId="25746"/>
    <cellStyle name="표준 2 2 2 3 58" xfId="25747"/>
    <cellStyle name="표준 2 2 2 3 59" xfId="25748"/>
    <cellStyle name="표준 2 2 2 3 6" xfId="3392"/>
    <cellStyle name="표준 2 2 2 3 6 2" xfId="25749"/>
    <cellStyle name="표준 2 2 2 3 60" xfId="25750"/>
    <cellStyle name="표준 2 2 2 3 61" xfId="25751"/>
    <cellStyle name="표준 2 2 2 3 62" xfId="25752"/>
    <cellStyle name="표준 2 2 2 3 63" xfId="25753"/>
    <cellStyle name="표준 2 2 2 3 64" xfId="25754"/>
    <cellStyle name="표준 2 2 2 3 65" xfId="25755"/>
    <cellStyle name="표준 2 2 2 3 66" xfId="29710"/>
    <cellStyle name="표준 2 2 2 3 67" xfId="30994"/>
    <cellStyle name="표준 2 2 2 3 67 2" xfId="32345"/>
    <cellStyle name="표준 2 2 2 3 7" xfId="25756"/>
    <cellStyle name="표준 2 2 2 3 8" xfId="25757"/>
    <cellStyle name="표준 2 2 2 3 9" xfId="25758"/>
    <cellStyle name="표준 2 2 2 30" xfId="25759"/>
    <cellStyle name="표준 2 2 2 31" xfId="25760"/>
    <cellStyle name="표준 2 2 2 32" xfId="25761"/>
    <cellStyle name="표준 2 2 2 33" xfId="25762"/>
    <cellStyle name="표준 2 2 2 34" xfId="25763"/>
    <cellStyle name="표준 2 2 2 35" xfId="25764"/>
    <cellStyle name="표준 2 2 2 36" xfId="25765"/>
    <cellStyle name="표준 2 2 2 37" xfId="25766"/>
    <cellStyle name="표준 2 2 2 38" xfId="25767"/>
    <cellStyle name="표준 2 2 2 39" xfId="25768"/>
    <cellStyle name="표준 2 2 2 4" xfId="3393"/>
    <cellStyle name="표준 2 2 2 4 10" xfId="25769"/>
    <cellStyle name="표준 2 2 2 4 11" xfId="25770"/>
    <cellStyle name="표준 2 2 2 4 12" xfId="25771"/>
    <cellStyle name="표준 2 2 2 4 13" xfId="25772"/>
    <cellStyle name="표준 2 2 2 4 14" xfId="25773"/>
    <cellStyle name="표준 2 2 2 4 15" xfId="25774"/>
    <cellStyle name="표준 2 2 2 4 16" xfId="25775"/>
    <cellStyle name="표준 2 2 2 4 17" xfId="25776"/>
    <cellStyle name="표준 2 2 2 4 18" xfId="25777"/>
    <cellStyle name="표준 2 2 2 4 19" xfId="25778"/>
    <cellStyle name="표준 2 2 2 4 2" xfId="3394"/>
    <cellStyle name="표준 2 2 2 4 2 2" xfId="3395"/>
    <cellStyle name="표준 2 2 2 4 2 2 2" xfId="3396"/>
    <cellStyle name="표준 2 2 2 4 2 2 2 2" xfId="25779"/>
    <cellStyle name="표준 2 2 2 4 2 2 2 3" xfId="25780"/>
    <cellStyle name="표준 2 2 2 4 2 2 2 4" xfId="25781"/>
    <cellStyle name="표준 2 2 2 4 2 2 2 5" xfId="25782"/>
    <cellStyle name="표준 2 2 2 4 2 2 2 6" xfId="25783"/>
    <cellStyle name="표준 2 2 2 4 2 2 2 7" xfId="25784"/>
    <cellStyle name="표준 2 2 2 4 2 2 3" xfId="3397"/>
    <cellStyle name="표준 2 2 2 4 2 2 3 2" xfId="3398"/>
    <cellStyle name="표준 2 2 2 4 2 2 3 3" xfId="25785"/>
    <cellStyle name="표준 2 2 2 4 2 2 4" xfId="3399"/>
    <cellStyle name="표준 2 2 2 4 2 2 5" xfId="25786"/>
    <cellStyle name="표준 2 2 2 4 2 2 5 2" xfId="25787"/>
    <cellStyle name="표준 2 2 2 4 2 2 6" xfId="25788"/>
    <cellStyle name="표준 2 2 2 4 2 2 7" xfId="25789"/>
    <cellStyle name="표준 2 2 2 4 2 2 8" xfId="25790"/>
    <cellStyle name="표준 2 2 2 4 2 2 9" xfId="25791"/>
    <cellStyle name="표준 2 2 2 4 2 3" xfId="3400"/>
    <cellStyle name="표준 2 2 2 4 2 3 2" xfId="25792"/>
    <cellStyle name="표준 2 2 2 4 2 3 3" xfId="25793"/>
    <cellStyle name="표준 2 2 2 4 2 4" xfId="3401"/>
    <cellStyle name="표준 2 2 2 4 2 4 2" xfId="3402"/>
    <cellStyle name="표준 2 2 2 4 2 4 3" xfId="25794"/>
    <cellStyle name="표준 2 2 2 4 2 4 4" xfId="25795"/>
    <cellStyle name="표준 2 2 2 4 2 4 5" xfId="25796"/>
    <cellStyle name="표준 2 2 2 4 2 4 6" xfId="25797"/>
    <cellStyle name="표준 2 2 2 4 2 4 7" xfId="25798"/>
    <cellStyle name="표준 2 2 2 4 2 4 8" xfId="25799"/>
    <cellStyle name="표준 2 2 2 4 2 5" xfId="3403"/>
    <cellStyle name="표준 2 2 2 4 2 5 2" xfId="25800"/>
    <cellStyle name="표준 2 2 2 4 2 6" xfId="25801"/>
    <cellStyle name="표준 2 2 2 4 2 7" xfId="25802"/>
    <cellStyle name="표준 2 2 2 4 2 8" xfId="25803"/>
    <cellStyle name="표준 2 2 2 4 2 9" xfId="25804"/>
    <cellStyle name="표준 2 2 2 4 20" xfId="25805"/>
    <cellStyle name="표준 2 2 2 4 21" xfId="25806"/>
    <cellStyle name="표준 2 2 2 4 22" xfId="25807"/>
    <cellStyle name="표준 2 2 2 4 23" xfId="25808"/>
    <cellStyle name="표준 2 2 2 4 24" xfId="25809"/>
    <cellStyle name="표준 2 2 2 4 25" xfId="25810"/>
    <cellStyle name="표준 2 2 2 4 26" xfId="25811"/>
    <cellStyle name="표준 2 2 2 4 27" xfId="25812"/>
    <cellStyle name="표준 2 2 2 4 28" xfId="32002"/>
    <cellStyle name="표준 2 2 2 4 3" xfId="3404"/>
    <cellStyle name="표준 2 2 2 4 3 2" xfId="3405"/>
    <cellStyle name="표준 2 2 2 4 3 2 2" xfId="25813"/>
    <cellStyle name="표준 2 2 2 4 3 2 3" xfId="25814"/>
    <cellStyle name="표준 2 2 2 4 3 2 4" xfId="25815"/>
    <cellStyle name="표준 2 2 2 4 3 3" xfId="3406"/>
    <cellStyle name="표준 2 2 2 4 3 3 2" xfId="3407"/>
    <cellStyle name="표준 2 2 2 4 3 3 3" xfId="25816"/>
    <cellStyle name="표준 2 2 2 4 3 4" xfId="3408"/>
    <cellStyle name="표준 2 2 2 4 3 4 2" xfId="25817"/>
    <cellStyle name="표준 2 2 2 4 3 5" xfId="25818"/>
    <cellStyle name="표준 2 2 2 4 3 5 2" xfId="25819"/>
    <cellStyle name="표준 2 2 2 4 3 6" xfId="25820"/>
    <cellStyle name="표준 2 2 2 4 3 7" xfId="25821"/>
    <cellStyle name="표준 2 2 2 4 4" xfId="3409"/>
    <cellStyle name="표준 2 2 2 4 5" xfId="3410"/>
    <cellStyle name="표준 2 2 2 4 5 10" xfId="25822"/>
    <cellStyle name="표준 2 2 2 4 5 2" xfId="3411"/>
    <cellStyle name="표준 2 2 2 4 5 2 2" xfId="25823"/>
    <cellStyle name="표준 2 2 2 4 5 3" xfId="25824"/>
    <cellStyle name="표준 2 2 2 4 5 4" xfId="25825"/>
    <cellStyle name="표준 2 2 2 4 5 5" xfId="25826"/>
    <cellStyle name="표준 2 2 2 4 5 6" xfId="25827"/>
    <cellStyle name="표준 2 2 2 4 5 7" xfId="25828"/>
    <cellStyle name="표준 2 2 2 4 5 8" xfId="25829"/>
    <cellStyle name="표준 2 2 2 4 5 9" xfId="25830"/>
    <cellStyle name="표준 2 2 2 4 6" xfId="3412"/>
    <cellStyle name="표준 2 2 2 4 6 2" xfId="25831"/>
    <cellStyle name="표준 2 2 2 4 6 3" xfId="25832"/>
    <cellStyle name="표준 2 2 2 4 6 4" xfId="25833"/>
    <cellStyle name="표준 2 2 2 4 7" xfId="25834"/>
    <cellStyle name="표준 2 2 2 4 7 2" xfId="25835"/>
    <cellStyle name="표준 2 2 2 4 7 3" xfId="25836"/>
    <cellStyle name="표준 2 2 2 4 7 4" xfId="25837"/>
    <cellStyle name="표준 2 2 2 4 7 5" xfId="25838"/>
    <cellStyle name="표준 2 2 2 4 8" xfId="25839"/>
    <cellStyle name="표준 2 2 2 4 9" xfId="25840"/>
    <cellStyle name="표준 2 2 2 40" xfId="25841"/>
    <cellStyle name="표준 2 2 2 41" xfId="25842"/>
    <cellStyle name="표준 2 2 2 42" xfId="25843"/>
    <cellStyle name="표준 2 2 2 43" xfId="25844"/>
    <cellStyle name="표준 2 2 2 44" xfId="25845"/>
    <cellStyle name="표준 2 2 2 45" xfId="25846"/>
    <cellStyle name="표준 2 2 2 46" xfId="25847"/>
    <cellStyle name="표준 2 2 2 47" xfId="25848"/>
    <cellStyle name="표준 2 2 2 48" xfId="25849"/>
    <cellStyle name="표준 2 2 2 49" xfId="25850"/>
    <cellStyle name="표준 2 2 2 5" xfId="3413"/>
    <cellStyle name="표준 2 2 2 5 10" xfId="25851"/>
    <cellStyle name="표준 2 2 2 5 11" xfId="25852"/>
    <cellStyle name="표준 2 2 2 5 12" xfId="25853"/>
    <cellStyle name="표준 2 2 2 5 13" xfId="25854"/>
    <cellStyle name="표준 2 2 2 5 14" xfId="25855"/>
    <cellStyle name="표준 2 2 2 5 15" xfId="25856"/>
    <cellStyle name="표준 2 2 2 5 16" xfId="25857"/>
    <cellStyle name="표준 2 2 2 5 17" xfId="25858"/>
    <cellStyle name="표준 2 2 2 5 18" xfId="25859"/>
    <cellStyle name="표준 2 2 2 5 19" xfId="25860"/>
    <cellStyle name="표준 2 2 2 5 2" xfId="3414"/>
    <cellStyle name="표준 2 2 2 5 2 10" xfId="25861"/>
    <cellStyle name="표준 2 2 2 5 2 11" xfId="25862"/>
    <cellStyle name="표준 2 2 2 5 2 2" xfId="3415"/>
    <cellStyle name="표준 2 2 2 5 2 2 10" xfId="25863"/>
    <cellStyle name="표준 2 2 2 5 2 2 11" xfId="25864"/>
    <cellStyle name="표준 2 2 2 5 2 2 2" xfId="25865"/>
    <cellStyle name="표준 2 2 2 5 2 2 3" xfId="25866"/>
    <cellStyle name="표준 2 2 2 5 2 2 4" xfId="25867"/>
    <cellStyle name="표준 2 2 2 5 2 2 5" xfId="25868"/>
    <cellStyle name="표준 2 2 2 5 2 2 6" xfId="25869"/>
    <cellStyle name="표준 2 2 2 5 2 2 7" xfId="25870"/>
    <cellStyle name="표준 2 2 2 5 2 2 8" xfId="25871"/>
    <cellStyle name="표준 2 2 2 5 2 2 9" xfId="25872"/>
    <cellStyle name="표준 2 2 2 5 2 3" xfId="3416"/>
    <cellStyle name="표준 2 2 2 5 2 3 2" xfId="3417"/>
    <cellStyle name="표준 2 2 2 5 2 4" xfId="3418"/>
    <cellStyle name="표준 2 2 2 5 2 4 2" xfId="25873"/>
    <cellStyle name="표준 2 2 2 5 2 4 3" xfId="25874"/>
    <cellStyle name="표준 2 2 2 5 2 4 4" xfId="25875"/>
    <cellStyle name="표준 2 2 2 5 2 4 5" xfId="25876"/>
    <cellStyle name="표준 2 2 2 5 2 5" xfId="25877"/>
    <cellStyle name="표준 2 2 2 5 2 6" xfId="25878"/>
    <cellStyle name="표준 2 2 2 5 2 7" xfId="25879"/>
    <cellStyle name="표준 2 2 2 5 2 8" xfId="25880"/>
    <cellStyle name="표준 2 2 2 5 2 9" xfId="25881"/>
    <cellStyle name="표준 2 2 2 5 20" xfId="25882"/>
    <cellStyle name="표준 2 2 2 5 21" xfId="25883"/>
    <cellStyle name="표준 2 2 2 5 22" xfId="25884"/>
    <cellStyle name="표준 2 2 2 5 23" xfId="30647"/>
    <cellStyle name="표준 2 2 2 5 3" xfId="3419"/>
    <cellStyle name="표준 2 2 2 5 4" xfId="3420"/>
    <cellStyle name="표준 2 2 2 5 4 10" xfId="25885"/>
    <cellStyle name="표준 2 2 2 5 4 11" xfId="25886"/>
    <cellStyle name="표준 2 2 2 5 4 2" xfId="3421"/>
    <cellStyle name="표준 2 2 2 5 4 2 2" xfId="25887"/>
    <cellStyle name="표준 2 2 2 5 4 3" xfId="25888"/>
    <cellStyle name="표준 2 2 2 5 4 4" xfId="25889"/>
    <cellStyle name="표준 2 2 2 5 4 5" xfId="25890"/>
    <cellStyle name="표준 2 2 2 5 4 6" xfId="25891"/>
    <cellStyle name="표준 2 2 2 5 4 7" xfId="25892"/>
    <cellStyle name="표준 2 2 2 5 4 8" xfId="25893"/>
    <cellStyle name="표준 2 2 2 5 4 9" xfId="25894"/>
    <cellStyle name="표준 2 2 2 5 5" xfId="3422"/>
    <cellStyle name="표준 2 2 2 5 5 2" xfId="25895"/>
    <cellStyle name="표준 2 2 2 5 5 3" xfId="25896"/>
    <cellStyle name="표준 2 2 2 5 5 4" xfId="25897"/>
    <cellStyle name="표준 2 2 2 5 5 5" xfId="25898"/>
    <cellStyle name="표준 2 2 2 5 6" xfId="25899"/>
    <cellStyle name="표준 2 2 2 5 6 2" xfId="25900"/>
    <cellStyle name="표준 2 2 2 5 7" xfId="25901"/>
    <cellStyle name="표준 2 2 2 5 8" xfId="25902"/>
    <cellStyle name="표준 2 2 2 5 9" xfId="25903"/>
    <cellStyle name="표준 2 2 2 50" xfId="25904"/>
    <cellStyle name="표준 2 2 2 51" xfId="30260"/>
    <cellStyle name="표준 2 2 2 52" xfId="30983"/>
    <cellStyle name="표준 2 2 2 52 2" xfId="32335"/>
    <cellStyle name="표준 2 2 2 6" xfId="3423"/>
    <cellStyle name="표준 2 2 2 6 10" xfId="25905"/>
    <cellStyle name="표준 2 2 2 6 11" xfId="25906"/>
    <cellStyle name="표준 2 2 2 6 12" xfId="25907"/>
    <cellStyle name="표준 2 2 2 6 13" xfId="25908"/>
    <cellStyle name="표준 2 2 2 6 14" xfId="25909"/>
    <cellStyle name="표준 2 2 2 6 15" xfId="25910"/>
    <cellStyle name="표준 2 2 2 6 16" xfId="25911"/>
    <cellStyle name="표준 2 2 2 6 17" xfId="30648"/>
    <cellStyle name="표준 2 2 2 6 18" xfId="31849"/>
    <cellStyle name="표준 2 2 2 6 2" xfId="3424"/>
    <cellStyle name="표준 2 2 2 6 2 10" xfId="25912"/>
    <cellStyle name="표준 2 2 2 6 2 11" xfId="25913"/>
    <cellStyle name="표준 2 2 2 6 2 2" xfId="25914"/>
    <cellStyle name="표준 2 2 2 6 2 3" xfId="25915"/>
    <cellStyle name="표준 2 2 2 6 2 4" xfId="25916"/>
    <cellStyle name="표준 2 2 2 6 2 5" xfId="25917"/>
    <cellStyle name="표준 2 2 2 6 2 6" xfId="25918"/>
    <cellStyle name="표준 2 2 2 6 2 7" xfId="25919"/>
    <cellStyle name="표준 2 2 2 6 2 8" xfId="25920"/>
    <cellStyle name="표준 2 2 2 6 2 9" xfId="25921"/>
    <cellStyle name="표준 2 2 2 6 3" xfId="3425"/>
    <cellStyle name="표준 2 2 2 6 3 10" xfId="25922"/>
    <cellStyle name="표준 2 2 2 6 3 11" xfId="25923"/>
    <cellStyle name="표준 2 2 2 6 3 2" xfId="3426"/>
    <cellStyle name="표준 2 2 2 6 3 2 2" xfId="25924"/>
    <cellStyle name="표준 2 2 2 6 3 3" xfId="25925"/>
    <cellStyle name="표준 2 2 2 6 3 4" xfId="25926"/>
    <cellStyle name="표준 2 2 2 6 3 5" xfId="25927"/>
    <cellStyle name="표준 2 2 2 6 3 6" xfId="25928"/>
    <cellStyle name="표준 2 2 2 6 3 7" xfId="25929"/>
    <cellStyle name="표준 2 2 2 6 3 8" xfId="25930"/>
    <cellStyle name="표준 2 2 2 6 3 9" xfId="25931"/>
    <cellStyle name="표준 2 2 2 6 4" xfId="3427"/>
    <cellStyle name="표준 2 2 2 6 4 2" xfId="25932"/>
    <cellStyle name="표준 2 2 2 6 4 3" xfId="25933"/>
    <cellStyle name="표준 2 2 2 6 4 4" xfId="25934"/>
    <cellStyle name="표준 2 2 2 6 4 5" xfId="25935"/>
    <cellStyle name="표준 2 2 2 6 5" xfId="25936"/>
    <cellStyle name="표준 2 2 2 6 5 2" xfId="25937"/>
    <cellStyle name="표준 2 2 2 6 6" xfId="25938"/>
    <cellStyle name="표준 2 2 2 6 7" xfId="25939"/>
    <cellStyle name="표준 2 2 2 6 8" xfId="25940"/>
    <cellStyle name="표준 2 2 2 6 9" xfId="25941"/>
    <cellStyle name="표준 2 2 2 7" xfId="3428"/>
    <cellStyle name="표준 2 2 2 7 10" xfId="25942"/>
    <cellStyle name="표준 2 2 2 7 11" xfId="25943"/>
    <cellStyle name="표준 2 2 2 7 12" xfId="25944"/>
    <cellStyle name="표준 2 2 2 7 13" xfId="25945"/>
    <cellStyle name="표준 2 2 2 7 14" xfId="25946"/>
    <cellStyle name="표준 2 2 2 7 15" xfId="25947"/>
    <cellStyle name="표준 2 2 2 7 16" xfId="25948"/>
    <cellStyle name="표준 2 2 2 7 17" xfId="25949"/>
    <cellStyle name="표준 2 2 2 7 18" xfId="25950"/>
    <cellStyle name="표준 2 2 2 7 19" xfId="25951"/>
    <cellStyle name="표준 2 2 2 7 2" xfId="3429"/>
    <cellStyle name="표준 2 2 2 7 2 2" xfId="25952"/>
    <cellStyle name="표준 2 2 2 7 20" xfId="25953"/>
    <cellStyle name="표준 2 2 2 7 21" xfId="25954"/>
    <cellStyle name="표준 2 2 2 7 22" xfId="25955"/>
    <cellStyle name="표준 2 2 2 7 23" xfId="25956"/>
    <cellStyle name="표준 2 2 2 7 24" xfId="25957"/>
    <cellStyle name="표준 2 2 2 7 25" xfId="25958"/>
    <cellStyle name="표준 2 2 2 7 26" xfId="25959"/>
    <cellStyle name="표준 2 2 2 7 27" xfId="25960"/>
    <cellStyle name="표준 2 2 2 7 28" xfId="25961"/>
    <cellStyle name="표준 2 2 2 7 29" xfId="25962"/>
    <cellStyle name="표준 2 2 2 7 3" xfId="25963"/>
    <cellStyle name="표준 2 2 2 7 30" xfId="25964"/>
    <cellStyle name="표준 2 2 2 7 31" xfId="25965"/>
    <cellStyle name="표준 2 2 2 7 32" xfId="25966"/>
    <cellStyle name="표준 2 2 2 7 33" xfId="25967"/>
    <cellStyle name="표준 2 2 2 7 34" xfId="25968"/>
    <cellStyle name="표준 2 2 2 7 35" xfId="31848"/>
    <cellStyle name="표준 2 2 2 7 4" xfId="25969"/>
    <cellStyle name="표준 2 2 2 7 5" xfId="25970"/>
    <cellStyle name="표준 2 2 2 7 6" xfId="25971"/>
    <cellStyle name="표준 2 2 2 7 7" xfId="25972"/>
    <cellStyle name="표준 2 2 2 7 8" xfId="25973"/>
    <cellStyle name="표준 2 2 2 7 9" xfId="25974"/>
    <cellStyle name="표준 2 2 2 8" xfId="3430"/>
    <cellStyle name="표준 2 2 2 8 10" xfId="25975"/>
    <cellStyle name="표준 2 2 2 8 11" xfId="31847"/>
    <cellStyle name="표준 2 2 2 8 2" xfId="25976"/>
    <cellStyle name="표준 2 2 2 8 3" xfId="25977"/>
    <cellStyle name="표준 2 2 2 8 4" xfId="25978"/>
    <cellStyle name="표준 2 2 2 8 5" xfId="25979"/>
    <cellStyle name="표준 2 2 2 8 6" xfId="25980"/>
    <cellStyle name="표준 2 2 2 8 7" xfId="25981"/>
    <cellStyle name="표준 2 2 2 8 8" xfId="25982"/>
    <cellStyle name="표준 2 2 2 8 9" xfId="25983"/>
    <cellStyle name="표준 2 2 2 9" xfId="25984"/>
    <cellStyle name="표준 2 2 2 9 10" xfId="25985"/>
    <cellStyle name="표준 2 2 2 9 11" xfId="31846"/>
    <cellStyle name="표준 2 2 2 9 2" xfId="25986"/>
    <cellStyle name="표준 2 2 2 9 2 2" xfId="31845"/>
    <cellStyle name="표준 2 2 2 9 2 3" xfId="31844"/>
    <cellStyle name="표준 2 2 2 9 2 4" xfId="31843"/>
    <cellStyle name="표준 2 2 2 9 2 5" xfId="31842"/>
    <cellStyle name="표준 2 2 2 9 2 6" xfId="31841"/>
    <cellStyle name="표준 2 2 2 9 2 7" xfId="32037"/>
    <cellStyle name="표준 2 2 2 9 2 8" xfId="31840"/>
    <cellStyle name="표준 2 2 2 9 3" xfId="25987"/>
    <cellStyle name="표준 2 2 2 9 4" xfId="25988"/>
    <cellStyle name="표준 2 2 2 9 5" xfId="25989"/>
    <cellStyle name="표준 2 2 2 9 6" xfId="25990"/>
    <cellStyle name="표준 2 2 2 9 7" xfId="25991"/>
    <cellStyle name="표준 2 2 2 9 8" xfId="25992"/>
    <cellStyle name="표준 2 2 2 9 9" xfId="25993"/>
    <cellStyle name="표준 2 2 20" xfId="25994"/>
    <cellStyle name="표준 2 2 20 10" xfId="25995"/>
    <cellStyle name="표준 2 2 20 11" xfId="25996"/>
    <cellStyle name="표준 2 2 20 12" xfId="25997"/>
    <cellStyle name="표준 2 2 20 13" xfId="25998"/>
    <cellStyle name="표준 2 2 20 14" xfId="25999"/>
    <cellStyle name="표준 2 2 20 15" xfId="26000"/>
    <cellStyle name="표준 2 2 20 2" xfId="26001"/>
    <cellStyle name="표준 2 2 20 3" xfId="26002"/>
    <cellStyle name="표준 2 2 20 4" xfId="26003"/>
    <cellStyle name="표준 2 2 20 5" xfId="26004"/>
    <cellStyle name="표준 2 2 20 6" xfId="26005"/>
    <cellStyle name="표준 2 2 20 7" xfId="26006"/>
    <cellStyle name="표준 2 2 20 8" xfId="26007"/>
    <cellStyle name="표준 2 2 20 9" xfId="26008"/>
    <cellStyle name="표준 2 2 21" xfId="26009"/>
    <cellStyle name="표준 2 2 21 10" xfId="26010"/>
    <cellStyle name="표준 2 2 21 11" xfId="26011"/>
    <cellStyle name="표준 2 2 21 12" xfId="26012"/>
    <cellStyle name="표준 2 2 21 2" xfId="26013"/>
    <cellStyle name="표준 2 2 21 3" xfId="26014"/>
    <cellStyle name="표준 2 2 21 4" xfId="26015"/>
    <cellStyle name="표준 2 2 21 5" xfId="26016"/>
    <cellStyle name="표준 2 2 21 6" xfId="26017"/>
    <cellStyle name="표준 2 2 21 7" xfId="26018"/>
    <cellStyle name="표준 2 2 21 8" xfId="26019"/>
    <cellStyle name="표준 2 2 21 9" xfId="26020"/>
    <cellStyle name="표준 2 2 22" xfId="26021"/>
    <cellStyle name="표준 2 2 22 10" xfId="26022"/>
    <cellStyle name="표준 2 2 22 11" xfId="26023"/>
    <cellStyle name="표준 2 2 22 12" xfId="26024"/>
    <cellStyle name="표준 2 2 22 2" xfId="26025"/>
    <cellStyle name="표준 2 2 22 3" xfId="26026"/>
    <cellStyle name="표준 2 2 22 4" xfId="26027"/>
    <cellStyle name="표준 2 2 22 5" xfId="26028"/>
    <cellStyle name="표준 2 2 22 6" xfId="26029"/>
    <cellStyle name="표준 2 2 22 7" xfId="26030"/>
    <cellStyle name="표준 2 2 22 8" xfId="26031"/>
    <cellStyle name="표준 2 2 22 9" xfId="26032"/>
    <cellStyle name="표준 2 2 23" xfId="26033"/>
    <cellStyle name="표준 2 2 23 10" xfId="26034"/>
    <cellStyle name="표준 2 2 23 11" xfId="26035"/>
    <cellStyle name="표준 2 2 23 12" xfId="26036"/>
    <cellStyle name="표준 2 2 23 2" xfId="26037"/>
    <cellStyle name="표준 2 2 23 3" xfId="26038"/>
    <cellStyle name="표준 2 2 23 4" xfId="26039"/>
    <cellStyle name="표준 2 2 23 5" xfId="26040"/>
    <cellStyle name="표준 2 2 23 6" xfId="26041"/>
    <cellStyle name="표준 2 2 23 7" xfId="26042"/>
    <cellStyle name="표준 2 2 23 8" xfId="26043"/>
    <cellStyle name="표준 2 2 23 9" xfId="26044"/>
    <cellStyle name="표준 2 2 24" xfId="26045"/>
    <cellStyle name="표준 2 2 24 10" xfId="26046"/>
    <cellStyle name="표준 2 2 24 11" xfId="26047"/>
    <cellStyle name="표준 2 2 24 12" xfId="26048"/>
    <cellStyle name="표준 2 2 24 2" xfId="26049"/>
    <cellStyle name="표준 2 2 24 3" xfId="26050"/>
    <cellStyle name="표준 2 2 24 4" xfId="26051"/>
    <cellStyle name="표준 2 2 24 5" xfId="26052"/>
    <cellStyle name="표준 2 2 24 6" xfId="26053"/>
    <cellStyle name="표준 2 2 24 7" xfId="26054"/>
    <cellStyle name="표준 2 2 24 8" xfId="26055"/>
    <cellStyle name="표준 2 2 24 9" xfId="26056"/>
    <cellStyle name="표준 2 2 25" xfId="26057"/>
    <cellStyle name="표준 2 2 25 10" xfId="26058"/>
    <cellStyle name="표준 2 2 25 11" xfId="26059"/>
    <cellStyle name="표준 2 2 25 12" xfId="26060"/>
    <cellStyle name="표준 2 2 25 2" xfId="26061"/>
    <cellStyle name="표준 2 2 25 3" xfId="26062"/>
    <cellStyle name="표준 2 2 25 4" xfId="26063"/>
    <cellStyle name="표준 2 2 25 5" xfId="26064"/>
    <cellStyle name="표준 2 2 25 6" xfId="26065"/>
    <cellStyle name="표준 2 2 25 7" xfId="26066"/>
    <cellStyle name="표준 2 2 25 8" xfId="26067"/>
    <cellStyle name="표준 2 2 25 9" xfId="26068"/>
    <cellStyle name="표준 2 2 26" xfId="26069"/>
    <cellStyle name="표준 2 2 26 10" xfId="26070"/>
    <cellStyle name="표준 2 2 26 11" xfId="26071"/>
    <cellStyle name="표준 2 2 26 12" xfId="26072"/>
    <cellStyle name="표준 2 2 26 2" xfId="26073"/>
    <cellStyle name="표준 2 2 26 3" xfId="26074"/>
    <cellStyle name="표준 2 2 26 4" xfId="26075"/>
    <cellStyle name="표준 2 2 26 5" xfId="26076"/>
    <cellStyle name="표준 2 2 26 6" xfId="26077"/>
    <cellStyle name="표준 2 2 26 7" xfId="26078"/>
    <cellStyle name="표준 2 2 26 8" xfId="26079"/>
    <cellStyle name="표준 2 2 26 9" xfId="26080"/>
    <cellStyle name="표준 2 2 27" xfId="26081"/>
    <cellStyle name="표준 2 2 27 10" xfId="26082"/>
    <cellStyle name="표준 2 2 27 11" xfId="26083"/>
    <cellStyle name="표준 2 2 27 12" xfId="26084"/>
    <cellStyle name="표준 2 2 27 2" xfId="26085"/>
    <cellStyle name="표준 2 2 27 3" xfId="26086"/>
    <cellStyle name="표준 2 2 27 4" xfId="26087"/>
    <cellStyle name="표준 2 2 27 5" xfId="26088"/>
    <cellStyle name="표준 2 2 27 6" xfId="26089"/>
    <cellStyle name="표준 2 2 27 7" xfId="26090"/>
    <cellStyle name="표준 2 2 27 8" xfId="26091"/>
    <cellStyle name="표준 2 2 27 9" xfId="26092"/>
    <cellStyle name="표준 2 2 28" xfId="26093"/>
    <cellStyle name="표준 2 2 28 10" xfId="26094"/>
    <cellStyle name="표준 2 2 28 11" xfId="26095"/>
    <cellStyle name="표준 2 2 28 12" xfId="26096"/>
    <cellStyle name="표준 2 2 28 2" xfId="26097"/>
    <cellStyle name="표준 2 2 28 3" xfId="26098"/>
    <cellStyle name="표준 2 2 28 4" xfId="26099"/>
    <cellStyle name="표준 2 2 28 5" xfId="26100"/>
    <cellStyle name="표준 2 2 28 6" xfId="26101"/>
    <cellStyle name="표준 2 2 28 7" xfId="26102"/>
    <cellStyle name="표준 2 2 28 8" xfId="26103"/>
    <cellStyle name="표준 2 2 28 9" xfId="26104"/>
    <cellStyle name="표준 2 2 29" xfId="26105"/>
    <cellStyle name="표준 2 2 29 10" xfId="26106"/>
    <cellStyle name="표준 2 2 29 11" xfId="26107"/>
    <cellStyle name="표준 2 2 29 12" xfId="26108"/>
    <cellStyle name="표준 2 2 29 2" xfId="26109"/>
    <cellStyle name="표준 2 2 29 3" xfId="26110"/>
    <cellStyle name="표준 2 2 29 4" xfId="26111"/>
    <cellStyle name="표준 2 2 29 5" xfId="26112"/>
    <cellStyle name="표준 2 2 29 6" xfId="26113"/>
    <cellStyle name="표준 2 2 29 7" xfId="26114"/>
    <cellStyle name="표준 2 2 29 8" xfId="26115"/>
    <cellStyle name="표준 2 2 29 9" xfId="26116"/>
    <cellStyle name="표준 2 2 3" xfId="3431"/>
    <cellStyle name="표준 2 2 3 10" xfId="26117"/>
    <cellStyle name="표준 2 2 3 11" xfId="30263"/>
    <cellStyle name="표준 2 2 3 12" xfId="30974"/>
    <cellStyle name="표준 2 2 3 12 2" xfId="32326"/>
    <cellStyle name="표준 2 2 3 2" xfId="3432"/>
    <cellStyle name="표준 2 2 3 2 2" xfId="3433"/>
    <cellStyle name="표준 2 2 3 2 2 2" xfId="3434"/>
    <cellStyle name="표준 2 2 3 2 2 2 2" xfId="3435"/>
    <cellStyle name="표준 2 2 3 2 2 2 2 2" xfId="31837"/>
    <cellStyle name="표준 2 2 3 2 2 2 2 3" xfId="31836"/>
    <cellStyle name="표준 2 2 3 2 2 2 2 4" xfId="31838"/>
    <cellStyle name="표준 2 2 3 2 2 2 3" xfId="3436"/>
    <cellStyle name="표준 2 2 3 2 2 2 3 2" xfId="3437"/>
    <cellStyle name="표준 2 2 3 2 2 2 4" xfId="3438"/>
    <cellStyle name="표준 2 2 3 2 2 2 5" xfId="32009"/>
    <cellStyle name="표준 2 2 3 2 2 2 6" xfId="31835"/>
    <cellStyle name="표준 2 2 3 2 2 3" xfId="3439"/>
    <cellStyle name="표준 2 2 3 2 2 3 2" xfId="31274"/>
    <cellStyle name="표준 2 2 3 2 2 4" xfId="3440"/>
    <cellStyle name="표준 2 2 3 2 2 4 2" xfId="3441"/>
    <cellStyle name="표준 2 2 3 2 2 4 3" xfId="31834"/>
    <cellStyle name="표준 2 2 3 2 2 5" xfId="3442"/>
    <cellStyle name="표준 2 2 3 2 2 5 2" xfId="31273"/>
    <cellStyle name="표준 2 2 3 2 2 6" xfId="31272"/>
    <cellStyle name="표준 2 2 3 2 2 7" xfId="31839"/>
    <cellStyle name="표준 2 2 3 2 3" xfId="3443"/>
    <cellStyle name="표준 2 2 3 2 3 2" xfId="3444"/>
    <cellStyle name="표준 2 2 3 2 3 3" xfId="3445"/>
    <cellStyle name="표준 2 2 3 2 3 3 2" xfId="3446"/>
    <cellStyle name="표준 2 2 3 2 3 4" xfId="3447"/>
    <cellStyle name="표준 2 2 3 2 4" xfId="3448"/>
    <cellStyle name="표준 2 2 3 2 5" xfId="3449"/>
    <cellStyle name="표준 2 2 3 2 5 2" xfId="3450"/>
    <cellStyle name="표준 2 2 3 2 6" xfId="3451"/>
    <cellStyle name="표준 2 2 3 2 7" xfId="26118"/>
    <cellStyle name="표준 2 2 3 2 7 2" xfId="31833"/>
    <cellStyle name="표준 2 2 3 2 8" xfId="30928"/>
    <cellStyle name="표준 2 2 3 2 8 2" xfId="32281"/>
    <cellStyle name="표준 2 2 3 3" xfId="3452"/>
    <cellStyle name="표준 2 2 3 3 2" xfId="26119"/>
    <cellStyle name="표준 2 2 3 3 3" xfId="26120"/>
    <cellStyle name="표준 2 2 3 3 4" xfId="26121"/>
    <cellStyle name="표준 2 2 3 3 5" xfId="31832"/>
    <cellStyle name="표준 2 2 3 3 6" xfId="31831"/>
    <cellStyle name="표준 2 2 3 3 7" xfId="31270"/>
    <cellStyle name="표준 2 2 3 3 8" xfId="31830"/>
    <cellStyle name="표준 2 2 3 3 9" xfId="31271"/>
    <cellStyle name="표준 2 2 3 4" xfId="3453"/>
    <cellStyle name="표준 2 2 3 4 2" xfId="3454"/>
    <cellStyle name="표준 2 2 3 4 2 2" xfId="3455"/>
    <cellStyle name="표준 2 2 3 4 2 3" xfId="3456"/>
    <cellStyle name="표준 2 2 3 4 2 3 2" xfId="3457"/>
    <cellStyle name="표준 2 2 3 4 2 4" xfId="3458"/>
    <cellStyle name="표준 2 2 3 4 3" xfId="3459"/>
    <cellStyle name="표준 2 2 3 4 4" xfId="3460"/>
    <cellStyle name="표준 2 2 3 4 4 2" xfId="3461"/>
    <cellStyle name="표준 2 2 3 4 5" xfId="3462"/>
    <cellStyle name="표준 2 2 3 4 6" xfId="31269"/>
    <cellStyle name="표준 2 2 3 5" xfId="3463"/>
    <cellStyle name="표준 2 2 3 5 2" xfId="3464"/>
    <cellStyle name="표준 2 2 3 5 3" xfId="3465"/>
    <cellStyle name="표준 2 2 3 5 3 2" xfId="3466"/>
    <cellStyle name="표준 2 2 3 5 4" xfId="3467"/>
    <cellStyle name="표준 2 2 3 5 5" xfId="26122"/>
    <cellStyle name="표준 2 2 3 5 6" xfId="30649"/>
    <cellStyle name="표준 2 2 3 6" xfId="3468"/>
    <cellStyle name="표준 2 2 3 6 2" xfId="3469"/>
    <cellStyle name="표준 2 2 3 6 3" xfId="26123"/>
    <cellStyle name="표준 2 2 3 6 4" xfId="30650"/>
    <cellStyle name="표준 2 2 3 6 5" xfId="32008"/>
    <cellStyle name="표준 2 2 3 7" xfId="3470"/>
    <cellStyle name="표준 2 2 3 7 2" xfId="26124"/>
    <cellStyle name="표준 2 2 3 8" xfId="26125"/>
    <cellStyle name="표준 2 2 3 9" xfId="26126"/>
    <cellStyle name="표준 2 2 30" xfId="26127"/>
    <cellStyle name="표준 2 2 30 10" xfId="26128"/>
    <cellStyle name="표준 2 2 30 11" xfId="26129"/>
    <cellStyle name="표준 2 2 30 12" xfId="26130"/>
    <cellStyle name="표준 2 2 30 2" xfId="26131"/>
    <cellStyle name="표준 2 2 30 3" xfId="26132"/>
    <cellStyle name="표준 2 2 30 4" xfId="26133"/>
    <cellStyle name="표준 2 2 30 5" xfId="26134"/>
    <cellStyle name="표준 2 2 30 6" xfId="26135"/>
    <cellStyle name="표준 2 2 30 7" xfId="26136"/>
    <cellStyle name="표준 2 2 30 8" xfId="26137"/>
    <cellStyle name="표준 2 2 30 9" xfId="26138"/>
    <cellStyle name="표준 2 2 31" xfId="26139"/>
    <cellStyle name="표준 2 2 32" xfId="26140"/>
    <cellStyle name="표준 2 2 33" xfId="26141"/>
    <cellStyle name="표준 2 2 34" xfId="26142"/>
    <cellStyle name="표준 2 2 35" xfId="26143"/>
    <cellStyle name="표준 2 2 36" xfId="26144"/>
    <cellStyle name="표준 2 2 37" xfId="26145"/>
    <cellStyle name="표준 2 2 38" xfId="26146"/>
    <cellStyle name="표준 2 2 39" xfId="26147"/>
    <cellStyle name="표준 2 2 4" xfId="3471"/>
    <cellStyle name="표준 2 2 4 10" xfId="30936"/>
    <cellStyle name="표준 2 2 4 10 2" xfId="32289"/>
    <cellStyle name="표준 2 2 4 2" xfId="3472"/>
    <cellStyle name="표준 2 2 4 2 2" xfId="3473"/>
    <cellStyle name="표준 2 2 4 2 2 2" xfId="3474"/>
    <cellStyle name="표준 2 2 4 2 2 3" xfId="3475"/>
    <cellStyle name="표준 2 2 4 2 2 3 2" xfId="3476"/>
    <cellStyle name="표준 2 2 4 2 2 4" xfId="3477"/>
    <cellStyle name="표준 2 2 4 2 3" xfId="3478"/>
    <cellStyle name="표준 2 2 4 2 4" xfId="3479"/>
    <cellStyle name="표준 2 2 4 2 4 2" xfId="3480"/>
    <cellStyle name="표준 2 2 4 2 5" xfId="3481"/>
    <cellStyle name="표준 2 2 4 3" xfId="3482"/>
    <cellStyle name="표준 2 2 4 3 2" xfId="3483"/>
    <cellStyle name="표준 2 2 4 3 3" xfId="3484"/>
    <cellStyle name="표준 2 2 4 3 3 2" xfId="3485"/>
    <cellStyle name="표준 2 2 4 3 4" xfId="3486"/>
    <cellStyle name="표준 2 2 4 3 5" xfId="30651"/>
    <cellStyle name="표준 2 2 4 4" xfId="3487"/>
    <cellStyle name="표준 2 2 4 5" xfId="3488"/>
    <cellStyle name="표준 2 2 4 5 2" xfId="3489"/>
    <cellStyle name="표준 2 2 4 5 3" xfId="29761"/>
    <cellStyle name="표준 2 2 4 6" xfId="3490"/>
    <cellStyle name="표준 2 2 4 7" xfId="26148"/>
    <cellStyle name="표준 2 2 4 8" xfId="26149"/>
    <cellStyle name="표준 2 2 4 9" xfId="29769"/>
    <cellStyle name="표준 2 2 40" xfId="26150"/>
    <cellStyle name="표준 2 2 41" xfId="26151"/>
    <cellStyle name="표준 2 2 42" xfId="26152"/>
    <cellStyle name="표준 2 2 43" xfId="26153"/>
    <cellStyle name="표준 2 2 44" xfId="26154"/>
    <cellStyle name="표준 2 2 45" xfId="26155"/>
    <cellStyle name="표준 2 2 45 2" xfId="26156"/>
    <cellStyle name="표준 2 2 45 3" xfId="30271"/>
    <cellStyle name="표준 2 2 46" xfId="26157"/>
    <cellStyle name="표준 2 2 46 2" xfId="26158"/>
    <cellStyle name="표준 2 2 46 3" xfId="30272"/>
    <cellStyle name="표준 2 2 47" xfId="26159"/>
    <cellStyle name="표준 2 2 47 2" xfId="26160"/>
    <cellStyle name="표준 2 2 48" xfId="26161"/>
    <cellStyle name="표준 2 2 48 2" xfId="26162"/>
    <cellStyle name="표준 2 2 49" xfId="26163"/>
    <cellStyle name="표준 2 2 49 2" xfId="26164"/>
    <cellStyle name="표준 2 2 5" xfId="3491"/>
    <cellStyle name="표준 2 2 5 2" xfId="3492"/>
    <cellStyle name="표준 2 2 5 2 2" xfId="3493"/>
    <cellStyle name="표준 2 2 5 2 2 2" xfId="3494"/>
    <cellStyle name="표준 2 2 5 2 2 3" xfId="3495"/>
    <cellStyle name="표준 2 2 5 2 2 3 2" xfId="3496"/>
    <cellStyle name="표준 2 2 5 2 2 4" xfId="3497"/>
    <cellStyle name="표준 2 2 5 2 3" xfId="3498"/>
    <cellStyle name="표준 2 2 5 2 4" xfId="3499"/>
    <cellStyle name="표준 2 2 5 2 4 2" xfId="3500"/>
    <cellStyle name="표준 2 2 5 2 5" xfId="3501"/>
    <cellStyle name="표준 2 2 5 3" xfId="3502"/>
    <cellStyle name="표준 2 2 5 3 2" xfId="3503"/>
    <cellStyle name="표준 2 2 5 3 3" xfId="3504"/>
    <cellStyle name="표준 2 2 5 3 3 2" xfId="3505"/>
    <cellStyle name="표준 2 2 5 3 4" xfId="3506"/>
    <cellStyle name="표준 2 2 5 3 5" xfId="30653"/>
    <cellStyle name="표준 2 2 5 4" xfId="3507"/>
    <cellStyle name="표준 2 2 5 5" xfId="3508"/>
    <cellStyle name="표준 2 2 5 5 2" xfId="3509"/>
    <cellStyle name="표준 2 2 5 6" xfId="3510"/>
    <cellStyle name="표준 2 2 5 7" xfId="26165"/>
    <cellStyle name="표준 2 2 5 8" xfId="26166"/>
    <cellStyle name="표준 2 2 50" xfId="26167"/>
    <cellStyle name="표준 2 2 50 2" xfId="26168"/>
    <cellStyle name="표준 2 2 51" xfId="26169"/>
    <cellStyle name="표준 2 2 51 2" xfId="26170"/>
    <cellStyle name="표준 2 2 52" xfId="26171"/>
    <cellStyle name="표준 2 2 52 2" xfId="26172"/>
    <cellStyle name="표준 2 2 53" xfId="26173"/>
    <cellStyle name="표준 2 2 53 2" xfId="26174"/>
    <cellStyle name="표준 2 2 54" xfId="26175"/>
    <cellStyle name="표준 2 2 54 2" xfId="26176"/>
    <cellStyle name="표준 2 2 55" xfId="26177"/>
    <cellStyle name="표준 2 2 55 2" xfId="26178"/>
    <cellStyle name="표준 2 2 56" xfId="26179"/>
    <cellStyle name="표준 2 2 56 2" xfId="26180"/>
    <cellStyle name="표준 2 2 57" xfId="26181"/>
    <cellStyle name="표준 2 2 57 2" xfId="26182"/>
    <cellStyle name="표준 2 2 58" xfId="26183"/>
    <cellStyle name="표준 2 2 58 2" xfId="26184"/>
    <cellStyle name="표준 2 2 59" xfId="26185"/>
    <cellStyle name="표준 2 2 59 2" xfId="26186"/>
    <cellStyle name="표준 2 2 6" xfId="3511"/>
    <cellStyle name="표준 2 2 6 10" xfId="26187"/>
    <cellStyle name="표준 2 2 6 11" xfId="26188"/>
    <cellStyle name="표준 2 2 6 12" xfId="26189"/>
    <cellStyle name="표준 2 2 6 13" xfId="26190"/>
    <cellStyle name="표준 2 2 6 14" xfId="26191"/>
    <cellStyle name="표준 2 2 6 15" xfId="26192"/>
    <cellStyle name="표준 2 2 6 16" xfId="26193"/>
    <cellStyle name="표준 2 2 6 17" xfId="26194"/>
    <cellStyle name="표준 2 2 6 18" xfId="26195"/>
    <cellStyle name="표준 2 2 6 19" xfId="26196"/>
    <cellStyle name="표준 2 2 6 2" xfId="3512"/>
    <cellStyle name="표준 2 2 6 2 10" xfId="26197"/>
    <cellStyle name="표준 2 2 6 2 11" xfId="26198"/>
    <cellStyle name="표준 2 2 6 2 12" xfId="26199"/>
    <cellStyle name="표준 2 2 6 2 13" xfId="26200"/>
    <cellStyle name="표준 2 2 6 2 14" xfId="26201"/>
    <cellStyle name="표준 2 2 6 2 15" xfId="26202"/>
    <cellStyle name="표준 2 2 6 2 16" xfId="26203"/>
    <cellStyle name="표준 2 2 6 2 17" xfId="26204"/>
    <cellStyle name="표준 2 2 6 2 18" xfId="26205"/>
    <cellStyle name="표준 2 2 6 2 19" xfId="26206"/>
    <cellStyle name="표준 2 2 6 2 2" xfId="3513"/>
    <cellStyle name="표준 2 2 6 2 2 10" xfId="26207"/>
    <cellStyle name="표준 2 2 6 2 2 11" xfId="26208"/>
    <cellStyle name="표준 2 2 6 2 2 12" xfId="26209"/>
    <cellStyle name="표준 2 2 6 2 2 13" xfId="26210"/>
    <cellStyle name="표준 2 2 6 2 2 14" xfId="26211"/>
    <cellStyle name="표준 2 2 6 2 2 15" xfId="26212"/>
    <cellStyle name="표준 2 2 6 2 2 16" xfId="26213"/>
    <cellStyle name="표준 2 2 6 2 2 17" xfId="26214"/>
    <cellStyle name="표준 2 2 6 2 2 18" xfId="26215"/>
    <cellStyle name="표준 2 2 6 2 2 19" xfId="26216"/>
    <cellStyle name="표준 2 2 6 2 2 2" xfId="26217"/>
    <cellStyle name="표준 2 2 6 2 2 2 10" xfId="26218"/>
    <cellStyle name="표준 2 2 6 2 2 2 11" xfId="26219"/>
    <cellStyle name="표준 2 2 6 2 2 2 12" xfId="26220"/>
    <cellStyle name="표준 2 2 6 2 2 2 13" xfId="26221"/>
    <cellStyle name="표준 2 2 6 2 2 2 14" xfId="26222"/>
    <cellStyle name="표준 2 2 6 2 2 2 15" xfId="26223"/>
    <cellStyle name="표준 2 2 6 2 2 2 16" xfId="26224"/>
    <cellStyle name="표준 2 2 6 2 2 2 17" xfId="26225"/>
    <cellStyle name="표준 2 2 6 2 2 2 18" xfId="26226"/>
    <cellStyle name="표준 2 2 6 2 2 2 19" xfId="26227"/>
    <cellStyle name="표준 2 2 6 2 2 2 2" xfId="26228"/>
    <cellStyle name="표준 2 2 6 2 2 2 20" xfId="26229"/>
    <cellStyle name="표준 2 2 6 2 2 2 21" xfId="26230"/>
    <cellStyle name="표준 2 2 6 2 2 2 22" xfId="26231"/>
    <cellStyle name="표준 2 2 6 2 2 2 23" xfId="26232"/>
    <cellStyle name="표준 2 2 6 2 2 2 24" xfId="26233"/>
    <cellStyle name="표준 2 2 6 2 2 2 25" xfId="26234"/>
    <cellStyle name="표준 2 2 6 2 2 2 26" xfId="26235"/>
    <cellStyle name="표준 2 2 6 2 2 2 27" xfId="26236"/>
    <cellStyle name="표준 2 2 6 2 2 2 28" xfId="26237"/>
    <cellStyle name="표준 2 2 6 2 2 2 29" xfId="26238"/>
    <cellStyle name="표준 2 2 6 2 2 2 3" xfId="26239"/>
    <cellStyle name="표준 2 2 6 2 2 2 30" xfId="26240"/>
    <cellStyle name="표준 2 2 6 2 2 2 31" xfId="26241"/>
    <cellStyle name="표준 2 2 6 2 2 2 32" xfId="26242"/>
    <cellStyle name="표준 2 2 6 2 2 2 33" xfId="26243"/>
    <cellStyle name="표준 2 2 6 2 2 2 34" xfId="26244"/>
    <cellStyle name="표준 2 2 6 2 2 2 35" xfId="26245"/>
    <cellStyle name="표준 2 2 6 2 2 2 36" xfId="26246"/>
    <cellStyle name="표준 2 2 6 2 2 2 37" xfId="26247"/>
    <cellStyle name="표준 2 2 6 2 2 2 38" xfId="26248"/>
    <cellStyle name="표준 2 2 6 2 2 2 39" xfId="26249"/>
    <cellStyle name="표준 2 2 6 2 2 2 4" xfId="26250"/>
    <cellStyle name="표준 2 2 6 2 2 2 40" xfId="26251"/>
    <cellStyle name="표준 2 2 6 2 2 2 41" xfId="26252"/>
    <cellStyle name="표준 2 2 6 2 2 2 42" xfId="26253"/>
    <cellStyle name="표준 2 2 6 2 2 2 43" xfId="26254"/>
    <cellStyle name="표준 2 2 6 2 2 2 44" xfId="26255"/>
    <cellStyle name="표준 2 2 6 2 2 2 45" xfId="26256"/>
    <cellStyle name="표준 2 2 6 2 2 2 46" xfId="26257"/>
    <cellStyle name="표준 2 2 6 2 2 2 5" xfId="26258"/>
    <cellStyle name="표준 2 2 6 2 2 2 6" xfId="26259"/>
    <cellStyle name="표준 2 2 6 2 2 2 7" xfId="26260"/>
    <cellStyle name="표준 2 2 6 2 2 2 8" xfId="26261"/>
    <cellStyle name="표준 2 2 6 2 2 2 9" xfId="26262"/>
    <cellStyle name="표준 2 2 6 2 2 20" xfId="26263"/>
    <cellStyle name="표준 2 2 6 2 2 21" xfId="26264"/>
    <cellStyle name="표준 2 2 6 2 2 22" xfId="26265"/>
    <cellStyle name="표준 2 2 6 2 2 23" xfId="26266"/>
    <cellStyle name="표준 2 2 6 2 2 24" xfId="26267"/>
    <cellStyle name="표준 2 2 6 2 2 25" xfId="26268"/>
    <cellStyle name="표준 2 2 6 2 2 26" xfId="26269"/>
    <cellStyle name="표준 2 2 6 2 2 27" xfId="26270"/>
    <cellStyle name="표준 2 2 6 2 2 28" xfId="26271"/>
    <cellStyle name="표준 2 2 6 2 2 29" xfId="26272"/>
    <cellStyle name="표준 2 2 6 2 2 3" xfId="26273"/>
    <cellStyle name="표준 2 2 6 2 2 3 2" xfId="26274"/>
    <cellStyle name="표준 2 2 6 2 2 30" xfId="26275"/>
    <cellStyle name="표준 2 2 6 2 2 31" xfId="26276"/>
    <cellStyle name="표준 2 2 6 2 2 32" xfId="26277"/>
    <cellStyle name="표준 2 2 6 2 2 33" xfId="26278"/>
    <cellStyle name="표준 2 2 6 2 2 34" xfId="26279"/>
    <cellStyle name="표준 2 2 6 2 2 35" xfId="26280"/>
    <cellStyle name="표준 2 2 6 2 2 36" xfId="26281"/>
    <cellStyle name="표준 2 2 6 2 2 37" xfId="26282"/>
    <cellStyle name="표준 2 2 6 2 2 38" xfId="26283"/>
    <cellStyle name="표준 2 2 6 2 2 39" xfId="26284"/>
    <cellStyle name="표준 2 2 6 2 2 4" xfId="26285"/>
    <cellStyle name="표준 2 2 6 2 2 40" xfId="26286"/>
    <cellStyle name="표준 2 2 6 2 2 41" xfId="26287"/>
    <cellStyle name="표준 2 2 6 2 2 42" xfId="26288"/>
    <cellStyle name="표준 2 2 6 2 2 43" xfId="26289"/>
    <cellStyle name="표준 2 2 6 2 2 44" xfId="26290"/>
    <cellStyle name="표준 2 2 6 2 2 45" xfId="26291"/>
    <cellStyle name="표준 2 2 6 2 2 5" xfId="26292"/>
    <cellStyle name="표준 2 2 6 2 2 6" xfId="26293"/>
    <cellStyle name="표준 2 2 6 2 2 7" xfId="26294"/>
    <cellStyle name="표준 2 2 6 2 2 8" xfId="26295"/>
    <cellStyle name="표준 2 2 6 2 2 9" xfId="26296"/>
    <cellStyle name="표준 2 2 6 2 20" xfId="26297"/>
    <cellStyle name="표준 2 2 6 2 21" xfId="26298"/>
    <cellStyle name="표준 2 2 6 2 22" xfId="26299"/>
    <cellStyle name="표준 2 2 6 2 23" xfId="26300"/>
    <cellStyle name="표준 2 2 6 2 24" xfId="26301"/>
    <cellStyle name="표준 2 2 6 2 25" xfId="26302"/>
    <cellStyle name="표준 2 2 6 2 26" xfId="26303"/>
    <cellStyle name="표준 2 2 6 2 27" xfId="26304"/>
    <cellStyle name="표준 2 2 6 2 28" xfId="26305"/>
    <cellStyle name="표준 2 2 6 2 29" xfId="26306"/>
    <cellStyle name="표준 2 2 6 2 3" xfId="3514"/>
    <cellStyle name="표준 2 2 6 2 3 2" xfId="3515"/>
    <cellStyle name="표준 2 2 6 2 3 3" xfId="26307"/>
    <cellStyle name="표준 2 2 6 2 3 4" xfId="26308"/>
    <cellStyle name="표준 2 2 6 2 30" xfId="26309"/>
    <cellStyle name="표준 2 2 6 2 31" xfId="26310"/>
    <cellStyle name="표준 2 2 6 2 32" xfId="26311"/>
    <cellStyle name="표준 2 2 6 2 33" xfId="26312"/>
    <cellStyle name="표준 2 2 6 2 34" xfId="26313"/>
    <cellStyle name="표준 2 2 6 2 35" xfId="26314"/>
    <cellStyle name="표준 2 2 6 2 36" xfId="26315"/>
    <cellStyle name="표준 2 2 6 2 37" xfId="26316"/>
    <cellStyle name="표준 2 2 6 2 38" xfId="26317"/>
    <cellStyle name="표준 2 2 6 2 39" xfId="26318"/>
    <cellStyle name="표준 2 2 6 2 4" xfId="3516"/>
    <cellStyle name="표준 2 2 6 2 40" xfId="26319"/>
    <cellStyle name="표준 2 2 6 2 41" xfId="26320"/>
    <cellStyle name="표준 2 2 6 2 42" xfId="26321"/>
    <cellStyle name="표준 2 2 6 2 43" xfId="26322"/>
    <cellStyle name="표준 2 2 6 2 44" xfId="26323"/>
    <cellStyle name="표준 2 2 6 2 45" xfId="26324"/>
    <cellStyle name="표준 2 2 6 2 46" xfId="26325"/>
    <cellStyle name="표준 2 2 6 2 47" xfId="26326"/>
    <cellStyle name="표준 2 2 6 2 5" xfId="26327"/>
    <cellStyle name="표준 2 2 6 2 6" xfId="26328"/>
    <cellStyle name="표준 2 2 6 2 7" xfId="26329"/>
    <cellStyle name="표준 2 2 6 2 8" xfId="26330"/>
    <cellStyle name="표준 2 2 6 2 9" xfId="26331"/>
    <cellStyle name="표준 2 2 6 20" xfId="26332"/>
    <cellStyle name="표준 2 2 6 21" xfId="26333"/>
    <cellStyle name="표준 2 2 6 22" xfId="26334"/>
    <cellStyle name="표준 2 2 6 23" xfId="26335"/>
    <cellStyle name="표준 2 2 6 24" xfId="26336"/>
    <cellStyle name="표준 2 2 6 25" xfId="26337"/>
    <cellStyle name="표준 2 2 6 26" xfId="26338"/>
    <cellStyle name="표준 2 2 6 27" xfId="26339"/>
    <cellStyle name="표준 2 2 6 28" xfId="26340"/>
    <cellStyle name="표준 2 2 6 29" xfId="26341"/>
    <cellStyle name="표준 2 2 6 3" xfId="3517"/>
    <cellStyle name="표준 2 2 6 3 2" xfId="26342"/>
    <cellStyle name="표준 2 2 6 3 3" xfId="26343"/>
    <cellStyle name="표준 2 2 6 3 4" xfId="30655"/>
    <cellStyle name="표준 2 2 6 30" xfId="26344"/>
    <cellStyle name="표준 2 2 6 31" xfId="26345"/>
    <cellStyle name="표준 2 2 6 32" xfId="26346"/>
    <cellStyle name="표준 2 2 6 33" xfId="26347"/>
    <cellStyle name="표준 2 2 6 34" xfId="26348"/>
    <cellStyle name="표준 2 2 6 35" xfId="26349"/>
    <cellStyle name="표준 2 2 6 36" xfId="26350"/>
    <cellStyle name="표준 2 2 6 37" xfId="26351"/>
    <cellStyle name="표준 2 2 6 38" xfId="26352"/>
    <cellStyle name="표준 2 2 6 39" xfId="26353"/>
    <cellStyle name="표준 2 2 6 4" xfId="3518"/>
    <cellStyle name="표준 2 2 6 4 2" xfId="3519"/>
    <cellStyle name="표준 2 2 6 4 3" xfId="26354"/>
    <cellStyle name="표준 2 2 6 4 4" xfId="26355"/>
    <cellStyle name="표준 2 2 6 4 5" xfId="26356"/>
    <cellStyle name="표준 2 2 6 40" xfId="26357"/>
    <cellStyle name="표준 2 2 6 41" xfId="26358"/>
    <cellStyle name="표준 2 2 6 42" xfId="26359"/>
    <cellStyle name="표준 2 2 6 43" xfId="26360"/>
    <cellStyle name="표준 2 2 6 44" xfId="26361"/>
    <cellStyle name="표준 2 2 6 45" xfId="26362"/>
    <cellStyle name="표준 2 2 6 46" xfId="26363"/>
    <cellStyle name="표준 2 2 6 47" xfId="26364"/>
    <cellStyle name="표준 2 2 6 48" xfId="26365"/>
    <cellStyle name="표준 2 2 6 49" xfId="26366"/>
    <cellStyle name="표준 2 2 6 5" xfId="3520"/>
    <cellStyle name="표준 2 2 6 5 2" xfId="26367"/>
    <cellStyle name="표준 2 2 6 5 3" xfId="26368"/>
    <cellStyle name="표준 2 2 6 50" xfId="26369"/>
    <cellStyle name="표준 2 2 6 51" xfId="26370"/>
    <cellStyle name="표준 2 2 6 52" xfId="26371"/>
    <cellStyle name="표준 2 2 6 53" xfId="26372"/>
    <cellStyle name="표준 2 2 6 54" xfId="26373"/>
    <cellStyle name="표준 2 2 6 55" xfId="26374"/>
    <cellStyle name="표준 2 2 6 6" xfId="26375"/>
    <cellStyle name="표준 2 2 6 7" xfId="26376"/>
    <cellStyle name="표준 2 2 6 8" xfId="26377"/>
    <cellStyle name="표준 2 2 6 9" xfId="26378"/>
    <cellStyle name="표준 2 2 60" xfId="26379"/>
    <cellStyle name="표준 2 2 61" xfId="26380"/>
    <cellStyle name="표준 2 2 62" xfId="26381"/>
    <cellStyle name="표준 2 2 63" xfId="26382"/>
    <cellStyle name="표준 2 2 64" xfId="26383"/>
    <cellStyle name="표준 2 2 65" xfId="26384"/>
    <cellStyle name="표준 2 2 66" xfId="26385"/>
    <cellStyle name="표준 2 2 67" xfId="26386"/>
    <cellStyle name="표준 2 2 68" xfId="26387"/>
    <cellStyle name="표준 2 2 69" xfId="26388"/>
    <cellStyle name="표준 2 2 7" xfId="3521"/>
    <cellStyle name="표준 2 2 7 10" xfId="26389"/>
    <cellStyle name="표준 2 2 7 11" xfId="26390"/>
    <cellStyle name="표준 2 2 7 12" xfId="26391"/>
    <cellStyle name="표준 2 2 7 13" xfId="26392"/>
    <cellStyle name="표준 2 2 7 2" xfId="3522"/>
    <cellStyle name="표준 2 2 7 2 2" xfId="26393"/>
    <cellStyle name="표준 2 2 7 2 3" xfId="26394"/>
    <cellStyle name="표준 2 2 7 2 4" xfId="26395"/>
    <cellStyle name="표준 2 2 7 3" xfId="3523"/>
    <cellStyle name="표준 2 2 7 3 2" xfId="3524"/>
    <cellStyle name="표준 2 2 7 3 2 2" xfId="26396"/>
    <cellStyle name="표준 2 2 7 3 3" xfId="26397"/>
    <cellStyle name="표준 2 2 7 3 4" xfId="26398"/>
    <cellStyle name="표준 2 2 7 4" xfId="3525"/>
    <cellStyle name="표준 2 2 7 4 2" xfId="26399"/>
    <cellStyle name="표준 2 2 7 4 3" xfId="26400"/>
    <cellStyle name="표준 2 2 7 4 4" xfId="26401"/>
    <cellStyle name="표준 2 2 7 5" xfId="26402"/>
    <cellStyle name="표준 2 2 7 5 2" xfId="26403"/>
    <cellStyle name="표준 2 2 7 6" xfId="26404"/>
    <cellStyle name="표준 2 2 7 7" xfId="26405"/>
    <cellStyle name="표준 2 2 7 8" xfId="26406"/>
    <cellStyle name="표준 2 2 7 9" xfId="26407"/>
    <cellStyle name="표준 2 2 70" xfId="26408"/>
    <cellStyle name="표준 2 2 71" xfId="26409"/>
    <cellStyle name="표준 2 2 72" xfId="26410"/>
    <cellStyle name="표준 2 2 73" xfId="26411"/>
    <cellStyle name="표준 2 2 74" xfId="26412"/>
    <cellStyle name="표준 2 2 75" xfId="26413"/>
    <cellStyle name="표준 2 2 76" xfId="26414"/>
    <cellStyle name="표준 2 2 77" xfId="26415"/>
    <cellStyle name="표준 2 2 78" xfId="26416"/>
    <cellStyle name="표준 2 2 79" xfId="26417"/>
    <cellStyle name="표준 2 2 8" xfId="3526"/>
    <cellStyle name="표준 2 2 8 10" xfId="26418"/>
    <cellStyle name="표준 2 2 8 11" xfId="26419"/>
    <cellStyle name="표준 2 2 8 12" xfId="26420"/>
    <cellStyle name="표준 2 2 8 13" xfId="26421"/>
    <cellStyle name="표준 2 2 8 14" xfId="26422"/>
    <cellStyle name="표준 2 2 8 15" xfId="26423"/>
    <cellStyle name="표준 2 2 8 16" xfId="26424"/>
    <cellStyle name="표준 2 2 8 17" xfId="26425"/>
    <cellStyle name="표준 2 2 8 18" xfId="26426"/>
    <cellStyle name="표준 2 2 8 19" xfId="26427"/>
    <cellStyle name="표준 2 2 8 2" xfId="3527"/>
    <cellStyle name="표준 2 2 8 2 10" xfId="26428"/>
    <cellStyle name="표준 2 2 8 2 11" xfId="26429"/>
    <cellStyle name="표준 2 2 8 2 12" xfId="26430"/>
    <cellStyle name="표준 2 2 8 2 13" xfId="26431"/>
    <cellStyle name="표준 2 2 8 2 14" xfId="26432"/>
    <cellStyle name="표준 2 2 8 2 15" xfId="26433"/>
    <cellStyle name="표준 2 2 8 2 16" xfId="26434"/>
    <cellStyle name="표준 2 2 8 2 17" xfId="26435"/>
    <cellStyle name="표준 2 2 8 2 18" xfId="26436"/>
    <cellStyle name="표준 2 2 8 2 19" xfId="26437"/>
    <cellStyle name="표준 2 2 8 2 2" xfId="26438"/>
    <cellStyle name="표준 2 2 8 2 2 10" xfId="26439"/>
    <cellStyle name="표준 2 2 8 2 2 11" xfId="26440"/>
    <cellStyle name="표준 2 2 8 2 2 12" xfId="26441"/>
    <cellStyle name="표준 2 2 8 2 2 13" xfId="26442"/>
    <cellStyle name="표준 2 2 8 2 2 14" xfId="26443"/>
    <cellStyle name="표준 2 2 8 2 2 15" xfId="26444"/>
    <cellStyle name="표준 2 2 8 2 2 16" xfId="26445"/>
    <cellStyle name="표준 2 2 8 2 2 17" xfId="26446"/>
    <cellStyle name="표준 2 2 8 2 2 18" xfId="26447"/>
    <cellStyle name="표준 2 2 8 2 2 19" xfId="26448"/>
    <cellStyle name="표준 2 2 8 2 2 2" xfId="26449"/>
    <cellStyle name="표준 2 2 8 2 2 20" xfId="26450"/>
    <cellStyle name="표준 2 2 8 2 2 21" xfId="26451"/>
    <cellStyle name="표준 2 2 8 2 2 22" xfId="26452"/>
    <cellStyle name="표준 2 2 8 2 2 23" xfId="26453"/>
    <cellStyle name="표준 2 2 8 2 2 24" xfId="26454"/>
    <cellStyle name="표준 2 2 8 2 2 25" xfId="26455"/>
    <cellStyle name="표준 2 2 8 2 2 26" xfId="26456"/>
    <cellStyle name="표준 2 2 8 2 2 27" xfId="26457"/>
    <cellStyle name="표준 2 2 8 2 2 28" xfId="26458"/>
    <cellStyle name="표준 2 2 8 2 2 29" xfId="26459"/>
    <cellStyle name="표준 2 2 8 2 2 3" xfId="26460"/>
    <cellStyle name="표준 2 2 8 2 2 30" xfId="26461"/>
    <cellStyle name="표준 2 2 8 2 2 31" xfId="26462"/>
    <cellStyle name="표준 2 2 8 2 2 32" xfId="26463"/>
    <cellStyle name="표준 2 2 8 2 2 33" xfId="26464"/>
    <cellStyle name="표준 2 2 8 2 2 34" xfId="26465"/>
    <cellStyle name="표준 2 2 8 2 2 35" xfId="26466"/>
    <cellStyle name="표준 2 2 8 2 2 36" xfId="26467"/>
    <cellStyle name="표준 2 2 8 2 2 37" xfId="26468"/>
    <cellStyle name="표준 2 2 8 2 2 38" xfId="26469"/>
    <cellStyle name="표준 2 2 8 2 2 39" xfId="26470"/>
    <cellStyle name="표준 2 2 8 2 2 4" xfId="26471"/>
    <cellStyle name="표준 2 2 8 2 2 40" xfId="26472"/>
    <cellStyle name="표준 2 2 8 2 2 41" xfId="26473"/>
    <cellStyle name="표준 2 2 8 2 2 42" xfId="26474"/>
    <cellStyle name="표준 2 2 8 2 2 43" xfId="26475"/>
    <cellStyle name="표준 2 2 8 2 2 44" xfId="26476"/>
    <cellStyle name="표준 2 2 8 2 2 45" xfId="26477"/>
    <cellStyle name="표준 2 2 8 2 2 5" xfId="26478"/>
    <cellStyle name="표준 2 2 8 2 2 6" xfId="26479"/>
    <cellStyle name="표준 2 2 8 2 2 7" xfId="26480"/>
    <cellStyle name="표준 2 2 8 2 2 8" xfId="26481"/>
    <cellStyle name="표준 2 2 8 2 2 9" xfId="26482"/>
    <cellStyle name="표준 2 2 8 2 20" xfId="26483"/>
    <cellStyle name="표준 2 2 8 2 21" xfId="26484"/>
    <cellStyle name="표준 2 2 8 2 22" xfId="26485"/>
    <cellStyle name="표준 2 2 8 2 23" xfId="26486"/>
    <cellStyle name="표준 2 2 8 2 24" xfId="26487"/>
    <cellStyle name="표준 2 2 8 2 25" xfId="26488"/>
    <cellStyle name="표준 2 2 8 2 26" xfId="26489"/>
    <cellStyle name="표준 2 2 8 2 27" xfId="26490"/>
    <cellStyle name="표준 2 2 8 2 28" xfId="26491"/>
    <cellStyle name="표준 2 2 8 2 29" xfId="26492"/>
    <cellStyle name="표준 2 2 8 2 3" xfId="26493"/>
    <cellStyle name="표준 2 2 8 2 30" xfId="26494"/>
    <cellStyle name="표준 2 2 8 2 31" xfId="26495"/>
    <cellStyle name="표준 2 2 8 2 32" xfId="26496"/>
    <cellStyle name="표준 2 2 8 2 33" xfId="26497"/>
    <cellStyle name="표준 2 2 8 2 34" xfId="26498"/>
    <cellStyle name="표준 2 2 8 2 35" xfId="26499"/>
    <cellStyle name="표준 2 2 8 2 36" xfId="26500"/>
    <cellStyle name="표준 2 2 8 2 37" xfId="26501"/>
    <cellStyle name="표준 2 2 8 2 38" xfId="26502"/>
    <cellStyle name="표준 2 2 8 2 39" xfId="26503"/>
    <cellStyle name="표준 2 2 8 2 4" xfId="26504"/>
    <cellStyle name="표준 2 2 8 2 40" xfId="26505"/>
    <cellStyle name="표준 2 2 8 2 41" xfId="26506"/>
    <cellStyle name="표준 2 2 8 2 42" xfId="26507"/>
    <cellStyle name="표준 2 2 8 2 43" xfId="26508"/>
    <cellStyle name="표준 2 2 8 2 44" xfId="26509"/>
    <cellStyle name="표준 2 2 8 2 45" xfId="26510"/>
    <cellStyle name="표준 2 2 8 2 46" xfId="26511"/>
    <cellStyle name="표준 2 2 8 2 5" xfId="26512"/>
    <cellStyle name="표준 2 2 8 2 6" xfId="26513"/>
    <cellStyle name="표준 2 2 8 2 7" xfId="26514"/>
    <cellStyle name="표준 2 2 8 2 8" xfId="26515"/>
    <cellStyle name="표준 2 2 8 2 9" xfId="26516"/>
    <cellStyle name="표준 2 2 8 20" xfId="26517"/>
    <cellStyle name="표준 2 2 8 21" xfId="26518"/>
    <cellStyle name="표준 2 2 8 22" xfId="26519"/>
    <cellStyle name="표준 2 2 8 23" xfId="26520"/>
    <cellStyle name="표준 2 2 8 24" xfId="26521"/>
    <cellStyle name="표준 2 2 8 25" xfId="26522"/>
    <cellStyle name="표준 2 2 8 26" xfId="26523"/>
    <cellStyle name="표준 2 2 8 27" xfId="26524"/>
    <cellStyle name="표준 2 2 8 28" xfId="26525"/>
    <cellStyle name="표준 2 2 8 29" xfId="26526"/>
    <cellStyle name="표준 2 2 8 3" xfId="26527"/>
    <cellStyle name="표준 2 2 8 30" xfId="26528"/>
    <cellStyle name="표준 2 2 8 31" xfId="26529"/>
    <cellStyle name="표준 2 2 8 32" xfId="26530"/>
    <cellStyle name="표준 2 2 8 33" xfId="26531"/>
    <cellStyle name="표준 2 2 8 34" xfId="26532"/>
    <cellStyle name="표준 2 2 8 35" xfId="26533"/>
    <cellStyle name="표준 2 2 8 36" xfId="26534"/>
    <cellStyle name="표준 2 2 8 37" xfId="26535"/>
    <cellStyle name="표준 2 2 8 38" xfId="26536"/>
    <cellStyle name="표준 2 2 8 39" xfId="26537"/>
    <cellStyle name="표준 2 2 8 4" xfId="26538"/>
    <cellStyle name="표준 2 2 8 4 2" xfId="26539"/>
    <cellStyle name="표준 2 2 8 40" xfId="26540"/>
    <cellStyle name="표준 2 2 8 41" xfId="26541"/>
    <cellStyle name="표준 2 2 8 42" xfId="26542"/>
    <cellStyle name="표준 2 2 8 43" xfId="26543"/>
    <cellStyle name="표준 2 2 8 44" xfId="26544"/>
    <cellStyle name="표준 2 2 8 45" xfId="26545"/>
    <cellStyle name="표준 2 2 8 46" xfId="26546"/>
    <cellStyle name="표준 2 2 8 47" xfId="26547"/>
    <cellStyle name="표준 2 2 8 48" xfId="26548"/>
    <cellStyle name="표준 2 2 8 49" xfId="26549"/>
    <cellStyle name="표준 2 2 8 5" xfId="26550"/>
    <cellStyle name="표준 2 2 8 50" xfId="26551"/>
    <cellStyle name="표준 2 2 8 51" xfId="26552"/>
    <cellStyle name="표준 2 2 8 52" xfId="26553"/>
    <cellStyle name="표준 2 2 8 53" xfId="26554"/>
    <cellStyle name="표준 2 2 8 54" xfId="26555"/>
    <cellStyle name="표준 2 2 8 55" xfId="28192"/>
    <cellStyle name="표준 2 2 8 6" xfId="26556"/>
    <cellStyle name="표준 2 2 8 7" xfId="26557"/>
    <cellStyle name="표준 2 2 8 8" xfId="26558"/>
    <cellStyle name="표준 2 2 8 9" xfId="26559"/>
    <cellStyle name="표준 2 2 80" xfId="26560"/>
    <cellStyle name="표준 2 2 81" xfId="26561"/>
    <cellStyle name="표준 2 2 82" xfId="26562"/>
    <cellStyle name="표준 2 2 83" xfId="26563"/>
    <cellStyle name="표준 2 2 84" xfId="26564"/>
    <cellStyle name="표준 2 2 85" xfId="26565"/>
    <cellStyle name="표준 2 2 86" xfId="26566"/>
    <cellStyle name="표준 2 2 87" xfId="26567"/>
    <cellStyle name="표준 2 2 88" xfId="26568"/>
    <cellStyle name="표준 2 2 89" xfId="26569"/>
    <cellStyle name="표준 2 2 9" xfId="3528"/>
    <cellStyle name="표준 2 2 9 10" xfId="26571"/>
    <cellStyle name="표준 2 2 9 11" xfId="26572"/>
    <cellStyle name="표준 2 2 9 12" xfId="26573"/>
    <cellStyle name="표준 2 2 9 13" xfId="26574"/>
    <cellStyle name="표준 2 2 9 14" xfId="26575"/>
    <cellStyle name="표준 2 2 9 15" xfId="26576"/>
    <cellStyle name="표준 2 2 9 16" xfId="26577"/>
    <cellStyle name="표준 2 2 9 17" xfId="26578"/>
    <cellStyle name="표준 2 2 9 18" xfId="26579"/>
    <cellStyle name="표준 2 2 9 19" xfId="26580"/>
    <cellStyle name="표준 2 2 9 2" xfId="26581"/>
    <cellStyle name="표준 2 2 9 2 10" xfId="26582"/>
    <cellStyle name="표준 2 2 9 2 11" xfId="26583"/>
    <cellStyle name="표준 2 2 9 2 12" xfId="26584"/>
    <cellStyle name="표준 2 2 9 2 13" xfId="26585"/>
    <cellStyle name="표준 2 2 9 2 14" xfId="26586"/>
    <cellStyle name="표준 2 2 9 2 15" xfId="26587"/>
    <cellStyle name="표준 2 2 9 2 16" xfId="26588"/>
    <cellStyle name="표준 2 2 9 2 17" xfId="26589"/>
    <cellStyle name="표준 2 2 9 2 18" xfId="26590"/>
    <cellStyle name="표준 2 2 9 2 19" xfId="26591"/>
    <cellStyle name="표준 2 2 9 2 2" xfId="26592"/>
    <cellStyle name="표준 2 2 9 2 20" xfId="26593"/>
    <cellStyle name="표준 2 2 9 2 21" xfId="26594"/>
    <cellStyle name="표준 2 2 9 2 22" xfId="26595"/>
    <cellStyle name="표준 2 2 9 2 23" xfId="26596"/>
    <cellStyle name="표준 2 2 9 2 24" xfId="26597"/>
    <cellStyle name="표준 2 2 9 2 25" xfId="26598"/>
    <cellStyle name="표준 2 2 9 2 26" xfId="26599"/>
    <cellStyle name="표준 2 2 9 2 27" xfId="26600"/>
    <cellStyle name="표준 2 2 9 2 28" xfId="26601"/>
    <cellStyle name="표준 2 2 9 2 29" xfId="26602"/>
    <cellStyle name="표준 2 2 9 2 3" xfId="26603"/>
    <cellStyle name="표준 2 2 9 2 30" xfId="26604"/>
    <cellStyle name="표준 2 2 9 2 31" xfId="26605"/>
    <cellStyle name="표준 2 2 9 2 32" xfId="26606"/>
    <cellStyle name="표준 2 2 9 2 33" xfId="26607"/>
    <cellStyle name="표준 2 2 9 2 34" xfId="26608"/>
    <cellStyle name="표준 2 2 9 2 35" xfId="26609"/>
    <cellStyle name="표준 2 2 9 2 36" xfId="26610"/>
    <cellStyle name="표준 2 2 9 2 37" xfId="26611"/>
    <cellStyle name="표준 2 2 9 2 38" xfId="26612"/>
    <cellStyle name="표준 2 2 9 2 39" xfId="26613"/>
    <cellStyle name="표준 2 2 9 2 4" xfId="26614"/>
    <cellStyle name="표준 2 2 9 2 40" xfId="26615"/>
    <cellStyle name="표준 2 2 9 2 41" xfId="26616"/>
    <cellStyle name="표준 2 2 9 2 42" xfId="26617"/>
    <cellStyle name="표준 2 2 9 2 43" xfId="26618"/>
    <cellStyle name="표준 2 2 9 2 44" xfId="26619"/>
    <cellStyle name="표준 2 2 9 2 45" xfId="26620"/>
    <cellStyle name="표준 2 2 9 2 46" xfId="26621"/>
    <cellStyle name="표준 2 2 9 2 47" xfId="29741"/>
    <cellStyle name="표준 2 2 9 2 48" xfId="31268"/>
    <cellStyle name="표준 2 2 9 2 5" xfId="26622"/>
    <cellStyle name="표준 2 2 9 2 6" xfId="26623"/>
    <cellStyle name="표준 2 2 9 2 7" xfId="26624"/>
    <cellStyle name="표준 2 2 9 2 8" xfId="26625"/>
    <cellStyle name="표준 2 2 9 2 9" xfId="26626"/>
    <cellStyle name="표준 2 2 9 20" xfId="26627"/>
    <cellStyle name="표준 2 2 9 21" xfId="26628"/>
    <cellStyle name="표준 2 2 9 22" xfId="26629"/>
    <cellStyle name="표준 2 2 9 23" xfId="26630"/>
    <cellStyle name="표준 2 2 9 24" xfId="26631"/>
    <cellStyle name="표준 2 2 9 25" xfId="26632"/>
    <cellStyle name="표준 2 2 9 26" xfId="26633"/>
    <cellStyle name="표준 2 2 9 27" xfId="26634"/>
    <cellStyle name="표준 2 2 9 28" xfId="26635"/>
    <cellStyle name="표준 2 2 9 29" xfId="26636"/>
    <cellStyle name="표준 2 2 9 3" xfId="26637"/>
    <cellStyle name="표준 2 2 9 3 2" xfId="26638"/>
    <cellStyle name="표준 2 2 9 3 3" xfId="29747"/>
    <cellStyle name="표준 2 2 9 30" xfId="26639"/>
    <cellStyle name="표준 2 2 9 31" xfId="26640"/>
    <cellStyle name="표준 2 2 9 32" xfId="26641"/>
    <cellStyle name="표준 2 2 9 33" xfId="26642"/>
    <cellStyle name="표준 2 2 9 34" xfId="26643"/>
    <cellStyle name="표준 2 2 9 35" xfId="26644"/>
    <cellStyle name="표준 2 2 9 36" xfId="26645"/>
    <cellStyle name="표준 2 2 9 37" xfId="26646"/>
    <cellStyle name="표준 2 2 9 38" xfId="26647"/>
    <cellStyle name="표준 2 2 9 39" xfId="26648"/>
    <cellStyle name="표준 2 2 9 4" xfId="26649"/>
    <cellStyle name="표준 2 2 9 4 2" xfId="31829"/>
    <cellStyle name="표준 2 2 9 40" xfId="26650"/>
    <cellStyle name="표준 2 2 9 41" xfId="26651"/>
    <cellStyle name="표준 2 2 9 42" xfId="26652"/>
    <cellStyle name="표준 2 2 9 43" xfId="26653"/>
    <cellStyle name="표준 2 2 9 44" xfId="26654"/>
    <cellStyle name="표준 2 2 9 45" xfId="26655"/>
    <cellStyle name="표준 2 2 9 46" xfId="26656"/>
    <cellStyle name="표준 2 2 9 47" xfId="26657"/>
    <cellStyle name="표준 2 2 9 48" xfId="26658"/>
    <cellStyle name="표준 2 2 9 49" xfId="26659"/>
    <cellStyle name="표준 2 2 9 5" xfId="26660"/>
    <cellStyle name="표준 2 2 9 5 2" xfId="31267"/>
    <cellStyle name="표준 2 2 9 50" xfId="26661"/>
    <cellStyle name="표준 2 2 9 51" xfId="26662"/>
    <cellStyle name="표준 2 2 9 52" xfId="26663"/>
    <cellStyle name="표준 2 2 9 53" xfId="26664"/>
    <cellStyle name="표준 2 2 9 54" xfId="28191"/>
    <cellStyle name="표준 2 2 9 55" xfId="26570"/>
    <cellStyle name="표준 2 2 9 6" xfId="26665"/>
    <cellStyle name="표준 2 2 9 6 2" xfId="31828"/>
    <cellStyle name="표준 2 2 9 7" xfId="26666"/>
    <cellStyle name="표준 2 2 9 7 2" xfId="31266"/>
    <cellStyle name="표준 2 2 9 8" xfId="26667"/>
    <cellStyle name="표준 2 2 9 8 2" xfId="32010"/>
    <cellStyle name="표준 2 2 9 9" xfId="26668"/>
    <cellStyle name="표준 2 2 90" xfId="26669"/>
    <cellStyle name="표준 2 2 91" xfId="26670"/>
    <cellStyle name="표준 2 2 92" xfId="26671"/>
    <cellStyle name="표준 2 2 93" xfId="26672"/>
    <cellStyle name="표준 2 2 94" xfId="30256"/>
    <cellStyle name="표준 2 2 95" xfId="31009"/>
    <cellStyle name="표준 2 2 95 2" xfId="32359"/>
    <cellStyle name="표준 2 20" xfId="26673"/>
    <cellStyle name="표준 2 20 10" xfId="26674"/>
    <cellStyle name="표준 2 20 11" xfId="26675"/>
    <cellStyle name="표준 2 20 12" xfId="26676"/>
    <cellStyle name="표준 2 20 13" xfId="26677"/>
    <cellStyle name="표준 2 20 14" xfId="30274"/>
    <cellStyle name="표준 2 20 2" xfId="26678"/>
    <cellStyle name="표준 2 20 3" xfId="26679"/>
    <cellStyle name="표준 2 20 4" xfId="26680"/>
    <cellStyle name="표준 2 20 5" xfId="26681"/>
    <cellStyle name="표준 2 20 6" xfId="26682"/>
    <cellStyle name="표준 2 20 7" xfId="26683"/>
    <cellStyle name="표준 2 20 8" xfId="26684"/>
    <cellStyle name="표준 2 20 9" xfId="26685"/>
    <cellStyle name="표준 2 21" xfId="26686"/>
    <cellStyle name="표준 2 21 10" xfId="26687"/>
    <cellStyle name="표준 2 21 11" xfId="26688"/>
    <cellStyle name="표준 2 21 12" xfId="26689"/>
    <cellStyle name="표준 2 21 13" xfId="26690"/>
    <cellStyle name="표준 2 21 14" xfId="30275"/>
    <cellStyle name="표준 2 21 2" xfId="26691"/>
    <cellStyle name="표준 2 21 3" xfId="26692"/>
    <cellStyle name="표준 2 21 4" xfId="26693"/>
    <cellStyle name="표준 2 21 5" xfId="26694"/>
    <cellStyle name="표준 2 21 6" xfId="26695"/>
    <cellStyle name="표준 2 21 7" xfId="26696"/>
    <cellStyle name="표준 2 21 8" xfId="26697"/>
    <cellStyle name="표준 2 21 9" xfId="26698"/>
    <cellStyle name="표준 2 22" xfId="26699"/>
    <cellStyle name="표준 2 22 10" xfId="26700"/>
    <cellStyle name="표준 2 22 11" xfId="26701"/>
    <cellStyle name="표준 2 22 12" xfId="26702"/>
    <cellStyle name="표준 2 22 13" xfId="26703"/>
    <cellStyle name="표준 2 22 14" xfId="30276"/>
    <cellStyle name="표준 2 22 2" xfId="26704"/>
    <cellStyle name="표준 2 22 3" xfId="26705"/>
    <cellStyle name="표준 2 22 4" xfId="26706"/>
    <cellStyle name="표준 2 22 5" xfId="26707"/>
    <cellStyle name="표준 2 22 6" xfId="26708"/>
    <cellStyle name="표준 2 22 7" xfId="26709"/>
    <cellStyle name="표준 2 22 8" xfId="26710"/>
    <cellStyle name="표준 2 22 9" xfId="26711"/>
    <cellStyle name="표준 2 23" xfId="26712"/>
    <cellStyle name="표준 2 23 10" xfId="26713"/>
    <cellStyle name="표준 2 23 11" xfId="26714"/>
    <cellStyle name="표준 2 23 12" xfId="26715"/>
    <cellStyle name="표준 2 23 13" xfId="26716"/>
    <cellStyle name="표준 2 23 14" xfId="30277"/>
    <cellStyle name="표준 2 23 2" xfId="26717"/>
    <cellStyle name="표준 2 23 3" xfId="26718"/>
    <cellStyle name="표준 2 23 4" xfId="26719"/>
    <cellStyle name="표준 2 23 5" xfId="26720"/>
    <cellStyle name="표준 2 23 6" xfId="26721"/>
    <cellStyle name="표준 2 23 7" xfId="26722"/>
    <cellStyle name="표준 2 23 8" xfId="26723"/>
    <cellStyle name="표준 2 23 9" xfId="26724"/>
    <cellStyle name="표준 2 24" xfId="26725"/>
    <cellStyle name="표준 2 24 10" xfId="26726"/>
    <cellStyle name="표준 2 24 11" xfId="26727"/>
    <cellStyle name="표준 2 24 12" xfId="26728"/>
    <cellStyle name="표준 2 24 13" xfId="26729"/>
    <cellStyle name="표준 2 24 14" xfId="30278"/>
    <cellStyle name="표준 2 24 2" xfId="26730"/>
    <cellStyle name="표준 2 24 3" xfId="26731"/>
    <cellStyle name="표준 2 24 4" xfId="26732"/>
    <cellStyle name="표준 2 24 5" xfId="26733"/>
    <cellStyle name="표준 2 24 6" xfId="26734"/>
    <cellStyle name="표준 2 24 7" xfId="26735"/>
    <cellStyle name="표준 2 24 8" xfId="26736"/>
    <cellStyle name="표준 2 24 9" xfId="26737"/>
    <cellStyle name="표준 2 25" xfId="26738"/>
    <cellStyle name="표준 2 25 10" xfId="26739"/>
    <cellStyle name="표준 2 25 11" xfId="26740"/>
    <cellStyle name="표준 2 25 12" xfId="26741"/>
    <cellStyle name="표준 2 25 13" xfId="26742"/>
    <cellStyle name="표준 2 25 14" xfId="30279"/>
    <cellStyle name="표준 2 25 2" xfId="26743"/>
    <cellStyle name="표준 2 25 3" xfId="26744"/>
    <cellStyle name="표준 2 25 4" xfId="26745"/>
    <cellStyle name="표준 2 25 5" xfId="26746"/>
    <cellStyle name="표준 2 25 6" xfId="26747"/>
    <cellStyle name="표준 2 25 7" xfId="26748"/>
    <cellStyle name="표준 2 25 8" xfId="26749"/>
    <cellStyle name="표준 2 25 9" xfId="26750"/>
    <cellStyle name="표준 2 26" xfId="26751"/>
    <cellStyle name="표준 2 26 10" xfId="26752"/>
    <cellStyle name="표준 2 26 11" xfId="26753"/>
    <cellStyle name="표준 2 26 12" xfId="26754"/>
    <cellStyle name="표준 2 26 13" xfId="26755"/>
    <cellStyle name="표준 2 26 14" xfId="30280"/>
    <cellStyle name="표준 2 26 2" xfId="26756"/>
    <cellStyle name="표준 2 26 3" xfId="26757"/>
    <cellStyle name="표준 2 26 4" xfId="26758"/>
    <cellStyle name="표준 2 26 5" xfId="26759"/>
    <cellStyle name="표준 2 26 6" xfId="26760"/>
    <cellStyle name="표준 2 26 7" xfId="26761"/>
    <cellStyle name="표준 2 26 8" xfId="26762"/>
    <cellStyle name="표준 2 26 9" xfId="26763"/>
    <cellStyle name="표준 2 27" xfId="26764"/>
    <cellStyle name="표준 2 27 10" xfId="26765"/>
    <cellStyle name="표준 2 27 11" xfId="26766"/>
    <cellStyle name="표준 2 27 12" xfId="26767"/>
    <cellStyle name="표준 2 27 13" xfId="26768"/>
    <cellStyle name="표준 2 27 14" xfId="30281"/>
    <cellStyle name="표준 2 27 2" xfId="26769"/>
    <cellStyle name="표준 2 27 3" xfId="26770"/>
    <cellStyle name="표준 2 27 4" xfId="26771"/>
    <cellStyle name="표준 2 27 5" xfId="26772"/>
    <cellStyle name="표준 2 27 6" xfId="26773"/>
    <cellStyle name="표준 2 27 7" xfId="26774"/>
    <cellStyle name="표준 2 27 8" xfId="26775"/>
    <cellStyle name="표준 2 27 9" xfId="26776"/>
    <cellStyle name="표준 2 28" xfId="26777"/>
    <cellStyle name="표준 2 28 10" xfId="26778"/>
    <cellStyle name="표준 2 28 11" xfId="26779"/>
    <cellStyle name="표준 2 28 12" xfId="26780"/>
    <cellStyle name="표준 2 28 13" xfId="26781"/>
    <cellStyle name="표준 2 28 14" xfId="30282"/>
    <cellStyle name="표준 2 28 2" xfId="26782"/>
    <cellStyle name="표준 2 28 3" xfId="26783"/>
    <cellStyle name="표준 2 28 4" xfId="26784"/>
    <cellStyle name="표준 2 28 5" xfId="26785"/>
    <cellStyle name="표준 2 28 6" xfId="26786"/>
    <cellStyle name="표준 2 28 7" xfId="26787"/>
    <cellStyle name="표준 2 28 8" xfId="26788"/>
    <cellStyle name="표준 2 28 9" xfId="26789"/>
    <cellStyle name="표준 2 29" xfId="26790"/>
    <cellStyle name="표준 2 29 10" xfId="26791"/>
    <cellStyle name="표준 2 29 11" xfId="26792"/>
    <cellStyle name="표준 2 29 12" xfId="26793"/>
    <cellStyle name="표준 2 29 13" xfId="26794"/>
    <cellStyle name="표준 2 29 14" xfId="30283"/>
    <cellStyle name="표준 2 29 2" xfId="26795"/>
    <cellStyle name="표준 2 29 3" xfId="26796"/>
    <cellStyle name="표준 2 29 4" xfId="26797"/>
    <cellStyle name="표준 2 29 5" xfId="26798"/>
    <cellStyle name="표준 2 29 6" xfId="26799"/>
    <cellStyle name="표준 2 29 7" xfId="26800"/>
    <cellStyle name="표준 2 29 8" xfId="26801"/>
    <cellStyle name="표준 2 29 9" xfId="26802"/>
    <cellStyle name="표준 2 3" xfId="3529"/>
    <cellStyle name="표준 2 3 10" xfId="26803"/>
    <cellStyle name="표준 2 3 11" xfId="26804"/>
    <cellStyle name="표준 2 3 12" xfId="26805"/>
    <cellStyle name="표준 2 3 13" xfId="26806"/>
    <cellStyle name="표준 2 3 14" xfId="26807"/>
    <cellStyle name="표준 2 3 15" xfId="26808"/>
    <cellStyle name="표준 2 3 16" xfId="26809"/>
    <cellStyle name="표준 2 3 17" xfId="26810"/>
    <cellStyle name="표준 2 3 18" xfId="26811"/>
    <cellStyle name="표준 2 3 19" xfId="26812"/>
    <cellStyle name="표준 2 3 2" xfId="3530"/>
    <cellStyle name="표준 2 3 2 10" xfId="26813"/>
    <cellStyle name="표준 2 3 2 11" xfId="26814"/>
    <cellStyle name="표준 2 3 2 12" xfId="26815"/>
    <cellStyle name="표준 2 3 2 13" xfId="29443"/>
    <cellStyle name="표준 2 3 2 14" xfId="30969"/>
    <cellStyle name="표준 2 3 2 14 2" xfId="32321"/>
    <cellStyle name="표준 2 3 2 2" xfId="3531"/>
    <cellStyle name="표준 2 3 2 2 10" xfId="26816"/>
    <cellStyle name="표준 2 3 2 2 11" xfId="30689"/>
    <cellStyle name="표준 2 3 2 2 12" xfId="30947"/>
    <cellStyle name="표준 2 3 2 2 12 2" xfId="32300"/>
    <cellStyle name="표준 2 3 2 2 2" xfId="26817"/>
    <cellStyle name="표준 2 3 2 2 2 2" xfId="31264"/>
    <cellStyle name="표준 2 3 2 2 2 2 2" xfId="31263"/>
    <cellStyle name="표준 2 3 2 2 2 2 3" xfId="31262"/>
    <cellStyle name="표준 2 3 2 2 2 3" xfId="31261"/>
    <cellStyle name="표준 2 3 2 2 2 4" xfId="31260"/>
    <cellStyle name="표준 2 3 2 2 2 5" xfId="31259"/>
    <cellStyle name="표준 2 3 2 2 2 6" xfId="31258"/>
    <cellStyle name="표준 2 3 2 2 2 7" xfId="31265"/>
    <cellStyle name="표준 2 3 2 2 3" xfId="26818"/>
    <cellStyle name="표준 2 3 2 2 4" xfId="26819"/>
    <cellStyle name="표준 2 3 2 2 5" xfId="26820"/>
    <cellStyle name="표준 2 3 2 2 6" xfId="26821"/>
    <cellStyle name="표준 2 3 2 2 6 2" xfId="32048"/>
    <cellStyle name="표준 2 3 2 2 7" xfId="26822"/>
    <cellStyle name="표준 2 3 2 2 8" xfId="26823"/>
    <cellStyle name="표준 2 3 2 2 9" xfId="26824"/>
    <cellStyle name="표준 2 3 2 3" xfId="3532"/>
    <cellStyle name="표준 2 3 2 3 2" xfId="3533"/>
    <cellStyle name="표준 2 3 2 3 3" xfId="26825"/>
    <cellStyle name="표준 2 3 2 3 4" xfId="29842"/>
    <cellStyle name="표준 2 3 2 3 5" xfId="32022"/>
    <cellStyle name="표준 2 3 2 4" xfId="3534"/>
    <cellStyle name="표준 2 3 2 4 2" xfId="26826"/>
    <cellStyle name="표준 2 3 2 4 3" xfId="26827"/>
    <cellStyle name="표준 2 3 2 4 4" xfId="26828"/>
    <cellStyle name="표준 2 3 2 4 5" xfId="31827"/>
    <cellStyle name="표준 2 3 2 5" xfId="3535"/>
    <cellStyle name="표준 2 3 2 5 2" xfId="26830"/>
    <cellStyle name="표준 2 3 2 5 3" xfId="28189"/>
    <cellStyle name="표준 2 3 2 5 4" xfId="26829"/>
    <cellStyle name="표준 2 3 2 6" xfId="26831"/>
    <cellStyle name="표준 2 3 2 6 2" xfId="31826"/>
    <cellStyle name="표준 2 3 2 7" xfId="26832"/>
    <cellStyle name="표준 2 3 2 8" xfId="26833"/>
    <cellStyle name="표준 2 3 2 9" xfId="26834"/>
    <cellStyle name="표준 2 3 20" xfId="26835"/>
    <cellStyle name="표준 2 3 21" xfId="26836"/>
    <cellStyle name="표준 2 3 22" xfId="26837"/>
    <cellStyle name="표준 2 3 23" xfId="26838"/>
    <cellStyle name="표준 2 3 24" xfId="26839"/>
    <cellStyle name="표준 2 3 25" xfId="28190"/>
    <cellStyle name="표준 2 3 26" xfId="30898"/>
    <cellStyle name="표준 2 3 26 2" xfId="32252"/>
    <cellStyle name="표준 2 3 3" xfId="3536"/>
    <cellStyle name="표준 2 3 3 10" xfId="26840"/>
    <cellStyle name="표준 2 3 3 11" xfId="28188"/>
    <cellStyle name="표준 2 3 3 12" xfId="30992"/>
    <cellStyle name="표준 2 3 3 12 2" xfId="32343"/>
    <cellStyle name="표준 2 3 3 2" xfId="3537"/>
    <cellStyle name="표준 2 3 3 2 2" xfId="31257"/>
    <cellStyle name="표준 2 3 3 3" xfId="26841"/>
    <cellStyle name="표준 2 3 3 3 2" xfId="31825"/>
    <cellStyle name="표준 2 3 3 4" xfId="26842"/>
    <cellStyle name="표준 2 3 3 4 2" xfId="31824"/>
    <cellStyle name="표준 2 3 3 5" xfId="26843"/>
    <cellStyle name="표준 2 3 3 5 2" xfId="31823"/>
    <cellStyle name="표준 2 3 3 6" xfId="26844"/>
    <cellStyle name="표준 2 3 3 6 2" xfId="31256"/>
    <cellStyle name="표준 2 3 3 7" xfId="26845"/>
    <cellStyle name="표준 2 3 3 7 2" xfId="32012"/>
    <cellStyle name="표준 2 3 3 8" xfId="26846"/>
    <cellStyle name="표준 2 3 3 8 2" xfId="31255"/>
    <cellStyle name="표준 2 3 3 9" xfId="26847"/>
    <cellStyle name="표준 2 3 4" xfId="3538"/>
    <cellStyle name="표준 2 3 4 2" xfId="3539"/>
    <cellStyle name="표준 2 3 4 2 2" xfId="26849"/>
    <cellStyle name="표준 2 3 4 2 3" xfId="28187"/>
    <cellStyle name="표준 2 3 4 2 4" xfId="26848"/>
    <cellStyle name="표준 2 3 4 3" xfId="26850"/>
    <cellStyle name="표준 2 3 4 4" xfId="26851"/>
    <cellStyle name="표준 2 3 4 5" xfId="26852"/>
    <cellStyle name="표준 2 3 4 6" xfId="26853"/>
    <cellStyle name="표준 2 3 4 7" xfId="26854"/>
    <cellStyle name="표준 2 3 4 8" xfId="26855"/>
    <cellStyle name="표준 2 3 5" xfId="3540"/>
    <cellStyle name="표준 2 3 5 2" xfId="3541"/>
    <cellStyle name="표준 2 3 5 2 2" xfId="26856"/>
    <cellStyle name="표준 2 3 5 3" xfId="26857"/>
    <cellStyle name="표준 2 3 5 4" xfId="26858"/>
    <cellStyle name="표준 2 3 5 5" xfId="26859"/>
    <cellStyle name="표준 2 3 6" xfId="3542"/>
    <cellStyle name="표준 2 3 6 2" xfId="26860"/>
    <cellStyle name="표준 2 3 7" xfId="3543"/>
    <cellStyle name="표준 2 3 7 2" xfId="28186"/>
    <cellStyle name="표준 2 3 7 3" xfId="26861"/>
    <cellStyle name="표준 2 3 8" xfId="26862"/>
    <cellStyle name="표준 2 3 9" xfId="26863"/>
    <cellStyle name="표준 2 30" xfId="26864"/>
    <cellStyle name="표준 2 30 10" xfId="26865"/>
    <cellStyle name="표준 2 30 11" xfId="26866"/>
    <cellStyle name="표준 2 30 12" xfId="26867"/>
    <cellStyle name="표준 2 30 13" xfId="26868"/>
    <cellStyle name="표준 2 30 14" xfId="26869"/>
    <cellStyle name="표준 2 30 15" xfId="30284"/>
    <cellStyle name="표준 2 30 16" xfId="31254"/>
    <cellStyle name="표준 2 30 2" xfId="26870"/>
    <cellStyle name="표준 2 30 3" xfId="26871"/>
    <cellStyle name="표준 2 30 4" xfId="26872"/>
    <cellStyle name="표준 2 30 5" xfId="26873"/>
    <cellStyle name="표준 2 30 6" xfId="26874"/>
    <cellStyle name="표준 2 30 7" xfId="26875"/>
    <cellStyle name="표준 2 30 8" xfId="26876"/>
    <cellStyle name="표준 2 30 9" xfId="26877"/>
    <cellStyle name="표준 2 31" xfId="26878"/>
    <cellStyle name="표준 2 31 2" xfId="26879"/>
    <cellStyle name="표준 2 31 3" xfId="26880"/>
    <cellStyle name="표준 2 31 4" xfId="30285"/>
    <cellStyle name="표준 2 32" xfId="26881"/>
    <cellStyle name="표준 2 32 2" xfId="26882"/>
    <cellStyle name="표준 2 32 3" xfId="26883"/>
    <cellStyle name="표준 2 32 4" xfId="30286"/>
    <cellStyle name="표준 2 33" xfId="26884"/>
    <cellStyle name="표준 2 33 2" xfId="26885"/>
    <cellStyle name="표준 2 33 3" xfId="26886"/>
    <cellStyle name="표준 2 33 4" xfId="30287"/>
    <cellStyle name="표준 2 34" xfId="26887"/>
    <cellStyle name="표준 2 34 2" xfId="26888"/>
    <cellStyle name="표준 2 34 3" xfId="26889"/>
    <cellStyle name="표준 2 34 4" xfId="30288"/>
    <cellStyle name="표준 2 35" xfId="26890"/>
    <cellStyle name="표준 2 35 2" xfId="26891"/>
    <cellStyle name="표준 2 35 3" xfId="26892"/>
    <cellStyle name="표준 2 35 4" xfId="26893"/>
    <cellStyle name="표준 2 35 5" xfId="26894"/>
    <cellStyle name="표준 2 35 6" xfId="26895"/>
    <cellStyle name="표준 2 35 7" xfId="26896"/>
    <cellStyle name="표준 2 35 8" xfId="26897"/>
    <cellStyle name="표준 2 35 9" xfId="26898"/>
    <cellStyle name="표준 2 36" xfId="26899"/>
    <cellStyle name="표준 2 36 2" xfId="26900"/>
    <cellStyle name="표준 2 36 3" xfId="26901"/>
    <cellStyle name="표준 2 36 4" xfId="26902"/>
    <cellStyle name="표준 2 36 5" xfId="26903"/>
    <cellStyle name="표준 2 36 6" xfId="26904"/>
    <cellStyle name="표준 2 36 7" xfId="26905"/>
    <cellStyle name="표준 2 36 8" xfId="26906"/>
    <cellStyle name="표준 2 36 9" xfId="26907"/>
    <cellStyle name="표준 2 37" xfId="26908"/>
    <cellStyle name="표준 2 37 2" xfId="26909"/>
    <cellStyle name="표준 2 37 3" xfId="26910"/>
    <cellStyle name="표준 2 37 4" xfId="26911"/>
    <cellStyle name="표준 2 37 5" xfId="26912"/>
    <cellStyle name="표준 2 37 6" xfId="26913"/>
    <cellStyle name="표준 2 37 7" xfId="26914"/>
    <cellStyle name="표준 2 37 8" xfId="26915"/>
    <cellStyle name="표준 2 37 9" xfId="26916"/>
    <cellStyle name="표준 2 38" xfId="26917"/>
    <cellStyle name="표준 2 38 2" xfId="26918"/>
    <cellStyle name="표준 2 38 3" xfId="26919"/>
    <cellStyle name="표준 2 38 4" xfId="26920"/>
    <cellStyle name="표준 2 38 5" xfId="26921"/>
    <cellStyle name="표준 2 38 6" xfId="26922"/>
    <cellStyle name="표준 2 38 7" xfId="26923"/>
    <cellStyle name="표준 2 38 8" xfId="26924"/>
    <cellStyle name="표준 2 39" xfId="26925"/>
    <cellStyle name="표준 2 39 2" xfId="26926"/>
    <cellStyle name="표준 2 39 3" xfId="26927"/>
    <cellStyle name="표준 2 39 4" xfId="26928"/>
    <cellStyle name="표준 2 39 5" xfId="26929"/>
    <cellStyle name="표준 2 39 6" xfId="26930"/>
    <cellStyle name="표준 2 39 7" xfId="26931"/>
    <cellStyle name="표준 2 39 8" xfId="26932"/>
    <cellStyle name="표준 2 4" xfId="3544"/>
    <cellStyle name="표준 2 4 10" xfId="3545"/>
    <cellStyle name="표준 2 4 10 2" xfId="3546"/>
    <cellStyle name="표준 2 4 11" xfId="3547"/>
    <cellStyle name="표준 2 4 12" xfId="26933"/>
    <cellStyle name="표준 2 4 13" xfId="30901"/>
    <cellStyle name="표준 2 4 13 2" xfId="32255"/>
    <cellStyle name="표준 2 4 2" xfId="3548"/>
    <cellStyle name="표준 2 4 2 10" xfId="26934"/>
    <cellStyle name="표준 2 4 2 11" xfId="30290"/>
    <cellStyle name="표준 2 4 2 12" xfId="30955"/>
    <cellStyle name="표준 2 4 2 12 2" xfId="32308"/>
    <cellStyle name="표준 2 4 2 2" xfId="3549"/>
    <cellStyle name="표준 2 4 2 2 2" xfId="3550"/>
    <cellStyle name="표준 2 4 2 2 2 2" xfId="3551"/>
    <cellStyle name="표준 2 4 2 2 2 2 2" xfId="3552"/>
    <cellStyle name="표준 2 4 2 2 2 2 2 2" xfId="3553"/>
    <cellStyle name="표준 2 4 2 2 2 2 2 3" xfId="3554"/>
    <cellStyle name="표준 2 4 2 2 2 2 2 3 2" xfId="3555"/>
    <cellStyle name="표준 2 4 2 2 2 2 2 4" xfId="3556"/>
    <cellStyle name="표준 2 4 2 2 2 2 3" xfId="3557"/>
    <cellStyle name="표준 2 4 2 2 2 2 4" xfId="3558"/>
    <cellStyle name="표준 2 4 2 2 2 2 4 2" xfId="3559"/>
    <cellStyle name="표준 2 4 2 2 2 2 5" xfId="3560"/>
    <cellStyle name="표준 2 4 2 2 2 3" xfId="3561"/>
    <cellStyle name="표준 2 4 2 2 2 3 2" xfId="3562"/>
    <cellStyle name="표준 2 4 2 2 2 3 3" xfId="3563"/>
    <cellStyle name="표준 2 4 2 2 2 3 3 2" xfId="3564"/>
    <cellStyle name="표준 2 4 2 2 2 3 4" xfId="3565"/>
    <cellStyle name="표준 2 4 2 2 2 4" xfId="3566"/>
    <cellStyle name="표준 2 4 2 2 2 5" xfId="3567"/>
    <cellStyle name="표준 2 4 2 2 2 5 2" xfId="3568"/>
    <cellStyle name="표준 2 4 2 2 2 6" xfId="3569"/>
    <cellStyle name="표준 2 4 2 2 3" xfId="3570"/>
    <cellStyle name="표준 2 4 2 2 4" xfId="3571"/>
    <cellStyle name="표준 2 4 2 2 4 2" xfId="3572"/>
    <cellStyle name="표준 2 4 2 2 4 2 2" xfId="3573"/>
    <cellStyle name="표준 2 4 2 2 4 2 3" xfId="3574"/>
    <cellStyle name="표준 2 4 2 2 4 2 3 2" xfId="3575"/>
    <cellStyle name="표준 2 4 2 2 4 2 4" xfId="3576"/>
    <cellStyle name="표준 2 4 2 2 4 3" xfId="3577"/>
    <cellStyle name="표준 2 4 2 2 4 4" xfId="3578"/>
    <cellStyle name="표준 2 4 2 2 4 4 2" xfId="3579"/>
    <cellStyle name="표준 2 4 2 2 4 5" xfId="3580"/>
    <cellStyle name="표준 2 4 2 2 5" xfId="3581"/>
    <cellStyle name="표준 2 4 2 2 5 2" xfId="3582"/>
    <cellStyle name="표준 2 4 2 2 5 3" xfId="3583"/>
    <cellStyle name="표준 2 4 2 2 5 3 2" xfId="3584"/>
    <cellStyle name="표준 2 4 2 2 5 4" xfId="3585"/>
    <cellStyle name="표준 2 4 2 2 6" xfId="3586"/>
    <cellStyle name="표준 2 4 2 2 6 2" xfId="3587"/>
    <cellStyle name="표준 2 4 2 2 7" xfId="3588"/>
    <cellStyle name="표준 2 4 2 2 8" xfId="26935"/>
    <cellStyle name="표준 2 4 2 2 9" xfId="30888"/>
    <cellStyle name="표준 2 4 2 2 9 2" xfId="32242"/>
    <cellStyle name="표준 2 4 2 3" xfId="3589"/>
    <cellStyle name="표준 2 4 2 3 2" xfId="3590"/>
    <cellStyle name="표준 2 4 2 3 2 2" xfId="3591"/>
    <cellStyle name="표준 2 4 2 3 2 2 2" xfId="3592"/>
    <cellStyle name="표준 2 4 2 3 2 2 3" xfId="3593"/>
    <cellStyle name="표준 2 4 2 3 2 2 3 2" xfId="3594"/>
    <cellStyle name="표준 2 4 2 3 2 2 4" xfId="3595"/>
    <cellStyle name="표준 2 4 2 3 2 3" xfId="3596"/>
    <cellStyle name="표준 2 4 2 3 2 4" xfId="3597"/>
    <cellStyle name="표준 2 4 2 3 2 4 2" xfId="3598"/>
    <cellStyle name="표준 2 4 2 3 2 5" xfId="3599"/>
    <cellStyle name="표준 2 4 2 3 3" xfId="3600"/>
    <cellStyle name="표준 2 4 2 3 3 2" xfId="3601"/>
    <cellStyle name="표준 2 4 2 3 3 3" xfId="3602"/>
    <cellStyle name="표준 2 4 2 3 3 3 2" xfId="3603"/>
    <cellStyle name="표준 2 4 2 3 3 4" xfId="3604"/>
    <cellStyle name="표준 2 4 2 3 4" xfId="3605"/>
    <cellStyle name="표준 2 4 2 3 5" xfId="3606"/>
    <cellStyle name="표준 2 4 2 3 5 2" xfId="3607"/>
    <cellStyle name="표준 2 4 2 3 6" xfId="3608"/>
    <cellStyle name="표준 2 4 2 3 7" xfId="26936"/>
    <cellStyle name="표준 2 4 2 4" xfId="3609"/>
    <cellStyle name="표준 2 4 2 4 2" xfId="3610"/>
    <cellStyle name="표준 2 4 2 4 2 2" xfId="3611"/>
    <cellStyle name="표준 2 4 2 4 2 2 2" xfId="3612"/>
    <cellStyle name="표준 2 4 2 4 2 2 3" xfId="3613"/>
    <cellStyle name="표준 2 4 2 4 2 2 3 2" xfId="3614"/>
    <cellStyle name="표준 2 4 2 4 2 2 4" xfId="3615"/>
    <cellStyle name="표준 2 4 2 4 2 3" xfId="3616"/>
    <cellStyle name="표준 2 4 2 4 2 4" xfId="3617"/>
    <cellStyle name="표준 2 4 2 4 2 4 2" xfId="3618"/>
    <cellStyle name="표준 2 4 2 4 2 5" xfId="3619"/>
    <cellStyle name="표준 2 4 2 4 3" xfId="3620"/>
    <cellStyle name="표준 2 4 2 4 3 2" xfId="3621"/>
    <cellStyle name="표준 2 4 2 4 3 3" xfId="3622"/>
    <cellStyle name="표준 2 4 2 4 3 3 2" xfId="3623"/>
    <cellStyle name="표준 2 4 2 4 3 4" xfId="3624"/>
    <cellStyle name="표준 2 4 2 4 4" xfId="3625"/>
    <cellStyle name="표준 2 4 2 4 5" xfId="3626"/>
    <cellStyle name="표준 2 4 2 4 5 2" xfId="3627"/>
    <cellStyle name="표준 2 4 2 4 6" xfId="3628"/>
    <cellStyle name="표준 2 4 2 4 7" xfId="26937"/>
    <cellStyle name="표준 2 4 2 5" xfId="3629"/>
    <cellStyle name="표준 2 4 2 5 2" xfId="3630"/>
    <cellStyle name="표준 2 4 2 5 2 2" xfId="3631"/>
    <cellStyle name="표준 2 4 2 5 2 3" xfId="3632"/>
    <cellStyle name="표준 2 4 2 5 2 3 2" xfId="3633"/>
    <cellStyle name="표준 2 4 2 5 2 4" xfId="3634"/>
    <cellStyle name="표준 2 4 2 5 3" xfId="3635"/>
    <cellStyle name="표준 2 4 2 5 4" xfId="3636"/>
    <cellStyle name="표준 2 4 2 5 4 2" xfId="3637"/>
    <cellStyle name="표준 2 4 2 5 5" xfId="3638"/>
    <cellStyle name="표준 2 4 2 5 6" xfId="26938"/>
    <cellStyle name="표준 2 4 2 6" xfId="3639"/>
    <cellStyle name="표준 2 4 2 6 2" xfId="3640"/>
    <cellStyle name="표준 2 4 2 6 3" xfId="3641"/>
    <cellStyle name="표준 2 4 2 6 3 2" xfId="3642"/>
    <cellStyle name="표준 2 4 2 6 4" xfId="3643"/>
    <cellStyle name="표준 2 4 2 7" xfId="3644"/>
    <cellStyle name="표준 2 4 2 7 2" xfId="3645"/>
    <cellStyle name="표준 2 4 2 8" xfId="3646"/>
    <cellStyle name="표준 2 4 2 9" xfId="26939"/>
    <cellStyle name="표준 2 4 3" xfId="3647"/>
    <cellStyle name="표준 2 4 3 10" xfId="28185"/>
    <cellStyle name="표준 2 4 3 11" xfId="30291"/>
    <cellStyle name="표준 2 4 3 12" xfId="30929"/>
    <cellStyle name="표준 2 4 3 12 2" xfId="32282"/>
    <cellStyle name="표준 2 4 3 2" xfId="3648"/>
    <cellStyle name="표준 2 4 3 2 2" xfId="3649"/>
    <cellStyle name="표준 2 4 3 2 2 2" xfId="3650"/>
    <cellStyle name="표준 2 4 3 2 2 2 2" xfId="3651"/>
    <cellStyle name="표준 2 4 3 2 2 2 3" xfId="3652"/>
    <cellStyle name="표준 2 4 3 2 2 2 3 2" xfId="3653"/>
    <cellStyle name="표준 2 4 3 2 2 2 4" xfId="3654"/>
    <cellStyle name="표준 2 4 3 2 2 3" xfId="3655"/>
    <cellStyle name="표준 2 4 3 2 2 4" xfId="3656"/>
    <cellStyle name="표준 2 4 3 2 2 4 2" xfId="3657"/>
    <cellStyle name="표준 2 4 3 2 2 5" xfId="3658"/>
    <cellStyle name="표준 2 4 3 2 3" xfId="3659"/>
    <cellStyle name="표준 2 4 3 2 3 2" xfId="3660"/>
    <cellStyle name="표준 2 4 3 2 3 3" xfId="3661"/>
    <cellStyle name="표준 2 4 3 2 3 3 2" xfId="3662"/>
    <cellStyle name="표준 2 4 3 2 3 4" xfId="3663"/>
    <cellStyle name="표준 2 4 3 2 4" xfId="3664"/>
    <cellStyle name="표준 2 4 3 2 5" xfId="3665"/>
    <cellStyle name="표준 2 4 3 2 5 2" xfId="3666"/>
    <cellStyle name="표준 2 4 3 2 6" xfId="3667"/>
    <cellStyle name="표준 2 4 3 3" xfId="3668"/>
    <cellStyle name="표준 2 4 3 4" xfId="3669"/>
    <cellStyle name="표준 2 4 3 4 2" xfId="3670"/>
    <cellStyle name="표준 2 4 3 4 2 2" xfId="3671"/>
    <cellStyle name="표준 2 4 3 4 2 3" xfId="3672"/>
    <cellStyle name="표준 2 4 3 4 2 3 2" xfId="3673"/>
    <cellStyle name="표준 2 4 3 4 2 4" xfId="3674"/>
    <cellStyle name="표준 2 4 3 4 3" xfId="3675"/>
    <cellStyle name="표준 2 4 3 4 4" xfId="3676"/>
    <cellStyle name="표준 2 4 3 4 4 2" xfId="3677"/>
    <cellStyle name="표준 2 4 3 4 5" xfId="3678"/>
    <cellStyle name="표준 2 4 3 5" xfId="3679"/>
    <cellStyle name="표준 2 4 3 5 2" xfId="3680"/>
    <cellStyle name="표준 2 4 3 5 3" xfId="3681"/>
    <cellStyle name="표준 2 4 3 5 3 2" xfId="3682"/>
    <cellStyle name="표준 2 4 3 5 4" xfId="3683"/>
    <cellStyle name="표준 2 4 3 6" xfId="3684"/>
    <cellStyle name="표준 2 4 3 6 2" xfId="3685"/>
    <cellStyle name="표준 2 4 3 7" xfId="3686"/>
    <cellStyle name="표준 2 4 3 8" xfId="26940"/>
    <cellStyle name="표준 2 4 3 9" xfId="26941"/>
    <cellStyle name="표준 2 4 4" xfId="3687"/>
    <cellStyle name="표준 2 4 4 2" xfId="3688"/>
    <cellStyle name="표준 2 4 4 2 2" xfId="3689"/>
    <cellStyle name="표준 2 4 4 2 2 2" xfId="3690"/>
    <cellStyle name="표준 2 4 4 2 2 3" xfId="3691"/>
    <cellStyle name="표준 2 4 4 2 2 3 2" xfId="3692"/>
    <cellStyle name="표준 2 4 4 2 2 4" xfId="3693"/>
    <cellStyle name="표준 2 4 4 2 3" xfId="3694"/>
    <cellStyle name="표준 2 4 4 2 4" xfId="3695"/>
    <cellStyle name="표준 2 4 4 2 4 2" xfId="3696"/>
    <cellStyle name="표준 2 4 4 2 5" xfId="3697"/>
    <cellStyle name="표준 2 4 4 3" xfId="3698"/>
    <cellStyle name="표준 2 4 4 3 2" xfId="3699"/>
    <cellStyle name="표준 2 4 4 3 3" xfId="3700"/>
    <cellStyle name="표준 2 4 4 3 3 2" xfId="3701"/>
    <cellStyle name="표준 2 4 4 3 4" xfId="3702"/>
    <cellStyle name="표준 2 4 4 4" xfId="3703"/>
    <cellStyle name="표준 2 4 4 5" xfId="3704"/>
    <cellStyle name="표준 2 4 4 5 2" xfId="3705"/>
    <cellStyle name="표준 2 4 4 6" xfId="3706"/>
    <cellStyle name="표준 2 4 4 7" xfId="26942"/>
    <cellStyle name="표준 2 4 4 8" xfId="26943"/>
    <cellStyle name="표준 2 4 4 9" xfId="30292"/>
    <cellStyle name="표준 2 4 5" xfId="3707"/>
    <cellStyle name="표준 2 4 5 2" xfId="3708"/>
    <cellStyle name="표준 2 4 5 2 2" xfId="3709"/>
    <cellStyle name="표준 2 4 5 2 2 2" xfId="3710"/>
    <cellStyle name="표준 2 4 5 2 2 3" xfId="3711"/>
    <cellStyle name="표준 2 4 5 2 2 3 2" xfId="3712"/>
    <cellStyle name="표준 2 4 5 2 2 4" xfId="3713"/>
    <cellStyle name="표준 2 4 5 2 3" xfId="3714"/>
    <cellStyle name="표준 2 4 5 2 4" xfId="3715"/>
    <cellStyle name="표준 2 4 5 2 4 2" xfId="3716"/>
    <cellStyle name="표준 2 4 5 2 5" xfId="3717"/>
    <cellStyle name="표준 2 4 5 3" xfId="3718"/>
    <cellStyle name="표준 2 4 5 3 2" xfId="3719"/>
    <cellStyle name="표준 2 4 5 3 3" xfId="3720"/>
    <cellStyle name="표준 2 4 5 3 3 2" xfId="3721"/>
    <cellStyle name="표준 2 4 5 3 4" xfId="3722"/>
    <cellStyle name="표준 2 4 5 4" xfId="3723"/>
    <cellStyle name="표준 2 4 5 5" xfId="3724"/>
    <cellStyle name="표준 2 4 5 5 2" xfId="3725"/>
    <cellStyle name="표준 2 4 5 6" xfId="3726"/>
    <cellStyle name="표준 2 4 5 7" xfId="26944"/>
    <cellStyle name="표준 2 4 5 8" xfId="30656"/>
    <cellStyle name="표준 2 4 6" xfId="3727"/>
    <cellStyle name="표준 2 4 6 2" xfId="3728"/>
    <cellStyle name="표준 2 4 6 2 2" xfId="3729"/>
    <cellStyle name="표준 2 4 6 2 3" xfId="3730"/>
    <cellStyle name="표준 2 4 6 2 3 2" xfId="3731"/>
    <cellStyle name="표준 2 4 6 2 4" xfId="3732"/>
    <cellStyle name="표준 2 4 6 3" xfId="3733"/>
    <cellStyle name="표준 2 4 6 4" xfId="3734"/>
    <cellStyle name="표준 2 4 6 4 2" xfId="3735"/>
    <cellStyle name="표준 2 4 6 5" xfId="3736"/>
    <cellStyle name="표준 2 4 6 6" xfId="26945"/>
    <cellStyle name="표준 2 4 7" xfId="3737"/>
    <cellStyle name="표준 2 4 7 2" xfId="3738"/>
    <cellStyle name="표준 2 4 7 3" xfId="3739"/>
    <cellStyle name="표준 2 4 7 3 2" xfId="3740"/>
    <cellStyle name="표준 2 4 7 4" xfId="3741"/>
    <cellStyle name="표준 2 4 7 5" xfId="26946"/>
    <cellStyle name="표준 2 4 8" xfId="3742"/>
    <cellStyle name="표준 2 4 9" xfId="3743"/>
    <cellStyle name="표준 2 4 9 2" xfId="28184"/>
    <cellStyle name="표준 2 4 9 3" xfId="26947"/>
    <cellStyle name="표준 2 40" xfId="26948"/>
    <cellStyle name="표준 2 40 2" xfId="26949"/>
    <cellStyle name="표준 2 40 3" xfId="26950"/>
    <cellStyle name="표준 2 40 4" xfId="26951"/>
    <cellStyle name="표준 2 40 5" xfId="26952"/>
    <cellStyle name="표준 2 40 6" xfId="26953"/>
    <cellStyle name="표준 2 40 7" xfId="26954"/>
    <cellStyle name="표준 2 40 8" xfId="26955"/>
    <cellStyle name="표준 2 41" xfId="26956"/>
    <cellStyle name="표준 2 42" xfId="26957"/>
    <cellStyle name="표준 2 42 2" xfId="26958"/>
    <cellStyle name="표준 2 42 3" xfId="26959"/>
    <cellStyle name="표준 2 42 4" xfId="26960"/>
    <cellStyle name="표준 2 43" xfId="26961"/>
    <cellStyle name="표준 2 44" xfId="26962"/>
    <cellStyle name="표준 2 44 2" xfId="26963"/>
    <cellStyle name="표준 2 44 3" xfId="26964"/>
    <cellStyle name="표준 2 44 4" xfId="26965"/>
    <cellStyle name="표준 2 45" xfId="26966"/>
    <cellStyle name="표준 2 46" xfId="26967"/>
    <cellStyle name="표준 2 46 2" xfId="26968"/>
    <cellStyle name="표준 2 46 3" xfId="26969"/>
    <cellStyle name="표준 2 46 4" xfId="26970"/>
    <cellStyle name="표준 2 46 5" xfId="30336"/>
    <cellStyle name="표준 2 47" xfId="26971"/>
    <cellStyle name="표준 2 47 2" xfId="29462"/>
    <cellStyle name="표준 2 48" xfId="26972"/>
    <cellStyle name="표준 2 48 2" xfId="26973"/>
    <cellStyle name="표준 2 48 3" xfId="26974"/>
    <cellStyle name="표준 2 48 4" xfId="26975"/>
    <cellStyle name="표준 2 49" xfId="26976"/>
    <cellStyle name="표준 2 49 2" xfId="26977"/>
    <cellStyle name="표준 2 49 3" xfId="26978"/>
    <cellStyle name="표준 2 49 4" xfId="26979"/>
    <cellStyle name="표준 2 5" xfId="3744"/>
    <cellStyle name="표준 2 5 10" xfId="26980"/>
    <cellStyle name="표준 2 5 11" xfId="26981"/>
    <cellStyle name="표준 2 5 12" xfId="26982"/>
    <cellStyle name="표준 2 5 13" xfId="26983"/>
    <cellStyle name="표준 2 5 14" xfId="26984"/>
    <cellStyle name="표준 2 5 15" xfId="26985"/>
    <cellStyle name="표준 2 5 16" xfId="26986"/>
    <cellStyle name="표준 2 5 17" xfId="26987"/>
    <cellStyle name="표준 2 5 18" xfId="26988"/>
    <cellStyle name="표준 2 5 19" xfId="26989"/>
    <cellStyle name="표준 2 5 2" xfId="3745"/>
    <cellStyle name="표준 2 5 2 10" xfId="28182"/>
    <cellStyle name="표준 2 5 2 11" xfId="26990"/>
    <cellStyle name="표준 2 5 2 12" xfId="30657"/>
    <cellStyle name="표준 2 5 2 13" xfId="30964"/>
    <cellStyle name="표준 2 5 2 13 2" xfId="32316"/>
    <cellStyle name="표준 2 5 2 2" xfId="26991"/>
    <cellStyle name="표준 2 5 2 3" xfId="26992"/>
    <cellStyle name="표준 2 5 2 4" xfId="26993"/>
    <cellStyle name="표준 2 5 2 5" xfId="26994"/>
    <cellStyle name="표준 2 5 2 6" xfId="26995"/>
    <cellStyle name="표준 2 5 2 7" xfId="26996"/>
    <cellStyle name="표준 2 5 2 8" xfId="26997"/>
    <cellStyle name="표준 2 5 2 9" xfId="26998"/>
    <cellStyle name="표준 2 5 20" xfId="26999"/>
    <cellStyle name="표준 2 5 21" xfId="27000"/>
    <cellStyle name="표준 2 5 22" xfId="27001"/>
    <cellStyle name="표준 2 5 23" xfId="27002"/>
    <cellStyle name="표준 2 5 24" xfId="27003"/>
    <cellStyle name="표준 2 5 25" xfId="27004"/>
    <cellStyle name="표준 2 5 26" xfId="27005"/>
    <cellStyle name="표준 2 5 27" xfId="27006"/>
    <cellStyle name="표준 2 5 28" xfId="27007"/>
    <cellStyle name="표준 2 5 29" xfId="27008"/>
    <cellStyle name="표준 2 5 3" xfId="3746"/>
    <cellStyle name="표준 2 5 3 2" xfId="27009"/>
    <cellStyle name="표준 2 5 3 3" xfId="27010"/>
    <cellStyle name="표준 2 5 3 4" xfId="27011"/>
    <cellStyle name="표준 2 5 30" xfId="27012"/>
    <cellStyle name="표준 2 5 31" xfId="27013"/>
    <cellStyle name="표준 2 5 32" xfId="27014"/>
    <cellStyle name="표준 2 5 33" xfId="27015"/>
    <cellStyle name="표준 2 5 34" xfId="27016"/>
    <cellStyle name="표준 2 5 35" xfId="27017"/>
    <cellStyle name="표준 2 5 36" xfId="27018"/>
    <cellStyle name="표준 2 5 37" xfId="27019"/>
    <cellStyle name="표준 2 5 38" xfId="27020"/>
    <cellStyle name="표준 2 5 39" xfId="27021"/>
    <cellStyle name="표준 2 5 4" xfId="27022"/>
    <cellStyle name="표준 2 5 4 2" xfId="27023"/>
    <cellStyle name="표준 2 5 4 3" xfId="27024"/>
    <cellStyle name="표준 2 5 4 4" xfId="27025"/>
    <cellStyle name="표준 2 5 40" xfId="27026"/>
    <cellStyle name="표준 2 5 41" xfId="27027"/>
    <cellStyle name="표준 2 5 42" xfId="27028"/>
    <cellStyle name="표준 2 5 43" xfId="27029"/>
    <cellStyle name="표준 2 5 44" xfId="27030"/>
    <cellStyle name="표준 2 5 45" xfId="27031"/>
    <cellStyle name="표준 2 5 46" xfId="27032"/>
    <cellStyle name="표준 2 5 47" xfId="27033"/>
    <cellStyle name="표준 2 5 48" xfId="27034"/>
    <cellStyle name="표준 2 5 49" xfId="27035"/>
    <cellStyle name="표준 2 5 5" xfId="27036"/>
    <cellStyle name="표준 2 5 50" xfId="27037"/>
    <cellStyle name="표준 2 5 51" xfId="27038"/>
    <cellStyle name="표준 2 5 52" xfId="27039"/>
    <cellStyle name="표준 2 5 53" xfId="27040"/>
    <cellStyle name="표준 2 5 54" xfId="27041"/>
    <cellStyle name="표준 2 5 55" xfId="27042"/>
    <cellStyle name="표준 2 5 56" xfId="27043"/>
    <cellStyle name="표준 2 5 57" xfId="27044"/>
    <cellStyle name="표준 2 5 58" xfId="27045"/>
    <cellStyle name="표준 2 5 59" xfId="27046"/>
    <cellStyle name="표준 2 5 6" xfId="27047"/>
    <cellStyle name="표준 2 5 60" xfId="27048"/>
    <cellStyle name="표준 2 5 61" xfId="27049"/>
    <cellStyle name="표준 2 5 62" xfId="27050"/>
    <cellStyle name="표준 2 5 63" xfId="27051"/>
    <cellStyle name="표준 2 5 64" xfId="27052"/>
    <cellStyle name="표준 2 5 65" xfId="28183"/>
    <cellStyle name="표준 2 5 66" xfId="30293"/>
    <cellStyle name="표준 2 5 67" xfId="30887"/>
    <cellStyle name="표준 2 5 67 2" xfId="32241"/>
    <cellStyle name="표준 2 5 7" xfId="27053"/>
    <cellStyle name="표준 2 5 8" xfId="27054"/>
    <cellStyle name="표준 2 5 9" xfId="27055"/>
    <cellStyle name="표준 2 50" xfId="27056"/>
    <cellStyle name="표준 2 50 2" xfId="27057"/>
    <cellStyle name="표준 2 50 3" xfId="27058"/>
    <cellStyle name="표준 2 50 4" xfId="27059"/>
    <cellStyle name="표준 2 51" xfId="27060"/>
    <cellStyle name="표준 2 52" xfId="27061"/>
    <cellStyle name="표준 2 53" xfId="27062"/>
    <cellStyle name="표준 2 54" xfId="27063"/>
    <cellStyle name="표준 2 55" xfId="27064"/>
    <cellStyle name="표준 2 56" xfId="27065"/>
    <cellStyle name="표준 2 57" xfId="27066"/>
    <cellStyle name="표준 2 58" xfId="27067"/>
    <cellStyle name="표준 2 59" xfId="27068"/>
    <cellStyle name="표준 2 6" xfId="3747"/>
    <cellStyle name="표준 2 6 10" xfId="27069"/>
    <cellStyle name="표준 2 6 11" xfId="27070"/>
    <cellStyle name="표준 2 6 12" xfId="27071"/>
    <cellStyle name="표준 2 6 13" xfId="27072"/>
    <cellStyle name="표준 2 6 14" xfId="27073"/>
    <cellStyle name="표준 2 6 15" xfId="27074"/>
    <cellStyle name="표준 2 6 16" xfId="27075"/>
    <cellStyle name="표준 2 6 17" xfId="27076"/>
    <cellStyle name="표준 2 6 18" xfId="27077"/>
    <cellStyle name="표준 2 6 19" xfId="27078"/>
    <cellStyle name="표준 2 6 2" xfId="3748"/>
    <cellStyle name="표준 2 6 2 2" xfId="27079"/>
    <cellStyle name="표준 2 6 2 3" xfId="27080"/>
    <cellStyle name="표준 2 6 2 4" xfId="27081"/>
    <cellStyle name="표준 2 6 2 5" xfId="27082"/>
    <cellStyle name="표준 2 6 2 6" xfId="27083"/>
    <cellStyle name="표준 2 6 2 7" xfId="27084"/>
    <cellStyle name="표준 2 6 2 8" xfId="27085"/>
    <cellStyle name="표준 2 6 2 9" xfId="30658"/>
    <cellStyle name="표준 2 6 20" xfId="27086"/>
    <cellStyle name="표준 2 6 21" xfId="27087"/>
    <cellStyle name="표준 2 6 22" xfId="27088"/>
    <cellStyle name="표준 2 6 23" xfId="27089"/>
    <cellStyle name="표준 2 6 24" xfId="27090"/>
    <cellStyle name="표준 2 6 25" xfId="27091"/>
    <cellStyle name="표준 2 6 26" xfId="27092"/>
    <cellStyle name="표준 2 6 27" xfId="27093"/>
    <cellStyle name="표준 2 6 28" xfId="27094"/>
    <cellStyle name="표준 2 6 29" xfId="27095"/>
    <cellStyle name="표준 2 6 3" xfId="3749"/>
    <cellStyle name="표준 2 6 3 2" xfId="3750"/>
    <cellStyle name="표준 2 6 3 2 2" xfId="3751"/>
    <cellStyle name="표준 2 6 3 2 3" xfId="3752"/>
    <cellStyle name="표준 2 6 3 2 3 2" xfId="3753"/>
    <cellStyle name="표준 2 6 3 2 4" xfId="3754"/>
    <cellStyle name="표준 2 6 3 2 5" xfId="27096"/>
    <cellStyle name="표준 2 6 3 3" xfId="3755"/>
    <cellStyle name="표준 2 6 3 3 2" xfId="27097"/>
    <cellStyle name="표준 2 6 3 3 2 2" xfId="29675"/>
    <cellStyle name="표준 2 6 3 3 3" xfId="29777"/>
    <cellStyle name="표준 2 6 3 3 4" xfId="30264"/>
    <cellStyle name="표준 2 6 3 4" xfId="3756"/>
    <cellStyle name="표준 2 6 3 4 2" xfId="3757"/>
    <cellStyle name="표준 2 6 3 4 3" xfId="27098"/>
    <cellStyle name="표준 2 6 3 5" xfId="3758"/>
    <cellStyle name="표준 2 6 3 5 2" xfId="29657"/>
    <cellStyle name="표준 2 6 30" xfId="27099"/>
    <cellStyle name="표준 2 6 31" xfId="27100"/>
    <cellStyle name="표준 2 6 32" xfId="27101"/>
    <cellStyle name="표준 2 6 33" xfId="27102"/>
    <cellStyle name="표준 2 6 34" xfId="27103"/>
    <cellStyle name="표준 2 6 35" xfId="27104"/>
    <cellStyle name="표준 2 6 36" xfId="27105"/>
    <cellStyle name="표준 2 6 37" xfId="27106"/>
    <cellStyle name="표준 2 6 38" xfId="27107"/>
    <cellStyle name="표준 2 6 39" xfId="27108"/>
    <cellStyle name="표준 2 6 4" xfId="3759"/>
    <cellStyle name="표준 2 6 4 2" xfId="3760"/>
    <cellStyle name="표준 2 6 4 2 2" xfId="27109"/>
    <cellStyle name="표준 2 6 4 3" xfId="3761"/>
    <cellStyle name="표준 2 6 4 3 2" xfId="3762"/>
    <cellStyle name="표준 2 6 4 3 3" xfId="27110"/>
    <cellStyle name="표준 2 6 4 4" xfId="3763"/>
    <cellStyle name="표준 2 6 4 4 2" xfId="27111"/>
    <cellStyle name="표준 2 6 40" xfId="27112"/>
    <cellStyle name="표준 2 6 41" xfId="27113"/>
    <cellStyle name="표준 2 6 42" xfId="27114"/>
    <cellStyle name="표준 2 6 43" xfId="27115"/>
    <cellStyle name="표준 2 6 44" xfId="27116"/>
    <cellStyle name="표준 2 6 45" xfId="27117"/>
    <cellStyle name="표준 2 6 46" xfId="27118"/>
    <cellStyle name="표준 2 6 47" xfId="27119"/>
    <cellStyle name="표준 2 6 48" xfId="27120"/>
    <cellStyle name="표준 2 6 49" xfId="27121"/>
    <cellStyle name="표준 2 6 5" xfId="3764"/>
    <cellStyle name="표준 2 6 5 2" xfId="27123"/>
    <cellStyle name="표준 2 6 5 3" xfId="28181"/>
    <cellStyle name="표준 2 6 5 4" xfId="27122"/>
    <cellStyle name="표준 2 6 50" xfId="27124"/>
    <cellStyle name="표준 2 6 51" xfId="27125"/>
    <cellStyle name="표준 2 6 52" xfId="27126"/>
    <cellStyle name="표준 2 6 53" xfId="27127"/>
    <cellStyle name="표준 2 6 54" xfId="27128"/>
    <cellStyle name="표준 2 6 55" xfId="27129"/>
    <cellStyle name="표준 2 6 56" xfId="27130"/>
    <cellStyle name="표준 2 6 57" xfId="27131"/>
    <cellStyle name="표준 2 6 58" xfId="27132"/>
    <cellStyle name="표준 2 6 59" xfId="30294"/>
    <cellStyle name="표준 2 6 6" xfId="3765"/>
    <cellStyle name="표준 2 6 6 2" xfId="3766"/>
    <cellStyle name="표준 2 6 60" xfId="31008"/>
    <cellStyle name="표준 2 6 7" xfId="3767"/>
    <cellStyle name="표준 2 6 8" xfId="27133"/>
    <cellStyle name="표준 2 6 9" xfId="27134"/>
    <cellStyle name="표준 2 60" xfId="27135"/>
    <cellStyle name="표준 2 61" xfId="27136"/>
    <cellStyle name="표준 2 62" xfId="27137"/>
    <cellStyle name="표준 2 63" xfId="27138"/>
    <cellStyle name="표준 2 64" xfId="27139"/>
    <cellStyle name="표준 2 65" xfId="27140"/>
    <cellStyle name="표준 2 66" xfId="27141"/>
    <cellStyle name="표준 2 67" xfId="27142"/>
    <cellStyle name="표준 2 68" xfId="27143"/>
    <cellStyle name="표준 2 69" xfId="27144"/>
    <cellStyle name="표준 2 7" xfId="3768"/>
    <cellStyle name="표준 2 7 10" xfId="27145"/>
    <cellStyle name="표준 2 7 11" xfId="27146"/>
    <cellStyle name="표준 2 7 12" xfId="27147"/>
    <cellStyle name="표준 2 7 13" xfId="27148"/>
    <cellStyle name="표준 2 7 14" xfId="27149"/>
    <cellStyle name="표준 2 7 15" xfId="27150"/>
    <cellStyle name="표준 2 7 16" xfId="27151"/>
    <cellStyle name="표준 2 7 17" xfId="27152"/>
    <cellStyle name="표준 2 7 18" xfId="27153"/>
    <cellStyle name="표준 2 7 19" xfId="27154"/>
    <cellStyle name="표준 2 7 2" xfId="3769"/>
    <cellStyle name="표준 2 7 2 2" xfId="3770"/>
    <cellStyle name="표준 2 7 2 3" xfId="3771"/>
    <cellStyle name="표준 2 7 2 3 2" xfId="3772"/>
    <cellStyle name="표준 2 7 2 4" xfId="3773"/>
    <cellStyle name="표준 2 7 20" xfId="27155"/>
    <cellStyle name="표준 2 7 21" xfId="27156"/>
    <cellStyle name="표준 2 7 22" xfId="27157"/>
    <cellStyle name="표준 2 7 23" xfId="27158"/>
    <cellStyle name="표준 2 7 24" xfId="27159"/>
    <cellStyle name="표준 2 7 25" xfId="27160"/>
    <cellStyle name="표준 2 7 26" xfId="27161"/>
    <cellStyle name="표준 2 7 27" xfId="27162"/>
    <cellStyle name="표준 2 7 28" xfId="27163"/>
    <cellStyle name="표준 2 7 29" xfId="27164"/>
    <cellStyle name="표준 2 7 3" xfId="3774"/>
    <cellStyle name="표준 2 7 30" xfId="27165"/>
    <cellStyle name="표준 2 7 31" xfId="27166"/>
    <cellStyle name="표준 2 7 32" xfId="27167"/>
    <cellStyle name="표준 2 7 33" xfId="27168"/>
    <cellStyle name="표준 2 7 34" xfId="27169"/>
    <cellStyle name="표준 2 7 35" xfId="27170"/>
    <cellStyle name="표준 2 7 36" xfId="27171"/>
    <cellStyle name="표준 2 7 37" xfId="27172"/>
    <cellStyle name="표준 2 7 38" xfId="27173"/>
    <cellStyle name="표준 2 7 39" xfId="27174"/>
    <cellStyle name="표준 2 7 4" xfId="3775"/>
    <cellStyle name="표준 2 7 4 2" xfId="27176"/>
    <cellStyle name="표준 2 7 4 3" xfId="28180"/>
    <cellStyle name="표준 2 7 4 4" xfId="27175"/>
    <cellStyle name="표준 2 7 40" xfId="27177"/>
    <cellStyle name="표준 2 7 41" xfId="27178"/>
    <cellStyle name="표준 2 7 42" xfId="27179"/>
    <cellStyle name="표준 2 7 43" xfId="27180"/>
    <cellStyle name="표준 2 7 44" xfId="27181"/>
    <cellStyle name="표준 2 7 45" xfId="27182"/>
    <cellStyle name="표준 2 7 46" xfId="27183"/>
    <cellStyle name="표준 2 7 47" xfId="27184"/>
    <cellStyle name="표준 2 7 48" xfId="27185"/>
    <cellStyle name="표준 2 7 49" xfId="27186"/>
    <cellStyle name="표준 2 7 5" xfId="3776"/>
    <cellStyle name="표준 2 7 5 2" xfId="3777"/>
    <cellStyle name="표준 2 7 50" xfId="27187"/>
    <cellStyle name="표준 2 7 51" xfId="27188"/>
    <cellStyle name="표준 2 7 52" xfId="27189"/>
    <cellStyle name="표준 2 7 53" xfId="27190"/>
    <cellStyle name="표준 2 7 54" xfId="27191"/>
    <cellStyle name="표준 2 7 55" xfId="27192"/>
    <cellStyle name="표준 2 7 56" xfId="27193"/>
    <cellStyle name="표준 2 7 57" xfId="27194"/>
    <cellStyle name="표준 2 7 58" xfId="27195"/>
    <cellStyle name="표준 2 7 59" xfId="27196"/>
    <cellStyle name="표준 2 7 6" xfId="3778"/>
    <cellStyle name="표준 2 7 60" xfId="27197"/>
    <cellStyle name="표준 2 7 61" xfId="27198"/>
    <cellStyle name="표준 2 7 62" xfId="27199"/>
    <cellStyle name="표준 2 7 63" xfId="27200"/>
    <cellStyle name="표준 2 7 64" xfId="27201"/>
    <cellStyle name="표준 2 7 65" xfId="27202"/>
    <cellStyle name="표준 2 7 66" xfId="30295"/>
    <cellStyle name="표준 2 7 67" xfId="30893"/>
    <cellStyle name="표준 2 7 67 2" xfId="32247"/>
    <cellStyle name="표준 2 7 68" xfId="31253"/>
    <cellStyle name="표준 2 7 7" xfId="27203"/>
    <cellStyle name="표준 2 7 8" xfId="27204"/>
    <cellStyle name="표준 2 7 9" xfId="27205"/>
    <cellStyle name="표준 2 70" xfId="27206"/>
    <cellStyle name="표준 2 71" xfId="27207"/>
    <cellStyle name="표준 2 72" xfId="27208"/>
    <cellStyle name="표준 2 73" xfId="27209"/>
    <cellStyle name="표준 2 74" xfId="27210"/>
    <cellStyle name="표준 2 75" xfId="27211"/>
    <cellStyle name="표준 2 76" xfId="27212"/>
    <cellStyle name="표준 2 77" xfId="27213"/>
    <cellStyle name="표준 2 78" xfId="27214"/>
    <cellStyle name="표준 2 79" xfId="27215"/>
    <cellStyle name="표준 2 8" xfId="3779"/>
    <cellStyle name="표준 2 8 10" xfId="27216"/>
    <cellStyle name="표준 2 8 11" xfId="27217"/>
    <cellStyle name="표준 2 8 12" xfId="27218"/>
    <cellStyle name="표준 2 8 13" xfId="27219"/>
    <cellStyle name="표준 2 8 14" xfId="27220"/>
    <cellStyle name="표준 2 8 15" xfId="27221"/>
    <cellStyle name="표준 2 8 16" xfId="27222"/>
    <cellStyle name="표준 2 8 17" xfId="27223"/>
    <cellStyle name="표준 2 8 18" xfId="27224"/>
    <cellStyle name="표준 2 8 19" xfId="27225"/>
    <cellStyle name="표준 2 8 2" xfId="3780"/>
    <cellStyle name="표준 2 8 20" xfId="27226"/>
    <cellStyle name="표준 2 8 21" xfId="27227"/>
    <cellStyle name="표준 2 8 22" xfId="27228"/>
    <cellStyle name="표준 2 8 23" xfId="27229"/>
    <cellStyle name="표준 2 8 24" xfId="27230"/>
    <cellStyle name="표준 2 8 25" xfId="27231"/>
    <cellStyle name="표준 2 8 26" xfId="27232"/>
    <cellStyle name="표준 2 8 27" xfId="27233"/>
    <cellStyle name="표준 2 8 28" xfId="27234"/>
    <cellStyle name="표준 2 8 29" xfId="27235"/>
    <cellStyle name="표준 2 8 3" xfId="3781"/>
    <cellStyle name="표준 2 8 3 2" xfId="3782"/>
    <cellStyle name="표준 2 8 30" xfId="27236"/>
    <cellStyle name="표준 2 8 31" xfId="27237"/>
    <cellStyle name="표준 2 8 32" xfId="27238"/>
    <cellStyle name="표준 2 8 33" xfId="27239"/>
    <cellStyle name="표준 2 8 34" xfId="27240"/>
    <cellStyle name="표준 2 8 35" xfId="27241"/>
    <cellStyle name="표준 2 8 36" xfId="27242"/>
    <cellStyle name="표준 2 8 37" xfId="27243"/>
    <cellStyle name="표준 2 8 38" xfId="27244"/>
    <cellStyle name="표준 2 8 39" xfId="27245"/>
    <cellStyle name="표준 2 8 4" xfId="3783"/>
    <cellStyle name="표준 2 8 40" xfId="27246"/>
    <cellStyle name="표준 2 8 41" xfId="27247"/>
    <cellStyle name="표준 2 8 42" xfId="27248"/>
    <cellStyle name="표준 2 8 43" xfId="27249"/>
    <cellStyle name="표준 2 8 44" xfId="27250"/>
    <cellStyle name="표준 2 8 45" xfId="27251"/>
    <cellStyle name="표준 2 8 46" xfId="27252"/>
    <cellStyle name="표준 2 8 47" xfId="27253"/>
    <cellStyle name="표준 2 8 48" xfId="27254"/>
    <cellStyle name="표준 2 8 49" xfId="27255"/>
    <cellStyle name="표준 2 8 5" xfId="27256"/>
    <cellStyle name="표준 2 8 50" xfId="27257"/>
    <cellStyle name="표준 2 8 51" xfId="27258"/>
    <cellStyle name="표준 2 8 52" xfId="27259"/>
    <cellStyle name="표준 2 8 53" xfId="27260"/>
    <cellStyle name="표준 2 8 54" xfId="27261"/>
    <cellStyle name="표준 2 8 55" xfId="27262"/>
    <cellStyle name="표준 2 8 56" xfId="27263"/>
    <cellStyle name="표준 2 8 57" xfId="27264"/>
    <cellStyle name="표준 2 8 58" xfId="27265"/>
    <cellStyle name="표준 2 8 59" xfId="27266"/>
    <cellStyle name="표준 2 8 6" xfId="27267"/>
    <cellStyle name="표준 2 8 60" xfId="27268"/>
    <cellStyle name="표준 2 8 61" xfId="27269"/>
    <cellStyle name="표준 2 8 62" xfId="27270"/>
    <cellStyle name="표준 2 8 63" xfId="27271"/>
    <cellStyle name="표준 2 8 64" xfId="27272"/>
    <cellStyle name="표준 2 8 65" xfId="27273"/>
    <cellStyle name="표준 2 8 66" xfId="30296"/>
    <cellStyle name="표준 2 8 67" xfId="31252"/>
    <cellStyle name="표준 2 8 7" xfId="27274"/>
    <cellStyle name="표준 2 8 8" xfId="27275"/>
    <cellStyle name="표준 2 8 9" xfId="27276"/>
    <cellStyle name="표준 2 80" xfId="27277"/>
    <cellStyle name="표준 2 81" xfId="27278"/>
    <cellStyle name="표준 2 82" xfId="27279"/>
    <cellStyle name="표준 2 83" xfId="27280"/>
    <cellStyle name="표준 2 84" xfId="27281"/>
    <cellStyle name="표준 2 85" xfId="27282"/>
    <cellStyle name="표준 2 86" xfId="27283"/>
    <cellStyle name="표준 2 87" xfId="27284"/>
    <cellStyle name="표준 2 88" xfId="27285"/>
    <cellStyle name="표준 2 89" xfId="27286"/>
    <cellStyle name="표준 2 9" xfId="3784"/>
    <cellStyle name="표준 2 9 10" xfId="27287"/>
    <cellStyle name="표준 2 9 11" xfId="27288"/>
    <cellStyle name="표준 2 9 12" xfId="27289"/>
    <cellStyle name="표준 2 9 13" xfId="27290"/>
    <cellStyle name="표준 2 9 14" xfId="27291"/>
    <cellStyle name="표준 2 9 15" xfId="27292"/>
    <cellStyle name="표준 2 9 16" xfId="27293"/>
    <cellStyle name="표준 2 9 17" xfId="27294"/>
    <cellStyle name="표준 2 9 18" xfId="27295"/>
    <cellStyle name="표준 2 9 19" xfId="27296"/>
    <cellStyle name="표준 2 9 2" xfId="3785"/>
    <cellStyle name="표준 2 9 20" xfId="27297"/>
    <cellStyle name="표준 2 9 21" xfId="27298"/>
    <cellStyle name="표준 2 9 22" xfId="27299"/>
    <cellStyle name="표준 2 9 23" xfId="27300"/>
    <cellStyle name="표준 2 9 24" xfId="27301"/>
    <cellStyle name="표준 2 9 25" xfId="27302"/>
    <cellStyle name="표준 2 9 26" xfId="27303"/>
    <cellStyle name="표준 2 9 27" xfId="27304"/>
    <cellStyle name="표준 2 9 28" xfId="27305"/>
    <cellStyle name="표준 2 9 29" xfId="27306"/>
    <cellStyle name="표준 2 9 3" xfId="27307"/>
    <cellStyle name="표준 2 9 30" xfId="27308"/>
    <cellStyle name="표준 2 9 31" xfId="27309"/>
    <cellStyle name="표준 2 9 32" xfId="27310"/>
    <cellStyle name="표준 2 9 33" xfId="27311"/>
    <cellStyle name="표준 2 9 34" xfId="27312"/>
    <cellStyle name="표준 2 9 35" xfId="27313"/>
    <cellStyle name="표준 2 9 36" xfId="27314"/>
    <cellStyle name="표준 2 9 37" xfId="27315"/>
    <cellStyle name="표준 2 9 38" xfId="27316"/>
    <cellStyle name="표준 2 9 39" xfId="27317"/>
    <cellStyle name="표준 2 9 4" xfId="27318"/>
    <cellStyle name="표준 2 9 40" xfId="27319"/>
    <cellStyle name="표준 2 9 41" xfId="27320"/>
    <cellStyle name="표준 2 9 42" xfId="27321"/>
    <cellStyle name="표준 2 9 43" xfId="27322"/>
    <cellStyle name="표준 2 9 44" xfId="27323"/>
    <cellStyle name="표준 2 9 45" xfId="27324"/>
    <cellStyle name="표준 2 9 46" xfId="27325"/>
    <cellStyle name="표준 2 9 47" xfId="27326"/>
    <cellStyle name="표준 2 9 48" xfId="27327"/>
    <cellStyle name="표준 2 9 49" xfId="27328"/>
    <cellStyle name="표준 2 9 5" xfId="27329"/>
    <cellStyle name="표준 2 9 50" xfId="27330"/>
    <cellStyle name="표준 2 9 51" xfId="27331"/>
    <cellStyle name="표준 2 9 52" xfId="27332"/>
    <cellStyle name="표준 2 9 53" xfId="27333"/>
    <cellStyle name="표준 2 9 54" xfId="27334"/>
    <cellStyle name="표준 2 9 55" xfId="27335"/>
    <cellStyle name="표준 2 9 56" xfId="27336"/>
    <cellStyle name="표준 2 9 57" xfId="27337"/>
    <cellStyle name="표준 2 9 58" xfId="27338"/>
    <cellStyle name="표준 2 9 59" xfId="27339"/>
    <cellStyle name="표준 2 9 6" xfId="27340"/>
    <cellStyle name="표준 2 9 60" xfId="27341"/>
    <cellStyle name="표준 2 9 61" xfId="27342"/>
    <cellStyle name="표준 2 9 62" xfId="27343"/>
    <cellStyle name="표준 2 9 63" xfId="27344"/>
    <cellStyle name="표준 2 9 64" xfId="27345"/>
    <cellStyle name="표준 2 9 65" xfId="27346"/>
    <cellStyle name="표준 2 9 66" xfId="28179"/>
    <cellStyle name="표준 2 9 67" xfId="30297"/>
    <cellStyle name="표준 2 9 68" xfId="31251"/>
    <cellStyle name="표준 2 9 7" xfId="27347"/>
    <cellStyle name="표준 2 9 8" xfId="27348"/>
    <cellStyle name="표준 2 9 9" xfId="27349"/>
    <cellStyle name="표준 2 90" xfId="27350"/>
    <cellStyle name="표준 2 91" xfId="27351"/>
    <cellStyle name="표준 2 92" xfId="28194"/>
    <cellStyle name="표준 2 93" xfId="30707"/>
    <cellStyle name="표준 2 94" xfId="30695"/>
    <cellStyle name="표준 2 95" xfId="30894"/>
    <cellStyle name="표준 2 95 2" xfId="32248"/>
    <cellStyle name="표준 2_광명시법원" xfId="27352"/>
    <cellStyle name="표준 20" xfId="3786"/>
    <cellStyle name="표준 20 2" xfId="3787"/>
    <cellStyle name="표준 20 2 2" xfId="27355"/>
    <cellStyle name="표준 20 2 2 2" xfId="30450"/>
    <cellStyle name="표준 20 2 3" xfId="28177"/>
    <cellStyle name="표준 20 2 3 2" xfId="29555"/>
    <cellStyle name="표준 20 2 4" xfId="27354"/>
    <cellStyle name="표준 20 3" xfId="27356"/>
    <cellStyle name="표준 20 4" xfId="27357"/>
    <cellStyle name="표준 20 5" xfId="28178"/>
    <cellStyle name="표준 20 5 2" xfId="31250"/>
    <cellStyle name="표준 20 6" xfId="27353"/>
    <cellStyle name="표준 20 7" xfId="31249"/>
    <cellStyle name="표준 20 8" xfId="31995"/>
    <cellStyle name="표준 21" xfId="3788"/>
    <cellStyle name="표준 21 2" xfId="3789"/>
    <cellStyle name="표준 21 2 2" xfId="27359"/>
    <cellStyle name="표준 21 2 3" xfId="28176"/>
    <cellStyle name="표준 21 2 4" xfId="27358"/>
    <cellStyle name="표준 21 3" xfId="3790"/>
    <cellStyle name="표준 21 3 2" xfId="3791"/>
    <cellStyle name="표준 21 3 2 2" xfId="30266"/>
    <cellStyle name="표준 21 3 3" xfId="27360"/>
    <cellStyle name="표준 21 3 3 2" xfId="30313"/>
    <cellStyle name="표준 21 3 4" xfId="29730"/>
    <cellStyle name="표준 21 4" xfId="3792"/>
    <cellStyle name="표준 21 5" xfId="31248"/>
    <cellStyle name="표준 21 6" xfId="32013"/>
    <cellStyle name="표준 21 7" xfId="31247"/>
    <cellStyle name="표준 21 8" xfId="31246"/>
    <cellStyle name="표준 22" xfId="3793"/>
    <cellStyle name="표준 22 2" xfId="27362"/>
    <cellStyle name="표준 22 2 2" xfId="29759"/>
    <cellStyle name="표준 22 2 3" xfId="29691"/>
    <cellStyle name="표준 22 2 4" xfId="30019"/>
    <cellStyle name="표준 22 3" xfId="27363"/>
    <cellStyle name="표준 22 4" xfId="28175"/>
    <cellStyle name="표준 22 5" xfId="27361"/>
    <cellStyle name="표준 23" xfId="3794"/>
    <cellStyle name="표준 23 2" xfId="27365"/>
    <cellStyle name="표준 23 2 2" xfId="29588"/>
    <cellStyle name="표준 23 2 3" xfId="29635"/>
    <cellStyle name="표준 23 2 4" xfId="30332"/>
    <cellStyle name="표준 23 3" xfId="27366"/>
    <cellStyle name="표준 23 4" xfId="28174"/>
    <cellStyle name="표준 23 5" xfId="27364"/>
    <cellStyle name="표준 24" xfId="3795"/>
    <cellStyle name="표준 24 2" xfId="27368"/>
    <cellStyle name="표준 24 2 2" xfId="29656"/>
    <cellStyle name="표준 24 3" xfId="27369"/>
    <cellStyle name="표준 24 3 2" xfId="29665"/>
    <cellStyle name="표준 24 3 3" xfId="29726"/>
    <cellStyle name="표준 24 3 4" xfId="29678"/>
    <cellStyle name="표준 24 4" xfId="27370"/>
    <cellStyle name="표준 24 5" xfId="28173"/>
    <cellStyle name="표준 24 5 2" xfId="31245"/>
    <cellStyle name="표준 24 6" xfId="27367"/>
    <cellStyle name="표준 24 7" xfId="31244"/>
    <cellStyle name="표준 24 8" xfId="31243"/>
    <cellStyle name="표준 25" xfId="3796"/>
    <cellStyle name="표준 25 2" xfId="28172"/>
    <cellStyle name="표준 25 2 2" xfId="29568"/>
    <cellStyle name="표준 25 2 3" xfId="31242"/>
    <cellStyle name="표준 25 3" xfId="27371"/>
    <cellStyle name="표준 25 4" xfId="31241"/>
    <cellStyle name="표준 25 5" xfId="31822"/>
    <cellStyle name="표준 25 6" xfId="31240"/>
    <cellStyle name="표준 25 7" xfId="31239"/>
    <cellStyle name="표준 25 8" xfId="31238"/>
    <cellStyle name="표준 26" xfId="3797"/>
    <cellStyle name="표준 26 2" xfId="27372"/>
    <cellStyle name="표준 26 3" xfId="27373"/>
    <cellStyle name="표준 26 4" xfId="31237"/>
    <cellStyle name="표준 26 5" xfId="31236"/>
    <cellStyle name="표준 26 6" xfId="31235"/>
    <cellStyle name="표준 26 7" xfId="31234"/>
    <cellStyle name="표준 26 8" xfId="31233"/>
    <cellStyle name="표준 27" xfId="3798"/>
    <cellStyle name="표준 27 2" xfId="29810"/>
    <cellStyle name="표준 27 3" xfId="29679"/>
    <cellStyle name="표준 27 3 2" xfId="31232"/>
    <cellStyle name="표준 27 4" xfId="31231"/>
    <cellStyle name="표준 27 5" xfId="32021"/>
    <cellStyle name="표준 27 6" xfId="31821"/>
    <cellStyle name="표준 27 7" xfId="31820"/>
    <cellStyle name="표준 27 8" xfId="31230"/>
    <cellStyle name="표준 28" xfId="3799"/>
    <cellStyle name="표준 28 2" xfId="28171"/>
    <cellStyle name="표준 28 2 2" xfId="29474"/>
    <cellStyle name="표준 28 2 3" xfId="29554"/>
    <cellStyle name="표준 28 2 4" xfId="29694"/>
    <cellStyle name="표준 28 3" xfId="27374"/>
    <cellStyle name="표준 28 3 2" xfId="29803"/>
    <cellStyle name="표준 28 4" xfId="29480"/>
    <cellStyle name="표준 29" xfId="3800"/>
    <cellStyle name="표준 29 2" xfId="3801"/>
    <cellStyle name="표준 29 3" xfId="31229"/>
    <cellStyle name="표준 29 4" xfId="31228"/>
    <cellStyle name="표준 29 5" xfId="31819"/>
    <cellStyle name="표준 29 6" xfId="31227"/>
    <cellStyle name="표준 29 7" xfId="31226"/>
    <cellStyle name="표준 29 8" xfId="31225"/>
    <cellStyle name="표준 3" xfId="3802"/>
    <cellStyle name="표준 3 10" xfId="3803"/>
    <cellStyle name="표준 3 10 10" xfId="27375"/>
    <cellStyle name="표준 3 10 11" xfId="27376"/>
    <cellStyle name="표준 3 10 12" xfId="27377"/>
    <cellStyle name="표준 3 10 13" xfId="30337"/>
    <cellStyle name="표준 3 10 2" xfId="27378"/>
    <cellStyle name="표준 3 10 3" xfId="27379"/>
    <cellStyle name="표준 3 10 4" xfId="27380"/>
    <cellStyle name="표준 3 10 5" xfId="27381"/>
    <cellStyle name="표준 3 10 6" xfId="27382"/>
    <cellStyle name="표준 3 10 7" xfId="27383"/>
    <cellStyle name="표준 3 10 8" xfId="27384"/>
    <cellStyle name="표준 3 10 9" xfId="27385"/>
    <cellStyle name="표준 3 11" xfId="3804"/>
    <cellStyle name="표준 3 11 10" xfId="27386"/>
    <cellStyle name="표준 3 11 11" xfId="27387"/>
    <cellStyle name="표준 3 11 12" xfId="27388"/>
    <cellStyle name="표준 3 11 13" xfId="30338"/>
    <cellStyle name="표준 3 11 2" xfId="27389"/>
    <cellStyle name="표준 3 11 3" xfId="27390"/>
    <cellStyle name="표준 3 11 4" xfId="27391"/>
    <cellStyle name="표준 3 11 5" xfId="27392"/>
    <cellStyle name="표준 3 11 6" xfId="27393"/>
    <cellStyle name="표준 3 11 7" xfId="27394"/>
    <cellStyle name="표준 3 11 8" xfId="27395"/>
    <cellStyle name="표준 3 11 9" xfId="27396"/>
    <cellStyle name="표준 3 12" xfId="27397"/>
    <cellStyle name="표준 3 12 10" xfId="27398"/>
    <cellStyle name="표준 3 12 11" xfId="27399"/>
    <cellStyle name="표준 3 12 12" xfId="29436"/>
    <cellStyle name="표준 3 12 13" xfId="30339"/>
    <cellStyle name="표준 3 12 2" xfId="27400"/>
    <cellStyle name="표준 3 12 3" xfId="27401"/>
    <cellStyle name="표준 3 12 4" xfId="27402"/>
    <cellStyle name="표준 3 12 5" xfId="27403"/>
    <cellStyle name="표준 3 12 6" xfId="27404"/>
    <cellStyle name="표준 3 12 7" xfId="27405"/>
    <cellStyle name="표준 3 12 8" xfId="27406"/>
    <cellStyle name="표준 3 12 9" xfId="27407"/>
    <cellStyle name="표준 3 13" xfId="27408"/>
    <cellStyle name="표준 3 13 2" xfId="27409"/>
    <cellStyle name="표준 3 13 3" xfId="27410"/>
    <cellStyle name="표준 3 13 4" xfId="27411"/>
    <cellStyle name="표준 3 13 5" xfId="27412"/>
    <cellStyle name="표준 3 13 6" xfId="27413"/>
    <cellStyle name="표준 3 13 7" xfId="27414"/>
    <cellStyle name="표준 3 13 8" xfId="30340"/>
    <cellStyle name="표준 3 14" xfId="27415"/>
    <cellStyle name="표준 3 14 2" xfId="27416"/>
    <cellStyle name="표준 3 14 3" xfId="27417"/>
    <cellStyle name="표준 3 14 4" xfId="27418"/>
    <cellStyle name="표준 3 14 5" xfId="27419"/>
    <cellStyle name="표준 3 14 6" xfId="27420"/>
    <cellStyle name="표준 3 14 7" xfId="27421"/>
    <cellStyle name="표준 3 14 8" xfId="30341"/>
    <cellStyle name="표준 3 15" xfId="27422"/>
    <cellStyle name="표준 3 15 2" xfId="27423"/>
    <cellStyle name="표준 3 15 3" xfId="27424"/>
    <cellStyle name="표준 3 15 4" xfId="27425"/>
    <cellStyle name="표준 3 15 5" xfId="27426"/>
    <cellStyle name="표준 3 15 6" xfId="27427"/>
    <cellStyle name="표준 3 15 7" xfId="27428"/>
    <cellStyle name="표준 3 15 8" xfId="30342"/>
    <cellStyle name="표준 3 16" xfId="27429"/>
    <cellStyle name="표준 3 16 2" xfId="27430"/>
    <cellStyle name="표준 3 16 3" xfId="27431"/>
    <cellStyle name="표준 3 16 4" xfId="27432"/>
    <cellStyle name="표준 3 16 5" xfId="27433"/>
    <cellStyle name="표준 3 16 6" xfId="27434"/>
    <cellStyle name="표준 3 16 7" xfId="27435"/>
    <cellStyle name="표준 3 16 8" xfId="30343"/>
    <cellStyle name="표준 3 17" xfId="27436"/>
    <cellStyle name="표준 3 17 2" xfId="27437"/>
    <cellStyle name="표준 3 17 3" xfId="27438"/>
    <cellStyle name="표준 3 17 4" xfId="27439"/>
    <cellStyle name="표준 3 17 5" xfId="27440"/>
    <cellStyle name="표준 3 17 6" xfId="27441"/>
    <cellStyle name="표준 3 17 7" xfId="27442"/>
    <cellStyle name="표준 3 17 8" xfId="30344"/>
    <cellStyle name="표준 3 18" xfId="27443"/>
    <cellStyle name="표준 3 18 2" xfId="27444"/>
    <cellStyle name="표준 3 18 3" xfId="27445"/>
    <cellStyle name="표준 3 18 4" xfId="27446"/>
    <cellStyle name="표준 3 18 5" xfId="30345"/>
    <cellStyle name="표준 3 19" xfId="27447"/>
    <cellStyle name="표준 3 19 2" xfId="27448"/>
    <cellStyle name="표준 3 19 3" xfId="27449"/>
    <cellStyle name="표준 3 19 4" xfId="27450"/>
    <cellStyle name="표준 3 19 5" xfId="30346"/>
    <cellStyle name="표준 3 2" xfId="3805"/>
    <cellStyle name="표준 3 2 10" xfId="3806"/>
    <cellStyle name="표준 3 2 10 2" xfId="27451"/>
    <cellStyle name="표준 3 2 11" xfId="3807"/>
    <cellStyle name="표준 3 2 11 2" xfId="27452"/>
    <cellStyle name="표준 3 2 12" xfId="3808"/>
    <cellStyle name="표준 3 2 12 2" xfId="27453"/>
    <cellStyle name="표준 3 2 13" xfId="27454"/>
    <cellStyle name="표준 3 2 14" xfId="27455"/>
    <cellStyle name="표준 3 2 15" xfId="27456"/>
    <cellStyle name="표준 3 2 16" xfId="27457"/>
    <cellStyle name="표준 3 2 17" xfId="27458"/>
    <cellStyle name="표준 3 2 18" xfId="27459"/>
    <cellStyle name="표준 3 2 19" xfId="27460"/>
    <cellStyle name="표준 3 2 2" xfId="3809"/>
    <cellStyle name="표준 3 2 2 10" xfId="3810"/>
    <cellStyle name="표준 3 2 2 11" xfId="27461"/>
    <cellStyle name="표준 3 2 2 12" xfId="27462"/>
    <cellStyle name="표준 3 2 2 13" xfId="27463"/>
    <cellStyle name="표준 3 2 2 14" xfId="27464"/>
    <cellStyle name="표준 3 2 2 15" xfId="27465"/>
    <cellStyle name="표준 3 2 2 16" xfId="31224"/>
    <cellStyle name="표준 3 2 2 2" xfId="3811"/>
    <cellStyle name="표준 3 2 2 2 10" xfId="27466"/>
    <cellStyle name="표준 3 2 2 2 11" xfId="27467"/>
    <cellStyle name="표준 3 2 2 2 12" xfId="27468"/>
    <cellStyle name="표준 3 2 2 2 13" xfId="27469"/>
    <cellStyle name="표준 3 2 2 2 14" xfId="27470"/>
    <cellStyle name="표준 3 2 2 2 15" xfId="27471"/>
    <cellStyle name="표준 3 2 2 2 16" xfId="30300"/>
    <cellStyle name="표준 3 2 2 2 2" xfId="3812"/>
    <cellStyle name="표준 3 2 2 2 2 10" xfId="27472"/>
    <cellStyle name="표준 3 2 2 2 2 11" xfId="27473"/>
    <cellStyle name="표준 3 2 2 2 2 12" xfId="27474"/>
    <cellStyle name="표준 3 2 2 2 2 13" xfId="27475"/>
    <cellStyle name="표준 3 2 2 2 2 2" xfId="3813"/>
    <cellStyle name="표준 3 2 2 2 2 2 2" xfId="3814"/>
    <cellStyle name="표준 3 2 2 2 2 2 2 2" xfId="3815"/>
    <cellStyle name="표준 3 2 2 2 2 2 2 3" xfId="3816"/>
    <cellStyle name="표준 3 2 2 2 2 2 2 3 2" xfId="3817"/>
    <cellStyle name="표준 3 2 2 2 2 2 2 4" xfId="3818"/>
    <cellStyle name="표준 3 2 2 2 2 2 2 5" xfId="3819"/>
    <cellStyle name="표준 3 2 2 2 2 2 3" xfId="3820"/>
    <cellStyle name="표준 3 2 2 2 2 2 3 2" xfId="3821"/>
    <cellStyle name="표준 3 2 2 2 2 2 4" xfId="3822"/>
    <cellStyle name="표준 3 2 2 2 2 2 4 2" xfId="3823"/>
    <cellStyle name="표준 3 2 2 2 2 2 5" xfId="3824"/>
    <cellStyle name="표준 3 2 2 2 2 2 6" xfId="3825"/>
    <cellStyle name="표준 3 2 2 2 2 3" xfId="3826"/>
    <cellStyle name="표준 3 2 2 2 2 3 2" xfId="3827"/>
    <cellStyle name="표준 3 2 2 2 2 3 2 2" xfId="3828"/>
    <cellStyle name="표준 3 2 2 2 2 3 3" xfId="3829"/>
    <cellStyle name="표준 3 2 2 2 2 3 3 2" xfId="3830"/>
    <cellStyle name="표준 3 2 2 2 2 3 4" xfId="3831"/>
    <cellStyle name="표준 3 2 2 2 2 3 5" xfId="3832"/>
    <cellStyle name="표준 3 2 2 2 2 4" xfId="3833"/>
    <cellStyle name="표준 3 2 2 2 2 4 2" xfId="3834"/>
    <cellStyle name="표준 3 2 2 2 2 5" xfId="3835"/>
    <cellStyle name="표준 3 2 2 2 2 5 2" xfId="3836"/>
    <cellStyle name="표준 3 2 2 2 2 6" xfId="3837"/>
    <cellStyle name="표준 3 2 2 2 2 7" xfId="3838"/>
    <cellStyle name="표준 3 2 2 2 2 8" xfId="27476"/>
    <cellStyle name="표준 3 2 2 2 2 9" xfId="27477"/>
    <cellStyle name="표준 3 2 2 2 3" xfId="3839"/>
    <cellStyle name="표준 3 2 2 2 3 2" xfId="3840"/>
    <cellStyle name="표준 3 2 2 2 3 3" xfId="3841"/>
    <cellStyle name="표준 3 2 2 2 3 4" xfId="3842"/>
    <cellStyle name="표준 3 2 2 2 4" xfId="3843"/>
    <cellStyle name="표준 3 2 2 2 4 2" xfId="3844"/>
    <cellStyle name="표준 3 2 2 2 4 2 2" xfId="3845"/>
    <cellStyle name="표준 3 2 2 2 4 2 3" xfId="3846"/>
    <cellStyle name="표준 3 2 2 2 4 2 3 2" xfId="3847"/>
    <cellStyle name="표준 3 2 2 2 4 2 4" xfId="3848"/>
    <cellStyle name="표준 3 2 2 2 4 2 5" xfId="3849"/>
    <cellStyle name="표준 3 2 2 2 4 3" xfId="3850"/>
    <cellStyle name="표준 3 2 2 2 4 4" xfId="3851"/>
    <cellStyle name="표준 3 2 2 2 4 4 2" xfId="3852"/>
    <cellStyle name="표준 3 2 2 2 4 5" xfId="3853"/>
    <cellStyle name="표준 3 2 2 2 4 6" xfId="3854"/>
    <cellStyle name="표준 3 2 2 2 5" xfId="3855"/>
    <cellStyle name="표준 3 2 2 2 5 2" xfId="3856"/>
    <cellStyle name="표준 3 2 2 2 5 3" xfId="3857"/>
    <cellStyle name="표준 3 2 2 2 5 3 2" xfId="3858"/>
    <cellStyle name="표준 3 2 2 2 5 4" xfId="3859"/>
    <cellStyle name="표준 3 2 2 2 5 5" xfId="3860"/>
    <cellStyle name="표준 3 2 2 2 5 6" xfId="27478"/>
    <cellStyle name="표준 3 2 2 2 6" xfId="3861"/>
    <cellStyle name="표준 3 2 2 2 6 2" xfId="3862"/>
    <cellStyle name="표준 3 2 2 2 6 3" xfId="27479"/>
    <cellStyle name="표준 3 2 2 2 7" xfId="3863"/>
    <cellStyle name="표준 3 2 2 2 7 2" xfId="27480"/>
    <cellStyle name="표준 3 2 2 2 8" xfId="3864"/>
    <cellStyle name="표준 3 2 2 2 8 2" xfId="27481"/>
    <cellStyle name="표준 3 2 2 2 9" xfId="3865"/>
    <cellStyle name="표준 3 2 2 2 9 2" xfId="27482"/>
    <cellStyle name="표준 3 2 2 3" xfId="3866"/>
    <cellStyle name="표준 3 2 2 3 10" xfId="30302"/>
    <cellStyle name="표준 3 2 2 3 2" xfId="3867"/>
    <cellStyle name="표준 3 2 2 3 2 2" xfId="3868"/>
    <cellStyle name="표준 3 2 2 3 2 2 2" xfId="3869"/>
    <cellStyle name="표준 3 2 2 3 2 2 3" xfId="3870"/>
    <cellStyle name="표준 3 2 2 3 2 2 3 2" xfId="3871"/>
    <cellStyle name="표준 3 2 2 3 2 2 4" xfId="3872"/>
    <cellStyle name="표준 3 2 2 3 2 2 5" xfId="3873"/>
    <cellStyle name="표준 3 2 2 3 2 3" xfId="3874"/>
    <cellStyle name="표준 3 2 2 3 2 3 2" xfId="3875"/>
    <cellStyle name="표준 3 2 2 3 2 4" xfId="3876"/>
    <cellStyle name="표준 3 2 2 3 2 4 2" xfId="3877"/>
    <cellStyle name="표준 3 2 2 3 2 5" xfId="3878"/>
    <cellStyle name="표준 3 2 2 3 2 6" xfId="3879"/>
    <cellStyle name="표준 3 2 2 3 3" xfId="3880"/>
    <cellStyle name="표준 3 2 2 3 3 2" xfId="3881"/>
    <cellStyle name="표준 3 2 2 3 3 2 2" xfId="3882"/>
    <cellStyle name="표준 3 2 2 3 3 3" xfId="3883"/>
    <cellStyle name="표준 3 2 2 3 3 3 2" xfId="3884"/>
    <cellStyle name="표준 3 2 2 3 3 4" xfId="3885"/>
    <cellStyle name="표준 3 2 2 3 3 5" xfId="3886"/>
    <cellStyle name="표준 3 2 2 3 4" xfId="3887"/>
    <cellStyle name="표준 3 2 2 3 4 2" xfId="3888"/>
    <cellStyle name="표준 3 2 2 3 5" xfId="3889"/>
    <cellStyle name="표준 3 2 2 3 5 2" xfId="3890"/>
    <cellStyle name="표준 3 2 2 3 6" xfId="3891"/>
    <cellStyle name="표준 3 2 2 3 7" xfId="3892"/>
    <cellStyle name="표준 3 2 2 3 8" xfId="27483"/>
    <cellStyle name="표준 3 2 2 3 9" xfId="27484"/>
    <cellStyle name="표준 3 2 2 4" xfId="3893"/>
    <cellStyle name="표준 3 2 2 4 10" xfId="30303"/>
    <cellStyle name="표준 3 2 2 4 2" xfId="3894"/>
    <cellStyle name="표준 3 2 2 4 2 2" xfId="3895"/>
    <cellStyle name="표준 3 2 2 4 2 2 2" xfId="3896"/>
    <cellStyle name="표준 3 2 2 4 2 2 3" xfId="3897"/>
    <cellStyle name="표준 3 2 2 4 2 2 3 2" xfId="3898"/>
    <cellStyle name="표준 3 2 2 4 2 2 4" xfId="3899"/>
    <cellStyle name="표준 3 2 2 4 2 3" xfId="3900"/>
    <cellStyle name="표준 3 2 2 4 2 4" xfId="3901"/>
    <cellStyle name="표준 3 2 2 4 2 4 2" xfId="3902"/>
    <cellStyle name="표준 3 2 2 4 2 5" xfId="3903"/>
    <cellStyle name="표준 3 2 2 4 2 6" xfId="3904"/>
    <cellStyle name="표준 3 2 2 4 3" xfId="3905"/>
    <cellStyle name="표준 3 2 2 4 3 2" xfId="3906"/>
    <cellStyle name="표준 3 2 2 4 3 3" xfId="3907"/>
    <cellStyle name="표준 3 2 2 4 3 3 2" xfId="3908"/>
    <cellStyle name="표준 3 2 2 4 3 4" xfId="3909"/>
    <cellStyle name="표준 3 2 2 4 3 5" xfId="3910"/>
    <cellStyle name="표준 3 2 2 4 4" xfId="3911"/>
    <cellStyle name="표준 3 2 2 4 5" xfId="3912"/>
    <cellStyle name="표준 3 2 2 4 5 2" xfId="3913"/>
    <cellStyle name="표준 3 2 2 4 6" xfId="3914"/>
    <cellStyle name="표준 3 2 2 4 7" xfId="3915"/>
    <cellStyle name="표준 3 2 2 4 8" xfId="27485"/>
    <cellStyle name="표준 3 2 2 4 9" xfId="27486"/>
    <cellStyle name="표준 3 2 2 5" xfId="3916"/>
    <cellStyle name="표준 3 2 2 5 2" xfId="3917"/>
    <cellStyle name="표준 3 2 2 5 2 2" xfId="3918"/>
    <cellStyle name="표준 3 2 2 5 2 3" xfId="3919"/>
    <cellStyle name="표준 3 2 2 5 2 3 2" xfId="3920"/>
    <cellStyle name="표준 3 2 2 5 2 4" xfId="3921"/>
    <cellStyle name="표준 3 2 2 5 2 5" xfId="3922"/>
    <cellStyle name="표준 3 2 2 5 3" xfId="3923"/>
    <cellStyle name="표준 3 2 2 5 4" xfId="3924"/>
    <cellStyle name="표준 3 2 2 5 4 2" xfId="3925"/>
    <cellStyle name="표준 3 2 2 5 5" xfId="3926"/>
    <cellStyle name="표준 3 2 2 5 6" xfId="3927"/>
    <cellStyle name="표준 3 2 2 6" xfId="3928"/>
    <cellStyle name="표준 3 2 2 6 2" xfId="3929"/>
    <cellStyle name="표준 3 2 2 6 3" xfId="3930"/>
    <cellStyle name="표준 3 2 2 6 3 2" xfId="3931"/>
    <cellStyle name="표준 3 2 2 6 4" xfId="3932"/>
    <cellStyle name="표준 3 2 2 6 5" xfId="3933"/>
    <cellStyle name="표준 3 2 2 7" xfId="3934"/>
    <cellStyle name="표준 3 2 2 7 2" xfId="3935"/>
    <cellStyle name="표준 3 2 2 8" xfId="3936"/>
    <cellStyle name="표준 3 2 2 9" xfId="3937"/>
    <cellStyle name="표준 3 2 20" xfId="27487"/>
    <cellStyle name="표준 3 2 21" xfId="27488"/>
    <cellStyle name="표준 3 2 22" xfId="27489"/>
    <cellStyle name="표준 3 2 23" xfId="27490"/>
    <cellStyle name="표준 3 2 24" xfId="27491"/>
    <cellStyle name="표준 3 2 25" xfId="27492"/>
    <cellStyle name="표준 3 2 26" xfId="27493"/>
    <cellStyle name="표준 3 2 27" xfId="27494"/>
    <cellStyle name="표준 3 2 28" xfId="27495"/>
    <cellStyle name="표준 3 2 29" xfId="27496"/>
    <cellStyle name="표준 3 2 3" xfId="3938"/>
    <cellStyle name="표준 3 2 3 10" xfId="3939"/>
    <cellStyle name="표준 3 2 3 11" xfId="27497"/>
    <cellStyle name="표준 3 2 3 12" xfId="27498"/>
    <cellStyle name="표준 3 2 3 13" xfId="27499"/>
    <cellStyle name="표준 3 2 3 14" xfId="28168"/>
    <cellStyle name="표준 3 2 3 2" xfId="3940"/>
    <cellStyle name="표준 3 2 3 2 2" xfId="3941"/>
    <cellStyle name="표준 3 2 3 2 2 2" xfId="3942"/>
    <cellStyle name="표준 3 2 3 2 2 2 2" xfId="3943"/>
    <cellStyle name="표준 3 2 3 2 2 2 3" xfId="3944"/>
    <cellStyle name="표준 3 2 3 2 2 2 3 2" xfId="3945"/>
    <cellStyle name="표준 3 2 3 2 2 2 4" xfId="3946"/>
    <cellStyle name="표준 3 2 3 2 2 2 5" xfId="3947"/>
    <cellStyle name="표준 3 2 3 2 2 3" xfId="3948"/>
    <cellStyle name="표준 3 2 3 2 2 3 2" xfId="3949"/>
    <cellStyle name="표준 3 2 3 2 2 4" xfId="3950"/>
    <cellStyle name="표준 3 2 3 2 2 4 2" xfId="3951"/>
    <cellStyle name="표준 3 2 3 2 2 5" xfId="3952"/>
    <cellStyle name="표준 3 2 3 2 2 6" xfId="3953"/>
    <cellStyle name="표준 3 2 3 2 3" xfId="3954"/>
    <cellStyle name="표준 3 2 3 2 3 2" xfId="3955"/>
    <cellStyle name="표준 3 2 3 2 3 2 2" xfId="3956"/>
    <cellStyle name="표준 3 2 3 2 3 3" xfId="3957"/>
    <cellStyle name="표준 3 2 3 2 3 3 2" xfId="3958"/>
    <cellStyle name="표준 3 2 3 2 3 4" xfId="3959"/>
    <cellStyle name="표준 3 2 3 2 3 5" xfId="3960"/>
    <cellStyle name="표준 3 2 3 2 4" xfId="3961"/>
    <cellStyle name="표준 3 2 3 2 4 2" xfId="3962"/>
    <cellStyle name="표준 3 2 3 2 5" xfId="3963"/>
    <cellStyle name="표준 3 2 3 2 5 2" xfId="3964"/>
    <cellStyle name="표준 3 2 3 2 6" xfId="3965"/>
    <cellStyle name="표준 3 2 3 2 7" xfId="3966"/>
    <cellStyle name="표준 3 2 3 3" xfId="3967"/>
    <cellStyle name="표준 3 2 3 3 2" xfId="3968"/>
    <cellStyle name="표준 3 2 3 3 3" xfId="3969"/>
    <cellStyle name="표준 3 2 3 3 4" xfId="3970"/>
    <cellStyle name="표준 3 2 3 3 5" xfId="28167"/>
    <cellStyle name="표준 3 2 3 4" xfId="3971"/>
    <cellStyle name="표준 3 2 3 4 2" xfId="3972"/>
    <cellStyle name="표준 3 2 3 4 2 2" xfId="3973"/>
    <cellStyle name="표준 3 2 3 4 2 3" xfId="3974"/>
    <cellStyle name="표준 3 2 3 4 2 3 2" xfId="3975"/>
    <cellStyle name="표준 3 2 3 4 2 4" xfId="3976"/>
    <cellStyle name="표준 3 2 3 4 2 5" xfId="3977"/>
    <cellStyle name="표준 3 2 3 4 3" xfId="3978"/>
    <cellStyle name="표준 3 2 3 4 4" xfId="3979"/>
    <cellStyle name="표준 3 2 3 4 4 2" xfId="3980"/>
    <cellStyle name="표준 3 2 3 4 5" xfId="3981"/>
    <cellStyle name="표준 3 2 3 4 6" xfId="3982"/>
    <cellStyle name="표준 3 2 3 5" xfId="3983"/>
    <cellStyle name="표준 3 2 3 5 2" xfId="3984"/>
    <cellStyle name="표준 3 2 3 5 3" xfId="3985"/>
    <cellStyle name="표준 3 2 3 5 3 2" xfId="3986"/>
    <cellStyle name="표준 3 2 3 5 4" xfId="3987"/>
    <cellStyle name="표준 3 2 3 5 5" xfId="3988"/>
    <cellStyle name="표준 3 2 3 6" xfId="3989"/>
    <cellStyle name="표준 3 2 3 7" xfId="3990"/>
    <cellStyle name="표준 3 2 3 7 2" xfId="3991"/>
    <cellStyle name="표준 3 2 3 8" xfId="3992"/>
    <cellStyle name="표준 3 2 3 9" xfId="3993"/>
    <cellStyle name="표준 3 2 30" xfId="27500"/>
    <cellStyle name="표준 3 2 31" xfId="27501"/>
    <cellStyle name="표준 3 2 32" xfId="27502"/>
    <cellStyle name="표준 3 2 33" xfId="27503"/>
    <cellStyle name="표준 3 2 34" xfId="27504"/>
    <cellStyle name="표준 3 2 35" xfId="27505"/>
    <cellStyle name="표준 3 2 36" xfId="27506"/>
    <cellStyle name="표준 3 2 37" xfId="27507"/>
    <cellStyle name="표준 3 2 38" xfId="27508"/>
    <cellStyle name="표준 3 2 39" xfId="27509"/>
    <cellStyle name="표준 3 2 4" xfId="3994"/>
    <cellStyle name="표준 3 2 4 2" xfId="3995"/>
    <cellStyle name="표준 3 2 4 2 2" xfId="3996"/>
    <cellStyle name="표준 3 2 4 2 3" xfId="3997"/>
    <cellStyle name="표준 3 2 4 2 4" xfId="3998"/>
    <cellStyle name="표준 3 2 4 3" xfId="3999"/>
    <cellStyle name="표준 3 2 4 3 2" xfId="4000"/>
    <cellStyle name="표준 3 2 4 3 2 2" xfId="4001"/>
    <cellStyle name="표준 3 2 4 3 2 3" xfId="4002"/>
    <cellStyle name="표준 3 2 4 3 2 3 2" xfId="4003"/>
    <cellStyle name="표준 3 2 4 3 2 4" xfId="4004"/>
    <cellStyle name="표준 3 2 4 3 2 5" xfId="4005"/>
    <cellStyle name="표준 3 2 4 3 3" xfId="4006"/>
    <cellStyle name="표준 3 2 4 3 4" xfId="4007"/>
    <cellStyle name="표준 3 2 4 3 4 2" xfId="4008"/>
    <cellStyle name="표준 3 2 4 3 5" xfId="4009"/>
    <cellStyle name="표준 3 2 4 3 6" xfId="4010"/>
    <cellStyle name="표준 3 2 4 4" xfId="4011"/>
    <cellStyle name="표준 3 2 4 4 2" xfId="4012"/>
    <cellStyle name="표준 3 2 4 4 3" xfId="4013"/>
    <cellStyle name="표준 3 2 4 4 3 2" xfId="4014"/>
    <cellStyle name="표준 3 2 4 4 4" xfId="4015"/>
    <cellStyle name="표준 3 2 4 4 5" xfId="4016"/>
    <cellStyle name="표준 3 2 4 5" xfId="4017"/>
    <cellStyle name="표준 3 2 4 5 2" xfId="4018"/>
    <cellStyle name="표준 3 2 4 6" xfId="4019"/>
    <cellStyle name="표준 3 2 4 7" xfId="4020"/>
    <cellStyle name="표준 3 2 4 8" xfId="28166"/>
    <cellStyle name="표준 3 2 40" xfId="27510"/>
    <cellStyle name="표준 3 2 41" xfId="27511"/>
    <cellStyle name="표준 3 2 42" xfId="27512"/>
    <cellStyle name="표준 3 2 43" xfId="27513"/>
    <cellStyle name="표준 3 2 44" xfId="27514"/>
    <cellStyle name="표준 3 2 45" xfId="27515"/>
    <cellStyle name="표준 3 2 46" xfId="27516"/>
    <cellStyle name="표준 3 2 47" xfId="27517"/>
    <cellStyle name="표준 3 2 48" xfId="27518"/>
    <cellStyle name="표준 3 2 49" xfId="27519"/>
    <cellStyle name="표준 3 2 5" xfId="4021"/>
    <cellStyle name="표준 3 2 5 2" xfId="4022"/>
    <cellStyle name="표준 3 2 5 2 2" xfId="4023"/>
    <cellStyle name="표준 3 2 5 2 2 2" xfId="4024"/>
    <cellStyle name="표준 3 2 5 2 2 3" xfId="4025"/>
    <cellStyle name="표준 3 2 5 2 2 3 2" xfId="4026"/>
    <cellStyle name="표준 3 2 5 2 2 4" xfId="4027"/>
    <cellStyle name="표준 3 2 5 2 2 5" xfId="4028"/>
    <cellStyle name="표준 3 2 5 2 3" xfId="4029"/>
    <cellStyle name="표준 3 2 5 2 4" xfId="4030"/>
    <cellStyle name="표준 3 2 5 2 4 2" xfId="4031"/>
    <cellStyle name="표준 3 2 5 2 5" xfId="4032"/>
    <cellStyle name="표준 3 2 5 2 6" xfId="4033"/>
    <cellStyle name="표준 3 2 5 3" xfId="4034"/>
    <cellStyle name="표준 3 2 5 3 2" xfId="4035"/>
    <cellStyle name="표준 3 2 5 3 3" xfId="4036"/>
    <cellStyle name="표준 3 2 5 3 3 2" xfId="4037"/>
    <cellStyle name="표준 3 2 5 3 4" xfId="4038"/>
    <cellStyle name="표준 3 2 5 3 5" xfId="4039"/>
    <cellStyle name="표준 3 2 5 4" xfId="4040"/>
    <cellStyle name="표준 3 2 5 4 2" xfId="4041"/>
    <cellStyle name="표준 3 2 5 5" xfId="4042"/>
    <cellStyle name="표준 3 2 5 5 2" xfId="4043"/>
    <cellStyle name="표준 3 2 5 6" xfId="4044"/>
    <cellStyle name="표준 3 2 5 7" xfId="4045"/>
    <cellStyle name="표준 3 2 5 8" xfId="31223"/>
    <cellStyle name="표준 3 2 50" xfId="27520"/>
    <cellStyle name="표준 3 2 51" xfId="27521"/>
    <cellStyle name="표준 3 2 52" xfId="27522"/>
    <cellStyle name="표준 3 2 53" xfId="27523"/>
    <cellStyle name="표준 3 2 54" xfId="28169"/>
    <cellStyle name="표준 3 2 55" xfId="30298"/>
    <cellStyle name="표준 3 2 56" xfId="30709"/>
    <cellStyle name="표준 3 2 57" xfId="30697"/>
    <cellStyle name="표준 3 2 6" xfId="4046"/>
    <cellStyle name="표준 3 2 6 2" xfId="4047"/>
    <cellStyle name="표준 3 2 6 2 2" xfId="4048"/>
    <cellStyle name="표준 3 2 6 2 3" xfId="4049"/>
    <cellStyle name="표준 3 2 6 2 3 2" xfId="4050"/>
    <cellStyle name="표준 3 2 6 2 4" xfId="4051"/>
    <cellStyle name="표준 3 2 6 2 5" xfId="4052"/>
    <cellStyle name="표준 3 2 6 3" xfId="4053"/>
    <cellStyle name="표준 3 2 6 3 2" xfId="4054"/>
    <cellStyle name="표준 3 2 6 4" xfId="4055"/>
    <cellStyle name="표준 3 2 6 4 2" xfId="4056"/>
    <cellStyle name="표준 3 2 6 5" xfId="4057"/>
    <cellStyle name="표준 3 2 6 6" xfId="4058"/>
    <cellStyle name="표준 3 2 6 7" xfId="27524"/>
    <cellStyle name="표준 3 2 6 8" xfId="31222"/>
    <cellStyle name="표준 3 2 7" xfId="4059"/>
    <cellStyle name="표준 3 2 7 2" xfId="4060"/>
    <cellStyle name="표준 3 2 7 3" xfId="4061"/>
    <cellStyle name="표준 3 2 7 3 2" xfId="4062"/>
    <cellStyle name="표준 3 2 7 4" xfId="4063"/>
    <cellStyle name="표준 3 2 7 5" xfId="4064"/>
    <cellStyle name="표준 3 2 7 6" xfId="27525"/>
    <cellStyle name="표준 3 2 7 7" xfId="31221"/>
    <cellStyle name="표준 3 2 8" xfId="4065"/>
    <cellStyle name="표준 3 2 8 2" xfId="4066"/>
    <cellStyle name="표준 3 2 8 3" xfId="27526"/>
    <cellStyle name="표준 3 2 8 3 2" xfId="29553"/>
    <cellStyle name="표준 3 2 8 4" xfId="28165"/>
    <cellStyle name="표준 3 2 9" xfId="4067"/>
    <cellStyle name="표준 3 2 9 2" xfId="4068"/>
    <cellStyle name="표준 3 2 9 3" xfId="27527"/>
    <cellStyle name="표준 3 2 9 4" xfId="29733"/>
    <cellStyle name="표준 3 20" xfId="27528"/>
    <cellStyle name="표준 3 20 2" xfId="27529"/>
    <cellStyle name="표준 3 20 3" xfId="27530"/>
    <cellStyle name="표준 3 20 4" xfId="27531"/>
    <cellStyle name="표준 3 20 5" xfId="30347"/>
    <cellStyle name="표준 3 21" xfId="27532"/>
    <cellStyle name="표준 3 21 2" xfId="27533"/>
    <cellStyle name="표준 3 21 3" xfId="27534"/>
    <cellStyle name="표준 3 21 4" xfId="27535"/>
    <cellStyle name="표준 3 21 5" xfId="30348"/>
    <cellStyle name="표준 3 22" xfId="27536"/>
    <cellStyle name="표준 3 22 2" xfId="27537"/>
    <cellStyle name="표준 3 22 3" xfId="27538"/>
    <cellStyle name="표준 3 22 4" xfId="27539"/>
    <cellStyle name="표준 3 22 5" xfId="30349"/>
    <cellStyle name="표준 3 23" xfId="27540"/>
    <cellStyle name="표준 3 23 2" xfId="27541"/>
    <cellStyle name="표준 3 23 3" xfId="27542"/>
    <cellStyle name="표준 3 23 4" xfId="27543"/>
    <cellStyle name="표준 3 23 5" xfId="30350"/>
    <cellStyle name="표준 3 23 6" xfId="31818"/>
    <cellStyle name="표준 3 24" xfId="27544"/>
    <cellStyle name="표준 3 24 2" xfId="27545"/>
    <cellStyle name="표준 3 24 3" xfId="27546"/>
    <cellStyle name="표준 3 24 4" xfId="27547"/>
    <cellStyle name="표준 3 24 5" xfId="30351"/>
    <cellStyle name="표준 3 25" xfId="27548"/>
    <cellStyle name="표준 3 25 2" xfId="27549"/>
    <cellStyle name="표준 3 25 3" xfId="27550"/>
    <cellStyle name="표준 3 25 4" xfId="27551"/>
    <cellStyle name="표준 3 25 5" xfId="30352"/>
    <cellStyle name="표준 3 26" xfId="27552"/>
    <cellStyle name="표준 3 26 2" xfId="27553"/>
    <cellStyle name="표준 3 26 3" xfId="27554"/>
    <cellStyle name="표준 3 26 4" xfId="27555"/>
    <cellStyle name="표준 3 26 5" xfId="30353"/>
    <cellStyle name="표준 3 27" xfId="27556"/>
    <cellStyle name="표준 3 27 2" xfId="27557"/>
    <cellStyle name="표준 3 27 3" xfId="27558"/>
    <cellStyle name="표준 3 27 4" xfId="27559"/>
    <cellStyle name="표준 3 27 5" xfId="30354"/>
    <cellStyle name="표준 3 28" xfId="27560"/>
    <cellStyle name="표준 3 28 2" xfId="27561"/>
    <cellStyle name="표준 3 28 3" xfId="27562"/>
    <cellStyle name="표준 3 28 4" xfId="27563"/>
    <cellStyle name="표준 3 28 5" xfId="30355"/>
    <cellStyle name="표준 3 29" xfId="27564"/>
    <cellStyle name="표준 3 29 2" xfId="27565"/>
    <cellStyle name="표준 3 29 3" xfId="27566"/>
    <cellStyle name="표준 3 29 4" xfId="27567"/>
    <cellStyle name="표준 3 29 5" xfId="30356"/>
    <cellStyle name="표준 3 3" xfId="4069"/>
    <cellStyle name="표준 3 3 10" xfId="27568"/>
    <cellStyle name="표준 3 3 11" xfId="27569"/>
    <cellStyle name="표준 3 3 12" xfId="27570"/>
    <cellStyle name="표준 3 3 13" xfId="27571"/>
    <cellStyle name="표준 3 3 14" xfId="27572"/>
    <cellStyle name="표준 3 3 15" xfId="27573"/>
    <cellStyle name="표준 3 3 16" xfId="27574"/>
    <cellStyle name="표준 3 3 17" xfId="27575"/>
    <cellStyle name="표준 3 3 18" xfId="27576"/>
    <cellStyle name="표준 3 3 19" xfId="29758"/>
    <cellStyle name="표준 3 3 2" xfId="4070"/>
    <cellStyle name="표준 3 3 2 2" xfId="4071"/>
    <cellStyle name="표준 3 3 2 2 2" xfId="4072"/>
    <cellStyle name="표준 3 3 2 2 2 2" xfId="4073"/>
    <cellStyle name="표준 3 3 2 2 2 3" xfId="4074"/>
    <cellStyle name="표준 3 3 2 2 3" xfId="4075"/>
    <cellStyle name="표준 3 3 2 2 3 2" xfId="4076"/>
    <cellStyle name="표준 3 3 2 2 4" xfId="4077"/>
    <cellStyle name="표준 3 3 2 2 5" xfId="4078"/>
    <cellStyle name="표준 3 3 2 3" xfId="4079"/>
    <cellStyle name="표준 3 3 2 3 2" xfId="4080"/>
    <cellStyle name="표준 3 3 2 3 2 2" xfId="4081"/>
    <cellStyle name="표준 3 3 2 3 3" xfId="4082"/>
    <cellStyle name="표준 3 3 2 3 4" xfId="4083"/>
    <cellStyle name="표준 3 3 2 4" xfId="4084"/>
    <cellStyle name="표준 3 3 2 4 2" xfId="4085"/>
    <cellStyle name="표준 3 3 2 4 3" xfId="4086"/>
    <cellStyle name="표준 3 3 2 5" xfId="4087"/>
    <cellStyle name="표준 3 3 2 5 2" xfId="4088"/>
    <cellStyle name="표준 3 3 2 6" xfId="4089"/>
    <cellStyle name="표준 3 3 2 7" xfId="29587"/>
    <cellStyle name="표준 3 3 3" xfId="4090"/>
    <cellStyle name="표준 3 3 3 2" xfId="4091"/>
    <cellStyle name="표준 3 3 3 2 2" xfId="4092"/>
    <cellStyle name="표준 3 3 3 2 3" xfId="4093"/>
    <cellStyle name="표준 3 3 3 3" xfId="4094"/>
    <cellStyle name="표준 3 3 3 3 2" xfId="4095"/>
    <cellStyle name="표준 3 3 3 4" xfId="4096"/>
    <cellStyle name="표준 3 3 3 5" xfId="4097"/>
    <cellStyle name="표준 3 3 3 6" xfId="29615"/>
    <cellStyle name="표준 3 3 4" xfId="4098"/>
    <cellStyle name="표준 3 3 4 2" xfId="4099"/>
    <cellStyle name="표준 3 3 4 3" xfId="4100"/>
    <cellStyle name="표준 3 3 4 4" xfId="4101"/>
    <cellStyle name="표준 3 3 5" xfId="4102"/>
    <cellStyle name="표준 3 3 5 2" xfId="4103"/>
    <cellStyle name="표준 3 3 5 2 2" xfId="4104"/>
    <cellStyle name="표준 3 3 5 3" xfId="4105"/>
    <cellStyle name="표준 3 3 6" xfId="4106"/>
    <cellStyle name="표준 3 3 6 2" xfId="4107"/>
    <cellStyle name="표준 3 3 6 3" xfId="27577"/>
    <cellStyle name="표준 3 3 7" xfId="4108"/>
    <cellStyle name="표준 3 3 7 2" xfId="27578"/>
    <cellStyle name="표준 3 3 7 3" xfId="28164"/>
    <cellStyle name="표준 3 3 8" xfId="4109"/>
    <cellStyle name="표준 3 3 8 2" xfId="27579"/>
    <cellStyle name="표준 3 3 9" xfId="4110"/>
    <cellStyle name="표준 3 3 9 2" xfId="27580"/>
    <cellStyle name="표준 3 30" xfId="27581"/>
    <cellStyle name="표준 3 30 2" xfId="27582"/>
    <cellStyle name="표준 3 30 3" xfId="27583"/>
    <cellStyle name="표준 3 30 4" xfId="27584"/>
    <cellStyle name="표준 3 30 5" xfId="30357"/>
    <cellStyle name="표준 3 31" xfId="27585"/>
    <cellStyle name="표준 3 31 2" xfId="27586"/>
    <cellStyle name="표준 3 31 3" xfId="27587"/>
    <cellStyle name="표준 3 31 4" xfId="27588"/>
    <cellStyle name="표준 3 31 5" xfId="30358"/>
    <cellStyle name="표준 3 32" xfId="27589"/>
    <cellStyle name="표준 3 32 2" xfId="27590"/>
    <cellStyle name="표준 3 32 3" xfId="27591"/>
    <cellStyle name="표준 3 32 4" xfId="27592"/>
    <cellStyle name="표준 3 32 5" xfId="30359"/>
    <cellStyle name="표준 3 33" xfId="27593"/>
    <cellStyle name="표준 3 33 2" xfId="27594"/>
    <cellStyle name="표준 3 33 3" xfId="27595"/>
    <cellStyle name="표준 3 33 4" xfId="27596"/>
    <cellStyle name="표준 3 33 5" xfId="30360"/>
    <cellStyle name="표준 3 34" xfId="27597"/>
    <cellStyle name="표준 3 34 2" xfId="27598"/>
    <cellStyle name="표준 3 34 3" xfId="27599"/>
    <cellStyle name="표준 3 34 4" xfId="27600"/>
    <cellStyle name="표준 3 34 5" xfId="30361"/>
    <cellStyle name="표준 3 35" xfId="27601"/>
    <cellStyle name="표준 3 35 2" xfId="27602"/>
    <cellStyle name="표준 3 35 3" xfId="27603"/>
    <cellStyle name="표준 3 35 4" xfId="27604"/>
    <cellStyle name="표준 3 35 5" xfId="30362"/>
    <cellStyle name="표준 3 36" xfId="27605"/>
    <cellStyle name="표준 3 36 2" xfId="27606"/>
    <cellStyle name="표준 3 36 3" xfId="27607"/>
    <cellStyle name="표준 3 36 4" xfId="27608"/>
    <cellStyle name="표준 3 36 5" xfId="30363"/>
    <cellStyle name="표준 3 37" xfId="27609"/>
    <cellStyle name="표준 3 37 2" xfId="27610"/>
    <cellStyle name="표준 3 37 3" xfId="27611"/>
    <cellStyle name="표준 3 37 4" xfId="27612"/>
    <cellStyle name="표준 3 37 5" xfId="30364"/>
    <cellStyle name="표준 3 38" xfId="27613"/>
    <cellStyle name="표준 3 38 2" xfId="27614"/>
    <cellStyle name="표준 3 38 3" xfId="27615"/>
    <cellStyle name="표준 3 38 4" xfId="27616"/>
    <cellStyle name="표준 3 38 5" xfId="30365"/>
    <cellStyle name="표준 3 39" xfId="27617"/>
    <cellStyle name="표준 3 39 2" xfId="27618"/>
    <cellStyle name="표준 3 39 3" xfId="27619"/>
    <cellStyle name="표준 3 39 4" xfId="27620"/>
    <cellStyle name="표준 3 39 5" xfId="30366"/>
    <cellStyle name="표준 3 4" xfId="4111"/>
    <cellStyle name="표준 3 4 10" xfId="27621"/>
    <cellStyle name="표준 3 4 11" xfId="27622"/>
    <cellStyle name="표준 3 4 12" xfId="27623"/>
    <cellStyle name="표준 3 4 13" xfId="27624"/>
    <cellStyle name="표준 3 4 14" xfId="27625"/>
    <cellStyle name="표준 3 4 15" xfId="27626"/>
    <cellStyle name="표준 3 4 16" xfId="27627"/>
    <cellStyle name="표준 3 4 17" xfId="27628"/>
    <cellStyle name="표준 3 4 18" xfId="27629"/>
    <cellStyle name="표준 3 4 19" xfId="27630"/>
    <cellStyle name="표준 3 4 2" xfId="4112"/>
    <cellStyle name="표준 3 4 2 2" xfId="4113"/>
    <cellStyle name="표준 3 4 2 2 2" xfId="4114"/>
    <cellStyle name="표준 3 4 2 2 3" xfId="4115"/>
    <cellStyle name="표준 3 4 2 3" xfId="4116"/>
    <cellStyle name="표준 3 4 2 3 2" xfId="4117"/>
    <cellStyle name="표준 3 4 2 4" xfId="4118"/>
    <cellStyle name="표준 3 4 2 5" xfId="4119"/>
    <cellStyle name="표준 3 4 2 6" xfId="27631"/>
    <cellStyle name="표준 3 4 20" xfId="30306"/>
    <cellStyle name="표준 3 4 21" xfId="29572"/>
    <cellStyle name="표준 3 4 3" xfId="4120"/>
    <cellStyle name="표준 3 4 3 2" xfId="4121"/>
    <cellStyle name="표준 3 4 3 3" xfId="4122"/>
    <cellStyle name="표준 3 4 3 4" xfId="4123"/>
    <cellStyle name="표준 3 4 3 5" xfId="27632"/>
    <cellStyle name="표준 3 4 3 6" xfId="28163"/>
    <cellStyle name="표준 3 4 3 7" xfId="29612"/>
    <cellStyle name="표준 3 4 4" xfId="4124"/>
    <cellStyle name="표준 3 4 4 2" xfId="4125"/>
    <cellStyle name="표준 3 4 4 2 2" xfId="4126"/>
    <cellStyle name="표준 3 4 4 3" xfId="4127"/>
    <cellStyle name="표준 3 4 4 4" xfId="27633"/>
    <cellStyle name="표준 3 4 5" xfId="4128"/>
    <cellStyle name="표준 3 4 5 2" xfId="4129"/>
    <cellStyle name="표준 3 4 5 3" xfId="27634"/>
    <cellStyle name="표준 3 4 6" xfId="4130"/>
    <cellStyle name="표준 3 4 6 2" xfId="27635"/>
    <cellStyle name="표준 3 4 7" xfId="4131"/>
    <cellStyle name="표준 3 4 7 2" xfId="27636"/>
    <cellStyle name="표준 3 4 8" xfId="27637"/>
    <cellStyle name="표준 3 4 9" xfId="27638"/>
    <cellStyle name="표준 3 40" xfId="27639"/>
    <cellStyle name="표준 3 40 2" xfId="27640"/>
    <cellStyle name="표준 3 40 3" xfId="27641"/>
    <cellStyle name="표준 3 40 4" xfId="27642"/>
    <cellStyle name="표준 3 40 5" xfId="30367"/>
    <cellStyle name="표준 3 41" xfId="27643"/>
    <cellStyle name="표준 3 41 2" xfId="27644"/>
    <cellStyle name="표준 3 41 3" xfId="27645"/>
    <cellStyle name="표준 3 41 4" xfId="27646"/>
    <cellStyle name="표준 3 41 5" xfId="30368"/>
    <cellStyle name="표준 3 42" xfId="27647"/>
    <cellStyle name="표준 3 42 2" xfId="27648"/>
    <cellStyle name="표준 3 42 3" xfId="27649"/>
    <cellStyle name="표준 3 42 4" xfId="27650"/>
    <cellStyle name="표준 3 42 5" xfId="30369"/>
    <cellStyle name="표준 3 43" xfId="27651"/>
    <cellStyle name="표준 3 43 2" xfId="27652"/>
    <cellStyle name="표준 3 43 3" xfId="27653"/>
    <cellStyle name="표준 3 43 4" xfId="27654"/>
    <cellStyle name="표준 3 43 5" xfId="30370"/>
    <cellStyle name="표준 3 44" xfId="27655"/>
    <cellStyle name="표준 3 44 2" xfId="27656"/>
    <cellStyle name="표준 3 44 3" xfId="27657"/>
    <cellStyle name="표준 3 44 4" xfId="29751"/>
    <cellStyle name="표준 3 45" xfId="27658"/>
    <cellStyle name="표준 3 45 2" xfId="29479"/>
    <cellStyle name="표준 3 46" xfId="27659"/>
    <cellStyle name="표준 3 47" xfId="27660"/>
    <cellStyle name="표준 3 48" xfId="27661"/>
    <cellStyle name="표준 3 49" xfId="27662"/>
    <cellStyle name="표준 3 5" xfId="4132"/>
    <cellStyle name="표준 3 5 10" xfId="27663"/>
    <cellStyle name="표준 3 5 11" xfId="27664"/>
    <cellStyle name="표준 3 5 12" xfId="27665"/>
    <cellStyle name="표준 3 5 13" xfId="27666"/>
    <cellStyle name="표준 3 5 14" xfId="27667"/>
    <cellStyle name="표준 3 5 15" xfId="27668"/>
    <cellStyle name="표준 3 5 16" xfId="27669"/>
    <cellStyle name="표준 3 5 17" xfId="27670"/>
    <cellStyle name="표준 3 5 18" xfId="28162"/>
    <cellStyle name="표준 3 5 19" xfId="30307"/>
    <cellStyle name="표준 3 5 2" xfId="4133"/>
    <cellStyle name="표준 3 5 2 2" xfId="27671"/>
    <cellStyle name="표준 3 5 20" xfId="29692"/>
    <cellStyle name="표준 3 5 3" xfId="4134"/>
    <cellStyle name="표준 3 5 3 2" xfId="27672"/>
    <cellStyle name="표준 3 5 3 3" xfId="28161"/>
    <cellStyle name="표준 3 5 3 4" xfId="29616"/>
    <cellStyle name="표준 3 5 4" xfId="4135"/>
    <cellStyle name="표준 3 5 4 2" xfId="27673"/>
    <cellStyle name="표준 3 5 4 3" xfId="28160"/>
    <cellStyle name="표준 3 5 5" xfId="27674"/>
    <cellStyle name="표준 3 5 6" xfId="27675"/>
    <cellStyle name="표준 3 5 7" xfId="27676"/>
    <cellStyle name="표준 3 5 8" xfId="27677"/>
    <cellStyle name="표준 3 5 9" xfId="27678"/>
    <cellStyle name="표준 3 50" xfId="27679"/>
    <cellStyle name="표준 3 51" xfId="27680"/>
    <cellStyle name="표준 3 52" xfId="27681"/>
    <cellStyle name="표준 3 53" xfId="27682"/>
    <cellStyle name="표준 3 54" xfId="27683"/>
    <cellStyle name="표준 3 55" xfId="27684"/>
    <cellStyle name="표준 3 56" xfId="27685"/>
    <cellStyle name="표준 3 57" xfId="27686"/>
    <cellStyle name="표준 3 58" xfId="27687"/>
    <cellStyle name="표준 3 59" xfId="27688"/>
    <cellStyle name="표준 3 6" xfId="4136"/>
    <cellStyle name="표준 3 6 10" xfId="27689"/>
    <cellStyle name="표준 3 6 11" xfId="27690"/>
    <cellStyle name="표준 3 6 12" xfId="27691"/>
    <cellStyle name="표준 3 6 13" xfId="27692"/>
    <cellStyle name="표준 3 6 14" xfId="27693"/>
    <cellStyle name="표준 3 6 15" xfId="27694"/>
    <cellStyle name="표준 3 6 16" xfId="27695"/>
    <cellStyle name="표준 3 6 17" xfId="27696"/>
    <cellStyle name="표준 3 6 18" xfId="30308"/>
    <cellStyle name="표준 3 6 19" xfId="29533"/>
    <cellStyle name="표준 3 6 2" xfId="4137"/>
    <cellStyle name="표준 3 6 2 2" xfId="4138"/>
    <cellStyle name="표준 3 6 2 3" xfId="4139"/>
    <cellStyle name="표준 3 6 2 4" xfId="27697"/>
    <cellStyle name="표준 3 6 2 5" xfId="30125"/>
    <cellStyle name="표준 3 6 20" xfId="31220"/>
    <cellStyle name="표준 3 6 3" xfId="4140"/>
    <cellStyle name="표준 3 6 3 2" xfId="4141"/>
    <cellStyle name="표준 3 6 3 3" xfId="27698"/>
    <cellStyle name="표준 3 6 3 4" xfId="30329"/>
    <cellStyle name="표준 3 6 4" xfId="4142"/>
    <cellStyle name="표준 3 6 4 2" xfId="27699"/>
    <cellStyle name="표준 3 6 5" xfId="4143"/>
    <cellStyle name="표준 3 6 5 2" xfId="27700"/>
    <cellStyle name="표준 3 6 6" xfId="27701"/>
    <cellStyle name="표준 3 6 7" xfId="27702"/>
    <cellStyle name="표준 3 6 8" xfId="27703"/>
    <cellStyle name="표준 3 6 9" xfId="27704"/>
    <cellStyle name="표준 3 60" xfId="27705"/>
    <cellStyle name="표준 3 61" xfId="27706"/>
    <cellStyle name="표준 3 62" xfId="27707"/>
    <cellStyle name="표준 3 63" xfId="27708"/>
    <cellStyle name="표준 3 64" xfId="27709"/>
    <cellStyle name="표준 3 65" xfId="27710"/>
    <cellStyle name="표준 3 66" xfId="27711"/>
    <cellStyle name="표준 3 67" xfId="27712"/>
    <cellStyle name="표준 3 68" xfId="27713"/>
    <cellStyle name="표준 3 69" xfId="27714"/>
    <cellStyle name="표준 3 7" xfId="4144"/>
    <cellStyle name="표준 3 7 10" xfId="27715"/>
    <cellStyle name="표준 3 7 11" xfId="27716"/>
    <cellStyle name="표준 3 7 12" xfId="27717"/>
    <cellStyle name="표준 3 7 13" xfId="30371"/>
    <cellStyle name="표준 3 7 14" xfId="31219"/>
    <cellStyle name="표준 3 7 2" xfId="4145"/>
    <cellStyle name="표준 3 7 2 2" xfId="4146"/>
    <cellStyle name="표준 3 7 2 3" xfId="27718"/>
    <cellStyle name="표준 3 7 3" xfId="4147"/>
    <cellStyle name="표준 3 7 3 2" xfId="27719"/>
    <cellStyle name="표준 3 7 4" xfId="4148"/>
    <cellStyle name="표준 3 7 4 2" xfId="27720"/>
    <cellStyle name="표준 3 7 5" xfId="27721"/>
    <cellStyle name="표준 3 7 6" xfId="27722"/>
    <cellStyle name="표준 3 7 7" xfId="27723"/>
    <cellStyle name="표준 3 7 8" xfId="27724"/>
    <cellStyle name="표준 3 7 9" xfId="27725"/>
    <cellStyle name="표준 3 70" xfId="27726"/>
    <cellStyle name="표준 3 71" xfId="27727"/>
    <cellStyle name="표준 3 72" xfId="27728"/>
    <cellStyle name="표준 3 73" xfId="27729"/>
    <cellStyle name="표준 3 74" xfId="27730"/>
    <cellStyle name="표준 3 75" xfId="27731"/>
    <cellStyle name="표준 3 76" xfId="27732"/>
    <cellStyle name="표준 3 77" xfId="27733"/>
    <cellStyle name="표준 3 78" xfId="27734"/>
    <cellStyle name="표준 3 79" xfId="27735"/>
    <cellStyle name="표준 3 8" xfId="4149"/>
    <cellStyle name="표준 3 8 10" xfId="27736"/>
    <cellStyle name="표준 3 8 11" xfId="27737"/>
    <cellStyle name="표준 3 8 12" xfId="27738"/>
    <cellStyle name="표준 3 8 13" xfId="30372"/>
    <cellStyle name="표준 3 8 14" xfId="31218"/>
    <cellStyle name="표준 3 8 2" xfId="4150"/>
    <cellStyle name="표준 3 8 2 2" xfId="27739"/>
    <cellStyle name="표준 3 8 3" xfId="4151"/>
    <cellStyle name="표준 3 8 3 2" xfId="27740"/>
    <cellStyle name="표준 3 8 4" xfId="27741"/>
    <cellStyle name="표준 3 8 5" xfId="27742"/>
    <cellStyle name="표준 3 8 6" xfId="27743"/>
    <cellStyle name="표준 3 8 7" xfId="27744"/>
    <cellStyle name="표준 3 8 8" xfId="27745"/>
    <cellStyle name="표준 3 8 9" xfId="27746"/>
    <cellStyle name="표준 3 80" xfId="27747"/>
    <cellStyle name="표준 3 81" xfId="27748"/>
    <cellStyle name="표준 3 82" xfId="27749"/>
    <cellStyle name="표준 3 83" xfId="27750"/>
    <cellStyle name="표준 3 84" xfId="27751"/>
    <cellStyle name="표준 3 85" xfId="27752"/>
    <cellStyle name="표준 3 86" xfId="27753"/>
    <cellStyle name="표준 3 87" xfId="27754"/>
    <cellStyle name="표준 3 88" xfId="27755"/>
    <cellStyle name="표준 3 89" xfId="27756"/>
    <cellStyle name="표준 3 9" xfId="4152"/>
    <cellStyle name="표준 3 9 10" xfId="27757"/>
    <cellStyle name="표준 3 9 11" xfId="27758"/>
    <cellStyle name="표준 3 9 12" xfId="27759"/>
    <cellStyle name="표준 3 9 13" xfId="30373"/>
    <cellStyle name="표준 3 9 2" xfId="27760"/>
    <cellStyle name="표준 3 9 3" xfId="27761"/>
    <cellStyle name="표준 3 9 4" xfId="27762"/>
    <cellStyle name="표준 3 9 5" xfId="27763"/>
    <cellStyle name="표준 3 9 6" xfId="27764"/>
    <cellStyle name="표준 3 9 7" xfId="27765"/>
    <cellStyle name="표준 3 9 8" xfId="27766"/>
    <cellStyle name="표준 3 9 9" xfId="27767"/>
    <cellStyle name="표준 3 90" xfId="27768"/>
    <cellStyle name="표준 3 91" xfId="27769"/>
    <cellStyle name="표준 3 92" xfId="27770"/>
    <cellStyle name="표준 3 93" xfId="27771"/>
    <cellStyle name="표준 3 94" xfId="27772"/>
    <cellStyle name="표준 3 95" xfId="28170"/>
    <cellStyle name="표준 3 96" xfId="30708"/>
    <cellStyle name="표준 3 97" xfId="30696"/>
    <cellStyle name="표준 3_광명시법원" xfId="27773"/>
    <cellStyle name="표준 30" xfId="4153"/>
    <cellStyle name="표준 30 2" xfId="27774"/>
    <cellStyle name="표준 30 3" xfId="28159"/>
    <cellStyle name="표준 30 3 2" xfId="31217"/>
    <cellStyle name="표준 30 4" xfId="31216"/>
    <cellStyle name="표준 30 5" xfId="31215"/>
    <cellStyle name="표준 30 6" xfId="32020"/>
    <cellStyle name="표준 30 7" xfId="31986"/>
    <cellStyle name="표준 30 8" xfId="31817"/>
    <cellStyle name="표준 31" xfId="4154"/>
    <cellStyle name="표준 31 10" xfId="30688"/>
    <cellStyle name="표준 31 11" xfId="29740"/>
    <cellStyle name="표준 31 11 2" xfId="29664"/>
    <cellStyle name="표준 31 2" xfId="29936"/>
    <cellStyle name="표준 31 3" xfId="29445"/>
    <cellStyle name="표준 31 4" xfId="29674"/>
    <cellStyle name="표준 31 5" xfId="29673"/>
    <cellStyle name="표준 31 6" xfId="29753"/>
    <cellStyle name="표준 31 7" xfId="30675"/>
    <cellStyle name="표준 31 8" xfId="29622"/>
    <cellStyle name="표준 31 9" xfId="29569"/>
    <cellStyle name="표준 32" xfId="4155"/>
    <cellStyle name="표준 32 2" xfId="31214"/>
    <cellStyle name="표준 32 3" xfId="31213"/>
    <cellStyle name="표준 32 4" xfId="31816"/>
    <cellStyle name="표준 32 5" xfId="31212"/>
    <cellStyle name="표준 32 6" xfId="31211"/>
    <cellStyle name="표준 32 7" xfId="31210"/>
    <cellStyle name="표준 32 8" xfId="31815"/>
    <cellStyle name="표준 33" xfId="4156"/>
    <cellStyle name="표준 33 2" xfId="31209"/>
    <cellStyle name="표준 33 3" xfId="31208"/>
    <cellStyle name="표준 33 4" xfId="31207"/>
    <cellStyle name="표준 33 5" xfId="31814"/>
    <cellStyle name="표준 33 6" xfId="31206"/>
    <cellStyle name="표준 33 7" xfId="31205"/>
    <cellStyle name="표준 33 8" xfId="31204"/>
    <cellStyle name="표준 34" xfId="4157"/>
    <cellStyle name="표준 34 2" xfId="27775"/>
    <cellStyle name="표준 34 3" xfId="27776"/>
    <cellStyle name="표준 34 4" xfId="31203"/>
    <cellStyle name="표준 34 5" xfId="31202"/>
    <cellStyle name="표준 34 6" xfId="31201"/>
    <cellStyle name="표준 34 7" xfId="31200"/>
    <cellStyle name="표준 34 8" xfId="31199"/>
    <cellStyle name="표준 35" xfId="4158"/>
    <cellStyle name="표준 35 2" xfId="27777"/>
    <cellStyle name="표준 35 3" xfId="27778"/>
    <cellStyle name="표준 35 4" xfId="31813"/>
    <cellStyle name="표준 35 5" xfId="31198"/>
    <cellStyle name="표준 35 6" xfId="31197"/>
    <cellStyle name="표준 35 7" xfId="31196"/>
    <cellStyle name="표준 35 8" xfId="31195"/>
    <cellStyle name="표준 36" xfId="4159"/>
    <cellStyle name="표준 36 2" xfId="4160"/>
    <cellStyle name="표준 36 3" xfId="4161"/>
    <cellStyle name="표준 36 4" xfId="27779"/>
    <cellStyle name="표준 36 5" xfId="31194"/>
    <cellStyle name="표준 36 6" xfId="31193"/>
    <cellStyle name="표준 36 7" xfId="31192"/>
    <cellStyle name="표준 36 8" xfId="31191"/>
    <cellStyle name="표준 37" xfId="4162"/>
    <cellStyle name="표준 37 2" xfId="27780"/>
    <cellStyle name="표준 37 3" xfId="27781"/>
    <cellStyle name="표준 37 4" xfId="31190"/>
    <cellStyle name="표준 37 5" xfId="31189"/>
    <cellStyle name="표준 37 6" xfId="31188"/>
    <cellStyle name="표준 37 7" xfId="31187"/>
    <cellStyle name="표준 37 8" xfId="32019"/>
    <cellStyle name="표준 38" xfId="4163"/>
    <cellStyle name="표준 38 2" xfId="27782"/>
    <cellStyle name="표준 39" xfId="27783"/>
    <cellStyle name="표준 39 2" xfId="29639"/>
    <cellStyle name="표준 39 3" xfId="32011"/>
    <cellStyle name="표준 39 4" xfId="31812"/>
    <cellStyle name="표준 39 5" xfId="31811"/>
    <cellStyle name="표준 39 6" xfId="31810"/>
    <cellStyle name="표준 39 7" xfId="31809"/>
    <cellStyle name="표준 39 8" xfId="31186"/>
    <cellStyle name="표준 4" xfId="4164"/>
    <cellStyle name="표준 4 10" xfId="4165"/>
    <cellStyle name="표준 4 10 2" xfId="4166"/>
    <cellStyle name="표준 4 10 2 2" xfId="27784"/>
    <cellStyle name="표준 4 10 3" xfId="27785"/>
    <cellStyle name="표준 4 10 4" xfId="27786"/>
    <cellStyle name="표준 4 10 5" xfId="27787"/>
    <cellStyle name="표준 4 10 6" xfId="30374"/>
    <cellStyle name="표준 4 11" xfId="4167"/>
    <cellStyle name="표준 4 11 2" xfId="27788"/>
    <cellStyle name="표준 4 11 3" xfId="27789"/>
    <cellStyle name="표준 4 11 4" xfId="27790"/>
    <cellStyle name="표준 4 11 5" xfId="27791"/>
    <cellStyle name="표준 4 11 6" xfId="30375"/>
    <cellStyle name="표준 4 12" xfId="4168"/>
    <cellStyle name="표준 4 12 2" xfId="27792"/>
    <cellStyle name="표준 4 12 3" xfId="27793"/>
    <cellStyle name="표준 4 12 4" xfId="27794"/>
    <cellStyle name="표준 4 12 5" xfId="27795"/>
    <cellStyle name="표준 4 12 6" xfId="28157"/>
    <cellStyle name="표준 4 13" xfId="4169"/>
    <cellStyle name="표준 4 13 2" xfId="27796"/>
    <cellStyle name="표준 4 13 3" xfId="27797"/>
    <cellStyle name="표준 4 13 4" xfId="27798"/>
    <cellStyle name="표준 4 13 5" xfId="27799"/>
    <cellStyle name="표준 4 13 6" xfId="30376"/>
    <cellStyle name="표준 4 14" xfId="27800"/>
    <cellStyle name="표준 4 14 2" xfId="27801"/>
    <cellStyle name="표준 4 14 3" xfId="27802"/>
    <cellStyle name="표준 4 14 4" xfId="27803"/>
    <cellStyle name="표준 4 14 5" xfId="27804"/>
    <cellStyle name="표준 4 14 6" xfId="30377"/>
    <cellStyle name="표준 4 15" xfId="27805"/>
    <cellStyle name="표준 4 15 2" xfId="27806"/>
    <cellStyle name="표준 4 15 3" xfId="27807"/>
    <cellStyle name="표준 4 15 4" xfId="27808"/>
    <cellStyle name="표준 4 15 5" xfId="30378"/>
    <cellStyle name="표준 4 16" xfId="27809"/>
    <cellStyle name="표준 4 16 2" xfId="27810"/>
    <cellStyle name="표준 4 16 3" xfId="27811"/>
    <cellStyle name="표준 4 16 4" xfId="27812"/>
    <cellStyle name="표준 4 16 5" xfId="30379"/>
    <cellStyle name="표준 4 17" xfId="27813"/>
    <cellStyle name="표준 4 17 2" xfId="27814"/>
    <cellStyle name="표준 4 17 3" xfId="27815"/>
    <cellStyle name="표준 4 17 4" xfId="30380"/>
    <cellStyle name="표준 4 17 5" xfId="31185"/>
    <cellStyle name="표준 4 18" xfId="27816"/>
    <cellStyle name="표준 4 18 2" xfId="27817"/>
    <cellStyle name="표준 4 18 3" xfId="27818"/>
    <cellStyle name="표준 4 18 4" xfId="30381"/>
    <cellStyle name="표준 4 19" xfId="27819"/>
    <cellStyle name="표준 4 19 2" xfId="29441"/>
    <cellStyle name="표준 4 2" xfId="4170"/>
    <cellStyle name="표준 4 2 10" xfId="4171"/>
    <cellStyle name="표준 4 2 10 2" xfId="27820"/>
    <cellStyle name="표준 4 2 11" xfId="27821"/>
    <cellStyle name="표준 4 2 12" xfId="27822"/>
    <cellStyle name="표준 4 2 13" xfId="27823"/>
    <cellStyle name="표준 4 2 14" xfId="27824"/>
    <cellStyle name="표준 4 2 15" xfId="30309"/>
    <cellStyle name="표준 4 2 16" xfId="29752"/>
    <cellStyle name="표준 4 2 17" xfId="30973"/>
    <cellStyle name="표준 4 2 17 2" xfId="32325"/>
    <cellStyle name="표준 4 2 2" xfId="4172"/>
    <cellStyle name="표준 4 2 2 10" xfId="31017"/>
    <cellStyle name="표준 4 2 2 10 2" xfId="32367"/>
    <cellStyle name="표준 4 2 2 2" xfId="4173"/>
    <cellStyle name="표준 4 2 2 2 2" xfId="4174"/>
    <cellStyle name="표준 4 2 2 2 2 2" xfId="4175"/>
    <cellStyle name="표준 4 2 2 2 2 2 2" xfId="4176"/>
    <cellStyle name="표준 4 2 2 2 2 2 2 2" xfId="4177"/>
    <cellStyle name="표준 4 2 2 2 2 2 3" xfId="4178"/>
    <cellStyle name="표준 4 2 2 2 2 2 3 2" xfId="4179"/>
    <cellStyle name="표준 4 2 2 2 2 2 3 3" xfId="4180"/>
    <cellStyle name="표준 4 2 2 2 2 2 4" xfId="4181"/>
    <cellStyle name="표준 4 2 2 2 2 2 5" xfId="4182"/>
    <cellStyle name="표준 4 2 2 2 2 3" xfId="4183"/>
    <cellStyle name="표준 4 2 2 2 2 3 2" xfId="4184"/>
    <cellStyle name="표준 4 2 2 2 2 3 3" xfId="4185"/>
    <cellStyle name="표준 4 2 2 2 2 4" xfId="4186"/>
    <cellStyle name="표준 4 2 2 2 2 4 2" xfId="4187"/>
    <cellStyle name="표준 4 2 2 2 2 4 3" xfId="4188"/>
    <cellStyle name="표준 4 2 2 2 2 5" xfId="4189"/>
    <cellStyle name="표준 4 2 2 2 2 6" xfId="4190"/>
    <cellStyle name="표준 4 2 2 2 3" xfId="4191"/>
    <cellStyle name="표준 4 2 2 2 3 2" xfId="4192"/>
    <cellStyle name="표준 4 2 2 2 3 2 2" xfId="4193"/>
    <cellStyle name="표준 4 2 2 2 3 3" xfId="4194"/>
    <cellStyle name="표준 4 2 2 2 3 3 2" xfId="4195"/>
    <cellStyle name="표준 4 2 2 2 3 3 3" xfId="4196"/>
    <cellStyle name="표준 4 2 2 2 3 4" xfId="4197"/>
    <cellStyle name="표준 4 2 2 2 3 5" xfId="4198"/>
    <cellStyle name="표준 4 2 2 2 4" xfId="4199"/>
    <cellStyle name="표준 4 2 2 2 4 2" xfId="4200"/>
    <cellStyle name="표준 4 2 2 2 4 3" xfId="4201"/>
    <cellStyle name="표준 4 2 2 2 5" xfId="4202"/>
    <cellStyle name="표준 4 2 2 2 5 2" xfId="4203"/>
    <cellStyle name="표준 4 2 2 2 5 3" xfId="4204"/>
    <cellStyle name="표준 4 2 2 2 6" xfId="4205"/>
    <cellStyle name="표준 4 2 2 2 7" xfId="4206"/>
    <cellStyle name="표준 4 2 2 2 8" xfId="4207"/>
    <cellStyle name="표준 4 2 2 2 9" xfId="31001"/>
    <cellStyle name="표준 4 2 2 2 9 2" xfId="32352"/>
    <cellStyle name="표준 4 2 2 3" xfId="4208"/>
    <cellStyle name="표준 4 2 2 3 2" xfId="4209"/>
    <cellStyle name="표준 4 2 2 3 2 2" xfId="4210"/>
    <cellStyle name="표준 4 2 2 3 2 3" xfId="4211"/>
    <cellStyle name="표준 4 2 2 3 3" xfId="4212"/>
    <cellStyle name="표준 4 2 2 3 3 2" xfId="4213"/>
    <cellStyle name="표준 4 2 2 3 4" xfId="4214"/>
    <cellStyle name="표준 4 2 2 3 5" xfId="4215"/>
    <cellStyle name="표준 4 2 2 4" xfId="4216"/>
    <cellStyle name="표준 4 2 2 4 2" xfId="4217"/>
    <cellStyle name="표준 4 2 2 4 2 2" xfId="4218"/>
    <cellStyle name="표준 4 2 2 4 2 3" xfId="4219"/>
    <cellStyle name="표준 4 2 2 4 2 3 2" xfId="4220"/>
    <cellStyle name="표준 4 2 2 4 2 4" xfId="4221"/>
    <cellStyle name="표준 4 2 2 4 2 5" xfId="4222"/>
    <cellStyle name="표준 4 2 2 4 3" xfId="4223"/>
    <cellStyle name="표준 4 2 2 4 3 2" xfId="4224"/>
    <cellStyle name="표준 4 2 2 4 4" xfId="4225"/>
    <cellStyle name="표준 4 2 2 4 4 2" xfId="4226"/>
    <cellStyle name="표준 4 2 2 4 5" xfId="4227"/>
    <cellStyle name="표준 4 2 2 4 6" xfId="4228"/>
    <cellStyle name="표준 4 2 2 5" xfId="4229"/>
    <cellStyle name="표준 4 2 2 5 2" xfId="4230"/>
    <cellStyle name="표준 4 2 2 5 2 2" xfId="4231"/>
    <cellStyle name="표준 4 2 2 5 3" xfId="4232"/>
    <cellStyle name="표준 4 2 2 5 3 2" xfId="4233"/>
    <cellStyle name="표준 4 2 2 5 4" xfId="4234"/>
    <cellStyle name="표준 4 2 2 5 5" xfId="4235"/>
    <cellStyle name="표준 4 2 2 6" xfId="4236"/>
    <cellStyle name="표준 4 2 2 6 2" xfId="4237"/>
    <cellStyle name="표준 4 2 2 6 3" xfId="4238"/>
    <cellStyle name="표준 4 2 2 7" xfId="4239"/>
    <cellStyle name="표준 4 2 2 8" xfId="4240"/>
    <cellStyle name="표준 4 2 2 9" xfId="4241"/>
    <cellStyle name="표준 4 2 3" xfId="4242"/>
    <cellStyle name="표준 4 2 3 2" xfId="4243"/>
    <cellStyle name="표준 4 2 3 2 2" xfId="4244"/>
    <cellStyle name="표준 4 2 3 2 2 2" xfId="4245"/>
    <cellStyle name="표준 4 2 3 2 2 2 2" xfId="4246"/>
    <cellStyle name="표준 4 2 3 2 2 3" xfId="4247"/>
    <cellStyle name="표준 4 2 3 2 2 3 2" xfId="4248"/>
    <cellStyle name="표준 4 2 3 2 2 3 3" xfId="4249"/>
    <cellStyle name="표준 4 2 3 2 2 4" xfId="4250"/>
    <cellStyle name="표준 4 2 3 2 2 5" xfId="4251"/>
    <cellStyle name="표준 4 2 3 2 3" xfId="4252"/>
    <cellStyle name="표준 4 2 3 2 3 2" xfId="4253"/>
    <cellStyle name="표준 4 2 3 2 3 3" xfId="4254"/>
    <cellStyle name="표준 4 2 3 2 4" xfId="4255"/>
    <cellStyle name="표준 4 2 3 2 4 2" xfId="4256"/>
    <cellStyle name="표준 4 2 3 2 4 3" xfId="4257"/>
    <cellStyle name="표준 4 2 3 2 5" xfId="4258"/>
    <cellStyle name="표준 4 2 3 2 6" xfId="4259"/>
    <cellStyle name="표준 4 2 3 3" xfId="4260"/>
    <cellStyle name="표준 4 2 3 3 2" xfId="4261"/>
    <cellStyle name="표준 4 2 3 3 2 2" xfId="4262"/>
    <cellStyle name="표준 4 2 3 3 3" xfId="4263"/>
    <cellStyle name="표준 4 2 3 3 3 2" xfId="4264"/>
    <cellStyle name="표준 4 2 3 3 3 3" xfId="4265"/>
    <cellStyle name="표준 4 2 3 3 4" xfId="4266"/>
    <cellStyle name="표준 4 2 3 3 5" xfId="4267"/>
    <cellStyle name="표준 4 2 3 4" xfId="4268"/>
    <cellStyle name="표준 4 2 3 4 2" xfId="4269"/>
    <cellStyle name="표준 4 2 3 4 3" xfId="4270"/>
    <cellStyle name="표준 4 2 3 5" xfId="4271"/>
    <cellStyle name="표준 4 2 3 5 2" xfId="4272"/>
    <cellStyle name="표준 4 2 3 5 3" xfId="4273"/>
    <cellStyle name="표준 4 2 3 6" xfId="4274"/>
    <cellStyle name="표준 4 2 3 7" xfId="4275"/>
    <cellStyle name="표준 4 2 3 8" xfId="4276"/>
    <cellStyle name="표준 4 2 3 9" xfId="30891"/>
    <cellStyle name="표준 4 2 3 9 2" xfId="32245"/>
    <cellStyle name="표준 4 2 4" xfId="4277"/>
    <cellStyle name="표준 4 2 4 2" xfId="4278"/>
    <cellStyle name="표준 4 2 4 2 2" xfId="4279"/>
    <cellStyle name="표준 4 2 4 2 2 2" xfId="4280"/>
    <cellStyle name="표준 4 2 4 2 2 3" xfId="4281"/>
    <cellStyle name="표준 4 2 4 2 2 3 2" xfId="4282"/>
    <cellStyle name="표준 4 2 4 2 2 4" xfId="4283"/>
    <cellStyle name="표준 4 2 4 2 2 5" xfId="4284"/>
    <cellStyle name="표준 4 2 4 2 3" xfId="4285"/>
    <cellStyle name="표준 4 2 4 2 3 2" xfId="4286"/>
    <cellStyle name="표준 4 2 4 2 4" xfId="4287"/>
    <cellStyle name="표준 4 2 4 2 4 2" xfId="4288"/>
    <cellStyle name="표준 4 2 4 2 5" xfId="4289"/>
    <cellStyle name="표준 4 2 4 2 6" xfId="4290"/>
    <cellStyle name="표준 4 2 4 3" xfId="4291"/>
    <cellStyle name="표준 4 2 4 3 2" xfId="4292"/>
    <cellStyle name="표준 4 2 4 3 2 2" xfId="4293"/>
    <cellStyle name="표준 4 2 4 3 3" xfId="4294"/>
    <cellStyle name="표준 4 2 4 3 3 2" xfId="4295"/>
    <cellStyle name="표준 4 2 4 3 4" xfId="4296"/>
    <cellStyle name="표준 4 2 4 3 5" xfId="4297"/>
    <cellStyle name="표준 4 2 4 4" xfId="4298"/>
    <cellStyle name="표준 4 2 4 4 2" xfId="4299"/>
    <cellStyle name="표준 4 2 4 5" xfId="4300"/>
    <cellStyle name="표준 4 2 4 5 2" xfId="4301"/>
    <cellStyle name="표준 4 2 4 6" xfId="4302"/>
    <cellStyle name="표준 4 2 4 7" xfId="4303"/>
    <cellStyle name="표준 4 2 5" xfId="4304"/>
    <cellStyle name="표준 4 2 5 2" xfId="4305"/>
    <cellStyle name="표준 4 2 5 2 2" xfId="4306"/>
    <cellStyle name="표준 4 2 5 2 2 2" xfId="4307"/>
    <cellStyle name="표준 4 2 5 2 3" xfId="4308"/>
    <cellStyle name="표준 4 2 5 2 3 2" xfId="4309"/>
    <cellStyle name="표준 4 2 5 2 4" xfId="4310"/>
    <cellStyle name="표준 4 2 5 2 5" xfId="4311"/>
    <cellStyle name="표준 4 2 5 3" xfId="4312"/>
    <cellStyle name="표준 4 2 5 3 2" xfId="4313"/>
    <cellStyle name="표준 4 2 5 4" xfId="4314"/>
    <cellStyle name="표준 4 2 5 4 2" xfId="4315"/>
    <cellStyle name="표준 4 2 5 4 3" xfId="4316"/>
    <cellStyle name="표준 4 2 5 5" xfId="4317"/>
    <cellStyle name="표준 4 2 5 6" xfId="4318"/>
    <cellStyle name="표준 4 2 6" xfId="4319"/>
    <cellStyle name="표준 4 2 6 2" xfId="4320"/>
    <cellStyle name="표준 4 2 6 2 2" xfId="4321"/>
    <cellStyle name="표준 4 2 6 3" xfId="4322"/>
    <cellStyle name="표준 4 2 6 3 2" xfId="4323"/>
    <cellStyle name="표준 4 2 6 3 3" xfId="4324"/>
    <cellStyle name="표준 4 2 6 4" xfId="4325"/>
    <cellStyle name="표준 4 2 6 5" xfId="4326"/>
    <cellStyle name="표준 4 2 7" xfId="4327"/>
    <cellStyle name="표준 4 2 7 2" xfId="4328"/>
    <cellStyle name="표준 4 2 7 3" xfId="4329"/>
    <cellStyle name="표준 4 2 8" xfId="4330"/>
    <cellStyle name="표준 4 2 8 2" xfId="4331"/>
    <cellStyle name="표준 4 2 8 3" xfId="29549"/>
    <cellStyle name="표준 4 2 9" xfId="4332"/>
    <cellStyle name="표준 4 20" xfId="28158"/>
    <cellStyle name="표준 4 21" xfId="30710"/>
    <cellStyle name="표준 4 22" xfId="30698"/>
    <cellStyle name="표준 4 3" xfId="4333"/>
    <cellStyle name="표준 4 3 10" xfId="4334"/>
    <cellStyle name="표준 4 3 10 2" xfId="27825"/>
    <cellStyle name="표준 4 3 11" xfId="27826"/>
    <cellStyle name="표준 4 3 12" xfId="27827"/>
    <cellStyle name="표준 4 3 13" xfId="27828"/>
    <cellStyle name="표준 4 3 14" xfId="29802"/>
    <cellStyle name="표준 4 3 15" xfId="30935"/>
    <cellStyle name="표준 4 3 15 2" xfId="32288"/>
    <cellStyle name="표준 4 3 2" xfId="4335"/>
    <cellStyle name="표준 4 3 2 10" xfId="30310"/>
    <cellStyle name="표준 4 3 2 11" xfId="31003"/>
    <cellStyle name="표준 4 3 2 11 2" xfId="32354"/>
    <cellStyle name="표준 4 3 2 2" xfId="4336"/>
    <cellStyle name="표준 4 3 2 2 2" xfId="4337"/>
    <cellStyle name="표준 4 3 2 2 2 2" xfId="4338"/>
    <cellStyle name="표준 4 3 2 2 2 2 2" xfId="4339"/>
    <cellStyle name="표준 4 3 2 2 2 3" xfId="4340"/>
    <cellStyle name="표준 4 3 2 2 2 3 2" xfId="4341"/>
    <cellStyle name="표준 4 3 2 2 2 3 3" xfId="4342"/>
    <cellStyle name="표준 4 3 2 2 2 4" xfId="4343"/>
    <cellStyle name="표준 4 3 2 2 2 5" xfId="4344"/>
    <cellStyle name="표준 4 3 2 2 3" xfId="4345"/>
    <cellStyle name="표준 4 3 2 2 3 2" xfId="4346"/>
    <cellStyle name="표준 4 3 2 2 3 3" xfId="4347"/>
    <cellStyle name="표준 4 3 2 2 4" xfId="4348"/>
    <cellStyle name="표준 4 3 2 2 4 2" xfId="4349"/>
    <cellStyle name="표준 4 3 2 2 4 3" xfId="4350"/>
    <cellStyle name="표준 4 3 2 2 5" xfId="4351"/>
    <cellStyle name="표준 4 3 2 2 6" xfId="4352"/>
    <cellStyle name="표준 4 3 2 2 7" xfId="27829"/>
    <cellStyle name="표준 4 3 2 3" xfId="4353"/>
    <cellStyle name="표준 4 3 2 3 2" xfId="4354"/>
    <cellStyle name="표준 4 3 2 3 2 2" xfId="4355"/>
    <cellStyle name="표준 4 3 2 3 3" xfId="4356"/>
    <cellStyle name="표준 4 3 2 3 3 2" xfId="4357"/>
    <cellStyle name="표준 4 3 2 3 3 3" xfId="4358"/>
    <cellStyle name="표준 4 3 2 3 4" xfId="4359"/>
    <cellStyle name="표준 4 3 2 3 5" xfId="4360"/>
    <cellStyle name="표준 4 3 2 3 6" xfId="27830"/>
    <cellStyle name="표준 4 3 2 4" xfId="4361"/>
    <cellStyle name="표준 4 3 2 4 2" xfId="4362"/>
    <cellStyle name="표준 4 3 2 4 3" xfId="4363"/>
    <cellStyle name="표준 4 3 2 4 4" xfId="27831"/>
    <cellStyle name="표준 4 3 2 5" xfId="4364"/>
    <cellStyle name="표준 4 3 2 5 2" xfId="4365"/>
    <cellStyle name="표준 4 3 2 5 3" xfId="4366"/>
    <cellStyle name="표준 4 3 2 5 4" xfId="27832"/>
    <cellStyle name="표준 4 3 2 6" xfId="4367"/>
    <cellStyle name="표준 4 3 2 7" xfId="4368"/>
    <cellStyle name="표준 4 3 2 8" xfId="4369"/>
    <cellStyle name="표준 4 3 2 9" xfId="27833"/>
    <cellStyle name="표준 4 3 3" xfId="4370"/>
    <cellStyle name="표준 4 3 3 2" xfId="4371"/>
    <cellStyle name="표준 4 3 3 2 2" xfId="4372"/>
    <cellStyle name="표준 4 3 3 2 3" xfId="4373"/>
    <cellStyle name="표준 4 3 3 3" xfId="4374"/>
    <cellStyle name="표준 4 3 3 3 2" xfId="4375"/>
    <cellStyle name="표준 4 3 3 4" xfId="4376"/>
    <cellStyle name="표준 4 3 3 5" xfId="4377"/>
    <cellStyle name="표준 4 3 3 6" xfId="27834"/>
    <cellStyle name="표준 4 3 3 7" xfId="27835"/>
    <cellStyle name="표준 4 3 3 8" xfId="28156"/>
    <cellStyle name="표준 4 3 3 9" xfId="30311"/>
    <cellStyle name="표준 4 3 4" xfId="4378"/>
    <cellStyle name="표준 4 3 4 2" xfId="4379"/>
    <cellStyle name="표준 4 3 4 2 2" xfId="4380"/>
    <cellStyle name="표준 4 3 4 2 3" xfId="4381"/>
    <cellStyle name="표준 4 3 4 2 3 2" xfId="4382"/>
    <cellStyle name="표준 4 3 4 2 4" xfId="4383"/>
    <cellStyle name="표준 4 3 4 2 5" xfId="4384"/>
    <cellStyle name="표준 4 3 4 3" xfId="4385"/>
    <cellStyle name="표준 4 3 4 3 2" xfId="4386"/>
    <cellStyle name="표준 4 3 4 4" xfId="4387"/>
    <cellStyle name="표준 4 3 4 4 2" xfId="4388"/>
    <cellStyle name="표준 4 3 4 5" xfId="4389"/>
    <cellStyle name="표준 4 3 4 6" xfId="4390"/>
    <cellStyle name="표준 4 3 4 7" xfId="27836"/>
    <cellStyle name="표준 4 3 4 8" xfId="27837"/>
    <cellStyle name="표준 4 3 4 9" xfId="30312"/>
    <cellStyle name="표준 4 3 5" xfId="4391"/>
    <cellStyle name="표준 4 3 5 2" xfId="4392"/>
    <cellStyle name="표준 4 3 5 2 2" xfId="4393"/>
    <cellStyle name="표준 4 3 5 3" xfId="4394"/>
    <cellStyle name="표준 4 3 5 3 2" xfId="4395"/>
    <cellStyle name="표준 4 3 5 4" xfId="4396"/>
    <cellStyle name="표준 4 3 5 5" xfId="4397"/>
    <cellStyle name="표준 4 3 6" xfId="4398"/>
    <cellStyle name="표준 4 3 6 2" xfId="4399"/>
    <cellStyle name="표준 4 3 7" xfId="4400"/>
    <cellStyle name="표준 4 3 7 2" xfId="4401"/>
    <cellStyle name="표준 4 3 7 3" xfId="29756"/>
    <cellStyle name="표준 4 3 8" xfId="4402"/>
    <cellStyle name="표준 4 3 8 2" xfId="27838"/>
    <cellStyle name="표준 4 3 9" xfId="4403"/>
    <cellStyle name="표준 4 3 9 2" xfId="27839"/>
    <cellStyle name="표준 4 4" xfId="4404"/>
    <cellStyle name="표준 4 4 10" xfId="27840"/>
    <cellStyle name="표준 4 4 11" xfId="30304"/>
    <cellStyle name="표준 4 4 12" xfId="30952"/>
    <cellStyle name="표준 4 4 12 2" xfId="32305"/>
    <cellStyle name="표준 4 4 2" xfId="4405"/>
    <cellStyle name="표준 4 4 2 2" xfId="4406"/>
    <cellStyle name="표준 4 4 2 2 2" xfId="4407"/>
    <cellStyle name="표준 4 4 2 2 3" xfId="4408"/>
    <cellStyle name="표준 4 4 2 2 4" xfId="27841"/>
    <cellStyle name="표준 4 4 2 3" xfId="4409"/>
    <cellStyle name="표준 4 4 2 3 2" xfId="4410"/>
    <cellStyle name="표준 4 4 2 4" xfId="4411"/>
    <cellStyle name="표준 4 4 2 5" xfId="4412"/>
    <cellStyle name="표준 4 4 2 6" xfId="27842"/>
    <cellStyle name="표준 4 4 2 7" xfId="27843"/>
    <cellStyle name="표준 4 4 2 8" xfId="30324"/>
    <cellStyle name="표준 4 4 3" xfId="4413"/>
    <cellStyle name="표준 4 4 3 2" xfId="4414"/>
    <cellStyle name="표준 4 4 3 2 2" xfId="4415"/>
    <cellStyle name="표준 4 4 3 2 3" xfId="4416"/>
    <cellStyle name="표준 4 4 3 2 3 2" xfId="4417"/>
    <cellStyle name="표준 4 4 3 2 4" xfId="4418"/>
    <cellStyle name="표준 4 4 3 2 5" xfId="4419"/>
    <cellStyle name="표준 4 4 3 3" xfId="4420"/>
    <cellStyle name="표준 4 4 3 3 2" xfId="4421"/>
    <cellStyle name="표준 4 4 3 4" xfId="4422"/>
    <cellStyle name="표준 4 4 3 4 2" xfId="4423"/>
    <cellStyle name="표준 4 4 3 5" xfId="4424"/>
    <cellStyle name="표준 4 4 3 6" xfId="4425"/>
    <cellStyle name="표준 4 4 3 7" xfId="27844"/>
    <cellStyle name="표준 4 4 4" xfId="4426"/>
    <cellStyle name="표준 4 4 4 2" xfId="4427"/>
    <cellStyle name="표준 4 4 4 2 2" xfId="4428"/>
    <cellStyle name="표준 4 4 4 3" xfId="4429"/>
    <cellStyle name="표준 4 4 4 3 2" xfId="4430"/>
    <cellStyle name="표준 4 4 4 4" xfId="4431"/>
    <cellStyle name="표준 4 4 4 5" xfId="4432"/>
    <cellStyle name="표준 4 4 4 6" xfId="27845"/>
    <cellStyle name="표준 4 4 5" xfId="4433"/>
    <cellStyle name="표준 4 4 5 2" xfId="4434"/>
    <cellStyle name="표준 4 4 5 3" xfId="4435"/>
    <cellStyle name="표준 4 4 6" xfId="4436"/>
    <cellStyle name="표준 4 4 6 2" xfId="29935"/>
    <cellStyle name="표준 4 4 7" xfId="4437"/>
    <cellStyle name="표준 4 4 8" xfId="4438"/>
    <cellStyle name="표준 4 4 9" xfId="27846"/>
    <cellStyle name="표준 4 5" xfId="4439"/>
    <cellStyle name="표준 4 5 10" xfId="29459"/>
    <cellStyle name="표준 4 5 2" xfId="4440"/>
    <cellStyle name="표준 4 5 2 2" xfId="4441"/>
    <cellStyle name="표준 4 5 2 2 2" xfId="4442"/>
    <cellStyle name="표준 4 5 2 2 3" xfId="4443"/>
    <cellStyle name="표준 4 5 2 2 3 2" xfId="4444"/>
    <cellStyle name="표준 4 5 2 2 4" xfId="4445"/>
    <cellStyle name="표준 4 5 2 3" xfId="4446"/>
    <cellStyle name="표준 4 5 2 4" xfId="4447"/>
    <cellStyle name="표준 4 5 2 4 2" xfId="4448"/>
    <cellStyle name="표준 4 5 2 5" xfId="4449"/>
    <cellStyle name="표준 4 5 3" xfId="4450"/>
    <cellStyle name="표준 4 5 3 2" xfId="4451"/>
    <cellStyle name="표준 4 5 3 3" xfId="4452"/>
    <cellStyle name="표준 4 5 3 3 2" xfId="4453"/>
    <cellStyle name="표준 4 5 3 4" xfId="4454"/>
    <cellStyle name="표준 4 5 4" xfId="4455"/>
    <cellStyle name="표준 4 5 5" xfId="4456"/>
    <cellStyle name="표준 4 5 5 2" xfId="4457"/>
    <cellStyle name="표준 4 5 5 3" xfId="29836"/>
    <cellStyle name="표준 4 5 6" xfId="4458"/>
    <cellStyle name="표준 4 5 7" xfId="27847"/>
    <cellStyle name="표준 4 5 8" xfId="27848"/>
    <cellStyle name="표준 4 5 9" xfId="27849"/>
    <cellStyle name="표준 4 6" xfId="4459"/>
    <cellStyle name="표준 4 6 10" xfId="27850"/>
    <cellStyle name="표준 4 6 11" xfId="27851"/>
    <cellStyle name="표준 4 6 12" xfId="27852"/>
    <cellStyle name="표준 4 6 13" xfId="27853"/>
    <cellStyle name="표준 4 6 14" xfId="27854"/>
    <cellStyle name="표준 4 6 15" xfId="30325"/>
    <cellStyle name="표준 4 6 15 2" xfId="30733"/>
    <cellStyle name="표준 4 6 15 2 2" xfId="30783"/>
    <cellStyle name="표준 4 6 15 2 2 2" xfId="30880"/>
    <cellStyle name="표준 4 6 15 2 2 2 2" xfId="32234"/>
    <cellStyle name="표준 4 6 15 2 2 3" xfId="32139"/>
    <cellStyle name="표준 4 6 15 2 3" xfId="30833"/>
    <cellStyle name="표준 4 6 15 2 3 2" xfId="32187"/>
    <cellStyle name="표준 4 6 15 2 4" xfId="32092"/>
    <cellStyle name="표준 4 6 15 3" xfId="30760"/>
    <cellStyle name="표준 4 6 15 3 2" xfId="30857"/>
    <cellStyle name="표준 4 6 15 3 2 2" xfId="32211"/>
    <cellStyle name="표준 4 6 15 3 3" xfId="32116"/>
    <cellStyle name="표준 4 6 15 4" xfId="30810"/>
    <cellStyle name="표준 4 6 15 4 2" xfId="32164"/>
    <cellStyle name="표준 4 6 15 5" xfId="32069"/>
    <cellStyle name="표준 4 6 16" xfId="29571"/>
    <cellStyle name="표준 4 6 2" xfId="4460"/>
    <cellStyle name="표준 4 6 2 2" xfId="4461"/>
    <cellStyle name="표준 4 6 2 2 2" xfId="4462"/>
    <cellStyle name="표준 4 6 2 3" xfId="4463"/>
    <cellStyle name="표준 4 6 2 3 2" xfId="4464"/>
    <cellStyle name="표준 4 6 2 3 3" xfId="4465"/>
    <cellStyle name="표준 4 6 2 4" xfId="4466"/>
    <cellStyle name="표준 4 6 2 5" xfId="4467"/>
    <cellStyle name="표준 4 6 2 6" xfId="27855"/>
    <cellStyle name="표준 4 6 2 7" xfId="30659"/>
    <cellStyle name="표준 4 6 2 7 2" xfId="30738"/>
    <cellStyle name="표준 4 6 2 7 2 2" xfId="30788"/>
    <cellStyle name="표준 4 6 2 7 2 2 2" xfId="30885"/>
    <cellStyle name="표준 4 6 2 7 2 2 2 2" xfId="32239"/>
    <cellStyle name="표준 4 6 2 7 2 2 3" xfId="32144"/>
    <cellStyle name="표준 4 6 2 7 2 3" xfId="30838"/>
    <cellStyle name="표준 4 6 2 7 2 3 2" xfId="32192"/>
    <cellStyle name="표준 4 6 2 7 2 4" xfId="32097"/>
    <cellStyle name="표준 4 6 2 7 3" xfId="30765"/>
    <cellStyle name="표준 4 6 2 7 3 2" xfId="30862"/>
    <cellStyle name="표준 4 6 2 7 3 2 2" xfId="32216"/>
    <cellStyle name="표준 4 6 2 7 3 3" xfId="32121"/>
    <cellStyle name="표준 4 6 2 7 4" xfId="30815"/>
    <cellStyle name="표준 4 6 2 7 4 2" xfId="32169"/>
    <cellStyle name="표준 4 6 2 7 5" xfId="32074"/>
    <cellStyle name="표준 4 6 3" xfId="4468"/>
    <cellStyle name="표준 4 6 3 2" xfId="4469"/>
    <cellStyle name="표준 4 6 3 3" xfId="4470"/>
    <cellStyle name="표준 4 6 3 4" xfId="27856"/>
    <cellStyle name="표준 4 6 4" xfId="4471"/>
    <cellStyle name="표준 4 6 4 2" xfId="4472"/>
    <cellStyle name="표준 4 6 4 3" xfId="4473"/>
    <cellStyle name="표준 4 6 4 4" xfId="27857"/>
    <cellStyle name="표준 4 6 4 5" xfId="29778"/>
    <cellStyle name="표준 4 6 5" xfId="4474"/>
    <cellStyle name="표준 4 6 5 2" xfId="27858"/>
    <cellStyle name="표준 4 6 6" xfId="4475"/>
    <cellStyle name="표준 4 6 6 2" xfId="27859"/>
    <cellStyle name="표준 4 6 7" xfId="27860"/>
    <cellStyle name="표준 4 6 8" xfId="27861"/>
    <cellStyle name="표준 4 6 9" xfId="27862"/>
    <cellStyle name="표준 4 7" xfId="4476"/>
    <cellStyle name="표준 4 7 10" xfId="27863"/>
    <cellStyle name="표준 4 7 11" xfId="27864"/>
    <cellStyle name="표준 4 7 12" xfId="27865"/>
    <cellStyle name="표준 4 7 13" xfId="30382"/>
    <cellStyle name="표준 4 7 2" xfId="4477"/>
    <cellStyle name="표준 4 7 2 2" xfId="4478"/>
    <cellStyle name="표준 4 7 2 3" xfId="4479"/>
    <cellStyle name="표준 4 7 2 4" xfId="27866"/>
    <cellStyle name="표준 4 7 3" xfId="4480"/>
    <cellStyle name="표준 4 7 3 2" xfId="4481"/>
    <cellStyle name="표준 4 7 3 3" xfId="4482"/>
    <cellStyle name="표준 4 7 3 4" xfId="27867"/>
    <cellStyle name="표준 4 7 3 5" xfId="29760"/>
    <cellStyle name="표준 4 7 4" xfId="4483"/>
    <cellStyle name="표준 4 7 4 2" xfId="4484"/>
    <cellStyle name="표준 4 7 4 3" xfId="27868"/>
    <cellStyle name="표준 4 7 5" xfId="4485"/>
    <cellStyle name="표준 4 7 5 2" xfId="27869"/>
    <cellStyle name="표준 4 7 6" xfId="27870"/>
    <cellStyle name="표준 4 7 7" xfId="27871"/>
    <cellStyle name="표준 4 7 8" xfId="27872"/>
    <cellStyle name="표준 4 7 9" xfId="27873"/>
    <cellStyle name="표준 4 8" xfId="4486"/>
    <cellStyle name="표준 4 8 10" xfId="27874"/>
    <cellStyle name="표준 4 8 11" xfId="27875"/>
    <cellStyle name="표준 4 8 12" xfId="27876"/>
    <cellStyle name="표준 4 8 13" xfId="28155"/>
    <cellStyle name="표준 4 8 14" xfId="30383"/>
    <cellStyle name="표준 4 8 2" xfId="4487"/>
    <cellStyle name="표준 4 8 2 2" xfId="4488"/>
    <cellStyle name="표준 4 8 2 3" xfId="27877"/>
    <cellStyle name="표준 4 8 3" xfId="4489"/>
    <cellStyle name="표준 4 8 3 2" xfId="27878"/>
    <cellStyle name="표준 4 8 3 3" xfId="29766"/>
    <cellStyle name="표준 4 8 4" xfId="4490"/>
    <cellStyle name="표준 4 8 4 2" xfId="27879"/>
    <cellStyle name="표준 4 8 5" xfId="27880"/>
    <cellStyle name="표준 4 8 6" xfId="27881"/>
    <cellStyle name="표준 4 8 7" xfId="27882"/>
    <cellStyle name="표준 4 8 8" xfId="27883"/>
    <cellStyle name="표준 4 8 9" xfId="27884"/>
    <cellStyle name="표준 4 9" xfId="4491"/>
    <cellStyle name="표준 4 9 2" xfId="4492"/>
    <cellStyle name="표준 4 9 2 2" xfId="29768"/>
    <cellStyle name="표준 4 9 3" xfId="4493"/>
    <cellStyle name="표준 4 9 3 2" xfId="27885"/>
    <cellStyle name="표준 4 9 3 3" xfId="29794"/>
    <cellStyle name="표준 4 9 4" xfId="27886"/>
    <cellStyle name="표준 4 9 5" xfId="27887"/>
    <cellStyle name="표준 4 9 6" xfId="27888"/>
    <cellStyle name="표준 4 9 7" xfId="30384"/>
    <cellStyle name="표준 4_광명시법원" xfId="27889"/>
    <cellStyle name="표준 40" xfId="27890"/>
    <cellStyle name="표준 41" xfId="27891"/>
    <cellStyle name="표준 41 2" xfId="31184"/>
    <cellStyle name="표준 41 3" xfId="31183"/>
    <cellStyle name="표준 41 4" xfId="31182"/>
    <cellStyle name="표준 41 5" xfId="31181"/>
    <cellStyle name="표준 41 6" xfId="31180"/>
    <cellStyle name="표준 41 7" xfId="31179"/>
    <cellStyle name="표준 41 8" xfId="31178"/>
    <cellStyle name="표준 42" xfId="27892"/>
    <cellStyle name="표준 42 2" xfId="31177"/>
    <cellStyle name="표준 42 3" xfId="31176"/>
    <cellStyle name="표준 42 4" xfId="31175"/>
    <cellStyle name="표준 42 5" xfId="31174"/>
    <cellStyle name="표준 42 6" xfId="31173"/>
    <cellStyle name="표준 42 7" xfId="31172"/>
    <cellStyle name="표준 42 8" xfId="31171"/>
    <cellStyle name="표준 43" xfId="27893"/>
    <cellStyle name="표준 44" xfId="27894"/>
    <cellStyle name="표준 44 2" xfId="31170"/>
    <cellStyle name="표준 44 3" xfId="31169"/>
    <cellStyle name="표준 44 4" xfId="31168"/>
    <cellStyle name="표준 44 5" xfId="31167"/>
    <cellStyle name="표준 44 6" xfId="31166"/>
    <cellStyle name="표준 44 7" xfId="31165"/>
    <cellStyle name="표준 44 8" xfId="31164"/>
    <cellStyle name="표준 45" xfId="27895"/>
    <cellStyle name="표준 45 2" xfId="31163"/>
    <cellStyle name="표준 45 3" xfId="31162"/>
    <cellStyle name="표준 45 4" xfId="31161"/>
    <cellStyle name="표준 45 5" xfId="31160"/>
    <cellStyle name="표준 45 6" xfId="31159"/>
    <cellStyle name="표준 45 7" xfId="31158"/>
    <cellStyle name="표준 45 8" xfId="31157"/>
    <cellStyle name="표준 46" xfId="27896"/>
    <cellStyle name="표준 46 2" xfId="31156"/>
    <cellStyle name="표준 46 3" xfId="31155"/>
    <cellStyle name="표준 46 4" xfId="31154"/>
    <cellStyle name="표준 46 5" xfId="31153"/>
    <cellStyle name="표준 46 6" xfId="31152"/>
    <cellStyle name="표준 46 7" xfId="31151"/>
    <cellStyle name="표준 46 8" xfId="31150"/>
    <cellStyle name="표준 47" xfId="27897"/>
    <cellStyle name="표준 47 2" xfId="31149"/>
    <cellStyle name="표준 47 3" xfId="31148"/>
    <cellStyle name="표준 47 4" xfId="31147"/>
    <cellStyle name="표준 47 5" xfId="31146"/>
    <cellStyle name="표준 47 6" xfId="31145"/>
    <cellStyle name="표준 47 7" xfId="31144"/>
    <cellStyle name="표준 47 8" xfId="31143"/>
    <cellStyle name="표준 48" xfId="27898"/>
    <cellStyle name="표준 48 2" xfId="31142"/>
    <cellStyle name="표준 48 3" xfId="31141"/>
    <cellStyle name="표준 48 4" xfId="31140"/>
    <cellStyle name="표준 48 5" xfId="31139"/>
    <cellStyle name="표준 48 6" xfId="31138"/>
    <cellStyle name="표준 48 7" xfId="31137"/>
    <cellStyle name="표준 48 8" xfId="31136"/>
    <cellStyle name="표준 49" xfId="27899"/>
    <cellStyle name="표준 49 2" xfId="29672"/>
    <cellStyle name="표준 49 2 2" xfId="30732"/>
    <cellStyle name="표준 49 2 2 2" xfId="30782"/>
    <cellStyle name="표준 49 2 2 2 2" xfId="30879"/>
    <cellStyle name="표준 49 2 2 2 2 2" xfId="32233"/>
    <cellStyle name="표준 49 2 2 2 3" xfId="32138"/>
    <cellStyle name="표준 49 2 2 3" xfId="30832"/>
    <cellStyle name="표준 49 2 2 3 2" xfId="32186"/>
    <cellStyle name="표준 49 2 2 4" xfId="32091"/>
    <cellStyle name="표준 49 2 3" xfId="30759"/>
    <cellStyle name="표준 49 2 3 2" xfId="30856"/>
    <cellStyle name="표준 49 2 3 2 2" xfId="32210"/>
    <cellStyle name="표준 49 2 3 3" xfId="32115"/>
    <cellStyle name="표준 49 2 4" xfId="30809"/>
    <cellStyle name="표준 49 2 4 2" xfId="32163"/>
    <cellStyle name="표준 49 2 5" xfId="32068"/>
    <cellStyle name="표준 5" xfId="4494"/>
    <cellStyle name="표준 5 10" xfId="4495"/>
    <cellStyle name="표준 5 10 2" xfId="4496"/>
    <cellStyle name="표준 5 10 2 2" xfId="31134"/>
    <cellStyle name="표준 5 10 3" xfId="4497"/>
    <cellStyle name="표준 5 10 3 2" xfId="31133"/>
    <cellStyle name="표준 5 10 4" xfId="31132"/>
    <cellStyle name="표준 5 11" xfId="4498"/>
    <cellStyle name="표준 5 12" xfId="4499"/>
    <cellStyle name="표준 5 13" xfId="27900"/>
    <cellStyle name="표준 5 14" xfId="27901"/>
    <cellStyle name="표준 5 15" xfId="27902"/>
    <cellStyle name="표준 5 16" xfId="27903"/>
    <cellStyle name="표준 5 17" xfId="27904"/>
    <cellStyle name="표준 5 18" xfId="27905"/>
    <cellStyle name="표준 5 18 2" xfId="31131"/>
    <cellStyle name="표준 5 19" xfId="27906"/>
    <cellStyle name="표준 5 19 2" xfId="31130"/>
    <cellStyle name="표준 5 2" xfId="4500"/>
    <cellStyle name="표준 5 2 10" xfId="4501"/>
    <cellStyle name="표준 5 2 11" xfId="30711"/>
    <cellStyle name="표준 5 2 12" xfId="30699"/>
    <cellStyle name="표준 5 2 13" xfId="31006"/>
    <cellStyle name="표준 5 2 13 2" xfId="32357"/>
    <cellStyle name="표준 5 2 2" xfId="4502"/>
    <cellStyle name="표준 5 2 2 2" xfId="4503"/>
    <cellStyle name="표준 5 2 2 2 2" xfId="4504"/>
    <cellStyle name="표준 5 2 2 2 2 2" xfId="4505"/>
    <cellStyle name="표준 5 2 2 2 2 2 2" xfId="4506"/>
    <cellStyle name="표준 5 2 2 2 2 2 3" xfId="4507"/>
    <cellStyle name="표준 5 2 2 2 2 3" xfId="4508"/>
    <cellStyle name="표준 5 2 2 2 2 3 2" xfId="4509"/>
    <cellStyle name="표준 5 2 2 2 2 4" xfId="4510"/>
    <cellStyle name="표준 5 2 2 2 3" xfId="4511"/>
    <cellStyle name="표준 5 2 2 2 3 2" xfId="4512"/>
    <cellStyle name="표준 5 2 2 2 3 3" xfId="4513"/>
    <cellStyle name="표준 5 2 2 2 4" xfId="4514"/>
    <cellStyle name="표준 5 2 2 2 4 2" xfId="4515"/>
    <cellStyle name="표준 5 2 2 2 5" xfId="4516"/>
    <cellStyle name="표준 5 2 2 2 6" xfId="4517"/>
    <cellStyle name="표준 5 2 2 3" xfId="4518"/>
    <cellStyle name="표준 5 2 2 3 2" xfId="4519"/>
    <cellStyle name="표준 5 2 2 3 2 2" xfId="4520"/>
    <cellStyle name="표준 5 2 2 3 2 3" xfId="4521"/>
    <cellStyle name="표준 5 2 2 3 3" xfId="4522"/>
    <cellStyle name="표준 5 2 2 3 3 2" xfId="4523"/>
    <cellStyle name="표준 5 2 2 3 4" xfId="4524"/>
    <cellStyle name="표준 5 2 2 3 5" xfId="4525"/>
    <cellStyle name="표준 5 2 2 4" xfId="4526"/>
    <cellStyle name="표준 5 2 2 4 2" xfId="4527"/>
    <cellStyle name="표준 5 2 2 4 3" xfId="4528"/>
    <cellStyle name="표준 5 2 2 5" xfId="4529"/>
    <cellStyle name="표준 5 2 2 5 2" xfId="4530"/>
    <cellStyle name="표준 5 2 2 6" xfId="4531"/>
    <cellStyle name="표준 5 2 2 7" xfId="4532"/>
    <cellStyle name="표준 5 2 2 8" xfId="27907"/>
    <cellStyle name="표준 5 2 2 9" xfId="30919"/>
    <cellStyle name="표준 5 2 2 9 2" xfId="32273"/>
    <cellStyle name="표준 5 2 3" xfId="4533"/>
    <cellStyle name="표준 5 2 3 2" xfId="4534"/>
    <cellStyle name="표준 5 2 3 2 2" xfId="4535"/>
    <cellStyle name="표준 5 2 3 2 2 2" xfId="4536"/>
    <cellStyle name="표준 5 2 3 2 2 3" xfId="4537"/>
    <cellStyle name="표준 5 2 3 2 2 4" xfId="4538"/>
    <cellStyle name="표준 5 2 3 2 3" xfId="4539"/>
    <cellStyle name="표준 5 2 3 2 3 2" xfId="4540"/>
    <cellStyle name="표준 5 2 3 2 3 2 2" xfId="4541"/>
    <cellStyle name="표준 5 2 3 2 3 3" xfId="4542"/>
    <cellStyle name="표준 5 2 3 2 4" xfId="4543"/>
    <cellStyle name="표준 5 2 3 2 4 2" xfId="4544"/>
    <cellStyle name="표준 5 2 3 2 5" xfId="4545"/>
    <cellStyle name="표준 5 2 3 3" xfId="4546"/>
    <cellStyle name="표준 5 2 3 3 2" xfId="4547"/>
    <cellStyle name="표준 5 2 3 3 3" xfId="4548"/>
    <cellStyle name="표준 5 2 3 3 4" xfId="4549"/>
    <cellStyle name="표준 5 2 3 4" xfId="4550"/>
    <cellStyle name="표준 5 2 3 4 2" xfId="4551"/>
    <cellStyle name="표준 5 2 3 4 2 2" xfId="4552"/>
    <cellStyle name="표준 5 2 3 4 3" xfId="4553"/>
    <cellStyle name="표준 5 2 3 5" xfId="4554"/>
    <cellStyle name="표준 5 2 3 5 2" xfId="4555"/>
    <cellStyle name="표준 5 2 3 6" xfId="4556"/>
    <cellStyle name="표준 5 2 3 7" xfId="4557"/>
    <cellStyle name="표준 5 2 3 8" xfId="27908"/>
    <cellStyle name="표준 5 2 4" xfId="4558"/>
    <cellStyle name="표준 5 2 4 2" xfId="4559"/>
    <cellStyle name="표준 5 2 4 2 2" xfId="4560"/>
    <cellStyle name="표준 5 2 4 2 3" xfId="4561"/>
    <cellStyle name="표준 5 2 4 2 4" xfId="4562"/>
    <cellStyle name="표준 5 2 4 3" xfId="4563"/>
    <cellStyle name="표준 5 2 4 3 2" xfId="4564"/>
    <cellStyle name="표준 5 2 4 3 2 2" xfId="4565"/>
    <cellStyle name="표준 5 2 4 3 3" xfId="4566"/>
    <cellStyle name="표준 5 2 4 4" xfId="4567"/>
    <cellStyle name="표준 5 2 4 4 2" xfId="4568"/>
    <cellStyle name="표준 5 2 4 5" xfId="4569"/>
    <cellStyle name="표준 5 2 4 6" xfId="27909"/>
    <cellStyle name="표준 5 2 5" xfId="4570"/>
    <cellStyle name="표준 5 2 5 2" xfId="4571"/>
    <cellStyle name="표준 5 2 5 2 2" xfId="4572"/>
    <cellStyle name="표준 5 2 5 3" xfId="4573"/>
    <cellStyle name="표준 5 2 5 4" xfId="4574"/>
    <cellStyle name="표준 5 2 5 5" xfId="4575"/>
    <cellStyle name="표준 5 2 5 6" xfId="27910"/>
    <cellStyle name="표준 5 2 6" xfId="4576"/>
    <cellStyle name="표준 5 2 6 2" xfId="4577"/>
    <cellStyle name="표준 5 2 6 3" xfId="4578"/>
    <cellStyle name="표준 5 2 6 4" xfId="4579"/>
    <cellStyle name="표준 5 2 6 5" xfId="4580"/>
    <cellStyle name="표준 5 2 6 6" xfId="4581"/>
    <cellStyle name="표준 5 2 6 7" xfId="27911"/>
    <cellStyle name="표준 5 2 6 8" xfId="28153"/>
    <cellStyle name="표준 5 2 7" xfId="4582"/>
    <cellStyle name="표준 5 2 7 2" xfId="4583"/>
    <cellStyle name="표준 5 2 7 3" xfId="4584"/>
    <cellStyle name="표준 5 2 7 4" xfId="27912"/>
    <cellStyle name="표준 5 2 8" xfId="4585"/>
    <cellStyle name="표준 5 2 8 2" xfId="4586"/>
    <cellStyle name="표준 5 2 8 3" xfId="27913"/>
    <cellStyle name="표준 5 2 9" xfId="4587"/>
    <cellStyle name="표준 5 20" xfId="27914"/>
    <cellStyle name="표준 5 20 2" xfId="31129"/>
    <cellStyle name="표준 5 21" xfId="27915"/>
    <cellStyle name="표준 5 21 2" xfId="31128"/>
    <cellStyle name="표준 5 22" xfId="27916"/>
    <cellStyle name="표준 5 22 2" xfId="31127"/>
    <cellStyle name="표준 5 23" xfId="27917"/>
    <cellStyle name="표준 5 23 2" xfId="31126"/>
    <cellStyle name="표준 5 24" xfId="27918"/>
    <cellStyle name="표준 5 24 2" xfId="31125"/>
    <cellStyle name="표준 5 25" xfId="27919"/>
    <cellStyle name="표준 5 25 2" xfId="31124"/>
    <cellStyle name="표준 5 26" xfId="28154"/>
    <cellStyle name="표준 5 26 2" xfId="31123"/>
    <cellStyle name="표준 5 27" xfId="31021"/>
    <cellStyle name="표준 5 27 2" xfId="31122"/>
    <cellStyle name="표준 5 27 3" xfId="32371"/>
    <cellStyle name="표준 5 28" xfId="31121"/>
    <cellStyle name="표준 5 29" xfId="31120"/>
    <cellStyle name="표준 5 3" xfId="4588"/>
    <cellStyle name="표준 5 3 10" xfId="27920"/>
    <cellStyle name="표준 5 3 11" xfId="27921"/>
    <cellStyle name="표준 5 3 12" xfId="30937"/>
    <cellStyle name="표준 5 3 12 2" xfId="32290"/>
    <cellStyle name="표준 5 3 13" xfId="31119"/>
    <cellStyle name="표준 5 3 2" xfId="4589"/>
    <cellStyle name="표준 5 3 2 2" xfId="4590"/>
    <cellStyle name="표준 5 3 2 2 2" xfId="4591"/>
    <cellStyle name="표준 5 3 2 2 2 2" xfId="4592"/>
    <cellStyle name="표준 5 3 2 2 2 3" xfId="4593"/>
    <cellStyle name="표준 5 3 2 2 3" xfId="4594"/>
    <cellStyle name="표준 5 3 2 2 3 2" xfId="4595"/>
    <cellStyle name="표준 5 3 2 2 4" xfId="4596"/>
    <cellStyle name="표준 5 3 2 2 5" xfId="4597"/>
    <cellStyle name="표준 5 3 2 3" xfId="4598"/>
    <cellStyle name="표준 5 3 2 3 2" xfId="4599"/>
    <cellStyle name="표준 5 3 2 3 3" xfId="4600"/>
    <cellStyle name="표준 5 3 2 4" xfId="4601"/>
    <cellStyle name="표준 5 3 2 4 2" xfId="4602"/>
    <cellStyle name="표준 5 3 2 5" xfId="4603"/>
    <cellStyle name="표준 5 3 2 6" xfId="4604"/>
    <cellStyle name="표준 5 3 2 7" xfId="27922"/>
    <cellStyle name="표준 5 3 3" xfId="4605"/>
    <cellStyle name="표준 5 3 3 2" xfId="4606"/>
    <cellStyle name="표준 5 3 3 2 2" xfId="4607"/>
    <cellStyle name="표준 5 3 3 2 3" xfId="4608"/>
    <cellStyle name="표준 5 3 3 2 4" xfId="4609"/>
    <cellStyle name="표준 5 3 3 3" xfId="4610"/>
    <cellStyle name="표준 5 3 3 3 2" xfId="4611"/>
    <cellStyle name="표준 5 3 3 4" xfId="4612"/>
    <cellStyle name="표준 5 3 3 5" xfId="4613"/>
    <cellStyle name="표준 5 3 3 6" xfId="27923"/>
    <cellStyle name="표준 5 3 4" xfId="4614"/>
    <cellStyle name="표준 5 3 4 2" xfId="4615"/>
    <cellStyle name="표준 5 3 4 3" xfId="4616"/>
    <cellStyle name="표준 5 3 4 4" xfId="4617"/>
    <cellStyle name="표준 5 3 4 5" xfId="27924"/>
    <cellStyle name="표준 5 3 5" xfId="4618"/>
    <cellStyle name="표준 5 3 5 2" xfId="4619"/>
    <cellStyle name="표준 5 3 5 3" xfId="4620"/>
    <cellStyle name="표준 5 3 5 4" xfId="4621"/>
    <cellStyle name="표준 5 3 5 5" xfId="4622"/>
    <cellStyle name="표준 5 3 5 6" xfId="27925"/>
    <cellStyle name="표준 5 3 5 7" xfId="28152"/>
    <cellStyle name="표준 5 3 6" xfId="4623"/>
    <cellStyle name="표준 5 3 6 2" xfId="4624"/>
    <cellStyle name="표준 5 3 6 3" xfId="27926"/>
    <cellStyle name="표준 5 3 7" xfId="4625"/>
    <cellStyle name="표준 5 3 7 2" xfId="27927"/>
    <cellStyle name="표준 5 3 8" xfId="27928"/>
    <cellStyle name="표준 5 3 9" xfId="27929"/>
    <cellStyle name="표준 5 30" xfId="31118"/>
    <cellStyle name="표준 5 31" xfId="31117"/>
    <cellStyle name="표준 5 32" xfId="31116"/>
    <cellStyle name="표준 5 33" xfId="31135"/>
    <cellStyle name="표준 5 4" xfId="4626"/>
    <cellStyle name="표준 5 4 10" xfId="27930"/>
    <cellStyle name="표준 5 4 11" xfId="27931"/>
    <cellStyle name="표준 5 4 2" xfId="4627"/>
    <cellStyle name="표준 5 4 2 2" xfId="4628"/>
    <cellStyle name="표준 5 4 2 2 2" xfId="4629"/>
    <cellStyle name="표준 5 4 2 2 3" xfId="4630"/>
    <cellStyle name="표준 5 4 2 3" xfId="4631"/>
    <cellStyle name="표준 5 4 2 3 2" xfId="4632"/>
    <cellStyle name="표준 5 4 2 4" xfId="4633"/>
    <cellStyle name="표준 5 4 2 5" xfId="4634"/>
    <cellStyle name="표준 5 4 2 6" xfId="4635"/>
    <cellStyle name="표준 5 4 2 7" xfId="4636"/>
    <cellStyle name="표준 5 4 2 8" xfId="27932"/>
    <cellStyle name="표준 5 4 2 9" xfId="28151"/>
    <cellStyle name="표준 5 4 3" xfId="4637"/>
    <cellStyle name="표준 5 4 3 2" xfId="4638"/>
    <cellStyle name="표준 5 4 3 3" xfId="4639"/>
    <cellStyle name="표준 5 4 3 4" xfId="4640"/>
    <cellStyle name="표준 5 4 3 5" xfId="27933"/>
    <cellStyle name="표준 5 4 4" xfId="4641"/>
    <cellStyle name="표준 5 4 4 2" xfId="4642"/>
    <cellStyle name="표준 5 4 4 3" xfId="27934"/>
    <cellStyle name="표준 5 4 5" xfId="4643"/>
    <cellStyle name="표준 5 4 5 2" xfId="27935"/>
    <cellStyle name="표준 5 4 6" xfId="4644"/>
    <cellStyle name="표준 5 4 6 2" xfId="27936"/>
    <cellStyle name="표준 5 4 7" xfId="27937"/>
    <cellStyle name="표준 5 4 8" xfId="27938"/>
    <cellStyle name="표준 5 4 9" xfId="27939"/>
    <cellStyle name="표준 5 5" xfId="4645"/>
    <cellStyle name="표준 5 5 2" xfId="4646"/>
    <cellStyle name="표준 5 5 2 2" xfId="4647"/>
    <cellStyle name="표준 5 5 2 3" xfId="4648"/>
    <cellStyle name="표준 5 5 2 4" xfId="4649"/>
    <cellStyle name="표준 5 5 2 5" xfId="27940"/>
    <cellStyle name="표준 5 5 3" xfId="4650"/>
    <cellStyle name="표준 5 5 3 2" xfId="4651"/>
    <cellStyle name="표준 5 5 3 3" xfId="27941"/>
    <cellStyle name="표준 5 5 4" xfId="4652"/>
    <cellStyle name="표준 5 5 4 2" xfId="27942"/>
    <cellStyle name="표준 5 5 5" xfId="4653"/>
    <cellStyle name="표준 5 5 5 2" xfId="27943"/>
    <cellStyle name="표준 5 5 6" xfId="27944"/>
    <cellStyle name="표준 5 5 7" xfId="27945"/>
    <cellStyle name="표준 5 5 8" xfId="27946"/>
    <cellStyle name="표준 5 6" xfId="4654"/>
    <cellStyle name="표준 5 6 2" xfId="4655"/>
    <cellStyle name="표준 5 6 2 2" xfId="4656"/>
    <cellStyle name="표준 5 6 2 3" xfId="27947"/>
    <cellStyle name="표준 5 6 3" xfId="4657"/>
    <cellStyle name="표준 5 6 3 2" xfId="27948"/>
    <cellStyle name="표준 5 6 4" xfId="4658"/>
    <cellStyle name="표준 5 6 4 2" xfId="27949"/>
    <cellStyle name="표준 5 6 5" xfId="4659"/>
    <cellStyle name="표준 5 6 5 2" xfId="27950"/>
    <cellStyle name="표준 5 6 6" xfId="27951"/>
    <cellStyle name="표준 5 6 7" xfId="27952"/>
    <cellStyle name="표준 5 6 8" xfId="27953"/>
    <cellStyle name="표준 5 7" xfId="4660"/>
    <cellStyle name="표준 5 7 2" xfId="4661"/>
    <cellStyle name="표준 5 7 2 2" xfId="4662"/>
    <cellStyle name="표준 5 7 2 3" xfId="27954"/>
    <cellStyle name="표준 5 7 3" xfId="4663"/>
    <cellStyle name="표준 5 7 3 2" xfId="27955"/>
    <cellStyle name="표준 5 7 4" xfId="4664"/>
    <cellStyle name="표준 5 7 4 2" xfId="27956"/>
    <cellStyle name="표준 5 7 5" xfId="27957"/>
    <cellStyle name="표준 5 7 6" xfId="27958"/>
    <cellStyle name="표준 5 7 7" xfId="27959"/>
    <cellStyle name="표준 5 7 8" xfId="27960"/>
    <cellStyle name="표준 5 8" xfId="4665"/>
    <cellStyle name="표준 5 8 2" xfId="4666"/>
    <cellStyle name="표준 5 9" xfId="4667"/>
    <cellStyle name="표준 5 9 2" xfId="4668"/>
    <cellStyle name="표준 50" xfId="27961"/>
    <cellStyle name="표준 51" xfId="27962"/>
    <cellStyle name="표준 52" xfId="27963"/>
    <cellStyle name="표준 52 2" xfId="31115"/>
    <cellStyle name="표준 52 3" xfId="31114"/>
    <cellStyle name="표준 52 4" xfId="31113"/>
    <cellStyle name="표준 52 5" xfId="31112"/>
    <cellStyle name="표준 52 6" xfId="31111"/>
    <cellStyle name="표준 52 7" xfId="31110"/>
    <cellStyle name="표준 52 8" xfId="31109"/>
    <cellStyle name="표준 53" xfId="27964"/>
    <cellStyle name="표준 53 2" xfId="31108"/>
    <cellStyle name="표준 53 3" xfId="31107"/>
    <cellStyle name="표준 53 4" xfId="31106"/>
    <cellStyle name="표준 53 5" xfId="31105"/>
    <cellStyle name="표준 53 6" xfId="31104"/>
    <cellStyle name="표준 53 7" xfId="31103"/>
    <cellStyle name="표준 53 8" xfId="31102"/>
    <cellStyle name="표준 54" xfId="27965"/>
    <cellStyle name="표준 55" xfId="27966"/>
    <cellStyle name="표준 55 2" xfId="31101"/>
    <cellStyle name="표준 55 3" xfId="31100"/>
    <cellStyle name="표준 55 4" xfId="31099"/>
    <cellStyle name="표준 55 5" xfId="31098"/>
    <cellStyle name="표준 55 6" xfId="31097"/>
    <cellStyle name="표준 55 7" xfId="31096"/>
    <cellStyle name="표준 55 8" xfId="31095"/>
    <cellStyle name="표준 56" xfId="27967"/>
    <cellStyle name="표준 56 2" xfId="31094"/>
    <cellStyle name="표준 56 3" xfId="31093"/>
    <cellStyle name="표준 56 4" xfId="31092"/>
    <cellStyle name="표준 56 5" xfId="31091"/>
    <cellStyle name="표준 56 6" xfId="31090"/>
    <cellStyle name="표준 56 7" xfId="31089"/>
    <cellStyle name="표준 56 8" xfId="31088"/>
    <cellStyle name="표준 57" xfId="27968"/>
    <cellStyle name="표준 58" xfId="27969"/>
    <cellStyle name="표준 58 2" xfId="31087"/>
    <cellStyle name="표준 58 3" xfId="31086"/>
    <cellStyle name="표준 58 4" xfId="31085"/>
    <cellStyle name="표준 58 5" xfId="31084"/>
    <cellStyle name="표준 58 6" xfId="31083"/>
    <cellStyle name="표준 58 7" xfId="31082"/>
    <cellStyle name="표준 58 8" xfId="31081"/>
    <cellStyle name="표준 59" xfId="27970"/>
    <cellStyle name="표준 59 2" xfId="31080"/>
    <cellStyle name="표준 59 3" xfId="31079"/>
    <cellStyle name="표준 59 4" xfId="31078"/>
    <cellStyle name="표준 59 5" xfId="31077"/>
    <cellStyle name="표준 59 6" xfId="31076"/>
    <cellStyle name="표준 59 7" xfId="31075"/>
    <cellStyle name="표준 59 8" xfId="31074"/>
    <cellStyle name="표준 6" xfId="4669"/>
    <cellStyle name="표준 6 10" xfId="4670"/>
    <cellStyle name="표준 6 11" xfId="4671"/>
    <cellStyle name="표준 6 12" xfId="30712"/>
    <cellStyle name="표준 6 13" xfId="30700"/>
    <cellStyle name="표준 6 2" xfId="4672"/>
    <cellStyle name="표준 6 2 10" xfId="4673"/>
    <cellStyle name="표준 6 2 10 2" xfId="27971"/>
    <cellStyle name="표준 6 2 11" xfId="27972"/>
    <cellStyle name="표준 6 2 12" xfId="27973"/>
    <cellStyle name="표준 6 2 13" xfId="27974"/>
    <cellStyle name="표준 6 2 14" xfId="27975"/>
    <cellStyle name="표준 6 2 15" xfId="27976"/>
    <cellStyle name="표준 6 2 16" xfId="27977"/>
    <cellStyle name="표준 6 2 17" xfId="27978"/>
    <cellStyle name="표준 6 2 18" xfId="27979"/>
    <cellStyle name="표준 6 2 19" xfId="27980"/>
    <cellStyle name="표준 6 2 2" xfId="4674"/>
    <cellStyle name="표준 6 2 2 2" xfId="4675"/>
    <cellStyle name="표준 6 2 2 2 2" xfId="4676"/>
    <cellStyle name="표준 6 2 2 2 2 2" xfId="4677"/>
    <cellStyle name="표준 6 2 2 2 2 2 2" xfId="4678"/>
    <cellStyle name="표준 6 2 2 2 2 2 3" xfId="4679"/>
    <cellStyle name="표준 6 2 2 2 2 3" xfId="4680"/>
    <cellStyle name="표준 6 2 2 2 2 3 2" xfId="4681"/>
    <cellStyle name="표준 6 2 2 2 2 4" xfId="4682"/>
    <cellStyle name="표준 6 2 2 2 3" xfId="4683"/>
    <cellStyle name="표준 6 2 2 2 3 2" xfId="4684"/>
    <cellStyle name="표준 6 2 2 2 3 3" xfId="4685"/>
    <cellStyle name="표준 6 2 2 2 4" xfId="4686"/>
    <cellStyle name="표준 6 2 2 2 4 2" xfId="4687"/>
    <cellStyle name="표준 6 2 2 2 5" xfId="4688"/>
    <cellStyle name="표준 6 2 2 2 6" xfId="4689"/>
    <cellStyle name="표준 6 2 2 3" xfId="4690"/>
    <cellStyle name="표준 6 2 2 3 2" xfId="4691"/>
    <cellStyle name="표준 6 2 2 3 2 2" xfId="4692"/>
    <cellStyle name="표준 6 2 2 3 2 3" xfId="4693"/>
    <cellStyle name="표준 6 2 2 3 3" xfId="4694"/>
    <cellStyle name="표준 6 2 2 3 3 2" xfId="4695"/>
    <cellStyle name="표준 6 2 2 3 4" xfId="4696"/>
    <cellStyle name="표준 6 2 2 3 5" xfId="4697"/>
    <cellStyle name="표준 6 2 2 4" xfId="4698"/>
    <cellStyle name="표준 6 2 2 4 2" xfId="4699"/>
    <cellStyle name="표준 6 2 2 4 3" xfId="4700"/>
    <cellStyle name="표준 6 2 2 5" xfId="4701"/>
    <cellStyle name="표준 6 2 2 5 2" xfId="4702"/>
    <cellStyle name="표준 6 2 2 6" xfId="4703"/>
    <cellStyle name="표준 6 2 2 7" xfId="4704"/>
    <cellStyle name="표준 6 2 2 8" xfId="27981"/>
    <cellStyle name="표준 6 2 20" xfId="27982"/>
    <cellStyle name="표준 6 2 21" xfId="27983"/>
    <cellStyle name="표준 6 2 22" xfId="27984"/>
    <cellStyle name="표준 6 2 23" xfId="27985"/>
    <cellStyle name="표준 6 2 24" xfId="27986"/>
    <cellStyle name="표준 6 2 25" xfId="27987"/>
    <cellStyle name="표준 6 2 26" xfId="27988"/>
    <cellStyle name="표준 6 2 27" xfId="27989"/>
    <cellStyle name="표준 6 2 28" xfId="27990"/>
    <cellStyle name="표준 6 2 29" xfId="27991"/>
    <cellStyle name="표준 6 2 3" xfId="4705"/>
    <cellStyle name="표준 6 2 3 2" xfId="4706"/>
    <cellStyle name="표준 6 2 3 2 2" xfId="4707"/>
    <cellStyle name="표준 6 2 3 2 2 2" xfId="4708"/>
    <cellStyle name="표준 6 2 3 2 2 3" xfId="4709"/>
    <cellStyle name="표준 6 2 3 2 2 4" xfId="4710"/>
    <cellStyle name="표준 6 2 3 2 3" xfId="4711"/>
    <cellStyle name="표준 6 2 3 2 3 2" xfId="4712"/>
    <cellStyle name="표준 6 2 3 2 3 2 2" xfId="4713"/>
    <cellStyle name="표준 6 2 3 2 3 3" xfId="4714"/>
    <cellStyle name="표준 6 2 3 2 4" xfId="4715"/>
    <cellStyle name="표준 6 2 3 2 4 2" xfId="4716"/>
    <cellStyle name="표준 6 2 3 2 5" xfId="4717"/>
    <cellStyle name="표준 6 2 3 3" xfId="4718"/>
    <cellStyle name="표준 6 2 3 3 2" xfId="4719"/>
    <cellStyle name="표준 6 2 3 3 3" xfId="4720"/>
    <cellStyle name="표준 6 2 3 3 4" xfId="4721"/>
    <cellStyle name="표준 6 2 3 4" xfId="4722"/>
    <cellStyle name="표준 6 2 3 4 2" xfId="4723"/>
    <cellStyle name="표준 6 2 3 4 2 2" xfId="4724"/>
    <cellStyle name="표준 6 2 3 4 3" xfId="4725"/>
    <cellStyle name="표준 6 2 3 5" xfId="4726"/>
    <cellStyle name="표준 6 2 3 5 2" xfId="4727"/>
    <cellStyle name="표준 6 2 3 6" xfId="4728"/>
    <cellStyle name="표준 6 2 3 7" xfId="4729"/>
    <cellStyle name="표준 6 2 3 8" xfId="27992"/>
    <cellStyle name="표준 6 2 30" xfId="27993"/>
    <cellStyle name="표준 6 2 31" xfId="27994"/>
    <cellStyle name="표준 6 2 4" xfId="4730"/>
    <cellStyle name="표준 6 2 4 2" xfId="4731"/>
    <cellStyle name="표준 6 2 4 2 2" xfId="4732"/>
    <cellStyle name="표준 6 2 4 2 3" xfId="4733"/>
    <cellStyle name="표준 6 2 4 2 4" xfId="4734"/>
    <cellStyle name="표준 6 2 4 3" xfId="4735"/>
    <cellStyle name="표준 6 2 4 3 2" xfId="4736"/>
    <cellStyle name="표준 6 2 4 3 2 2" xfId="4737"/>
    <cellStyle name="표준 6 2 4 3 3" xfId="4738"/>
    <cellStyle name="표준 6 2 4 4" xfId="4739"/>
    <cellStyle name="표준 6 2 4 4 2" xfId="4740"/>
    <cellStyle name="표준 6 2 4 5" xfId="4741"/>
    <cellStyle name="표준 6 2 4 6" xfId="27995"/>
    <cellStyle name="표준 6 2 5" xfId="4742"/>
    <cellStyle name="표준 6 2 5 2" xfId="4743"/>
    <cellStyle name="표준 6 2 5 3" xfId="4744"/>
    <cellStyle name="표준 6 2 5 4" xfId="4745"/>
    <cellStyle name="표준 6 2 5 5" xfId="27996"/>
    <cellStyle name="표준 6 2 6" xfId="4746"/>
    <cellStyle name="표준 6 2 6 2" xfId="4747"/>
    <cellStyle name="표준 6 2 6 3" xfId="4748"/>
    <cellStyle name="표준 6 2 6 4" xfId="4749"/>
    <cellStyle name="표준 6 2 6 5" xfId="4750"/>
    <cellStyle name="표준 6 2 6 6" xfId="27997"/>
    <cellStyle name="표준 6 2 6 7" xfId="28150"/>
    <cellStyle name="표준 6 2 7" xfId="4751"/>
    <cellStyle name="표준 6 2 7 2" xfId="4752"/>
    <cellStyle name="표준 6 2 7 3" xfId="4753"/>
    <cellStyle name="표준 6 2 7 4" xfId="27998"/>
    <cellStyle name="표준 6 2 8" xfId="4754"/>
    <cellStyle name="표준 6 2 8 2" xfId="27999"/>
    <cellStyle name="표준 6 2 9" xfId="4755"/>
    <cellStyle name="표준 6 2 9 2" xfId="28000"/>
    <cellStyle name="표준 6 3" xfId="4756"/>
    <cellStyle name="표준 6 3 10" xfId="32018"/>
    <cellStyle name="표준 6 3 11" xfId="31808"/>
    <cellStyle name="표준 6 3 12" xfId="31807"/>
    <cellStyle name="표준 6 3 13" xfId="31806"/>
    <cellStyle name="표준 6 3 2" xfId="4757"/>
    <cellStyle name="표준 6 3 2 2" xfId="4758"/>
    <cellStyle name="표준 6 3 2 2 2" xfId="4759"/>
    <cellStyle name="표준 6 3 2 2 2 2" xfId="4760"/>
    <cellStyle name="표준 6 3 2 2 2 3" xfId="4761"/>
    <cellStyle name="표준 6 3 2 2 3" xfId="4762"/>
    <cellStyle name="표준 6 3 2 2 3 2" xfId="4763"/>
    <cellStyle name="표준 6 3 2 2 4" xfId="4764"/>
    <cellStyle name="표준 6 3 2 2 5" xfId="4765"/>
    <cellStyle name="표준 6 3 2 3" xfId="4766"/>
    <cellStyle name="표준 6 3 2 3 2" xfId="4767"/>
    <cellStyle name="표준 6 3 2 3 3" xfId="4768"/>
    <cellStyle name="표준 6 3 2 4" xfId="4769"/>
    <cellStyle name="표준 6 3 2 4 2" xfId="4770"/>
    <cellStyle name="표준 6 3 2 5" xfId="4771"/>
    <cellStyle name="표준 6 3 2 6" xfId="4772"/>
    <cellStyle name="표준 6 3 2 7" xfId="28001"/>
    <cellStyle name="표준 6 3 3" xfId="4773"/>
    <cellStyle name="표준 6 3 3 2" xfId="4774"/>
    <cellStyle name="표준 6 3 3 2 2" xfId="4775"/>
    <cellStyle name="표준 6 3 3 2 3" xfId="4776"/>
    <cellStyle name="표준 6 3 3 2 4" xfId="4777"/>
    <cellStyle name="표준 6 3 3 3" xfId="4778"/>
    <cellStyle name="표준 6 3 3 3 2" xfId="4779"/>
    <cellStyle name="표준 6 3 3 4" xfId="4780"/>
    <cellStyle name="표준 6 3 3 5" xfId="4781"/>
    <cellStyle name="표준 6 3 3 6" xfId="28002"/>
    <cellStyle name="표준 6 3 4" xfId="4782"/>
    <cellStyle name="표준 6 3 4 2" xfId="4783"/>
    <cellStyle name="표준 6 3 4 3" xfId="4784"/>
    <cellStyle name="표준 6 3 4 4" xfId="4785"/>
    <cellStyle name="표준 6 3 4 5" xfId="28003"/>
    <cellStyle name="표준 6 3 5" xfId="4786"/>
    <cellStyle name="표준 6 3 5 2" xfId="4787"/>
    <cellStyle name="표준 6 3 5 3" xfId="4788"/>
    <cellStyle name="표준 6 3 5 4" xfId="4789"/>
    <cellStyle name="표준 6 3 5 5" xfId="4790"/>
    <cellStyle name="표준 6 3 5 6" xfId="28004"/>
    <cellStyle name="표준 6 3 5 7" xfId="28149"/>
    <cellStyle name="표준 6 3 6" xfId="4791"/>
    <cellStyle name="표준 6 3 6 2" xfId="4792"/>
    <cellStyle name="표준 6 3 7" xfId="4793"/>
    <cellStyle name="표준 6 3 8" xfId="32036"/>
    <cellStyle name="표준 6 3 9" xfId="31805"/>
    <cellStyle name="표준 6 4" xfId="4794"/>
    <cellStyle name="표준 6 4 2" xfId="4795"/>
    <cellStyle name="표준 6 4 2 2" xfId="4796"/>
    <cellStyle name="표준 6 4 2 2 2" xfId="4797"/>
    <cellStyle name="표준 6 4 2 2 3" xfId="4798"/>
    <cellStyle name="표준 6 4 2 3" xfId="4799"/>
    <cellStyle name="표준 6 4 2 3 2" xfId="4800"/>
    <cellStyle name="표준 6 4 2 4" xfId="4801"/>
    <cellStyle name="표준 6 4 2 5" xfId="4802"/>
    <cellStyle name="표준 6 4 2 6" xfId="4803"/>
    <cellStyle name="표준 6 4 2 7" xfId="4804"/>
    <cellStyle name="표준 6 4 2 8" xfId="28005"/>
    <cellStyle name="표준 6 4 2 9" xfId="28148"/>
    <cellStyle name="표준 6 4 3" xfId="4805"/>
    <cellStyle name="표준 6 4 3 2" xfId="4806"/>
    <cellStyle name="표준 6 4 3 3" xfId="4807"/>
    <cellStyle name="표준 6 4 3 4" xfId="4808"/>
    <cellStyle name="표준 6 4 3 5" xfId="4809"/>
    <cellStyle name="표준 6 4 3 6" xfId="4810"/>
    <cellStyle name="표준 6 4 3 7" xfId="28006"/>
    <cellStyle name="표준 6 4 3 8" xfId="28147"/>
    <cellStyle name="표준 6 4 4" xfId="4811"/>
    <cellStyle name="표준 6 4 4 2" xfId="4812"/>
    <cellStyle name="표준 6 4 4 3" xfId="4813"/>
    <cellStyle name="표준 6 4 4 4" xfId="28007"/>
    <cellStyle name="표준 6 4 5" xfId="4814"/>
    <cellStyle name="표준 6 4 6" xfId="4815"/>
    <cellStyle name="표준 6 5" xfId="4816"/>
    <cellStyle name="표준 6 5 2" xfId="4817"/>
    <cellStyle name="표준 6 5 2 2" xfId="4818"/>
    <cellStyle name="표준 6 5 2 3" xfId="4819"/>
    <cellStyle name="표준 6 5 2 4" xfId="4820"/>
    <cellStyle name="표준 6 5 3" xfId="4821"/>
    <cellStyle name="표준 6 5 3 2" xfId="4822"/>
    <cellStyle name="표준 6 5 3 3" xfId="4823"/>
    <cellStyle name="표준 6 5 3 4" xfId="4824"/>
    <cellStyle name="표준 6 5 3 5" xfId="4825"/>
    <cellStyle name="표준 6 5 3 6" xfId="28008"/>
    <cellStyle name="표준 6 5 3 7" xfId="28146"/>
    <cellStyle name="표준 6 5 4" xfId="4826"/>
    <cellStyle name="표준 6 5 5" xfId="4827"/>
    <cellStyle name="표준 6 6" xfId="4828"/>
    <cellStyle name="표준 6 6 2" xfId="4829"/>
    <cellStyle name="표준 6 6 2 2" xfId="4830"/>
    <cellStyle name="표준 6 6 2 3" xfId="30124"/>
    <cellStyle name="표준 6 6 3" xfId="4831"/>
    <cellStyle name="표준 6 6 3 2" xfId="29625"/>
    <cellStyle name="표준 6 6 4" xfId="4832"/>
    <cellStyle name="표준 6 6 5" xfId="4833"/>
    <cellStyle name="표준 6 6 6" xfId="30257"/>
    <cellStyle name="표준 6 7" xfId="4834"/>
    <cellStyle name="표준 6 7 2" xfId="4835"/>
    <cellStyle name="표준 6 7 2 2" xfId="4836"/>
    <cellStyle name="표준 6 7 3" xfId="4837"/>
    <cellStyle name="표준 6 7 4" xfId="4838"/>
    <cellStyle name="표준 6 8" xfId="4839"/>
    <cellStyle name="표준 6 8 2" xfId="4840"/>
    <cellStyle name="표준 6 9" xfId="4841"/>
    <cellStyle name="표준 6 9 2" xfId="4842"/>
    <cellStyle name="표준 6 9 3" xfId="4843"/>
    <cellStyle name="표준 6 9 4" xfId="4844"/>
    <cellStyle name="표준 6 9 5" xfId="28009"/>
    <cellStyle name="표준 6 9 6" xfId="28145"/>
    <cellStyle name="표준 60" xfId="28010"/>
    <cellStyle name="표준 61" xfId="28011"/>
    <cellStyle name="표준 61 2" xfId="31804"/>
    <cellStyle name="표준 61 3" xfId="32035"/>
    <cellStyle name="표준 61 4" xfId="31803"/>
    <cellStyle name="표준 61 5" xfId="31802"/>
    <cellStyle name="표준 61 6" xfId="31801"/>
    <cellStyle name="표준 61 7" xfId="31800"/>
    <cellStyle name="표준 61 8" xfId="32034"/>
    <cellStyle name="표준 62" xfId="28012"/>
    <cellStyle name="표준 62 2" xfId="31799"/>
    <cellStyle name="표준 62 3" xfId="31798"/>
    <cellStyle name="표준 62 4" xfId="31797"/>
    <cellStyle name="표준 62 5" xfId="31796"/>
    <cellStyle name="표준 62 6" xfId="32033"/>
    <cellStyle name="표준 62 7" xfId="31795"/>
    <cellStyle name="표준 62 8" xfId="31794"/>
    <cellStyle name="표준 63" xfId="28013"/>
    <cellStyle name="표준 63 2" xfId="31793"/>
    <cellStyle name="표준 63 3" xfId="31792"/>
    <cellStyle name="표준 63 4" xfId="31791"/>
    <cellStyle name="표준 63 5" xfId="32032"/>
    <cellStyle name="표준 63 6" xfId="31790"/>
    <cellStyle name="표준 63 7" xfId="31789"/>
    <cellStyle name="표준 63 8" xfId="31788"/>
    <cellStyle name="표준 64" xfId="28014"/>
    <cellStyle name="표준 64 2" xfId="31787"/>
    <cellStyle name="표준 64 3" xfId="31073"/>
    <cellStyle name="표준 64 4" xfId="31987"/>
    <cellStyle name="표준 64 5" xfId="31786"/>
    <cellStyle name="표준 64 6" xfId="31785"/>
    <cellStyle name="표준 64 7" xfId="31784"/>
    <cellStyle name="표준 64 8" xfId="31783"/>
    <cellStyle name="표준 65" xfId="28015"/>
    <cellStyle name="표준 65 2" xfId="31072"/>
    <cellStyle name="표준 65 3" xfId="32031"/>
    <cellStyle name="표준 65 4" xfId="31782"/>
    <cellStyle name="표준 65 5" xfId="31781"/>
    <cellStyle name="표준 65 6" xfId="31780"/>
    <cellStyle name="표준 65 7" xfId="31779"/>
    <cellStyle name="표준 65 8" xfId="31071"/>
    <cellStyle name="표준 66" xfId="28016"/>
    <cellStyle name="표준 66 2" xfId="32030"/>
    <cellStyle name="표준 66 3" xfId="31778"/>
    <cellStyle name="표준 66 4" xfId="31777"/>
    <cellStyle name="표준 66 5" xfId="31776"/>
    <cellStyle name="표준 66 6" xfId="31775"/>
    <cellStyle name="표준 66 7" xfId="31070"/>
    <cellStyle name="표준 66 8" xfId="31069"/>
    <cellStyle name="표준 67" xfId="28017"/>
    <cellStyle name="표준 67 2" xfId="31068"/>
    <cellStyle name="표준 67 3" xfId="32001"/>
    <cellStyle name="표준 67 4" xfId="31774"/>
    <cellStyle name="표준 67 5" xfId="31773"/>
    <cellStyle name="표준 67 6" xfId="31067"/>
    <cellStyle name="표준 67 7" xfId="31772"/>
    <cellStyle name="표준 67 8" xfId="31771"/>
    <cellStyle name="표준 68" xfId="28018"/>
    <cellStyle name="표준 68 2" xfId="31066"/>
    <cellStyle name="표준 68 3" xfId="31770"/>
    <cellStyle name="표준 68 4" xfId="31065"/>
    <cellStyle name="표준 68 5" xfId="31064"/>
    <cellStyle name="표준 68 6" xfId="31063"/>
    <cellStyle name="표준 68 7" xfId="31769"/>
    <cellStyle name="표준 68 8" xfId="31768"/>
    <cellStyle name="표준 69" xfId="28019"/>
    <cellStyle name="표준 69 2" xfId="31062"/>
    <cellStyle name="표준 69 3" xfId="31767"/>
    <cellStyle name="표준 69 4" xfId="31766"/>
    <cellStyle name="표준 69 5" xfId="31061"/>
    <cellStyle name="표준 69 6" xfId="31060"/>
    <cellStyle name="표준 69 7" xfId="31059"/>
    <cellStyle name="표준 69 8" xfId="31997"/>
    <cellStyle name="표준 7" xfId="4845"/>
    <cellStyle name="표준 7 10" xfId="4846"/>
    <cellStyle name="표준 7 10 2" xfId="28020"/>
    <cellStyle name="표준 7 11" xfId="4847"/>
    <cellStyle name="표준 7 11 2" xfId="4848"/>
    <cellStyle name="표준 7 11 3" xfId="4849"/>
    <cellStyle name="표준 7 11 4" xfId="28021"/>
    <cellStyle name="표준 7 12" xfId="28022"/>
    <cellStyle name="표준 7 13" xfId="28023"/>
    <cellStyle name="표준 7 14" xfId="28024"/>
    <cellStyle name="표준 7 15" xfId="28025"/>
    <cellStyle name="표준 7 16" xfId="28026"/>
    <cellStyle name="표준 7 17" xfId="28027"/>
    <cellStyle name="표준 7 18" xfId="29454"/>
    <cellStyle name="표준 7 19" xfId="29453"/>
    <cellStyle name="표준 7 2" xfId="4850"/>
    <cellStyle name="표준 7 2 10" xfId="30954"/>
    <cellStyle name="표준 7 2 10 2" xfId="32038"/>
    <cellStyle name="표준 7 2 10 3" xfId="32307"/>
    <cellStyle name="표준 7 2 11" xfId="32007"/>
    <cellStyle name="표준 7 2 12" xfId="32003"/>
    <cellStyle name="표준 7 2 13" xfId="32004"/>
    <cellStyle name="표준 7 2 2" xfId="4851"/>
    <cellStyle name="표준 7 2 2 10" xfId="30998"/>
    <cellStyle name="표준 7 2 2 10 2" xfId="32349"/>
    <cellStyle name="표준 7 2 2 2" xfId="4852"/>
    <cellStyle name="표준 7 2 2 2 2" xfId="4853"/>
    <cellStyle name="표준 7 2 2 2 2 2" xfId="4854"/>
    <cellStyle name="표준 7 2 2 2 2 2 2" xfId="4855"/>
    <cellStyle name="표준 7 2 2 2 2 3" xfId="4856"/>
    <cellStyle name="표준 7 2 2 2 2 3 2" xfId="4857"/>
    <cellStyle name="표준 7 2 2 2 2 3 3" xfId="4858"/>
    <cellStyle name="표준 7 2 2 2 2 4" xfId="4859"/>
    <cellStyle name="표준 7 2 2 2 2 5" xfId="4860"/>
    <cellStyle name="표준 7 2 2 2 3" xfId="4861"/>
    <cellStyle name="표준 7 2 2 2 3 2" xfId="4862"/>
    <cellStyle name="표준 7 2 2 2 3 3" xfId="4863"/>
    <cellStyle name="표준 7 2 2 2 4" xfId="4864"/>
    <cellStyle name="표준 7 2 2 2 4 2" xfId="4865"/>
    <cellStyle name="표준 7 2 2 2 4 3" xfId="4866"/>
    <cellStyle name="표준 7 2 2 2 5" xfId="4867"/>
    <cellStyle name="표준 7 2 2 2 6" xfId="4868"/>
    <cellStyle name="표준 7 2 2 3" xfId="4869"/>
    <cellStyle name="표준 7 2 2 3 2" xfId="4870"/>
    <cellStyle name="표준 7 2 2 3 2 2" xfId="4871"/>
    <cellStyle name="표준 7 2 2 3 3" xfId="4872"/>
    <cellStyle name="표준 7 2 2 3 3 2" xfId="4873"/>
    <cellStyle name="표준 7 2 2 3 3 3" xfId="4874"/>
    <cellStyle name="표준 7 2 2 3 4" xfId="4875"/>
    <cellStyle name="표준 7 2 2 3 5" xfId="4876"/>
    <cellStyle name="표준 7 2 2 4" xfId="4877"/>
    <cellStyle name="표준 7 2 2 4 2" xfId="4878"/>
    <cellStyle name="표준 7 2 2 4 3" xfId="4879"/>
    <cellStyle name="표준 7 2 2 5" xfId="4880"/>
    <cellStyle name="표준 7 2 2 5 2" xfId="4881"/>
    <cellStyle name="표준 7 2 2 5 3" xfId="4882"/>
    <cellStyle name="표준 7 2 2 6" xfId="4883"/>
    <cellStyle name="표준 7 2 2 7" xfId="4884"/>
    <cellStyle name="표준 7 2 2 8" xfId="4885"/>
    <cellStyle name="표준 7 2 2 8 2" xfId="4886"/>
    <cellStyle name="표준 7 2 2 8 3" xfId="4887"/>
    <cellStyle name="표준 7 2 2 9" xfId="28028"/>
    <cellStyle name="표준 7 2 3" xfId="4888"/>
    <cellStyle name="표준 7 2 3 2" xfId="4889"/>
    <cellStyle name="표준 7 2 3 2 2" xfId="4890"/>
    <cellStyle name="표준 7 2 3 2 3" xfId="4891"/>
    <cellStyle name="표준 7 2 3 2 4" xfId="4892"/>
    <cellStyle name="표준 7 2 3 3" xfId="4893"/>
    <cellStyle name="표준 7 2 3 3 2" xfId="4894"/>
    <cellStyle name="표준 7 2 3 3 3" xfId="4895"/>
    <cellStyle name="표준 7 2 3 4" xfId="4896"/>
    <cellStyle name="표준 7 2 3 4 2" xfId="4897"/>
    <cellStyle name="표준 7 2 3 4 3" xfId="4898"/>
    <cellStyle name="표준 7 2 3 5" xfId="4899"/>
    <cellStyle name="표준 7 2 3 6" xfId="28029"/>
    <cellStyle name="표준 7 2 4" xfId="4900"/>
    <cellStyle name="표준 7 2 4 2" xfId="4901"/>
    <cellStyle name="표준 7 2 4 2 2" xfId="4902"/>
    <cellStyle name="표준 7 2 4 2 3" xfId="4903"/>
    <cellStyle name="표준 7 2 4 2 3 2" xfId="4904"/>
    <cellStyle name="표준 7 2 4 2 4" xfId="4905"/>
    <cellStyle name="표준 7 2 4 2 5" xfId="4906"/>
    <cellStyle name="표준 7 2 4 3" xfId="4907"/>
    <cellStyle name="표준 7 2 4 3 2" xfId="4908"/>
    <cellStyle name="표준 7 2 4 4" xfId="4909"/>
    <cellStyle name="표준 7 2 4 4 2" xfId="4910"/>
    <cellStyle name="표준 7 2 4 5" xfId="4911"/>
    <cellStyle name="표준 7 2 4 6" xfId="4912"/>
    <cellStyle name="표준 7 2 4 6 2" xfId="4913"/>
    <cellStyle name="표준 7 2 4 6 3" xfId="4914"/>
    <cellStyle name="표준 7 2 4 7" xfId="28030"/>
    <cellStyle name="표준 7 2 5" xfId="4915"/>
    <cellStyle name="표준 7 2 5 2" xfId="4916"/>
    <cellStyle name="표준 7 2 5 2 2" xfId="4917"/>
    <cellStyle name="표준 7 2 5 3" xfId="4918"/>
    <cellStyle name="표준 7 2 5 3 2" xfId="4919"/>
    <cellStyle name="표준 7 2 5 4" xfId="4920"/>
    <cellStyle name="표준 7 2 5 5" xfId="4921"/>
    <cellStyle name="표준 7 2 5 5 2" xfId="4922"/>
    <cellStyle name="표준 7 2 5 5 3" xfId="4923"/>
    <cellStyle name="표준 7 2 6" xfId="4924"/>
    <cellStyle name="표준 7 2 6 2" xfId="4925"/>
    <cellStyle name="표준 7 2 6 3" xfId="4926"/>
    <cellStyle name="표준 7 2 6 3 2" xfId="4927"/>
    <cellStyle name="표준 7 2 6 3 3" xfId="4928"/>
    <cellStyle name="표준 7 2 7" xfId="4929"/>
    <cellStyle name="표준 7 2 7 2" xfId="4930"/>
    <cellStyle name="표준 7 2 8" xfId="4931"/>
    <cellStyle name="표준 7 2 9" xfId="4932"/>
    <cellStyle name="표준 7 2 9 2" xfId="4933"/>
    <cellStyle name="표준 7 2 9 3" xfId="4934"/>
    <cellStyle name="표준 7 20" xfId="29452"/>
    <cellStyle name="표준 7 20 2" xfId="29451"/>
    <cellStyle name="표준 7 21" xfId="29450"/>
    <cellStyle name="표준 7 22" xfId="29449"/>
    <cellStyle name="표준 7 23" xfId="30713"/>
    <cellStyle name="표준 7 24" xfId="30701"/>
    <cellStyle name="표준 7 25" xfId="30900"/>
    <cellStyle name="표준 7 25 2" xfId="32254"/>
    <cellStyle name="표준 7 3" xfId="4935"/>
    <cellStyle name="표준 7 3 10" xfId="31765"/>
    <cellStyle name="표준 7 3 11" xfId="32039"/>
    <cellStyle name="표준 7 3 12" xfId="32044"/>
    <cellStyle name="표준 7 3 13" xfId="31990"/>
    <cellStyle name="표준 7 3 14" xfId="31764"/>
    <cellStyle name="표준 7 3 15" xfId="31763"/>
    <cellStyle name="표준 7 3 2" xfId="4936"/>
    <cellStyle name="표준 7 3 2 2" xfId="4937"/>
    <cellStyle name="표준 7 3 2 2 2" xfId="4938"/>
    <cellStyle name="표준 7 3 2 2 2 2" xfId="4939"/>
    <cellStyle name="표준 7 3 2 2 3" xfId="4940"/>
    <cellStyle name="표준 7 3 2 2 3 2" xfId="4941"/>
    <cellStyle name="표준 7 3 2 2 3 3" xfId="4942"/>
    <cellStyle name="표준 7 3 2 2 4" xfId="4943"/>
    <cellStyle name="표준 7 3 2 2 5" xfId="4944"/>
    <cellStyle name="표준 7 3 2 3" xfId="4945"/>
    <cellStyle name="표준 7 3 2 3 2" xfId="4946"/>
    <cellStyle name="표준 7 3 2 3 3" xfId="4947"/>
    <cellStyle name="표준 7 3 2 4" xfId="4948"/>
    <cellStyle name="표준 7 3 2 4 2" xfId="4949"/>
    <cellStyle name="표준 7 3 2 4 3" xfId="4950"/>
    <cellStyle name="표준 7 3 2 5" xfId="4951"/>
    <cellStyle name="표준 7 3 2 6" xfId="4952"/>
    <cellStyle name="표준 7 3 2 7" xfId="28031"/>
    <cellStyle name="표준 7 3 3" xfId="4953"/>
    <cellStyle name="표준 7 3 3 2" xfId="4954"/>
    <cellStyle name="표준 7 3 3 2 2" xfId="4955"/>
    <cellStyle name="표준 7 3 3 2 3" xfId="4956"/>
    <cellStyle name="표준 7 3 3 3" xfId="4957"/>
    <cellStyle name="표준 7 3 3 3 2" xfId="4958"/>
    <cellStyle name="표준 7 3 3 3 3" xfId="4959"/>
    <cellStyle name="표준 7 3 3 4" xfId="4960"/>
    <cellStyle name="표준 7 3 3 5" xfId="4961"/>
    <cellStyle name="표준 7 3 3 6" xfId="28032"/>
    <cellStyle name="표준 7 3 4" xfId="4962"/>
    <cellStyle name="표준 7 3 4 2" xfId="4963"/>
    <cellStyle name="표준 7 3 4 2 2" xfId="4964"/>
    <cellStyle name="표준 7 3 4 3" xfId="4965"/>
    <cellStyle name="표준 7 3 4 4" xfId="28033"/>
    <cellStyle name="표준 7 3 5" xfId="4966"/>
    <cellStyle name="표준 7 3 5 2" xfId="4967"/>
    <cellStyle name="표준 7 3 5 3" xfId="4968"/>
    <cellStyle name="표준 7 3 6" xfId="4969"/>
    <cellStyle name="표준 7 3 7" xfId="4970"/>
    <cellStyle name="표준 7 3 8" xfId="4971"/>
    <cellStyle name="표준 7 3 8 2" xfId="4972"/>
    <cellStyle name="표준 7 3 8 3" xfId="4973"/>
    <cellStyle name="표준 7 3 9" xfId="30906"/>
    <cellStyle name="표준 7 3 9 2" xfId="31762"/>
    <cellStyle name="표준 7 3 9 3" xfId="32260"/>
    <cellStyle name="표준 7 4" xfId="4974"/>
    <cellStyle name="표준 7 4 10" xfId="31761"/>
    <cellStyle name="표준 7 4 11" xfId="31760"/>
    <cellStyle name="표준 7 4 12" xfId="32029"/>
    <cellStyle name="표준 7 4 13" xfId="31759"/>
    <cellStyle name="표준 7 4 14" xfId="31758"/>
    <cellStyle name="표준 7 4 15" xfId="31757"/>
    <cellStyle name="표준 7 4 2" xfId="4975"/>
    <cellStyle name="표준 7 4 2 2" xfId="4976"/>
    <cellStyle name="표준 7 4 2 2 2" xfId="4977"/>
    <cellStyle name="표준 7 4 2 2 3" xfId="4978"/>
    <cellStyle name="표준 7 4 2 2 3 2" xfId="4979"/>
    <cellStyle name="표준 7 4 2 2 4" xfId="4980"/>
    <cellStyle name="표준 7 4 2 2 5" xfId="4981"/>
    <cellStyle name="표준 7 4 2 3" xfId="4982"/>
    <cellStyle name="표준 7 4 2 3 2" xfId="4983"/>
    <cellStyle name="표준 7 4 2 4" xfId="4984"/>
    <cellStyle name="표준 7 4 2 4 2" xfId="4985"/>
    <cellStyle name="표준 7 4 2 5" xfId="4986"/>
    <cellStyle name="표준 7 4 2 6" xfId="4987"/>
    <cellStyle name="표준 7 4 3" xfId="4988"/>
    <cellStyle name="표준 7 4 3 2" xfId="4989"/>
    <cellStyle name="표준 7 4 3 2 2" xfId="4990"/>
    <cellStyle name="표준 7 4 3 3" xfId="4991"/>
    <cellStyle name="표준 7 4 3 3 2" xfId="4992"/>
    <cellStyle name="표준 7 4 3 4" xfId="4993"/>
    <cellStyle name="표준 7 4 3 5" xfId="4994"/>
    <cellStyle name="표준 7 4 4" xfId="4995"/>
    <cellStyle name="표준 7 4 4 2" xfId="4996"/>
    <cellStyle name="표준 7 4 5" xfId="4997"/>
    <cellStyle name="표준 7 4 5 2" xfId="4998"/>
    <cellStyle name="표준 7 4 6" xfId="4999"/>
    <cellStyle name="표준 7 4 7" xfId="5000"/>
    <cellStyle name="표준 7 4 7 2" xfId="5001"/>
    <cellStyle name="표준 7 4 7 3" xfId="5002"/>
    <cellStyle name="표준 7 4 8" xfId="31756"/>
    <cellStyle name="표준 7 4 9" xfId="31755"/>
    <cellStyle name="표준 7 5" xfId="5003"/>
    <cellStyle name="표준 7 5 10" xfId="31754"/>
    <cellStyle name="표준 7 5 11" xfId="31753"/>
    <cellStyle name="표준 7 5 12" xfId="31752"/>
    <cellStyle name="표준 7 5 13" xfId="31751"/>
    <cellStyle name="표준 7 5 14" xfId="31750"/>
    <cellStyle name="표준 7 5 15" xfId="31749"/>
    <cellStyle name="표준 7 5 2" xfId="5004"/>
    <cellStyle name="표준 7 5 2 2" xfId="5005"/>
    <cellStyle name="표준 7 5 2 2 2" xfId="5006"/>
    <cellStyle name="표준 7 5 2 3" xfId="5007"/>
    <cellStyle name="표준 7 5 2 3 2" xfId="5008"/>
    <cellStyle name="표준 7 5 2 4" xfId="5009"/>
    <cellStyle name="표준 7 5 2 5" xfId="5010"/>
    <cellStyle name="표준 7 5 3" xfId="5011"/>
    <cellStyle name="표준 7 5 3 2" xfId="5012"/>
    <cellStyle name="표준 7 5 4" xfId="5013"/>
    <cellStyle name="표준 7 5 4 2" xfId="5014"/>
    <cellStyle name="표준 7 5 4 3" xfId="5015"/>
    <cellStyle name="표준 7 5 5" xfId="5016"/>
    <cellStyle name="표준 7 5 6" xfId="5017"/>
    <cellStyle name="표준 7 5 6 2" xfId="5018"/>
    <cellStyle name="표준 7 5 6 3" xfId="5019"/>
    <cellStyle name="표준 7 5 7" xfId="28034"/>
    <cellStyle name="표준 7 5 8" xfId="32028"/>
    <cellStyle name="표준 7 5 9" xfId="31748"/>
    <cellStyle name="표준 7 6" xfId="5020"/>
    <cellStyle name="표준 7 6 10" xfId="31747"/>
    <cellStyle name="표준 7 6 11" xfId="31058"/>
    <cellStyle name="표준 7 6 12" xfId="31746"/>
    <cellStyle name="표준 7 6 13" xfId="31745"/>
    <cellStyle name="표준 7 6 14" xfId="31744"/>
    <cellStyle name="표준 7 6 15" xfId="31743"/>
    <cellStyle name="표준 7 6 2" xfId="5021"/>
    <cellStyle name="표준 7 6 2 2" xfId="5022"/>
    <cellStyle name="표준 7 6 3" xfId="5023"/>
    <cellStyle name="표준 7 6 3 2" xfId="5024"/>
    <cellStyle name="표준 7 6 4" xfId="5025"/>
    <cellStyle name="표준 7 6 5" xfId="5026"/>
    <cellStyle name="표준 7 6 5 2" xfId="5027"/>
    <cellStyle name="표준 7 6 5 3" xfId="5028"/>
    <cellStyle name="표준 7 6 6" xfId="28035"/>
    <cellStyle name="표준 7 6 7" xfId="31742"/>
    <cellStyle name="표준 7 6 8" xfId="31741"/>
    <cellStyle name="표준 7 6 9" xfId="31740"/>
    <cellStyle name="표준 7 7" xfId="5029"/>
    <cellStyle name="표준 7 7 2" xfId="5030"/>
    <cellStyle name="표준 7 7 2 2" xfId="5031"/>
    <cellStyle name="표준 7 7 3" xfId="5032"/>
    <cellStyle name="표준 7 7 4" xfId="5033"/>
    <cellStyle name="표준 7 7 4 2" xfId="5034"/>
    <cellStyle name="표준 7 7 4 3" xfId="5035"/>
    <cellStyle name="표준 7 7 5" xfId="28036"/>
    <cellStyle name="표준 7 8" xfId="5036"/>
    <cellStyle name="표준 7 8 2" xfId="5037"/>
    <cellStyle name="표준 7 8 3" xfId="5038"/>
    <cellStyle name="표준 7 8 3 2" xfId="5039"/>
    <cellStyle name="표준 7 8 3 3" xfId="5040"/>
    <cellStyle name="표준 7 8 4" xfId="28037"/>
    <cellStyle name="표준 7 9" xfId="5041"/>
    <cellStyle name="표준 7 9 2" xfId="5042"/>
    <cellStyle name="표준 7 9 3" xfId="28038"/>
    <cellStyle name="표준 70" xfId="28039"/>
    <cellStyle name="표준 70 2" xfId="31739"/>
    <cellStyle name="표준 70 3" xfId="31738"/>
    <cellStyle name="표준 70 4" xfId="31057"/>
    <cellStyle name="표준 70 5" xfId="31737"/>
    <cellStyle name="표준 70 6" xfId="31056"/>
    <cellStyle name="표준 70 7" xfId="31736"/>
    <cellStyle name="표준 70 8" xfId="31055"/>
    <cellStyle name="표준 71" xfId="28040"/>
    <cellStyle name="표준 71 2" xfId="31054"/>
    <cellStyle name="표준 71 3" xfId="32027"/>
    <cellStyle name="표준 71 4" xfId="31735"/>
    <cellStyle name="표준 71 5" xfId="31734"/>
    <cellStyle name="표준 71 6" xfId="31733"/>
    <cellStyle name="표준 71 7" xfId="31053"/>
    <cellStyle name="표준 71 8" xfId="31732"/>
    <cellStyle name="표준 72" xfId="28041"/>
    <cellStyle name="표준 72 2" xfId="31731"/>
    <cellStyle name="표준 72 3" xfId="31730"/>
    <cellStyle name="표준 72 4" xfId="31729"/>
    <cellStyle name="표준 72 5" xfId="31728"/>
    <cellStyle name="표준 72 6" xfId="31727"/>
    <cellStyle name="표준 72 7" xfId="31726"/>
    <cellStyle name="표준 72 8" xfId="31725"/>
    <cellStyle name="표준 73" xfId="28042"/>
    <cellStyle name="표준 73 2" xfId="31724"/>
    <cellStyle name="표준 73 3" xfId="31723"/>
    <cellStyle name="표준 73 4" xfId="31722"/>
    <cellStyle name="표준 73 5" xfId="31721"/>
    <cellStyle name="표준 73 6" xfId="31720"/>
    <cellStyle name="표준 73 7" xfId="31719"/>
    <cellStyle name="표준 73 8" xfId="31718"/>
    <cellStyle name="표준 74" xfId="28043"/>
    <cellStyle name="표준 74 2" xfId="31052"/>
    <cellStyle name="표준 74 3" xfId="31717"/>
    <cellStyle name="표준 74 4" xfId="31051"/>
    <cellStyle name="표준 74 5" xfId="32023"/>
    <cellStyle name="표준 74 6" xfId="31716"/>
    <cellStyle name="표준 74 7" xfId="31050"/>
    <cellStyle name="표준 74 8" xfId="31049"/>
    <cellStyle name="표준 75" xfId="28044"/>
    <cellStyle name="표준 75 2" xfId="32015"/>
    <cellStyle name="표준 75 3" xfId="31715"/>
    <cellStyle name="표준 75 4" xfId="31048"/>
    <cellStyle name="표준 75 5" xfId="31047"/>
    <cellStyle name="표준 75 6" xfId="31046"/>
    <cellStyle name="표준 75 7" xfId="31996"/>
    <cellStyle name="표준 75 8" xfId="32017"/>
    <cellStyle name="표준 76" xfId="28045"/>
    <cellStyle name="표준 76 2" xfId="31714"/>
    <cellStyle name="표준 76 3" xfId="31713"/>
    <cellStyle name="표준 76 4" xfId="31712"/>
    <cellStyle name="표준 76 5" xfId="31711"/>
    <cellStyle name="표준 76 6" xfId="31710"/>
    <cellStyle name="표준 76 7" xfId="31709"/>
    <cellStyle name="표준 76 8" xfId="31708"/>
    <cellStyle name="표준 77" xfId="28046"/>
    <cellStyle name="표준 77 2" xfId="31707"/>
    <cellStyle name="표준 77 3" xfId="31045"/>
    <cellStyle name="표준 77 4" xfId="31706"/>
    <cellStyle name="표준 77 5" xfId="31705"/>
    <cellStyle name="표준 77 6" xfId="31704"/>
    <cellStyle name="표준 77 7" xfId="31703"/>
    <cellStyle name="표준 77 8" xfId="31702"/>
    <cellStyle name="표준 78" xfId="28047"/>
    <cellStyle name="표준 78 2" xfId="31701"/>
    <cellStyle name="표준 78 3" xfId="31700"/>
    <cellStyle name="표준 78 4" xfId="31699"/>
    <cellStyle name="표준 78 5" xfId="31698"/>
    <cellStyle name="표준 78 6" xfId="31697"/>
    <cellStyle name="표준 78 7" xfId="31696"/>
    <cellStyle name="표준 78 8" xfId="31695"/>
    <cellStyle name="표준 79" xfId="28048"/>
    <cellStyle name="표준 79 2" xfId="31694"/>
    <cellStyle name="표준 79 3" xfId="31693"/>
    <cellStyle name="표준 79 4" xfId="31692"/>
    <cellStyle name="표준 79 5" xfId="31988"/>
    <cellStyle name="표준 79 6" xfId="31691"/>
    <cellStyle name="표준 79 7" xfId="31044"/>
    <cellStyle name="표준 79 8" xfId="32000"/>
    <cellStyle name="표준 8" xfId="5043"/>
    <cellStyle name="표준 8 10" xfId="5044"/>
    <cellStyle name="표준 8 10 2" xfId="28049"/>
    <cellStyle name="표준 8 11" xfId="28050"/>
    <cellStyle name="표준 8 12" xfId="28051"/>
    <cellStyle name="표준 8 13" xfId="28052"/>
    <cellStyle name="표준 8 14" xfId="28053"/>
    <cellStyle name="표준 8 15" xfId="28054"/>
    <cellStyle name="표준 8 16" xfId="28055"/>
    <cellStyle name="표준 8 17" xfId="28056"/>
    <cellStyle name="표준 8 18" xfId="28144"/>
    <cellStyle name="표준 8 19" xfId="30714"/>
    <cellStyle name="표준 8 2" xfId="5045"/>
    <cellStyle name="표준 8 2 10" xfId="31690"/>
    <cellStyle name="표준 8 2 11" xfId="31043"/>
    <cellStyle name="표준 8 2 12" xfId="32005"/>
    <cellStyle name="표준 8 2 13" xfId="31689"/>
    <cellStyle name="표준 8 2 2" xfId="5046"/>
    <cellStyle name="표준 8 2 2 2" xfId="5047"/>
    <cellStyle name="표준 8 2 2 2 2" xfId="5048"/>
    <cellStyle name="표준 8 2 2 2 3" xfId="5049"/>
    <cellStyle name="표준 8 2 2 2 3 2" xfId="5050"/>
    <cellStyle name="표준 8 2 2 2 4" xfId="5051"/>
    <cellStyle name="표준 8 2 2 3" xfId="5052"/>
    <cellStyle name="표준 8 2 2 4" xfId="5053"/>
    <cellStyle name="표준 8 2 2 4 2" xfId="5054"/>
    <cellStyle name="표준 8 2 2 5" xfId="5055"/>
    <cellStyle name="표준 8 2 3" xfId="5056"/>
    <cellStyle name="표준 8 2 3 2" xfId="5057"/>
    <cellStyle name="표준 8 2 3 2 2" xfId="5058"/>
    <cellStyle name="표준 8 2 3 3" xfId="5059"/>
    <cellStyle name="표준 8 2 3 3 2" xfId="5060"/>
    <cellStyle name="표준 8 2 3 4" xfId="5061"/>
    <cellStyle name="표준 8 2 4" xfId="5062"/>
    <cellStyle name="표준 8 2 4 2" xfId="5063"/>
    <cellStyle name="표준 8 2 5" xfId="5064"/>
    <cellStyle name="표준 8 2 5 2" xfId="5065"/>
    <cellStyle name="표준 8 2 5 3" xfId="5066"/>
    <cellStyle name="표준 8 2 5 4" xfId="28057"/>
    <cellStyle name="표준 8 2 5 5" xfId="28143"/>
    <cellStyle name="표준 8 2 6" xfId="5067"/>
    <cellStyle name="표준 8 2 6 2" xfId="5068"/>
    <cellStyle name="표준 8 2 7" xfId="5069"/>
    <cellStyle name="표준 8 2 8" xfId="5070"/>
    <cellStyle name="표준 8 2 9" xfId="30978"/>
    <cellStyle name="표준 8 2 9 2" xfId="31688"/>
    <cellStyle name="표준 8 2 9 3" xfId="32330"/>
    <cellStyle name="표준 8 20" xfId="30702"/>
    <cellStyle name="표준 8 21" xfId="30956"/>
    <cellStyle name="표준 8 21 2" xfId="32309"/>
    <cellStyle name="표준 8 3" xfId="5071"/>
    <cellStyle name="표준 8 3 10" xfId="31687"/>
    <cellStyle name="표준 8 3 11" xfId="31686"/>
    <cellStyle name="표준 8 3 12" xfId="31042"/>
    <cellStyle name="표준 8 3 13" xfId="31685"/>
    <cellStyle name="표준 8 3 14" xfId="31684"/>
    <cellStyle name="표준 8 3 15" xfId="31683"/>
    <cellStyle name="표준 8 3 2" xfId="5072"/>
    <cellStyle name="표준 8 3 2 2" xfId="5073"/>
    <cellStyle name="표준 8 3 2 3" xfId="5074"/>
    <cellStyle name="표준 8 3 3" xfId="5075"/>
    <cellStyle name="표준 8 3 4" xfId="28142"/>
    <cellStyle name="표준 8 3 4 2" xfId="31682"/>
    <cellStyle name="표준 8 3 5" xfId="32006"/>
    <cellStyle name="표준 8 3 6" xfId="31681"/>
    <cellStyle name="표준 8 3 7" xfId="31680"/>
    <cellStyle name="표준 8 3 8" xfId="31679"/>
    <cellStyle name="표준 8 3 9" xfId="32026"/>
    <cellStyle name="표준 8 4" xfId="5076"/>
    <cellStyle name="표준 8 4 10" xfId="31678"/>
    <cellStyle name="표준 8 4 11" xfId="31677"/>
    <cellStyle name="표준 8 4 12" xfId="31676"/>
    <cellStyle name="표준 8 4 13" xfId="32025"/>
    <cellStyle name="표준 8 4 14" xfId="31675"/>
    <cellStyle name="표준 8 4 15" xfId="31674"/>
    <cellStyle name="표준 8 4 2" xfId="5077"/>
    <cellStyle name="표준 8 4 2 2" xfId="5078"/>
    <cellStyle name="표준 8 4 2 3" xfId="5079"/>
    <cellStyle name="표준 8 4 2 3 2" xfId="5080"/>
    <cellStyle name="표준 8 4 2 4" xfId="5081"/>
    <cellStyle name="표준 8 4 3" xfId="5082"/>
    <cellStyle name="표준 8 4 4" xfId="5083"/>
    <cellStyle name="표준 8 4 4 2" xfId="5084"/>
    <cellStyle name="표준 8 4 5" xfId="5085"/>
    <cellStyle name="표준 8 4 6" xfId="5086"/>
    <cellStyle name="표준 8 4 7" xfId="31673"/>
    <cellStyle name="표준 8 4 8" xfId="31672"/>
    <cellStyle name="표준 8 4 9" xfId="32024"/>
    <cellStyle name="표준 8 5" xfId="5087"/>
    <cellStyle name="표준 8 5 10" xfId="31671"/>
    <cellStyle name="표준 8 5 11" xfId="31670"/>
    <cellStyle name="표준 8 5 12" xfId="31669"/>
    <cellStyle name="표준 8 5 13" xfId="31668"/>
    <cellStyle name="표준 8 5 14" xfId="31667"/>
    <cellStyle name="표준 8 5 15" xfId="31666"/>
    <cellStyle name="표준 8 5 2" xfId="5088"/>
    <cellStyle name="표준 8 5 2 2" xfId="5089"/>
    <cellStyle name="표준 8 5 3" xfId="5090"/>
    <cellStyle name="표준 8 5 3 2" xfId="5091"/>
    <cellStyle name="표준 8 5 4" xfId="5092"/>
    <cellStyle name="표준 8 5 5" xfId="5093"/>
    <cellStyle name="표준 8 5 6" xfId="31041"/>
    <cellStyle name="표준 8 5 7" xfId="31040"/>
    <cellStyle name="표준 8 5 8" xfId="31665"/>
    <cellStyle name="표준 8 5 9" xfId="31039"/>
    <cellStyle name="표준 8 6" xfId="5094"/>
    <cellStyle name="표준 8 6 10" xfId="31038"/>
    <cellStyle name="표준 8 6 11" xfId="31037"/>
    <cellStyle name="표준 8 6 12" xfId="31999"/>
    <cellStyle name="표준 8 6 13" xfId="31989"/>
    <cellStyle name="표준 8 6 14" xfId="31664"/>
    <cellStyle name="표준 8 6 15" xfId="31036"/>
    <cellStyle name="표준 8 6 2" xfId="5095"/>
    <cellStyle name="표준 8 6 3" xfId="28058"/>
    <cellStyle name="표준 8 6 4" xfId="31035"/>
    <cellStyle name="표준 8 6 5" xfId="31998"/>
    <cellStyle name="표준 8 6 6" xfId="32016"/>
    <cellStyle name="표준 8 6 7" xfId="31663"/>
    <cellStyle name="표준 8 6 8" xfId="31034"/>
    <cellStyle name="표준 8 6 9" xfId="31033"/>
    <cellStyle name="표준 8 7" xfId="5096"/>
    <cellStyle name="표준 8 7 2" xfId="5097"/>
    <cellStyle name="표준 8 7 3" xfId="5098"/>
    <cellStyle name="표준 8 7 4" xfId="5099"/>
    <cellStyle name="표준 8 7 4 2" xfId="5100"/>
    <cellStyle name="표준 8 7 4 3" xfId="5101"/>
    <cellStyle name="표준 8 7 5" xfId="28059"/>
    <cellStyle name="표준 8 7 6" xfId="28141"/>
    <cellStyle name="표준 8 8" xfId="5102"/>
    <cellStyle name="표준 8 8 2" xfId="28060"/>
    <cellStyle name="표준 8 9" xfId="5103"/>
    <cellStyle name="표준 8 9 2" xfId="5104"/>
    <cellStyle name="표준 8 9 3" xfId="5105"/>
    <cellStyle name="표준 8 9 4" xfId="28061"/>
    <cellStyle name="표준 80" xfId="28062"/>
    <cellStyle name="표준 81" xfId="28063"/>
    <cellStyle name="표준 82" xfId="28064"/>
    <cellStyle name="표준 83" xfId="28065"/>
    <cellStyle name="표준 84" xfId="28066"/>
    <cellStyle name="표준 85" xfId="28067"/>
    <cellStyle name="표준 86" xfId="28068"/>
    <cellStyle name="표준 87" xfId="28069"/>
    <cellStyle name="표준 88" xfId="28070"/>
    <cellStyle name="표준 89" xfId="28071"/>
    <cellStyle name="표준 9" xfId="5106"/>
    <cellStyle name="표준 9 10" xfId="28072"/>
    <cellStyle name="표준 9 11" xfId="28073"/>
    <cellStyle name="표준 9 12" xfId="28074"/>
    <cellStyle name="표준 9 13" xfId="28075"/>
    <cellStyle name="표준 9 14" xfId="28076"/>
    <cellStyle name="표준 9 15" xfId="28077"/>
    <cellStyle name="표준 9 16" xfId="28078"/>
    <cellStyle name="표준 9 17" xfId="30715"/>
    <cellStyle name="표준 9 18" xfId="30703"/>
    <cellStyle name="표준 9 19" xfId="30953"/>
    <cellStyle name="표준 9 19 2" xfId="32306"/>
    <cellStyle name="표준 9 2" xfId="5107"/>
    <cellStyle name="표준 9 2 2" xfId="5108"/>
    <cellStyle name="표준 9 2 2 2" xfId="5109"/>
    <cellStyle name="표준 9 2 2 2 2" xfId="5110"/>
    <cellStyle name="표준 9 2 2 2 3" xfId="5111"/>
    <cellStyle name="표준 9 2 2 2 3 2" xfId="5112"/>
    <cellStyle name="표준 9 2 2 2 4" xfId="5113"/>
    <cellStyle name="표준 9 2 2 3" xfId="5114"/>
    <cellStyle name="표준 9 2 2 4" xfId="5115"/>
    <cellStyle name="표준 9 2 2 4 2" xfId="5116"/>
    <cellStyle name="표준 9 2 2 5" xfId="5117"/>
    <cellStyle name="표준 9 2 2 6" xfId="28079"/>
    <cellStyle name="표준 9 2 3" xfId="5118"/>
    <cellStyle name="표준 9 2 3 2" xfId="5119"/>
    <cellStyle name="표준 9 2 3 2 2" xfId="5120"/>
    <cellStyle name="표준 9 2 3 3" xfId="5121"/>
    <cellStyle name="표준 9 2 3 3 2" xfId="5122"/>
    <cellStyle name="표준 9 2 3 4" xfId="5123"/>
    <cellStyle name="표준 9 2 3 5" xfId="28080"/>
    <cellStyle name="표준 9 2 4" xfId="5124"/>
    <cellStyle name="표준 9 2 4 2" xfId="5125"/>
    <cellStyle name="표준 9 2 4 3" xfId="28081"/>
    <cellStyle name="표준 9 2 5" xfId="5126"/>
    <cellStyle name="표준 9 2 5 2" xfId="5127"/>
    <cellStyle name="표준 9 2 6" xfId="5128"/>
    <cellStyle name="표준 9 3" xfId="5129"/>
    <cellStyle name="표준 9 3 2" xfId="28082"/>
    <cellStyle name="표준 9 3 3" xfId="28083"/>
    <cellStyle name="표준 9 3 4" xfId="28084"/>
    <cellStyle name="표준 9 4" xfId="5130"/>
    <cellStyle name="표준 9 4 2" xfId="5131"/>
    <cellStyle name="표준 9 4 2 2" xfId="5132"/>
    <cellStyle name="표준 9 4 2 3" xfId="5133"/>
    <cellStyle name="표준 9 4 2 3 2" xfId="5134"/>
    <cellStyle name="표준 9 4 2 4" xfId="5135"/>
    <cellStyle name="표준 9 4 3" xfId="5136"/>
    <cellStyle name="표준 9 4 4" xfId="5137"/>
    <cellStyle name="표준 9 4 4 2" xfId="5138"/>
    <cellStyle name="표준 9 4 5" xfId="5139"/>
    <cellStyle name="표준 9 5" xfId="5140"/>
    <cellStyle name="표준 9 5 2" xfId="5141"/>
    <cellStyle name="표준 9 5 2 2" xfId="5142"/>
    <cellStyle name="표준 9 5 3" xfId="5143"/>
    <cellStyle name="표준 9 5 3 2" xfId="5144"/>
    <cellStyle name="표준 9 5 4" xfId="5145"/>
    <cellStyle name="표준 9 6" xfId="5146"/>
    <cellStyle name="표준 9 6 2" xfId="5147"/>
    <cellStyle name="표준 9 6 3" xfId="28085"/>
    <cellStyle name="표준 9 7" xfId="5148"/>
    <cellStyle name="표준 9 7 2" xfId="28086"/>
    <cellStyle name="표준 9 8" xfId="28087"/>
    <cellStyle name="표준 9 9" xfId="28088"/>
    <cellStyle name="표준 90" xfId="28089"/>
    <cellStyle name="표준 91" xfId="28090"/>
    <cellStyle name="표준 92" xfId="28091"/>
    <cellStyle name="표준 93" xfId="28092"/>
    <cellStyle name="표준 94" xfId="28093"/>
    <cellStyle name="표준 95" xfId="28094"/>
    <cellStyle name="표준 96" xfId="28095"/>
    <cellStyle name="표준 97" xfId="28096"/>
    <cellStyle name="표준 98" xfId="28097"/>
    <cellStyle name="표준 99" xfId="28098"/>
    <cellStyle name="표준_세별13항과 총괄표1" xfId="5150"/>
    <cellStyle name="표준_제1장총괄(526~593)" xfId="5149"/>
  </cellStyles>
  <dxfs count="9">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mruColors>
      <color rgb="FFFFFFCC"/>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sz="1100" b="1" i="0" baseline="0"/>
              <a:t>소송사건 종류별 구성</a:t>
            </a:r>
            <a:r>
              <a:rPr lang="en-US" sz="1100" b="1" i="0" baseline="0"/>
              <a:t>(</a:t>
            </a:r>
            <a:r>
              <a:rPr lang="ko-KR" sz="1100" b="1" i="0" baseline="0"/>
              <a:t>도표</a:t>
            </a:r>
            <a:r>
              <a:rPr lang="en-US" sz="1100" b="1" i="0" baseline="0"/>
              <a:t>2)</a:t>
            </a:r>
            <a:endParaRPr lang="ko-KR" sz="1100"/>
          </a:p>
        </c:rich>
      </c:tx>
      <c:layout>
        <c:manualLayout>
          <c:xMode val="edge"/>
          <c:yMode val="edge"/>
          <c:x val="0.24556962025316456"/>
          <c:y val="3.780068728522519E-2"/>
        </c:manualLayout>
      </c:layout>
      <c:overlay val="0"/>
    </c:title>
    <c:autoTitleDeleted val="0"/>
    <c:plotArea>
      <c:layout>
        <c:manualLayout>
          <c:layoutTarget val="inner"/>
          <c:xMode val="edge"/>
          <c:yMode val="edge"/>
          <c:x val="0.18963247704273187"/>
          <c:y val="0.17215199163934294"/>
          <c:w val="0.65251030149728695"/>
          <c:h val="0.77847300015333132"/>
        </c:manualLayout>
      </c:layout>
      <c:doughnutChart>
        <c:varyColors val="1"/>
        <c:ser>
          <c:idx val="0"/>
          <c:order val="0"/>
          <c:dLbls>
            <c:dLbl>
              <c:idx val="0"/>
              <c:layout>
                <c:manualLayout>
                  <c:x val="0.20647419072615922"/>
                  <c:y val="6.0790273556231005E-2"/>
                </c:manualLayout>
              </c:layout>
              <c:tx>
                <c:rich>
                  <a:bodyPr wrap="square" lIns="38100" tIns="19050" rIns="38100" bIns="19050" anchor="ctr">
                    <a:spAutoFit/>
                  </a:bodyPr>
                  <a:lstStyle/>
                  <a:p>
                    <a:pPr>
                      <a:defRPr/>
                    </a:pPr>
                    <a:fld id="{5171FF72-1FBF-4D51-BAE4-5D35A95524AF}" type="CATEGORYNAME">
                      <a:rPr lang="ko-KR" altLang="en-US"/>
                      <a:pPr>
                        <a:defRPr/>
                      </a:pPr>
                      <a:t>[범주 이름]</a:t>
                    </a:fld>
                    <a:r>
                      <a:rPr lang="en-US" altLang="ko-KR" baseline="0"/>
                      <a:t>, </a:t>
                    </a:r>
                    <a:fld id="{E62ACB25-C654-4459-BFB7-5B8D3FA59E9A}" type="VALUE">
                      <a:rPr lang="en-US" altLang="ko-KR" baseline="0"/>
                      <a:pPr>
                        <a:defRPr/>
                      </a:pPr>
                      <a:t>[값]</a:t>
                    </a:fld>
                    <a:r>
                      <a:rPr lang="en-US" altLang="ko-KR" baseline="0"/>
                      <a:t>,</a:t>
                    </a:r>
                    <a:br>
                      <a:rPr lang="en-US" altLang="ko-KR" baseline="0"/>
                    </a:br>
                    <a:r>
                      <a:rPr lang="en-US" altLang="ko-KR" baseline="0"/>
                      <a:t> 80.2%</a:t>
                    </a:r>
                  </a:p>
                </c:rich>
              </c:tx>
              <c:numFmt formatCode="General"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manualLayout>
                      <c:w val="0.22397200349956256"/>
                      <c:h val="0.23061819400234546"/>
                    </c:manualLayout>
                  </c15:layout>
                  <c15:dlblFieldTable/>
                  <c15:showDataLabelsRange val="0"/>
                </c:ext>
                <c:ext xmlns:c16="http://schemas.microsoft.com/office/drawing/2014/chart" uri="{C3380CC4-5D6E-409C-BE32-E72D297353CC}">
                  <c16:uniqueId val="{00000000-CCBA-44D7-9319-7F1C00F070E8}"/>
                </c:ext>
              </c:extLst>
            </c:dLbl>
            <c:dLbl>
              <c:idx val="1"/>
              <c:layout>
                <c:manualLayout>
                  <c:x val="-0.1644794400699913"/>
                  <c:y val="-7.2948328267477242E-2"/>
                </c:manualLayout>
              </c:layout>
              <c:tx>
                <c:rich>
                  <a:bodyPr wrap="square" lIns="38100" tIns="19050" rIns="38100" bIns="19050" anchor="ctr">
                    <a:spAutoFit/>
                  </a:bodyPr>
                  <a:lstStyle/>
                  <a:p>
                    <a:pPr>
                      <a:defRPr/>
                    </a:pPr>
                    <a:fld id="{56E85BBA-4E91-41C8-9C2B-314FBCBD54E1}" type="CATEGORYNAME">
                      <a:rPr lang="ko-KR" altLang="en-US"/>
                      <a:pPr>
                        <a:defRPr/>
                      </a:pPr>
                      <a:t>[범주 이름]</a:t>
                    </a:fld>
                    <a:r>
                      <a:rPr lang="en-US" altLang="ko-KR" baseline="0"/>
                      <a:t>, </a:t>
                    </a:r>
                    <a:fld id="{8AB0F4AB-6285-415D-8B42-2B64CB5FE7DA}" type="VALUE">
                      <a:rPr lang="en-US" altLang="ko-KR" baseline="0"/>
                      <a:pPr>
                        <a:defRPr/>
                      </a:pPr>
                      <a:t>[값]</a:t>
                    </a:fld>
                    <a:r>
                      <a:rPr lang="en-US" altLang="ko-KR" baseline="0"/>
                      <a:t>, 19.8%</a:t>
                    </a:r>
                  </a:p>
                </c:rich>
              </c:tx>
              <c:numFmt formatCode="General" sourceLinked="0"/>
              <c:spPr>
                <a:noFill/>
                <a:ln>
                  <a:noFill/>
                </a:ln>
                <a:effectLst/>
              </c:spPr>
              <c:showLegendKey val="0"/>
              <c:showVal val="1"/>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CCBA-44D7-9319-7F1C00F070E8}"/>
                </c:ext>
              </c:extLst>
            </c:dLbl>
            <c:numFmt formatCode="General" sourceLinked="0"/>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'1'!$G$12:$G$13</c:f>
              <c:strCache>
                <c:ptCount val="2"/>
                <c:pt idx="0">
                  <c:v>본안외사건</c:v>
                </c:pt>
                <c:pt idx="1">
                  <c:v>본안사건</c:v>
                </c:pt>
              </c:strCache>
            </c:strRef>
          </c:cat>
          <c:val>
            <c:numRef>
              <c:f>'1'!$H$12:$H$13</c:f>
              <c:numCache>
                <c:formatCode>_(* #,##0_);_(* \(#,##0\);_(* "-"_);_(@_)</c:formatCode>
                <c:ptCount val="2"/>
                <c:pt idx="0">
                  <c:v>4946011</c:v>
                </c:pt>
                <c:pt idx="1">
                  <c:v>1221301</c:v>
                </c:pt>
              </c:numCache>
            </c:numRef>
          </c:val>
          <c:extLst>
            <c:ext xmlns:c16="http://schemas.microsoft.com/office/drawing/2014/chart" uri="{C3380CC4-5D6E-409C-BE32-E72D297353CC}">
              <c16:uniqueId val="{00000002-7A39-4DA0-B9C2-263405D8F570}"/>
            </c:ext>
          </c:extLst>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paperSize="9" orientation="landscape" verticalDpi="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pPr>
            <a:r>
              <a:rPr lang="ko-KR" sz="1100" b="1" i="0" baseline="0"/>
              <a:t>사건 종류별 구성 </a:t>
            </a:r>
            <a:r>
              <a:rPr lang="en-US" sz="1100" b="1" i="0" baseline="0"/>
              <a:t>(</a:t>
            </a:r>
            <a:r>
              <a:rPr lang="ko-KR" sz="1100" b="1" i="0" baseline="0"/>
              <a:t>도표</a:t>
            </a:r>
            <a:r>
              <a:rPr lang="en-US" sz="1100" b="1" i="0" baseline="0"/>
              <a:t>1)</a:t>
            </a:r>
            <a:endParaRPr lang="ko-KR" sz="1100"/>
          </a:p>
        </c:rich>
      </c:tx>
      <c:layout>
        <c:manualLayout>
          <c:xMode val="edge"/>
          <c:yMode val="edge"/>
          <c:x val="0.23240729923596345"/>
          <c:y val="3.7162123965273575E-2"/>
        </c:manualLayout>
      </c:layout>
      <c:overlay val="0"/>
    </c:title>
    <c:autoTitleDeleted val="0"/>
    <c:plotArea>
      <c:layout>
        <c:manualLayout>
          <c:layoutTarget val="inner"/>
          <c:xMode val="edge"/>
          <c:yMode val="edge"/>
          <c:x val="0.13580646052032086"/>
          <c:y val="0.18549081364829395"/>
          <c:w val="0.99583329356558292"/>
          <c:h val="0.81450911541462723"/>
        </c:manualLayout>
      </c:layout>
      <c:doughnutChart>
        <c:varyColors val="1"/>
        <c:ser>
          <c:idx val="0"/>
          <c:order val="0"/>
          <c:dPt>
            <c:idx val="1"/>
            <c:bubble3D val="0"/>
            <c:extLst>
              <c:ext xmlns:c16="http://schemas.microsoft.com/office/drawing/2014/chart" uri="{C3380CC4-5D6E-409C-BE32-E72D297353CC}">
                <c16:uniqueId val="{00000000-AC7C-487E-A9FA-AF57CC4C22C4}"/>
              </c:ext>
            </c:extLst>
          </c:dPt>
          <c:dLbls>
            <c:dLbl>
              <c:idx val="0"/>
              <c:layout>
                <c:manualLayout>
                  <c:x val="0.10682492581602374"/>
                  <c:y val="0.18051282051282036"/>
                </c:manualLayout>
              </c:layout>
              <c:tx>
                <c:rich>
                  <a:bodyPr wrap="square" lIns="38100" tIns="19050" rIns="38100" bIns="19050" anchor="ctr">
                    <a:spAutoFit/>
                  </a:bodyPr>
                  <a:lstStyle/>
                  <a:p>
                    <a:pPr>
                      <a:defRPr/>
                    </a:pPr>
                    <a:fld id="{F954B623-5736-4BDB-8565-9C0C6FD10E07}" type="CATEGORYNAME">
                      <a:rPr lang="ko-KR" altLang="en-US"/>
                      <a:pPr>
                        <a:defRPr/>
                      </a:pPr>
                      <a:t>[범주 이름]</a:t>
                    </a:fld>
                    <a:r>
                      <a:rPr lang="en-US" altLang="ko-KR" baseline="0"/>
                      <a:t>, </a:t>
                    </a:r>
                    <a:fld id="{A7533783-FAAE-4205-A3E7-40F851D19C2B}" type="VALUE">
                      <a:rPr lang="en-US" altLang="ko-KR" baseline="0"/>
                      <a:pPr>
                        <a:defRPr/>
                      </a:pPr>
                      <a:t>[값]</a:t>
                    </a:fld>
                    <a:r>
                      <a:rPr lang="en-US" altLang="ko-KR" baseline="0"/>
                      <a:t>,</a:t>
                    </a:r>
                    <a:br>
                      <a:rPr lang="en-US" altLang="ko-KR" baseline="0"/>
                    </a:br>
                    <a:r>
                      <a:rPr lang="en-US" altLang="ko-KR" baseline="0"/>
                      <a:t>61.5%</a:t>
                    </a:r>
                  </a:p>
                </c:rich>
              </c:tx>
              <c:spPr>
                <a:noFill/>
                <a:ln>
                  <a:noFill/>
                </a:ln>
                <a:effectLst/>
              </c:spPr>
              <c:showLegendKey val="0"/>
              <c:showVal val="1"/>
              <c:showCatName val="1"/>
              <c:showSerName val="0"/>
              <c:showPercent val="1"/>
              <c:showBubbleSize val="0"/>
              <c:extLst>
                <c:ext xmlns:c15="http://schemas.microsoft.com/office/drawing/2012/chart" uri="{CE6537A1-D6FC-4f65-9D91-7224C49458BB}">
                  <c15:layout>
                    <c:manualLayout>
                      <c:w val="0.22747758904024237"/>
                      <c:h val="0.23345657177468201"/>
                    </c:manualLayout>
                  </c15:layout>
                  <c15:dlblFieldTable/>
                  <c15:showDataLabelsRange val="0"/>
                </c:ext>
                <c:ext xmlns:c16="http://schemas.microsoft.com/office/drawing/2014/chart" uri="{C3380CC4-5D6E-409C-BE32-E72D297353CC}">
                  <c16:uniqueId val="{00000001-AF7D-493D-8C2E-6185E8EB2B73}"/>
                </c:ext>
              </c:extLst>
            </c:dLbl>
            <c:dLbl>
              <c:idx val="1"/>
              <c:layout>
                <c:manualLayout>
                  <c:x val="-9.8911968348170135E-2"/>
                  <c:y val="-0.1682051282051282"/>
                </c:manualLayout>
              </c:layout>
              <c:tx>
                <c:rich>
                  <a:bodyPr wrap="square" lIns="38100" tIns="19050" rIns="38100" bIns="19050" anchor="ctr">
                    <a:noAutofit/>
                  </a:bodyPr>
                  <a:lstStyle/>
                  <a:p>
                    <a:pPr>
                      <a:defRPr/>
                    </a:pPr>
                    <a:fld id="{16225FAC-4773-414E-B9D5-44665ADE18AD}" type="CATEGORYNAME">
                      <a:rPr lang="ko-KR" altLang="en-US"/>
                      <a:pPr>
                        <a:defRPr/>
                      </a:pPr>
                      <a:t>[범주 이름]</a:t>
                    </a:fld>
                    <a:r>
                      <a:rPr lang="en-US" altLang="ko-KR" baseline="0"/>
                      <a:t>, </a:t>
                    </a:r>
                    <a:fld id="{4A574EC2-98AB-4063-BE75-1F0DF2888BC3}" type="VALUE">
                      <a:rPr lang="en-US" altLang="ko-KR" baseline="0"/>
                      <a:pPr>
                        <a:defRPr/>
                      </a:pPr>
                      <a:t>[값]</a:t>
                    </a:fld>
                    <a:r>
                      <a:rPr lang="en-US" altLang="ko-KR" baseline="0"/>
                      <a:t>, </a:t>
                    </a:r>
                    <a:br>
                      <a:rPr lang="en-US" altLang="ko-KR" baseline="0"/>
                    </a:br>
                    <a:r>
                      <a:rPr lang="en-US" altLang="ko-KR" baseline="0"/>
                      <a:t>38.5%</a:t>
                    </a:r>
                  </a:p>
                </c:rich>
              </c:tx>
              <c:spPr>
                <a:noFill/>
                <a:ln>
                  <a:noFill/>
                </a:ln>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2352111030631558"/>
                      <c:h val="0.24576426408237431"/>
                    </c:manualLayout>
                  </c15:layout>
                  <c15:dlblFieldTable/>
                  <c15:showDataLabelsRange val="0"/>
                </c:ext>
                <c:ext xmlns:c16="http://schemas.microsoft.com/office/drawing/2014/chart" uri="{C3380CC4-5D6E-409C-BE32-E72D297353CC}">
                  <c16:uniqueId val="{00000000-AC7C-487E-A9FA-AF57CC4C22C4}"/>
                </c:ext>
              </c:extLst>
            </c:dLbl>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'1'!$A$11:$A$12</c:f>
              <c:strCache>
                <c:ptCount val="2"/>
                <c:pt idx="0">
                  <c:v>비송사건</c:v>
                </c:pt>
                <c:pt idx="1">
                  <c:v>소송사건</c:v>
                </c:pt>
              </c:strCache>
            </c:strRef>
          </c:cat>
          <c:val>
            <c:numRef>
              <c:f>'1'!$B$11:$B$12</c:f>
              <c:numCache>
                <c:formatCode>_(* #,##0_);_(* \(#,##0\);_(* "-"_);_(@_)</c:formatCode>
                <c:ptCount val="2"/>
                <c:pt idx="0">
                  <c:v>9856540</c:v>
                </c:pt>
                <c:pt idx="1">
                  <c:v>6167312</c:v>
                </c:pt>
              </c:numCache>
            </c:numRef>
          </c:val>
          <c:extLst>
            <c:ext xmlns:c16="http://schemas.microsoft.com/office/drawing/2014/chart" uri="{C3380CC4-5D6E-409C-BE32-E72D297353CC}">
              <c16:uniqueId val="{00000002-AC7C-487E-A9FA-AF57CC4C22C4}"/>
            </c:ext>
          </c:extLst>
        </c:ser>
        <c:dLbls>
          <c:showLegendKey val="0"/>
          <c:showVal val="0"/>
          <c:showCatName val="1"/>
          <c:showSerName val="0"/>
          <c:showPercent val="1"/>
          <c:showBubbleSize val="0"/>
          <c:showLeaderLines val="1"/>
        </c:dLbls>
        <c:firstSliceAng val="0"/>
        <c:holeSize val="50"/>
      </c:doughnutChart>
    </c:plotArea>
    <c:plotVisOnly val="1"/>
    <c:dispBlanksAs val="zero"/>
    <c:showDLblsOverMax val="0"/>
  </c:chart>
  <c:spPr>
    <a:ln>
      <a:noFill/>
    </a:ln>
  </c:spPr>
  <c:printSettings>
    <c:headerFooter/>
    <c:pageMargins b="0.75000000000001465" l="0.70000000000000062" r="0.70000000000000062" t="0.75000000000001465"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ko-KR" altLang="ko-KR" sz="1200" b="1" i="0" baseline="0">
                <a:solidFill>
                  <a:schemeClr val="tx1"/>
                </a:solidFill>
                <a:effectLst/>
              </a:rPr>
              <a:t>소송사건 사건별 구성</a:t>
            </a:r>
            <a:r>
              <a:rPr lang="en-US" altLang="ko-KR" sz="1200" b="1" i="0" baseline="0">
                <a:solidFill>
                  <a:schemeClr val="tx1"/>
                </a:solidFill>
                <a:effectLst/>
              </a:rPr>
              <a:t>(</a:t>
            </a:r>
            <a:r>
              <a:rPr lang="ko-KR" altLang="ko-KR" sz="1200" b="1" i="0" baseline="0">
                <a:solidFill>
                  <a:schemeClr val="tx1"/>
                </a:solidFill>
                <a:effectLst/>
              </a:rPr>
              <a:t>도표 </a:t>
            </a:r>
            <a:r>
              <a:rPr lang="en-US" altLang="ko-KR" sz="1200" b="1" i="0" baseline="0">
                <a:solidFill>
                  <a:schemeClr val="tx1"/>
                </a:solidFill>
                <a:effectLst/>
              </a:rPr>
              <a:t>3)</a:t>
            </a:r>
            <a:endParaRPr lang="ko-KR" altLang="ko-KR" sz="120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ko-KR"/>
        </a:p>
      </c:txPr>
    </c:title>
    <c:autoTitleDeleted val="0"/>
    <c:plotArea>
      <c:layout>
        <c:manualLayout>
          <c:layoutTarget val="inner"/>
          <c:xMode val="edge"/>
          <c:yMode val="edge"/>
          <c:x val="0.14461823002449486"/>
          <c:y val="0.32033358802364109"/>
          <c:w val="0.6869890860464819"/>
          <c:h val="0.6759409138951316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5C-4A42-B277-2C8F5A9832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5C-4A42-B277-2C8F5A9832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5C-4A42-B277-2C8F5A9832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5C-4A42-B277-2C8F5A9832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5C-4A42-B277-2C8F5A9832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B5C-4A42-B277-2C8F5A9832B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B5C-4A42-B277-2C8F5A9832B4}"/>
              </c:ext>
            </c:extLst>
          </c:dPt>
          <c:dLbls>
            <c:dLbl>
              <c:idx val="0"/>
              <c:layout>
                <c:manualLayout>
                  <c:x val="0.11094599557027209"/>
                  <c:y val="-0.15594537123133298"/>
                </c:manualLayout>
              </c:layout>
              <c:tx>
                <c:rich>
                  <a:bodyPr/>
                  <a:lstStyle/>
                  <a:p>
                    <a:fld id="{BB016689-0836-4733-ADE3-ED1A932FB92C}" type="CATEGORYNAME">
                      <a:rPr lang="ko-KR" altLang="en-US"/>
                      <a:pPr/>
                      <a:t>[범주 이름]</a:t>
                    </a:fld>
                    <a:r>
                      <a:rPr lang="en-US" altLang="ko-KR" baseline="0"/>
                      <a:t>, </a:t>
                    </a:r>
                    <a:fld id="{71F2DD0B-45F1-4094-8E79-83BB54BFDAD1}" type="VALUE">
                      <a:rPr lang="en-US" altLang="ko-KR" baseline="0"/>
                      <a:pPr/>
                      <a:t>[값]</a:t>
                    </a:fld>
                    <a:r>
                      <a:rPr lang="en-US" altLang="ko-KR" baseline="0"/>
                      <a:t>, 68.6%</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B5C-4A42-B277-2C8F5A9832B4}"/>
                </c:ext>
              </c:extLst>
            </c:dLbl>
            <c:dLbl>
              <c:idx val="1"/>
              <c:layout>
                <c:manualLayout>
                  <c:x val="-0.17434370732471327"/>
                  <c:y val="9.3567222738799791E-2"/>
                </c:manualLayout>
              </c:layout>
              <c:tx>
                <c:rich>
                  <a:bodyPr/>
                  <a:lstStyle/>
                  <a:p>
                    <a:fld id="{D5C7B09D-8E96-4987-B66C-720A1168796D}" type="CATEGORYNAME">
                      <a:rPr lang="ko-KR" altLang="en-US"/>
                      <a:pPr/>
                      <a:t>[범주 이름]</a:t>
                    </a:fld>
                    <a:r>
                      <a:rPr lang="en-US" altLang="ko-KR" baseline="0"/>
                      <a:t>, </a:t>
                    </a:r>
                    <a:fld id="{1873353D-2524-4578-974F-E3B3BEB7DF6E}" type="VALUE">
                      <a:rPr lang="en-US" altLang="ko-KR" baseline="0"/>
                      <a:pPr/>
                      <a:t>[값]</a:t>
                    </a:fld>
                    <a:r>
                      <a:rPr lang="en-US" altLang="ko-KR" baseline="0"/>
                      <a:t>, 25.6%</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B5C-4A42-B277-2C8F5A9832B4}"/>
                </c:ext>
              </c:extLst>
            </c:dLbl>
            <c:dLbl>
              <c:idx val="2"/>
              <c:layout>
                <c:manualLayout>
                  <c:x val="-0.34472505766477402"/>
                  <c:y val="1.5594537123133299E-2"/>
                </c:manualLayout>
              </c:layout>
              <c:tx>
                <c:rich>
                  <a:bodyPr/>
                  <a:lstStyle/>
                  <a:p>
                    <a:fld id="{5664CAEC-B5DF-474C-8888-383E02544A39}" type="CATEGORYNAME">
                      <a:rPr lang="ko-KR" altLang="en-US"/>
                      <a:pPr/>
                      <a:t>[범주 이름]</a:t>
                    </a:fld>
                    <a:r>
                      <a:rPr lang="en-US" altLang="ko-KR" baseline="0"/>
                      <a:t>, </a:t>
                    </a:r>
                    <a:fld id="{CE8A4B6F-39E1-450E-847A-78362B2D4928}" type="VALUE">
                      <a:rPr lang="en-US" altLang="ko-KR" baseline="0"/>
                      <a:pPr/>
                      <a:t>[값]</a:t>
                    </a:fld>
                    <a:r>
                      <a:rPr lang="en-US" altLang="ko-KR" baseline="0"/>
                      <a:t>, 2.9%</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B5C-4A42-B277-2C8F5A9832B4}"/>
                </c:ext>
              </c:extLst>
            </c:dLbl>
            <c:dLbl>
              <c:idx val="3"/>
              <c:layout>
                <c:manualLayout>
                  <c:x val="-0.29717677384894309"/>
                  <c:y val="-0.10916175986193309"/>
                </c:manualLayout>
              </c:layout>
              <c:tx>
                <c:rich>
                  <a:bodyPr/>
                  <a:lstStyle/>
                  <a:p>
                    <a:fld id="{40BE9477-0A56-4454-B1CA-69718DB6C808}" type="CATEGORYNAME">
                      <a:rPr lang="ko-KR" altLang="en-US"/>
                      <a:pPr/>
                      <a:t>[범주 이름]</a:t>
                    </a:fld>
                    <a:r>
                      <a:rPr lang="en-US" altLang="ko-KR" baseline="0"/>
                      <a:t>, </a:t>
                    </a:r>
                    <a:fld id="{A0F222E5-7FE8-4237-8A46-B6AE93B9D696}" type="VALUE">
                      <a:rPr lang="en-US" altLang="ko-KR" baseline="0"/>
                      <a:pPr/>
                      <a:t>[값]</a:t>
                    </a:fld>
                    <a:r>
                      <a:rPr lang="en-US" altLang="ko-KR" baseline="0"/>
                      <a:t>, 2.1%</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B5C-4A42-B277-2C8F5A9832B4}"/>
                </c:ext>
              </c:extLst>
            </c:dLbl>
            <c:dLbl>
              <c:idx val="4"/>
              <c:layout>
                <c:manualLayout>
                  <c:x val="-0.18623077827867102"/>
                  <c:y val="-0.17543854263524963"/>
                </c:manualLayout>
              </c:layout>
              <c:tx>
                <c:rich>
                  <a:bodyPr/>
                  <a:lstStyle/>
                  <a:p>
                    <a:fld id="{0D45D0F3-F63A-4696-AD2A-28F56B801A2E}" type="CATEGORYNAME">
                      <a:rPr lang="ko-KR" altLang="en-US"/>
                      <a:pPr/>
                      <a:t>[범주 이름]</a:t>
                    </a:fld>
                    <a:r>
                      <a:rPr lang="en-US" altLang="ko-KR" baseline="0"/>
                      <a:t>, </a:t>
                    </a:r>
                    <a:fld id="{BFA723F7-2B08-4D5B-BE01-83C74099E072}" type="VALUE">
                      <a:rPr lang="en-US" altLang="ko-KR" baseline="0"/>
                      <a:pPr/>
                      <a:t>[값]</a:t>
                    </a:fld>
                    <a:r>
                      <a:rPr lang="en-US" altLang="ko-KR" baseline="0"/>
                      <a:t>, 0.8%</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2B5C-4A42-B277-2C8F5A9832B4}"/>
                </c:ext>
              </c:extLst>
            </c:dLbl>
            <c:dLbl>
              <c:idx val="5"/>
              <c:layout>
                <c:manualLayout>
                  <c:x val="-3.9623569846525743E-2"/>
                  <c:y val="-0.20662761688151621"/>
                </c:manualLayout>
              </c:layout>
              <c:tx>
                <c:rich>
                  <a:bodyPr/>
                  <a:lstStyle/>
                  <a:p>
                    <a:fld id="{3C51F568-055C-45FB-A9AB-C47BDD730C39}" type="CATEGORYNAME">
                      <a:rPr lang="ko-KR" altLang="en-US"/>
                      <a:pPr/>
                      <a:t>[범주 이름]</a:t>
                    </a:fld>
                    <a:r>
                      <a:rPr lang="en-US" altLang="ko-KR" baseline="0"/>
                      <a:t>, </a:t>
                    </a:r>
                    <a:fld id="{4036D074-99B9-447F-8305-F15FA176B483}" type="VALUE">
                      <a:rPr lang="en-US" altLang="ko-KR" baseline="0"/>
                      <a:pPr/>
                      <a:t>[값]</a:t>
                    </a:fld>
                    <a:r>
                      <a:rPr lang="en-US" altLang="ko-KR" baseline="0"/>
                      <a:t>, 0.0%</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2B5C-4A42-B277-2C8F5A9832B4}"/>
                </c:ext>
              </c:extLst>
            </c:dLbl>
            <c:dLbl>
              <c:idx val="6"/>
              <c:layout>
                <c:manualLayout>
                  <c:x val="0.15849427938610292"/>
                  <c:y val="-0.14035083410819973"/>
                </c:manualLayout>
              </c:layout>
              <c:tx>
                <c:rich>
                  <a:bodyPr/>
                  <a:lstStyle/>
                  <a:p>
                    <a:fld id="{13B6AB50-C91D-4DD3-B66D-C6066D6A42AF}" type="CATEGORYNAME">
                      <a:rPr lang="ko-KR" altLang="en-US"/>
                      <a:pPr/>
                      <a:t>[범주 이름]</a:t>
                    </a:fld>
                    <a:r>
                      <a:rPr lang="en-US" altLang="ko-KR" baseline="0"/>
                      <a:t>, </a:t>
                    </a:r>
                    <a:fld id="{0A62F418-8FCC-4D24-B778-C285C26D88F9}" type="VALUE">
                      <a:rPr lang="en-US" altLang="ko-KR" baseline="0"/>
                      <a:pPr/>
                      <a:t>[값]</a:t>
                    </a:fld>
                    <a:r>
                      <a:rPr lang="en-US" altLang="ko-KR" baseline="0"/>
                      <a:t>, 0.0%</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2B5C-4A42-B277-2C8F5A9832B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'2'!$A$11:$G$11</c:f>
              <c:strCache>
                <c:ptCount val="7"/>
                <c:pt idx="0">
                  <c:v>민사</c:v>
                </c:pt>
                <c:pt idx="1">
                  <c:v>형사</c:v>
                </c:pt>
                <c:pt idx="2">
                  <c:v>가사</c:v>
                </c:pt>
                <c:pt idx="3">
                  <c:v>소년</c:v>
                </c:pt>
                <c:pt idx="4">
                  <c:v>행정</c:v>
                </c:pt>
                <c:pt idx="5">
                  <c:v>지식재산</c:v>
                </c:pt>
                <c:pt idx="6">
                  <c:v>선거</c:v>
                </c:pt>
              </c:strCache>
            </c:strRef>
          </c:cat>
          <c:val>
            <c:numRef>
              <c:f>'2'!$A$12:$G$12</c:f>
              <c:numCache>
                <c:formatCode>_(* #,##0_);_(* \(#,##0\);_(* "-"_);_(@_)</c:formatCode>
                <c:ptCount val="7"/>
                <c:pt idx="0">
                  <c:v>4227700</c:v>
                </c:pt>
                <c:pt idx="1">
                  <c:v>1579320</c:v>
                </c:pt>
                <c:pt idx="2">
                  <c:v>177310</c:v>
                </c:pt>
                <c:pt idx="3">
                  <c:v>131923</c:v>
                </c:pt>
                <c:pt idx="4">
                  <c:v>49900</c:v>
                </c:pt>
                <c:pt idx="5">
                  <c:v>1036</c:v>
                </c:pt>
                <c:pt idx="6">
                  <c:v>123</c:v>
                </c:pt>
              </c:numCache>
            </c:numRef>
          </c:val>
          <c:extLst>
            <c:ext xmlns:c16="http://schemas.microsoft.com/office/drawing/2014/chart" uri="{C3380CC4-5D6E-409C-BE32-E72D297353CC}">
              <c16:uniqueId val="{0000000E-2B5C-4A42-B277-2C8F5A9832B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ko-KR" sz="1100" b="1" i="0" baseline="0"/>
              <a:t>전체사건 대 각 사건별 대비 </a:t>
            </a:r>
            <a:r>
              <a:rPr lang="en-US" sz="1100" b="1" i="0" baseline="0"/>
              <a:t>(</a:t>
            </a:r>
            <a:r>
              <a:rPr lang="ko-KR" sz="1100" b="1" i="0" baseline="0"/>
              <a:t>도표</a:t>
            </a:r>
            <a:r>
              <a:rPr lang="en-US" sz="1100" b="1" i="0" baseline="0"/>
              <a:t>5)</a:t>
            </a:r>
            <a:endParaRPr lang="ko-KR" sz="1100"/>
          </a:p>
        </c:rich>
      </c:tx>
      <c:layout>
        <c:manualLayout>
          <c:xMode val="edge"/>
          <c:yMode val="edge"/>
          <c:x val="0.32568149210905761"/>
          <c:y val="3.1413630840901936E-2"/>
        </c:manualLayout>
      </c:layout>
      <c:overlay val="0"/>
    </c:title>
    <c:autoTitleDeleted val="0"/>
    <c:plotArea>
      <c:layout>
        <c:manualLayout>
          <c:layoutTarget val="inner"/>
          <c:xMode val="edge"/>
          <c:yMode val="edge"/>
          <c:x val="0.14299378287900938"/>
          <c:y val="0.15658591269441721"/>
          <c:w val="0.85509325681492165"/>
          <c:h val="0.75654450261782391"/>
        </c:manualLayout>
      </c:layout>
      <c:lineChart>
        <c:grouping val="standard"/>
        <c:varyColors val="0"/>
        <c:ser>
          <c:idx val="0"/>
          <c:order val="0"/>
          <c:cat>
            <c:numRef>
              <c:f>'2'!$D$26:$D$35</c:f>
              <c:numCache>
                <c:formatCode>General</c:formatCode>
                <c:ptCount val="10"/>
                <c:pt idx="0">
                  <c:v>13</c:v>
                </c:pt>
                <c:pt idx="1">
                  <c:v>14</c:v>
                </c:pt>
                <c:pt idx="2">
                  <c:v>15</c:v>
                </c:pt>
                <c:pt idx="3">
                  <c:v>16</c:v>
                </c:pt>
                <c:pt idx="4">
                  <c:v>17</c:v>
                </c:pt>
                <c:pt idx="5">
                  <c:v>18</c:v>
                </c:pt>
                <c:pt idx="6">
                  <c:v>19</c:v>
                </c:pt>
                <c:pt idx="7">
                  <c:v>20</c:v>
                </c:pt>
                <c:pt idx="8">
                  <c:v>21</c:v>
                </c:pt>
                <c:pt idx="9">
                  <c:v>22</c:v>
                </c:pt>
              </c:numCache>
            </c:numRef>
          </c:cat>
          <c:val>
            <c:numRef>
              <c:f>'2'!$E$26:$E$35</c:f>
              <c:numCache>
                <c:formatCode>_(* #,##0_);_(* \(#,##0\);_(* "-"_);_(@_)</c:formatCode>
                <c:ptCount val="10"/>
                <c:pt idx="0">
                  <c:v>18466987</c:v>
                </c:pt>
                <c:pt idx="1">
                  <c:v>18986585</c:v>
                </c:pt>
                <c:pt idx="2">
                  <c:v>20609851</c:v>
                </c:pt>
                <c:pt idx="3">
                  <c:v>18978570</c:v>
                </c:pt>
                <c:pt idx="4">
                  <c:v>18069526</c:v>
                </c:pt>
                <c:pt idx="5">
                  <c:v>17651498</c:v>
                </c:pt>
                <c:pt idx="6">
                  <c:v>17720328</c:v>
                </c:pt>
                <c:pt idx="7">
                  <c:v>18838150</c:v>
                </c:pt>
                <c:pt idx="8">
                  <c:v>17884639</c:v>
                </c:pt>
                <c:pt idx="9">
                  <c:v>16023852</c:v>
                </c:pt>
              </c:numCache>
            </c:numRef>
          </c:val>
          <c:smooth val="0"/>
          <c:extLst>
            <c:ext xmlns:c16="http://schemas.microsoft.com/office/drawing/2014/chart" uri="{C3380CC4-5D6E-409C-BE32-E72D297353CC}">
              <c16:uniqueId val="{0000000A-41FD-4D26-BADF-8490704A6933}"/>
            </c:ext>
          </c:extLst>
        </c:ser>
        <c:ser>
          <c:idx val="1"/>
          <c:order val="1"/>
          <c:marker>
            <c:symbol val="square"/>
            <c:size val="5"/>
          </c:marker>
          <c:cat>
            <c:numRef>
              <c:f>'2'!$D$26:$D$35</c:f>
              <c:numCache>
                <c:formatCode>General</c:formatCode>
                <c:ptCount val="10"/>
                <c:pt idx="0">
                  <c:v>13</c:v>
                </c:pt>
                <c:pt idx="1">
                  <c:v>14</c:v>
                </c:pt>
                <c:pt idx="2">
                  <c:v>15</c:v>
                </c:pt>
                <c:pt idx="3">
                  <c:v>16</c:v>
                </c:pt>
                <c:pt idx="4">
                  <c:v>17</c:v>
                </c:pt>
                <c:pt idx="5">
                  <c:v>18</c:v>
                </c:pt>
                <c:pt idx="6">
                  <c:v>19</c:v>
                </c:pt>
                <c:pt idx="7">
                  <c:v>20</c:v>
                </c:pt>
                <c:pt idx="8">
                  <c:v>21</c:v>
                </c:pt>
                <c:pt idx="9">
                  <c:v>22</c:v>
                </c:pt>
              </c:numCache>
            </c:numRef>
          </c:cat>
          <c:val>
            <c:numRef>
              <c:f>'2'!$F$26:$F$35</c:f>
              <c:numCache>
                <c:formatCode>_(* #,##0_);_(* \(#,##0\);_(* "-"_);_(@_)</c:formatCode>
                <c:ptCount val="10"/>
                <c:pt idx="0">
                  <c:v>1605623</c:v>
                </c:pt>
                <c:pt idx="1">
                  <c:v>1657385</c:v>
                </c:pt>
                <c:pt idx="2">
                  <c:v>1525846</c:v>
                </c:pt>
                <c:pt idx="3">
                  <c:v>1523108</c:v>
                </c:pt>
                <c:pt idx="4">
                  <c:v>1555602</c:v>
                </c:pt>
                <c:pt idx="5">
                  <c:v>1462714</c:v>
                </c:pt>
                <c:pt idx="6">
                  <c:v>1461440</c:v>
                </c:pt>
                <c:pt idx="7">
                  <c:v>1448551</c:v>
                </c:pt>
                <c:pt idx="8">
                  <c:v>1297441</c:v>
                </c:pt>
                <c:pt idx="9">
                  <c:v>1221301</c:v>
                </c:pt>
              </c:numCache>
            </c:numRef>
          </c:val>
          <c:smooth val="0"/>
          <c:extLst>
            <c:ext xmlns:c16="http://schemas.microsoft.com/office/drawing/2014/chart" uri="{C3380CC4-5D6E-409C-BE32-E72D297353CC}">
              <c16:uniqueId val="{00000015-41FD-4D26-BADF-8490704A6933}"/>
            </c:ext>
          </c:extLst>
        </c:ser>
        <c:ser>
          <c:idx val="2"/>
          <c:order val="2"/>
          <c:cat>
            <c:numRef>
              <c:f>'2'!$D$26:$D$35</c:f>
              <c:numCache>
                <c:formatCode>General</c:formatCode>
                <c:ptCount val="10"/>
                <c:pt idx="0">
                  <c:v>13</c:v>
                </c:pt>
                <c:pt idx="1">
                  <c:v>14</c:v>
                </c:pt>
                <c:pt idx="2">
                  <c:v>15</c:v>
                </c:pt>
                <c:pt idx="3">
                  <c:v>16</c:v>
                </c:pt>
                <c:pt idx="4">
                  <c:v>17</c:v>
                </c:pt>
                <c:pt idx="5">
                  <c:v>18</c:v>
                </c:pt>
                <c:pt idx="6">
                  <c:v>19</c:v>
                </c:pt>
                <c:pt idx="7">
                  <c:v>20</c:v>
                </c:pt>
                <c:pt idx="8">
                  <c:v>21</c:v>
                </c:pt>
                <c:pt idx="9">
                  <c:v>22</c:v>
                </c:pt>
              </c:numCache>
            </c:numRef>
          </c:cat>
          <c:val>
            <c:numRef>
              <c:f>'2'!$G$26:$G$35</c:f>
              <c:numCache>
                <c:formatCode>_(* #,##0_);_(* \(#,##0\);_(* "-"_);_(@_)</c:formatCode>
                <c:ptCount val="10"/>
                <c:pt idx="0">
                  <c:v>4985097</c:v>
                </c:pt>
                <c:pt idx="1">
                  <c:v>4843459</c:v>
                </c:pt>
                <c:pt idx="2">
                  <c:v>4835939</c:v>
                </c:pt>
                <c:pt idx="3">
                  <c:v>5224405</c:v>
                </c:pt>
                <c:pt idx="4">
                  <c:v>5187181</c:v>
                </c:pt>
                <c:pt idx="5">
                  <c:v>5122866</c:v>
                </c:pt>
                <c:pt idx="6">
                  <c:v>5172904</c:v>
                </c:pt>
                <c:pt idx="7">
                  <c:v>5230682</c:v>
                </c:pt>
                <c:pt idx="8">
                  <c:v>4994026</c:v>
                </c:pt>
                <c:pt idx="9">
                  <c:v>4946011</c:v>
                </c:pt>
              </c:numCache>
            </c:numRef>
          </c:val>
          <c:smooth val="0"/>
          <c:extLst>
            <c:ext xmlns:c16="http://schemas.microsoft.com/office/drawing/2014/chart" uri="{C3380CC4-5D6E-409C-BE32-E72D297353CC}">
              <c16:uniqueId val="{00000020-41FD-4D26-BADF-8490704A6933}"/>
            </c:ext>
          </c:extLst>
        </c:ser>
        <c:ser>
          <c:idx val="3"/>
          <c:order val="3"/>
          <c:cat>
            <c:numRef>
              <c:f>'2'!$D$26:$D$35</c:f>
              <c:numCache>
                <c:formatCode>General</c:formatCode>
                <c:ptCount val="10"/>
                <c:pt idx="0">
                  <c:v>13</c:v>
                </c:pt>
                <c:pt idx="1">
                  <c:v>14</c:v>
                </c:pt>
                <c:pt idx="2">
                  <c:v>15</c:v>
                </c:pt>
                <c:pt idx="3">
                  <c:v>16</c:v>
                </c:pt>
                <c:pt idx="4">
                  <c:v>17</c:v>
                </c:pt>
                <c:pt idx="5">
                  <c:v>18</c:v>
                </c:pt>
                <c:pt idx="6">
                  <c:v>19</c:v>
                </c:pt>
                <c:pt idx="7">
                  <c:v>20</c:v>
                </c:pt>
                <c:pt idx="8">
                  <c:v>21</c:v>
                </c:pt>
                <c:pt idx="9">
                  <c:v>22</c:v>
                </c:pt>
              </c:numCache>
            </c:numRef>
          </c:cat>
          <c:val>
            <c:numRef>
              <c:f>'2'!$H$26:$H$35</c:f>
              <c:numCache>
                <c:formatCode>_(* #,##0_);_(* \(#,##0\);_(* "-"_);_(@_)</c:formatCode>
                <c:ptCount val="10"/>
                <c:pt idx="0">
                  <c:v>11876267</c:v>
                </c:pt>
                <c:pt idx="1">
                  <c:v>12485741</c:v>
                </c:pt>
                <c:pt idx="2">
                  <c:v>14248066</c:v>
                </c:pt>
                <c:pt idx="3">
                  <c:v>12231057</c:v>
                </c:pt>
                <c:pt idx="4">
                  <c:v>11326743</c:v>
                </c:pt>
                <c:pt idx="5">
                  <c:v>11065918</c:v>
                </c:pt>
                <c:pt idx="6">
                  <c:v>11085984</c:v>
                </c:pt>
                <c:pt idx="7">
                  <c:v>12158917</c:v>
                </c:pt>
                <c:pt idx="8">
                  <c:v>11593172</c:v>
                </c:pt>
                <c:pt idx="9">
                  <c:v>9856540</c:v>
                </c:pt>
              </c:numCache>
            </c:numRef>
          </c:val>
          <c:smooth val="0"/>
          <c:extLst>
            <c:ext xmlns:c16="http://schemas.microsoft.com/office/drawing/2014/chart" uri="{C3380CC4-5D6E-409C-BE32-E72D297353CC}">
              <c16:uniqueId val="{0000002B-41FD-4D26-BADF-8490704A6933}"/>
            </c:ext>
          </c:extLst>
        </c:ser>
        <c:dLbls>
          <c:showLegendKey val="0"/>
          <c:showVal val="0"/>
          <c:showCatName val="0"/>
          <c:showSerName val="0"/>
          <c:showPercent val="0"/>
          <c:showBubbleSize val="0"/>
        </c:dLbls>
        <c:marker val="1"/>
        <c:smooth val="0"/>
        <c:axId val="143888384"/>
        <c:axId val="143889920"/>
      </c:lineChart>
      <c:catAx>
        <c:axId val="143888384"/>
        <c:scaling>
          <c:orientation val="minMax"/>
        </c:scaling>
        <c:delete val="0"/>
        <c:axPos val="b"/>
        <c:numFmt formatCode="General" sourceLinked="1"/>
        <c:majorTickMark val="none"/>
        <c:minorTickMark val="none"/>
        <c:tickLblPos val="nextTo"/>
        <c:crossAx val="143889920"/>
        <c:crosses val="autoZero"/>
        <c:auto val="1"/>
        <c:lblAlgn val="ctr"/>
        <c:lblOffset val="100"/>
        <c:noMultiLvlLbl val="0"/>
      </c:catAx>
      <c:valAx>
        <c:axId val="143889920"/>
        <c:scaling>
          <c:orientation val="minMax"/>
        </c:scaling>
        <c:delete val="0"/>
        <c:axPos val="l"/>
        <c:numFmt formatCode="_(* #,##0_);_(* \(#,##0\);_(* &quot;-&quot;_);_(@_)" sourceLinked="1"/>
        <c:majorTickMark val="none"/>
        <c:minorTickMark val="none"/>
        <c:tickLblPos val="nextTo"/>
        <c:crossAx val="143888384"/>
        <c:crosses val="autoZero"/>
        <c:crossBetween val="between"/>
      </c:valAx>
    </c:plotArea>
    <c:plotVisOnly val="1"/>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ko-KR" altLang="ko-KR" sz="1200" b="1" i="0" baseline="0">
                <a:solidFill>
                  <a:schemeClr val="tx1"/>
                </a:solidFill>
                <a:effectLst/>
              </a:rPr>
              <a:t>비송사건 종류별 구성</a:t>
            </a:r>
            <a:r>
              <a:rPr lang="en-US" altLang="ko-KR" sz="1200" b="1" i="0" baseline="0">
                <a:solidFill>
                  <a:schemeClr val="tx1"/>
                </a:solidFill>
                <a:effectLst/>
              </a:rPr>
              <a:t>(</a:t>
            </a:r>
            <a:r>
              <a:rPr lang="ko-KR" altLang="ko-KR" sz="1200" b="1" i="0" baseline="0">
                <a:solidFill>
                  <a:schemeClr val="tx1"/>
                </a:solidFill>
                <a:effectLst/>
              </a:rPr>
              <a:t>도표 </a:t>
            </a:r>
            <a:r>
              <a:rPr lang="en-US" altLang="ko-KR" sz="1200" b="1" i="0" baseline="0">
                <a:solidFill>
                  <a:schemeClr val="tx1"/>
                </a:solidFill>
                <a:effectLst/>
              </a:rPr>
              <a:t>4)</a:t>
            </a:r>
            <a:endParaRPr lang="ko-KR" altLang="ko-KR" sz="1200">
              <a:solidFill>
                <a:schemeClr val="tx1"/>
              </a:solidFill>
              <a:effectLst/>
            </a:endParaRPr>
          </a:p>
        </c:rich>
      </c:tx>
      <c:layout>
        <c:manualLayout>
          <c:xMode val="edge"/>
          <c:yMode val="edge"/>
          <c:x val="0.2333995077810741"/>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ko-KR"/>
        </a:p>
      </c:txPr>
    </c:title>
    <c:autoTitleDeleted val="0"/>
    <c:plotArea>
      <c:layout>
        <c:manualLayout>
          <c:layoutTarget val="inner"/>
          <c:xMode val="edge"/>
          <c:yMode val="edge"/>
          <c:x val="0.18425375298342664"/>
          <c:y val="0.27958195557881543"/>
          <c:w val="0.63904649312603634"/>
          <c:h val="0.6815208823972531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F96-4F76-BD44-60400A167E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F96-4F76-BD44-60400A167E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F96-4F76-BD44-60400A167E5E}"/>
              </c:ext>
            </c:extLst>
          </c:dPt>
          <c:dLbls>
            <c:dLbl>
              <c:idx val="0"/>
              <c:layout>
                <c:manualLayout>
                  <c:x val="0.29844200069892102"/>
                  <c:y val="-0.3629713506355513"/>
                </c:manualLayout>
              </c:layout>
              <c:tx>
                <c:rich>
                  <a:bodyPr/>
                  <a:lstStyle/>
                  <a:p>
                    <a:fld id="{B64AD89D-360F-4C15-BBD0-D35DA12ED168}" type="CATEGORYNAME">
                      <a:rPr lang="ko-KR" altLang="en-US"/>
                      <a:pPr/>
                      <a:t>[범주 이름]</a:t>
                    </a:fld>
                    <a:r>
                      <a:rPr lang="en-US" altLang="ko-KR" baseline="0"/>
                      <a:t>, </a:t>
                    </a:r>
                    <a:fld id="{C37F37F7-3A97-460B-967C-D7901EBF5A1A}" type="VALUE">
                      <a:rPr lang="en-US" altLang="ko-KR" baseline="0"/>
                      <a:pPr/>
                      <a:t>[값]</a:t>
                    </a:fld>
                    <a:r>
                      <a:rPr lang="en-US" altLang="ko-KR" baseline="0"/>
                      <a:t>, 95.7%</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F96-4F76-BD44-60400A167E5E}"/>
                </c:ext>
              </c:extLst>
            </c:dLbl>
            <c:dLbl>
              <c:idx val="1"/>
              <c:layout>
                <c:manualLayout>
                  <c:x val="-0.27098689151108235"/>
                  <c:y val="-6.0143841536424263E-3"/>
                </c:manualLayout>
              </c:layout>
              <c:tx>
                <c:rich>
                  <a:bodyPr/>
                  <a:lstStyle/>
                  <a:p>
                    <a:fld id="{C2E55A84-FB0B-435D-961B-3F42FDB97C6F}" type="CATEGORYNAME">
                      <a:rPr lang="ko-KR" altLang="en-US"/>
                      <a:pPr/>
                      <a:t>[범주 이름]</a:t>
                    </a:fld>
                    <a:r>
                      <a:rPr lang="en-US" altLang="ko-KR" baseline="0"/>
                      <a:t>, </a:t>
                    </a:r>
                    <a:fld id="{307AAD4B-B0B3-488A-9829-0751E023D492}" type="VALUE">
                      <a:rPr lang="en-US" altLang="ko-KR" baseline="0"/>
                      <a:pPr/>
                      <a:t>[값]</a:t>
                    </a:fld>
                    <a:r>
                      <a:rPr lang="en-US" altLang="ko-KR" baseline="0"/>
                      <a:t>, 2.4%</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F96-4F76-BD44-60400A167E5E}"/>
                </c:ext>
              </c:extLst>
            </c:dLbl>
            <c:dLbl>
              <c:idx val="2"/>
              <c:layout>
                <c:manualLayout>
                  <c:x val="-0.13452149926018456"/>
                  <c:y val="-0.14051145419511382"/>
                </c:manualLayout>
              </c:layout>
              <c:tx>
                <c:rich>
                  <a:bodyPr/>
                  <a:lstStyle/>
                  <a:p>
                    <a:fld id="{0F4CF644-EAFD-4951-B20C-2AED239ED35A}" type="CATEGORYNAME">
                      <a:rPr lang="ko-KR" altLang="en-US"/>
                      <a:pPr/>
                      <a:t>[범주 이름]</a:t>
                    </a:fld>
                    <a:r>
                      <a:rPr lang="en-US" altLang="ko-KR" baseline="0"/>
                      <a:t>, </a:t>
                    </a:r>
                    <a:fld id="{AB4CFAD0-C3E3-41CF-957A-EDB1297B5E3F}" type="VALUE">
                      <a:rPr lang="en-US" altLang="ko-KR" baseline="0"/>
                      <a:pPr/>
                      <a:t>[값]</a:t>
                    </a:fld>
                    <a:r>
                      <a:rPr lang="en-US" altLang="ko-KR" baseline="0"/>
                      <a:t>, 1.9%</a:t>
                    </a: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F96-4F76-BD44-60400A167E5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ko-KR"/>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'2'!$G$4:$I$4</c:f>
              <c:strCache>
                <c:ptCount val="3"/>
                <c:pt idx="0">
                  <c:v>등기</c:v>
                </c:pt>
                <c:pt idx="1">
                  <c:v>가족관계등록비송</c:v>
                </c:pt>
                <c:pt idx="2">
                  <c:v>공탁</c:v>
                </c:pt>
              </c:strCache>
            </c:strRef>
          </c:cat>
          <c:val>
            <c:numRef>
              <c:f>'2'!$G$5:$I$5</c:f>
              <c:numCache>
                <c:formatCode>_(* #,##0_);_(* \(#,##0\);_(* "-"_);_(@_)</c:formatCode>
                <c:ptCount val="3"/>
                <c:pt idx="0">
                  <c:v>9433210</c:v>
                </c:pt>
                <c:pt idx="1">
                  <c:v>235263</c:v>
                </c:pt>
                <c:pt idx="2">
                  <c:v>188067</c:v>
                </c:pt>
              </c:numCache>
            </c:numRef>
          </c:val>
          <c:extLst>
            <c:ext xmlns:c16="http://schemas.microsoft.com/office/drawing/2014/chart" uri="{C3380CC4-5D6E-409C-BE32-E72D297353CC}">
              <c16:uniqueId val="{00000000-0F96-4F76-BD44-60400A167E5E}"/>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ko-K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돋움"/>
                <a:ea typeface="돋움"/>
                <a:cs typeface="돋움"/>
              </a:defRPr>
            </a:pPr>
            <a:r>
              <a:rPr lang="ko-KR" altLang="en-US" sz="900"/>
              <a:t>인구지수 대 사건지수 추이</a:t>
            </a:r>
            <a:r>
              <a:rPr lang="en-US" altLang="ko-KR" sz="900"/>
              <a:t>(</a:t>
            </a:r>
            <a:r>
              <a:rPr lang="ko-KR" altLang="en-US" sz="900"/>
              <a:t>도표</a:t>
            </a:r>
            <a:r>
              <a:rPr lang="en-US" altLang="ko-KR" sz="900"/>
              <a:t>6)</a:t>
            </a:r>
          </a:p>
        </c:rich>
      </c:tx>
      <c:layout>
        <c:manualLayout>
          <c:xMode val="edge"/>
          <c:yMode val="edge"/>
          <c:x val="0.34724293824505431"/>
          <c:y val="3.3032924272556281E-2"/>
        </c:manualLayout>
      </c:layout>
      <c:overlay val="0"/>
      <c:spPr>
        <a:noFill/>
        <a:ln w="25400">
          <a:noFill/>
        </a:ln>
      </c:spPr>
    </c:title>
    <c:autoTitleDeleted val="0"/>
    <c:plotArea>
      <c:layout>
        <c:manualLayout>
          <c:layoutTarget val="inner"/>
          <c:xMode val="edge"/>
          <c:yMode val="edge"/>
          <c:x val="7.503415639532289E-2"/>
          <c:y val="0.16149092811488275"/>
          <c:w val="0.90450264891089227"/>
          <c:h val="0.7236035817455323"/>
        </c:manualLayout>
      </c:layout>
      <c:lineChart>
        <c:grouping val="standard"/>
        <c:varyColors val="0"/>
        <c:ser>
          <c:idx val="3"/>
          <c:order val="0"/>
          <c:tx>
            <c:strRef>
              <c:f>'6'!$P$3</c:f>
              <c:strCache>
                <c:ptCount val="1"/>
              </c:strCache>
            </c:strRef>
          </c:tx>
          <c:spPr>
            <a:ln w="12700">
              <a:solidFill>
                <a:srgbClr val="000080"/>
              </a:solidFill>
              <a:prstDash val="solid"/>
            </a:ln>
          </c:spP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numRef>
              <c:f>'6'!$B$6:$B$15</c:f>
              <c:numCache>
                <c:formatCode>General</c:formatCode>
                <c:ptCount val="10"/>
                <c:pt idx="0">
                  <c:v>13</c:v>
                </c:pt>
                <c:pt idx="1">
                  <c:v>14</c:v>
                </c:pt>
                <c:pt idx="2">
                  <c:v>15</c:v>
                </c:pt>
                <c:pt idx="3">
                  <c:v>16</c:v>
                </c:pt>
                <c:pt idx="4">
                  <c:v>17</c:v>
                </c:pt>
                <c:pt idx="5">
                  <c:v>18</c:v>
                </c:pt>
                <c:pt idx="6">
                  <c:v>19</c:v>
                </c:pt>
                <c:pt idx="7">
                  <c:v>20</c:v>
                </c:pt>
                <c:pt idx="8">
                  <c:v>21</c:v>
                </c:pt>
                <c:pt idx="9">
                  <c:v>22</c:v>
                </c:pt>
              </c:numCache>
            </c:numRef>
          </c:cat>
          <c:val>
            <c:numRef>
              <c:f>'6'!$F$6:$F$15</c:f>
              <c:numCache>
                <c:formatCode>0.0_);[Red]\(0.0\)</c:formatCode>
                <c:ptCount val="10"/>
                <c:pt idx="0">
                  <c:v>100</c:v>
                </c:pt>
                <c:pt idx="1">
                  <c:v>100.36370035783422</c:v>
                </c:pt>
                <c:pt idx="2">
                  <c:v>100.75868676795525</c:v>
                </c:pt>
                <c:pt idx="3">
                  <c:v>101.0852349386989</c:v>
                </c:pt>
                <c:pt idx="4">
                  <c:v>101.24557595666882</c:v>
                </c:pt>
                <c:pt idx="5">
                  <c:v>101.33943411352926</c:v>
                </c:pt>
                <c:pt idx="6">
                  <c:v>101.38440781369155</c:v>
                </c:pt>
                <c:pt idx="7">
                  <c:v>101.34530024833303</c:v>
                </c:pt>
                <c:pt idx="8">
                  <c:v>100.97182299915919</c:v>
                </c:pt>
                <c:pt idx="9">
                  <c:v>100.58270272384193</c:v>
                </c:pt>
              </c:numCache>
            </c:numRef>
          </c:val>
          <c:smooth val="0"/>
          <c:extLst>
            <c:ext xmlns:c16="http://schemas.microsoft.com/office/drawing/2014/chart" uri="{C3380CC4-5D6E-409C-BE32-E72D297353CC}">
              <c16:uniqueId val="{00000025-552F-4E5A-90B2-E5A6598ABBBF}"/>
            </c:ext>
          </c:extLst>
        </c:ser>
        <c:ser>
          <c:idx val="4"/>
          <c:order val="1"/>
          <c:tx>
            <c:strRef>
              <c:f>'6'!$Q$3</c:f>
              <c:strCache>
                <c:ptCount val="1"/>
              </c:strCache>
            </c:strRef>
          </c:tx>
          <c:spPr>
            <a:ln w="12700">
              <a:solidFill>
                <a:srgbClr val="FF00FF"/>
              </a:solidFill>
              <a:prstDash val="solid"/>
            </a:ln>
          </c:spP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numRef>
              <c:f>'6'!$B$6:$B$15</c:f>
              <c:numCache>
                <c:formatCode>General</c:formatCode>
                <c:ptCount val="10"/>
                <c:pt idx="0">
                  <c:v>13</c:v>
                </c:pt>
                <c:pt idx="1">
                  <c:v>14</c:v>
                </c:pt>
                <c:pt idx="2">
                  <c:v>15</c:v>
                </c:pt>
                <c:pt idx="3">
                  <c:v>16</c:v>
                </c:pt>
                <c:pt idx="4">
                  <c:v>17</c:v>
                </c:pt>
                <c:pt idx="5">
                  <c:v>18</c:v>
                </c:pt>
                <c:pt idx="6">
                  <c:v>19</c:v>
                </c:pt>
                <c:pt idx="7">
                  <c:v>20</c:v>
                </c:pt>
                <c:pt idx="8">
                  <c:v>21</c:v>
                </c:pt>
                <c:pt idx="9">
                  <c:v>22</c:v>
                </c:pt>
              </c:numCache>
            </c:numRef>
          </c:cat>
          <c:val>
            <c:numRef>
              <c:f>'6'!$G$6:$G$15</c:f>
              <c:numCache>
                <c:formatCode>0.0_);[Red]\(0.0\)</c:formatCode>
                <c:ptCount val="10"/>
                <c:pt idx="0">
                  <c:v>100</c:v>
                </c:pt>
                <c:pt idx="1">
                  <c:v>102.81365877389743</c:v>
                </c:pt>
                <c:pt idx="2">
                  <c:v>111.60375539334055</c:v>
                </c:pt>
                <c:pt idx="3">
                  <c:v>102.77025699969356</c:v>
                </c:pt>
                <c:pt idx="4">
                  <c:v>97.847721450174845</c:v>
                </c:pt>
                <c:pt idx="5">
                  <c:v>95.584071186057585</c:v>
                </c:pt>
                <c:pt idx="6">
                  <c:v>95.956790352427277</c:v>
                </c:pt>
                <c:pt idx="7">
                  <c:v>102.00987307783342</c:v>
                </c:pt>
                <c:pt idx="8">
                  <c:v>96.846545676346665</c:v>
                </c:pt>
                <c:pt idx="9">
                  <c:v>86.770256566488086</c:v>
                </c:pt>
              </c:numCache>
            </c:numRef>
          </c:val>
          <c:smooth val="0"/>
          <c:extLst>
            <c:ext xmlns:c16="http://schemas.microsoft.com/office/drawing/2014/chart" uri="{C3380CC4-5D6E-409C-BE32-E72D297353CC}">
              <c16:uniqueId val="{00000026-552F-4E5A-90B2-E5A6598ABBBF}"/>
            </c:ext>
          </c:extLst>
        </c:ser>
        <c:ser>
          <c:idx val="5"/>
          <c:order val="2"/>
          <c:tx>
            <c:strRef>
              <c:f>'6'!$R$3</c:f>
              <c:strCache>
                <c:ptCount val="1"/>
              </c:strCache>
            </c:strRef>
          </c:tx>
          <c:spPr>
            <a:ln w="15875">
              <a:solidFill>
                <a:srgbClr val="92D050"/>
              </a:solidFill>
            </a:ln>
          </c:spP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numRef>
              <c:f>'6'!$B$6:$B$15</c:f>
              <c:numCache>
                <c:formatCode>General</c:formatCode>
                <c:ptCount val="10"/>
                <c:pt idx="0">
                  <c:v>13</c:v>
                </c:pt>
                <c:pt idx="1">
                  <c:v>14</c:v>
                </c:pt>
                <c:pt idx="2">
                  <c:v>15</c:v>
                </c:pt>
                <c:pt idx="3">
                  <c:v>16</c:v>
                </c:pt>
                <c:pt idx="4">
                  <c:v>17</c:v>
                </c:pt>
                <c:pt idx="5">
                  <c:v>18</c:v>
                </c:pt>
                <c:pt idx="6">
                  <c:v>19</c:v>
                </c:pt>
                <c:pt idx="7">
                  <c:v>20</c:v>
                </c:pt>
                <c:pt idx="8">
                  <c:v>21</c:v>
                </c:pt>
                <c:pt idx="9">
                  <c:v>22</c:v>
                </c:pt>
              </c:numCache>
            </c:numRef>
          </c:cat>
          <c:val>
            <c:numRef>
              <c:f>'6'!$H$6:$H$15</c:f>
              <c:numCache>
                <c:formatCode>0.0_);[Red]\(0.0\)</c:formatCode>
                <c:ptCount val="10"/>
                <c:pt idx="0">
                  <c:v>100</c:v>
                </c:pt>
                <c:pt idx="1">
                  <c:v>103.22379537413204</c:v>
                </c:pt>
                <c:pt idx="2">
                  <c:v>95.03139902704433</c:v>
                </c:pt>
                <c:pt idx="3">
                  <c:v>94.860873318331883</c:v>
                </c:pt>
                <c:pt idx="4">
                  <c:v>96.884636057156627</c:v>
                </c:pt>
                <c:pt idx="5">
                  <c:v>91.09946730957391</c:v>
                </c:pt>
                <c:pt idx="6">
                  <c:v>91.020121161692373</c:v>
                </c:pt>
                <c:pt idx="7">
                  <c:v>90.217379795879864</c:v>
                </c:pt>
                <c:pt idx="8">
                  <c:v>80.806079633886668</c:v>
                </c:pt>
                <c:pt idx="9">
                  <c:v>76.063995097230176</c:v>
                </c:pt>
              </c:numCache>
            </c:numRef>
          </c:val>
          <c:smooth val="0"/>
          <c:extLst>
            <c:ext xmlns:c16="http://schemas.microsoft.com/office/drawing/2014/chart" uri="{C3380CC4-5D6E-409C-BE32-E72D297353CC}">
              <c16:uniqueId val="{00000027-552F-4E5A-90B2-E5A6598ABBBF}"/>
            </c:ext>
          </c:extLst>
        </c:ser>
        <c:ser>
          <c:idx val="0"/>
          <c:order val="3"/>
          <c:tx>
            <c:strRef>
              <c:f>'6'!$P$3</c:f>
              <c:strCache>
                <c:ptCount val="1"/>
              </c:strCache>
            </c:strRef>
          </c:tx>
          <c:spPr>
            <a:ln w="12700">
              <a:solidFill>
                <a:srgbClr val="000080"/>
              </a:solidFill>
              <a:prstDash val="solid"/>
            </a:ln>
          </c:spPr>
          <c:marker>
            <c:symbol val="diamond"/>
            <c:size val="5"/>
            <c:spPr>
              <a:solidFill>
                <a:srgbClr val="000080"/>
              </a:solidFill>
              <a:ln>
                <a:solidFill>
                  <a:srgbClr val="000080"/>
                </a:solidFill>
                <a:prstDash val="solid"/>
              </a:ln>
            </c:spPr>
          </c:marker>
          <c:dLbls>
            <c:delete val="1"/>
          </c:dLbls>
          <c:cat>
            <c:numRef>
              <c:f>'6'!$B$6:$B$15</c:f>
              <c:numCache>
                <c:formatCode>General</c:formatCode>
                <c:ptCount val="10"/>
                <c:pt idx="0">
                  <c:v>13</c:v>
                </c:pt>
                <c:pt idx="1">
                  <c:v>14</c:v>
                </c:pt>
                <c:pt idx="2">
                  <c:v>15</c:v>
                </c:pt>
                <c:pt idx="3">
                  <c:v>16</c:v>
                </c:pt>
                <c:pt idx="4">
                  <c:v>17</c:v>
                </c:pt>
                <c:pt idx="5">
                  <c:v>18</c:v>
                </c:pt>
                <c:pt idx="6">
                  <c:v>19</c:v>
                </c:pt>
                <c:pt idx="7">
                  <c:v>20</c:v>
                </c:pt>
                <c:pt idx="8">
                  <c:v>21</c:v>
                </c:pt>
                <c:pt idx="9">
                  <c:v>22</c:v>
                </c:pt>
              </c:numCache>
            </c:numRef>
          </c:cat>
          <c:val>
            <c:numRef>
              <c:f>'6'!$F$6:$F$15</c:f>
              <c:numCache>
                <c:formatCode>0.0_);[Red]\(0.0\)</c:formatCode>
                <c:ptCount val="10"/>
                <c:pt idx="0">
                  <c:v>100</c:v>
                </c:pt>
                <c:pt idx="1">
                  <c:v>100.36370035783422</c:v>
                </c:pt>
                <c:pt idx="2">
                  <c:v>100.75868676795525</c:v>
                </c:pt>
                <c:pt idx="3">
                  <c:v>101.0852349386989</c:v>
                </c:pt>
                <c:pt idx="4">
                  <c:v>101.24557595666882</c:v>
                </c:pt>
                <c:pt idx="5">
                  <c:v>101.33943411352926</c:v>
                </c:pt>
                <c:pt idx="6">
                  <c:v>101.38440781369155</c:v>
                </c:pt>
                <c:pt idx="7">
                  <c:v>101.34530024833303</c:v>
                </c:pt>
                <c:pt idx="8">
                  <c:v>100.97182299915919</c:v>
                </c:pt>
                <c:pt idx="9">
                  <c:v>100.58270272384193</c:v>
                </c:pt>
              </c:numCache>
            </c:numRef>
          </c:val>
          <c:smooth val="0"/>
          <c:extLst>
            <c:ext xmlns:c16="http://schemas.microsoft.com/office/drawing/2014/chart" uri="{C3380CC4-5D6E-409C-BE32-E72D297353CC}">
              <c16:uniqueId val="{0000000E-552F-4E5A-90B2-E5A6598ABBBF}"/>
            </c:ext>
          </c:extLst>
        </c:ser>
        <c:ser>
          <c:idx val="1"/>
          <c:order val="4"/>
          <c:tx>
            <c:strRef>
              <c:f>'6'!$Q$3</c:f>
              <c:strCache>
                <c:ptCount val="1"/>
              </c:strCache>
            </c:strRef>
          </c:tx>
          <c:spPr>
            <a:ln w="12700">
              <a:solidFill>
                <a:srgbClr val="FF00FF"/>
              </a:solidFill>
              <a:prstDash val="solid"/>
            </a:ln>
          </c:spPr>
          <c:marker>
            <c:symbol val="square"/>
            <c:size val="5"/>
            <c:spPr>
              <a:solidFill>
                <a:srgbClr val="FF00FF"/>
              </a:solidFill>
              <a:ln>
                <a:solidFill>
                  <a:srgbClr val="FF00FF"/>
                </a:solidFill>
                <a:prstDash val="solid"/>
              </a:ln>
            </c:spPr>
          </c:marker>
          <c:dLbls>
            <c:delete val="1"/>
          </c:dLbls>
          <c:cat>
            <c:numRef>
              <c:f>'6'!$B$6:$B$15</c:f>
              <c:numCache>
                <c:formatCode>General</c:formatCode>
                <c:ptCount val="10"/>
                <c:pt idx="0">
                  <c:v>13</c:v>
                </c:pt>
                <c:pt idx="1">
                  <c:v>14</c:v>
                </c:pt>
                <c:pt idx="2">
                  <c:v>15</c:v>
                </c:pt>
                <c:pt idx="3">
                  <c:v>16</c:v>
                </c:pt>
                <c:pt idx="4">
                  <c:v>17</c:v>
                </c:pt>
                <c:pt idx="5">
                  <c:v>18</c:v>
                </c:pt>
                <c:pt idx="6">
                  <c:v>19</c:v>
                </c:pt>
                <c:pt idx="7">
                  <c:v>20</c:v>
                </c:pt>
                <c:pt idx="8">
                  <c:v>21</c:v>
                </c:pt>
                <c:pt idx="9">
                  <c:v>22</c:v>
                </c:pt>
              </c:numCache>
            </c:numRef>
          </c:cat>
          <c:val>
            <c:numRef>
              <c:f>'6'!$G$6:$G$15</c:f>
              <c:numCache>
                <c:formatCode>0.0_);[Red]\(0.0\)</c:formatCode>
                <c:ptCount val="10"/>
                <c:pt idx="0">
                  <c:v>100</c:v>
                </c:pt>
                <c:pt idx="1">
                  <c:v>102.81365877389743</c:v>
                </c:pt>
                <c:pt idx="2">
                  <c:v>111.60375539334055</c:v>
                </c:pt>
                <c:pt idx="3">
                  <c:v>102.77025699969356</c:v>
                </c:pt>
                <c:pt idx="4">
                  <c:v>97.847721450174845</c:v>
                </c:pt>
                <c:pt idx="5">
                  <c:v>95.584071186057585</c:v>
                </c:pt>
                <c:pt idx="6">
                  <c:v>95.956790352427277</c:v>
                </c:pt>
                <c:pt idx="7">
                  <c:v>102.00987307783342</c:v>
                </c:pt>
                <c:pt idx="8">
                  <c:v>96.846545676346665</c:v>
                </c:pt>
                <c:pt idx="9">
                  <c:v>86.770256566488086</c:v>
                </c:pt>
              </c:numCache>
            </c:numRef>
          </c:val>
          <c:smooth val="0"/>
          <c:extLst>
            <c:ext xmlns:c16="http://schemas.microsoft.com/office/drawing/2014/chart" uri="{C3380CC4-5D6E-409C-BE32-E72D297353CC}">
              <c16:uniqueId val="{00000018-552F-4E5A-90B2-E5A6598ABBBF}"/>
            </c:ext>
          </c:extLst>
        </c:ser>
        <c:ser>
          <c:idx val="2"/>
          <c:order val="5"/>
          <c:tx>
            <c:strRef>
              <c:f>'6'!$R$3</c:f>
              <c:strCache>
                <c:ptCount val="1"/>
              </c:strCache>
            </c:strRef>
          </c:tx>
          <c:spPr>
            <a:ln w="15875">
              <a:solidFill>
                <a:srgbClr val="92D050"/>
              </a:solidFill>
            </a:ln>
          </c:spPr>
          <c:marker>
            <c:symbol val="triangle"/>
            <c:size val="5"/>
            <c:spPr>
              <a:solidFill>
                <a:srgbClr val="92D050"/>
              </a:solidFill>
              <a:ln>
                <a:solidFill>
                  <a:srgbClr val="92D050"/>
                </a:solidFill>
                <a:prstDash val="solid"/>
              </a:ln>
            </c:spPr>
          </c:marker>
          <c:dLbls>
            <c:dLbl>
              <c:idx val="0"/>
              <c:layout>
                <c:manualLayout>
                  <c:x val="0.76779874213836474"/>
                  <c:y val="0.27433264887063658"/>
                </c:manualLayout>
              </c:layout>
              <c:tx>
                <c:rich>
                  <a:bodyPr/>
                  <a:lstStyle/>
                  <a:p>
                    <a:r>
                      <a:rPr lang="ko-KR" altLang="en-US"/>
                      <a:t>본안사건</a:t>
                    </a:r>
                  </a:p>
                </c:rich>
              </c:tx>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A-552F-4E5A-90B2-E5A6598ABBBF}"/>
                </c:ext>
              </c:extLst>
            </c:dLbl>
            <c:dLbl>
              <c:idx val="1"/>
              <c:delete val="1"/>
              <c:extLst>
                <c:ext xmlns:c15="http://schemas.microsoft.com/office/drawing/2012/chart" uri="{CE6537A1-D6FC-4f65-9D91-7224C49458BB}"/>
                <c:ext xmlns:c16="http://schemas.microsoft.com/office/drawing/2014/chart" uri="{C3380CC4-5D6E-409C-BE32-E72D297353CC}">
                  <c16:uniqueId val="{0000001B-552F-4E5A-90B2-E5A6598ABBBF}"/>
                </c:ext>
              </c:extLst>
            </c:dLbl>
            <c:dLbl>
              <c:idx val="2"/>
              <c:delete val="1"/>
              <c:extLst>
                <c:ext xmlns:c15="http://schemas.microsoft.com/office/drawing/2012/chart" uri="{CE6537A1-D6FC-4f65-9D91-7224C49458BB}"/>
                <c:ext xmlns:c16="http://schemas.microsoft.com/office/drawing/2014/chart" uri="{C3380CC4-5D6E-409C-BE32-E72D297353CC}">
                  <c16:uniqueId val="{0000001C-552F-4E5A-90B2-E5A6598ABBBF}"/>
                </c:ext>
              </c:extLst>
            </c:dLbl>
            <c:dLbl>
              <c:idx val="3"/>
              <c:delete val="1"/>
              <c:extLst>
                <c:ext xmlns:c15="http://schemas.microsoft.com/office/drawing/2012/chart" uri="{CE6537A1-D6FC-4f65-9D91-7224C49458BB}"/>
                <c:ext xmlns:c16="http://schemas.microsoft.com/office/drawing/2014/chart" uri="{C3380CC4-5D6E-409C-BE32-E72D297353CC}">
                  <c16:uniqueId val="{0000001D-552F-4E5A-90B2-E5A6598ABBBF}"/>
                </c:ext>
              </c:extLst>
            </c:dLbl>
            <c:dLbl>
              <c:idx val="4"/>
              <c:delete val="1"/>
              <c:extLst>
                <c:ext xmlns:c15="http://schemas.microsoft.com/office/drawing/2012/chart" uri="{CE6537A1-D6FC-4f65-9D91-7224C49458BB}"/>
                <c:ext xmlns:c16="http://schemas.microsoft.com/office/drawing/2014/chart" uri="{C3380CC4-5D6E-409C-BE32-E72D297353CC}">
                  <c16:uniqueId val="{0000001E-552F-4E5A-90B2-E5A6598ABBBF}"/>
                </c:ext>
              </c:extLst>
            </c:dLbl>
            <c:dLbl>
              <c:idx val="5"/>
              <c:delete val="1"/>
              <c:extLst>
                <c:ext xmlns:c15="http://schemas.microsoft.com/office/drawing/2012/chart" uri="{CE6537A1-D6FC-4f65-9D91-7224C49458BB}"/>
                <c:ext xmlns:c16="http://schemas.microsoft.com/office/drawing/2014/chart" uri="{C3380CC4-5D6E-409C-BE32-E72D297353CC}">
                  <c16:uniqueId val="{0000001F-552F-4E5A-90B2-E5A6598ABBBF}"/>
                </c:ext>
              </c:extLst>
            </c:dLbl>
            <c:dLbl>
              <c:idx val="6"/>
              <c:delete val="1"/>
              <c:extLst>
                <c:ext xmlns:c15="http://schemas.microsoft.com/office/drawing/2012/chart" uri="{CE6537A1-D6FC-4f65-9D91-7224C49458BB}"/>
                <c:ext xmlns:c16="http://schemas.microsoft.com/office/drawing/2014/chart" uri="{C3380CC4-5D6E-409C-BE32-E72D297353CC}">
                  <c16:uniqueId val="{00000020-552F-4E5A-90B2-E5A6598ABBBF}"/>
                </c:ext>
              </c:extLst>
            </c:dLbl>
            <c:dLbl>
              <c:idx val="7"/>
              <c:delete val="1"/>
              <c:extLst>
                <c:ext xmlns:c15="http://schemas.microsoft.com/office/drawing/2012/chart" uri="{CE6537A1-D6FC-4f65-9D91-7224C49458BB}"/>
                <c:ext xmlns:c16="http://schemas.microsoft.com/office/drawing/2014/chart" uri="{C3380CC4-5D6E-409C-BE32-E72D297353CC}">
                  <c16:uniqueId val="{00000021-552F-4E5A-90B2-E5A6598ABBBF}"/>
                </c:ext>
              </c:extLst>
            </c:dLbl>
            <c:dLbl>
              <c:idx val="8"/>
              <c:delete val="1"/>
              <c:extLst>
                <c:ext xmlns:c15="http://schemas.microsoft.com/office/drawing/2012/chart" uri="{CE6537A1-D6FC-4f65-9D91-7224C49458BB}"/>
                <c:ext xmlns:c16="http://schemas.microsoft.com/office/drawing/2014/chart" uri="{C3380CC4-5D6E-409C-BE32-E72D297353CC}">
                  <c16:uniqueId val="{00000022-552F-4E5A-90B2-E5A6598ABBBF}"/>
                </c:ext>
              </c:extLst>
            </c:dLbl>
            <c:dLbl>
              <c:idx val="9"/>
              <c:delete val="1"/>
              <c:extLst>
                <c:ext xmlns:c15="http://schemas.microsoft.com/office/drawing/2012/chart" uri="{CE6537A1-D6FC-4f65-9D91-7224C49458BB}"/>
                <c:ext xmlns:c16="http://schemas.microsoft.com/office/drawing/2014/chart" uri="{C3380CC4-5D6E-409C-BE32-E72D297353CC}">
                  <c16:uniqueId val="{00000023-552F-4E5A-90B2-E5A6598ABBBF}"/>
                </c:ext>
              </c:extLst>
            </c:dLbl>
            <c:spPr>
              <a:noFill/>
              <a:ln w="25400">
                <a:noFill/>
              </a:ln>
            </c:spPr>
            <c:txPr>
              <a:bodyPr/>
              <a:lstStyle/>
              <a:p>
                <a:pPr>
                  <a:defRPr sz="1000" b="1" i="0" u="none" strike="noStrike" baseline="0">
                    <a:solidFill>
                      <a:srgbClr val="92D050"/>
                    </a:solidFill>
                    <a:latin typeface="돋움"/>
                    <a:ea typeface="돋움"/>
                    <a:cs typeface="돋움"/>
                  </a:defRPr>
                </a:pPr>
                <a:endParaRPr lang="ko-KR"/>
              </a:p>
            </c:txPr>
            <c:dLblPos val="b"/>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numRef>
              <c:f>'6'!$B$6:$B$15</c:f>
              <c:numCache>
                <c:formatCode>General</c:formatCode>
                <c:ptCount val="10"/>
                <c:pt idx="0">
                  <c:v>13</c:v>
                </c:pt>
                <c:pt idx="1">
                  <c:v>14</c:v>
                </c:pt>
                <c:pt idx="2">
                  <c:v>15</c:v>
                </c:pt>
                <c:pt idx="3">
                  <c:v>16</c:v>
                </c:pt>
                <c:pt idx="4">
                  <c:v>17</c:v>
                </c:pt>
                <c:pt idx="5">
                  <c:v>18</c:v>
                </c:pt>
                <c:pt idx="6">
                  <c:v>19</c:v>
                </c:pt>
                <c:pt idx="7">
                  <c:v>20</c:v>
                </c:pt>
                <c:pt idx="8">
                  <c:v>21</c:v>
                </c:pt>
                <c:pt idx="9">
                  <c:v>22</c:v>
                </c:pt>
              </c:numCache>
            </c:numRef>
          </c:cat>
          <c:val>
            <c:numRef>
              <c:f>'6'!$H$6:$H$15</c:f>
              <c:numCache>
                <c:formatCode>0.0_);[Red]\(0.0\)</c:formatCode>
                <c:ptCount val="10"/>
                <c:pt idx="0">
                  <c:v>100</c:v>
                </c:pt>
                <c:pt idx="1">
                  <c:v>103.22379537413204</c:v>
                </c:pt>
                <c:pt idx="2">
                  <c:v>95.03139902704433</c:v>
                </c:pt>
                <c:pt idx="3">
                  <c:v>94.860873318331883</c:v>
                </c:pt>
                <c:pt idx="4">
                  <c:v>96.884636057156627</c:v>
                </c:pt>
                <c:pt idx="5">
                  <c:v>91.09946730957391</c:v>
                </c:pt>
                <c:pt idx="6">
                  <c:v>91.020121161692373</c:v>
                </c:pt>
                <c:pt idx="7">
                  <c:v>90.217379795879864</c:v>
                </c:pt>
                <c:pt idx="8">
                  <c:v>80.806079633886668</c:v>
                </c:pt>
                <c:pt idx="9">
                  <c:v>76.063995097230176</c:v>
                </c:pt>
              </c:numCache>
            </c:numRef>
          </c:val>
          <c:smooth val="0"/>
          <c:extLst>
            <c:ext xmlns:c16="http://schemas.microsoft.com/office/drawing/2014/chart" uri="{C3380CC4-5D6E-409C-BE32-E72D297353CC}">
              <c16:uniqueId val="{00000024-552F-4E5A-90B2-E5A6598ABBBF}"/>
            </c:ext>
          </c:extLst>
        </c:ser>
        <c:dLbls>
          <c:showLegendKey val="0"/>
          <c:showVal val="0"/>
          <c:showCatName val="0"/>
          <c:showSerName val="1"/>
          <c:showPercent val="0"/>
          <c:showBubbleSize val="0"/>
        </c:dLbls>
        <c:marker val="1"/>
        <c:smooth val="0"/>
        <c:axId val="99001856"/>
        <c:axId val="99003392"/>
      </c:lineChart>
      <c:catAx>
        <c:axId val="99001856"/>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돋움"/>
                <a:ea typeface="돋움"/>
                <a:cs typeface="돋움"/>
              </a:defRPr>
            </a:pPr>
            <a:endParaRPr lang="ko-KR"/>
          </a:p>
        </c:txPr>
        <c:crossAx val="99003392"/>
        <c:crosses val="autoZero"/>
        <c:auto val="1"/>
        <c:lblAlgn val="ctr"/>
        <c:lblOffset val="100"/>
        <c:tickLblSkip val="1"/>
        <c:tickMarkSkip val="1"/>
        <c:noMultiLvlLbl val="0"/>
      </c:catAx>
      <c:valAx>
        <c:axId val="99003392"/>
        <c:scaling>
          <c:orientation val="minMax"/>
          <c:max val="125"/>
          <c:min val="70"/>
        </c:scaling>
        <c:delete val="0"/>
        <c:axPos val="l"/>
        <c:numFmt formatCode="0.0_);[Red]\(0.0\)" sourceLinked="1"/>
        <c:majorTickMark val="in"/>
        <c:minorTickMark val="none"/>
        <c:tickLblPos val="nextTo"/>
        <c:spPr>
          <a:noFill/>
          <a:ln>
            <a:solidFill>
              <a:srgbClr val="000000"/>
            </a:solidFill>
          </a:ln>
        </c:spPr>
        <c:txPr>
          <a:bodyPr rot="0" vert="horz"/>
          <a:lstStyle/>
          <a:p>
            <a:pPr>
              <a:defRPr sz="800" b="0" i="0" u="none" strike="noStrike" baseline="0">
                <a:solidFill>
                  <a:srgbClr val="000000"/>
                </a:solidFill>
                <a:latin typeface="돋움"/>
                <a:ea typeface="돋움"/>
                <a:cs typeface="돋움"/>
              </a:defRPr>
            </a:pPr>
            <a:endParaRPr lang="ko-KR"/>
          </a:p>
        </c:txPr>
        <c:crossAx val="99001856"/>
        <c:crosses val="autoZero"/>
        <c:crossBetween val="between"/>
        <c:majorUnit val="5"/>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돋움"/>
          <a:ea typeface="돋움"/>
          <a:cs typeface="돋움"/>
        </a:defRPr>
      </a:pPr>
      <a:endParaRPr lang="ko-KR"/>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구상금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1"/>
        <c:ser>
          <c:idx val="0"/>
          <c:order val="0"/>
          <c:invertIfNegative val="0"/>
          <c:dPt>
            <c:idx val="0"/>
            <c:invertIfNegative val="0"/>
            <c:bubble3D val="0"/>
            <c:spPr>
              <a:solidFill>
                <a:srgbClr val="92D050"/>
              </a:solidFill>
            </c:spPr>
            <c:extLst>
              <c:ext xmlns:c16="http://schemas.microsoft.com/office/drawing/2014/chart" uri="{C3380CC4-5D6E-409C-BE32-E72D297353CC}">
                <c16:uniqueId val="{00000001-7896-4C5F-8DDC-3C68E9B5585A}"/>
              </c:ext>
            </c:extLst>
          </c:dPt>
          <c:dPt>
            <c:idx val="1"/>
            <c:invertIfNegative val="0"/>
            <c:bubble3D val="0"/>
            <c:spPr>
              <a:solidFill>
                <a:srgbClr val="008080"/>
              </a:solidFill>
            </c:spPr>
            <c:extLst>
              <c:ext xmlns:c16="http://schemas.microsoft.com/office/drawing/2014/chart" uri="{C3380CC4-5D6E-409C-BE32-E72D297353CC}">
                <c16:uniqueId val="{00000003-7896-4C5F-8DDC-3C68E9B5585A}"/>
              </c:ext>
            </c:extLst>
          </c:dPt>
          <c:dPt>
            <c:idx val="2"/>
            <c:invertIfNegative val="0"/>
            <c:bubble3D val="0"/>
            <c:spPr>
              <a:solidFill>
                <a:schemeClr val="accent3">
                  <a:lumMod val="60000"/>
                  <a:lumOff val="40000"/>
                </a:schemeClr>
              </a:solidFill>
            </c:spPr>
            <c:extLst>
              <c:ext xmlns:c16="http://schemas.microsoft.com/office/drawing/2014/chart" uri="{C3380CC4-5D6E-409C-BE32-E72D297353CC}">
                <c16:uniqueId val="{00000005-7896-4C5F-8DDC-3C68E9B5585A}"/>
              </c:ext>
            </c:extLst>
          </c:dPt>
          <c:dPt>
            <c:idx val="3"/>
            <c:invertIfNegative val="0"/>
            <c:bubble3D val="0"/>
            <c:spPr>
              <a:solidFill>
                <a:srgbClr val="FFFF00"/>
              </a:solidFill>
            </c:spPr>
            <c:extLst>
              <c:ext xmlns:c16="http://schemas.microsoft.com/office/drawing/2014/chart" uri="{C3380CC4-5D6E-409C-BE32-E72D297353CC}">
                <c16:uniqueId val="{00000007-7896-4C5F-8DDC-3C68E9B5585A}"/>
              </c:ext>
            </c:extLst>
          </c:dPt>
          <c:dPt>
            <c:idx val="4"/>
            <c:invertIfNegative val="0"/>
            <c:bubble3D val="0"/>
            <c:spPr>
              <a:solidFill>
                <a:srgbClr val="FF0000"/>
              </a:solidFill>
            </c:spPr>
            <c:extLst>
              <c:ext xmlns:c16="http://schemas.microsoft.com/office/drawing/2014/chart" uri="{C3380CC4-5D6E-409C-BE32-E72D297353CC}">
                <c16:uniqueId val="{00000009-7896-4C5F-8DDC-3C68E9B5585A}"/>
              </c:ext>
            </c:extLst>
          </c:dPt>
          <c:dPt>
            <c:idx val="5"/>
            <c:invertIfNegative val="0"/>
            <c:bubble3D val="0"/>
            <c:spPr>
              <a:solidFill>
                <a:schemeClr val="accent6">
                  <a:lumMod val="40000"/>
                  <a:lumOff val="60000"/>
                </a:schemeClr>
              </a:solidFill>
            </c:spPr>
            <c:extLst>
              <c:ext xmlns:c16="http://schemas.microsoft.com/office/drawing/2014/chart" uri="{C3380CC4-5D6E-409C-BE32-E72D297353CC}">
                <c16:uniqueId val="{0000000B-7896-4C5F-8DDC-3C68E9B5585A}"/>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'7'!$B$30:$B$34</c:f>
              <c:strCache>
                <c:ptCount val="5"/>
                <c:pt idx="0">
                  <c:v>인천지방법원관내</c:v>
                </c:pt>
                <c:pt idx="1">
                  <c:v>부산지방법원관내</c:v>
                </c:pt>
                <c:pt idx="2">
                  <c:v>광주지방법원관내</c:v>
                </c:pt>
                <c:pt idx="3">
                  <c:v>서울남부지방법원관내</c:v>
                </c:pt>
                <c:pt idx="4">
                  <c:v>서울중앙지방법원관내</c:v>
                </c:pt>
              </c:strCache>
            </c:strRef>
          </c:cat>
          <c:val>
            <c:numRef>
              <c:f>'7'!$C$30:$C$34</c:f>
              <c:numCache>
                <c:formatCode>0.00_ </c:formatCode>
                <c:ptCount val="5"/>
                <c:pt idx="0">
                  <c:v>0.10349602011830608</c:v>
                </c:pt>
                <c:pt idx="1">
                  <c:v>0.12357541656971523</c:v>
                </c:pt>
                <c:pt idx="2">
                  <c:v>0.13451339855027183</c:v>
                </c:pt>
                <c:pt idx="3">
                  <c:v>0.16859976157308054</c:v>
                </c:pt>
                <c:pt idx="4">
                  <c:v>2.0382131018704146</c:v>
                </c:pt>
              </c:numCache>
            </c:numRef>
          </c:val>
          <c:extLst>
            <c:ext xmlns:c16="http://schemas.microsoft.com/office/drawing/2014/chart" uri="{C3380CC4-5D6E-409C-BE32-E72D297353CC}">
              <c16:uniqueId val="{0000000C-7896-4C5F-8DDC-3C68E9B5585A}"/>
            </c:ext>
          </c:extLst>
        </c:ser>
        <c:dLbls>
          <c:showLegendKey val="0"/>
          <c:showVal val="0"/>
          <c:showCatName val="0"/>
          <c:showSerName val="0"/>
          <c:showPercent val="0"/>
          <c:showBubbleSize val="0"/>
        </c:dLbls>
        <c:gapWidth val="150"/>
        <c:axId val="218968832"/>
        <c:axId val="218970368"/>
      </c:barChart>
      <c:catAx>
        <c:axId val="218968832"/>
        <c:scaling>
          <c:orientation val="minMax"/>
        </c:scaling>
        <c:delete val="0"/>
        <c:axPos val="l"/>
        <c:numFmt formatCode="General" sourceLinked="0"/>
        <c:majorTickMark val="none"/>
        <c:minorTickMark val="none"/>
        <c:tickLblPos val="nextTo"/>
        <c:txPr>
          <a:bodyPr/>
          <a:lstStyle/>
          <a:p>
            <a:pPr>
              <a:defRPr b="1"/>
            </a:pPr>
            <a:endParaRPr lang="ko-KR"/>
          </a:p>
        </c:txPr>
        <c:crossAx val="218970368"/>
        <c:crosses val="autoZero"/>
        <c:auto val="1"/>
        <c:lblAlgn val="ctr"/>
        <c:lblOffset val="100"/>
        <c:noMultiLvlLbl val="0"/>
      </c:catAx>
      <c:valAx>
        <c:axId val="21897036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968832"/>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손해배상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1"/>
        <c:ser>
          <c:idx val="0"/>
          <c:order val="0"/>
          <c:invertIfNegative val="0"/>
          <c:dPt>
            <c:idx val="0"/>
            <c:invertIfNegative val="0"/>
            <c:bubble3D val="0"/>
            <c:spPr>
              <a:solidFill>
                <a:srgbClr val="008080"/>
              </a:solidFill>
            </c:spPr>
            <c:extLst>
              <c:ext xmlns:c16="http://schemas.microsoft.com/office/drawing/2014/chart" uri="{C3380CC4-5D6E-409C-BE32-E72D297353CC}">
                <c16:uniqueId val="{00000001-A6DD-4DEF-95B1-B05B6406D8E3}"/>
              </c:ext>
            </c:extLst>
          </c:dPt>
          <c:dPt>
            <c:idx val="1"/>
            <c:invertIfNegative val="0"/>
            <c:bubble3D val="0"/>
            <c:spPr>
              <a:solidFill>
                <a:srgbClr val="0070C0"/>
              </a:solidFill>
            </c:spPr>
            <c:extLst>
              <c:ext xmlns:c16="http://schemas.microsoft.com/office/drawing/2014/chart" uri="{C3380CC4-5D6E-409C-BE32-E72D297353CC}">
                <c16:uniqueId val="{00000003-A6DD-4DEF-95B1-B05B6406D8E3}"/>
              </c:ext>
            </c:extLst>
          </c:dPt>
          <c:dPt>
            <c:idx val="2"/>
            <c:invertIfNegative val="0"/>
            <c:bubble3D val="0"/>
            <c:spPr>
              <a:solidFill>
                <a:srgbClr val="FFFF00"/>
              </a:solidFill>
            </c:spPr>
            <c:extLst>
              <c:ext xmlns:c16="http://schemas.microsoft.com/office/drawing/2014/chart" uri="{C3380CC4-5D6E-409C-BE32-E72D297353CC}">
                <c16:uniqueId val="{00000005-A6DD-4DEF-95B1-B05B6406D8E3}"/>
              </c:ext>
            </c:extLst>
          </c:dPt>
          <c:dPt>
            <c:idx val="3"/>
            <c:invertIfNegative val="0"/>
            <c:bubble3D val="0"/>
            <c:spPr>
              <a:solidFill>
                <a:srgbClr val="FFC000"/>
              </a:solidFill>
            </c:spPr>
            <c:extLst>
              <c:ext xmlns:c16="http://schemas.microsoft.com/office/drawing/2014/chart" uri="{C3380CC4-5D6E-409C-BE32-E72D297353CC}">
                <c16:uniqueId val="{00000007-A6DD-4DEF-95B1-B05B6406D8E3}"/>
              </c:ext>
            </c:extLst>
          </c:dPt>
          <c:dPt>
            <c:idx val="4"/>
            <c:invertIfNegative val="0"/>
            <c:bubble3D val="0"/>
            <c:spPr>
              <a:solidFill>
                <a:srgbClr val="FF0000"/>
              </a:solidFill>
            </c:spPr>
            <c:extLst>
              <c:ext xmlns:c16="http://schemas.microsoft.com/office/drawing/2014/chart" uri="{C3380CC4-5D6E-409C-BE32-E72D297353CC}">
                <c16:uniqueId val="{00000009-A6DD-4DEF-95B1-B05B6406D8E3}"/>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'7'!$J$30:$J$34</c:f>
              <c:strCache>
                <c:ptCount val="5"/>
                <c:pt idx="0">
                  <c:v>부산지방법원관내</c:v>
                </c:pt>
                <c:pt idx="1">
                  <c:v>서울서부지방법원관내</c:v>
                </c:pt>
                <c:pt idx="2">
                  <c:v>서울남부지방법원관내</c:v>
                </c:pt>
                <c:pt idx="3">
                  <c:v>서울동부지방법원관내</c:v>
                </c:pt>
                <c:pt idx="4">
                  <c:v>서울중앙지방법원관내</c:v>
                </c:pt>
              </c:strCache>
            </c:strRef>
          </c:cat>
          <c:val>
            <c:numRef>
              <c:f>'7'!$K$30:$K$34</c:f>
              <c:numCache>
                <c:formatCode>0.00_ </c:formatCode>
                <c:ptCount val="5"/>
                <c:pt idx="0">
                  <c:v>0.5431290259966508</c:v>
                </c:pt>
                <c:pt idx="1">
                  <c:v>0.62593493962934921</c:v>
                </c:pt>
                <c:pt idx="2">
                  <c:v>0.6684309131392927</c:v>
                </c:pt>
                <c:pt idx="3">
                  <c:v>0.68555285146239764</c:v>
                </c:pt>
                <c:pt idx="4">
                  <c:v>2.9579300985992858</c:v>
                </c:pt>
              </c:numCache>
            </c:numRef>
          </c:val>
          <c:extLst>
            <c:ext xmlns:c16="http://schemas.microsoft.com/office/drawing/2014/chart" uri="{C3380CC4-5D6E-409C-BE32-E72D297353CC}">
              <c16:uniqueId val="{0000000A-A6DD-4DEF-95B1-B05B6406D8E3}"/>
            </c:ext>
          </c:extLst>
        </c:ser>
        <c:dLbls>
          <c:showLegendKey val="0"/>
          <c:showVal val="0"/>
          <c:showCatName val="0"/>
          <c:showSerName val="0"/>
          <c:showPercent val="0"/>
          <c:showBubbleSize val="0"/>
        </c:dLbls>
        <c:gapWidth val="150"/>
        <c:axId val="218995328"/>
        <c:axId val="219001216"/>
      </c:barChart>
      <c:catAx>
        <c:axId val="218995328"/>
        <c:scaling>
          <c:orientation val="minMax"/>
        </c:scaling>
        <c:delete val="0"/>
        <c:axPos val="l"/>
        <c:numFmt formatCode="General" sourceLinked="1"/>
        <c:majorTickMark val="none"/>
        <c:minorTickMark val="none"/>
        <c:tickLblPos val="nextTo"/>
        <c:txPr>
          <a:bodyPr/>
          <a:lstStyle/>
          <a:p>
            <a:pPr>
              <a:defRPr b="1"/>
            </a:pPr>
            <a:endParaRPr lang="ko-KR"/>
          </a:p>
        </c:txPr>
        <c:crossAx val="219001216"/>
        <c:crosses val="autoZero"/>
        <c:auto val="1"/>
        <c:lblAlgn val="ctr"/>
        <c:lblOffset val="100"/>
        <c:noMultiLvlLbl val="0"/>
      </c:catAx>
      <c:valAx>
        <c:axId val="219001216"/>
        <c:scaling>
          <c:orientation val="minMax"/>
          <c:max val="4"/>
          <c:min val="0"/>
        </c:scaling>
        <c:delete val="0"/>
        <c:axPos val="b"/>
        <c:majorGridlines/>
        <c:numFmt formatCode="#,##0.0_);\(#,##0.0\)" sourceLinked="0"/>
        <c:majorTickMark val="none"/>
        <c:minorTickMark val="none"/>
        <c:tickLblPos val="nextTo"/>
        <c:txPr>
          <a:bodyPr/>
          <a:lstStyle/>
          <a:p>
            <a:pPr>
              <a:defRPr b="1"/>
            </a:pPr>
            <a:endParaRPr lang="ko-KR"/>
          </a:p>
        </c:txPr>
        <c:crossAx val="218995328"/>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매매대금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1"/>
        <c:ser>
          <c:idx val="0"/>
          <c:order val="0"/>
          <c:invertIfNegative val="0"/>
          <c:dPt>
            <c:idx val="0"/>
            <c:invertIfNegative val="0"/>
            <c:bubble3D val="0"/>
            <c:spPr>
              <a:solidFill>
                <a:srgbClr val="FFFF00"/>
              </a:solidFill>
            </c:spPr>
            <c:extLst>
              <c:ext xmlns:c16="http://schemas.microsoft.com/office/drawing/2014/chart" uri="{C3380CC4-5D6E-409C-BE32-E72D297353CC}">
                <c16:uniqueId val="{00000001-454A-4481-A7B7-04CB0B99C269}"/>
              </c:ext>
            </c:extLst>
          </c:dPt>
          <c:dPt>
            <c:idx val="1"/>
            <c:invertIfNegative val="0"/>
            <c:bubble3D val="0"/>
            <c:spPr>
              <a:solidFill>
                <a:srgbClr val="92D050"/>
              </a:solidFill>
            </c:spPr>
            <c:extLst>
              <c:ext xmlns:c16="http://schemas.microsoft.com/office/drawing/2014/chart" uri="{C3380CC4-5D6E-409C-BE32-E72D297353CC}">
                <c16:uniqueId val="{00000003-454A-4481-A7B7-04CB0B99C269}"/>
              </c:ext>
            </c:extLst>
          </c:dPt>
          <c:dPt>
            <c:idx val="2"/>
            <c:invertIfNegative val="0"/>
            <c:bubble3D val="0"/>
            <c:spPr>
              <a:solidFill>
                <a:schemeClr val="accent6">
                  <a:lumMod val="60000"/>
                  <a:lumOff val="40000"/>
                </a:schemeClr>
              </a:solidFill>
            </c:spPr>
            <c:extLst>
              <c:ext xmlns:c16="http://schemas.microsoft.com/office/drawing/2014/chart" uri="{C3380CC4-5D6E-409C-BE32-E72D297353CC}">
                <c16:uniqueId val="{00000005-454A-4481-A7B7-04CB0B99C269}"/>
              </c:ext>
            </c:extLst>
          </c:dPt>
          <c:dPt>
            <c:idx val="3"/>
            <c:invertIfNegative val="0"/>
            <c:bubble3D val="0"/>
            <c:spPr>
              <a:solidFill>
                <a:srgbClr val="FFC000"/>
              </a:solidFill>
            </c:spPr>
            <c:extLst>
              <c:ext xmlns:c16="http://schemas.microsoft.com/office/drawing/2014/chart" uri="{C3380CC4-5D6E-409C-BE32-E72D297353CC}">
                <c16:uniqueId val="{00000007-454A-4481-A7B7-04CB0B99C269}"/>
              </c:ext>
            </c:extLst>
          </c:dPt>
          <c:dPt>
            <c:idx val="4"/>
            <c:invertIfNegative val="0"/>
            <c:bubble3D val="0"/>
            <c:spPr>
              <a:solidFill>
                <a:srgbClr val="FF0000"/>
              </a:solidFill>
            </c:spPr>
            <c:extLst>
              <c:ext xmlns:c16="http://schemas.microsoft.com/office/drawing/2014/chart" uri="{C3380CC4-5D6E-409C-BE32-E72D297353CC}">
                <c16:uniqueId val="{00000009-454A-4481-A7B7-04CB0B99C269}"/>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'7'!$B$8:$B$12</c:f>
              <c:strCache>
                <c:ptCount val="5"/>
                <c:pt idx="0">
                  <c:v>서울남부지방법원관내</c:v>
                </c:pt>
                <c:pt idx="1">
                  <c:v>인천지방법원관내</c:v>
                </c:pt>
                <c:pt idx="2">
                  <c:v>수원지방법원관내</c:v>
                </c:pt>
                <c:pt idx="3">
                  <c:v>서울동부지방법원관내</c:v>
                </c:pt>
                <c:pt idx="4">
                  <c:v>서울중앙지방법원관내</c:v>
                </c:pt>
              </c:strCache>
            </c:strRef>
          </c:cat>
          <c:val>
            <c:numRef>
              <c:f>'7'!$C$8:$C$12</c:f>
              <c:numCache>
                <c:formatCode>0.00_ </c:formatCode>
                <c:ptCount val="5"/>
                <c:pt idx="0">
                  <c:v>0.21584748236789664</c:v>
                </c:pt>
                <c:pt idx="1">
                  <c:v>0.22514510071294377</c:v>
                </c:pt>
                <c:pt idx="2">
                  <c:v>0.22697415619791142</c:v>
                </c:pt>
                <c:pt idx="3">
                  <c:v>0.22966883940679819</c:v>
                </c:pt>
                <c:pt idx="4">
                  <c:v>0.37040789957873371</c:v>
                </c:pt>
              </c:numCache>
            </c:numRef>
          </c:val>
          <c:extLst>
            <c:ext xmlns:c16="http://schemas.microsoft.com/office/drawing/2014/chart" uri="{C3380CC4-5D6E-409C-BE32-E72D297353CC}">
              <c16:uniqueId val="{0000000A-454A-4481-A7B7-04CB0B99C269}"/>
            </c:ext>
          </c:extLst>
        </c:ser>
        <c:dLbls>
          <c:showLegendKey val="0"/>
          <c:showVal val="0"/>
          <c:showCatName val="0"/>
          <c:showSerName val="0"/>
          <c:showPercent val="0"/>
          <c:showBubbleSize val="0"/>
        </c:dLbls>
        <c:gapWidth val="150"/>
        <c:axId val="218833664"/>
        <c:axId val="218835200"/>
      </c:barChart>
      <c:catAx>
        <c:axId val="218833664"/>
        <c:scaling>
          <c:orientation val="minMax"/>
        </c:scaling>
        <c:delete val="0"/>
        <c:axPos val="l"/>
        <c:numFmt formatCode="General" sourceLinked="0"/>
        <c:majorTickMark val="none"/>
        <c:minorTickMark val="none"/>
        <c:tickLblPos val="nextTo"/>
        <c:txPr>
          <a:bodyPr/>
          <a:lstStyle/>
          <a:p>
            <a:pPr>
              <a:defRPr b="1"/>
            </a:pPr>
            <a:endParaRPr lang="ko-KR"/>
          </a:p>
        </c:txPr>
        <c:crossAx val="218835200"/>
        <c:crosses val="autoZero"/>
        <c:auto val="1"/>
        <c:lblAlgn val="ctr"/>
        <c:lblOffset val="100"/>
        <c:noMultiLvlLbl val="0"/>
      </c:catAx>
      <c:valAx>
        <c:axId val="218835200"/>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833664"/>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대여금 접수 사건수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1"/>
        <c:ser>
          <c:idx val="0"/>
          <c:order val="0"/>
          <c:invertIfNegative val="0"/>
          <c:dPt>
            <c:idx val="0"/>
            <c:invertIfNegative val="0"/>
            <c:bubble3D val="0"/>
            <c:spPr>
              <a:solidFill>
                <a:srgbClr val="008080"/>
              </a:solidFill>
            </c:spPr>
            <c:extLst>
              <c:ext xmlns:c16="http://schemas.microsoft.com/office/drawing/2014/chart" uri="{C3380CC4-5D6E-409C-BE32-E72D297353CC}">
                <c16:uniqueId val="{00000001-2235-44F4-900E-6532158485C6}"/>
              </c:ext>
            </c:extLst>
          </c:dPt>
          <c:dPt>
            <c:idx val="1"/>
            <c:invertIfNegative val="0"/>
            <c:bubble3D val="0"/>
            <c:spPr>
              <a:solidFill>
                <a:schemeClr val="bg2">
                  <a:lumMod val="75000"/>
                </a:schemeClr>
              </a:solidFill>
            </c:spPr>
            <c:extLst>
              <c:ext xmlns:c16="http://schemas.microsoft.com/office/drawing/2014/chart" uri="{C3380CC4-5D6E-409C-BE32-E72D297353CC}">
                <c16:uniqueId val="{00000003-2235-44F4-900E-6532158485C6}"/>
              </c:ext>
            </c:extLst>
          </c:dPt>
          <c:dPt>
            <c:idx val="2"/>
            <c:invertIfNegative val="0"/>
            <c:bubble3D val="0"/>
            <c:spPr>
              <a:solidFill>
                <a:srgbClr val="FFC000"/>
              </a:solidFill>
            </c:spPr>
            <c:extLst>
              <c:ext xmlns:c16="http://schemas.microsoft.com/office/drawing/2014/chart" uri="{C3380CC4-5D6E-409C-BE32-E72D297353CC}">
                <c16:uniqueId val="{00000005-2235-44F4-900E-6532158485C6}"/>
              </c:ext>
            </c:extLst>
          </c:dPt>
          <c:dPt>
            <c:idx val="3"/>
            <c:invertIfNegative val="0"/>
            <c:bubble3D val="0"/>
            <c:spPr>
              <a:solidFill>
                <a:srgbClr val="FFFF00"/>
              </a:solidFill>
            </c:spPr>
            <c:extLst>
              <c:ext xmlns:c16="http://schemas.microsoft.com/office/drawing/2014/chart" uri="{C3380CC4-5D6E-409C-BE32-E72D297353CC}">
                <c16:uniqueId val="{00000007-2235-44F4-900E-6532158485C6}"/>
              </c:ext>
            </c:extLst>
          </c:dPt>
          <c:dPt>
            <c:idx val="4"/>
            <c:invertIfNegative val="0"/>
            <c:bubble3D val="0"/>
            <c:spPr>
              <a:solidFill>
                <a:srgbClr val="FF0000"/>
              </a:solidFill>
            </c:spPr>
            <c:extLst>
              <c:ext xmlns:c16="http://schemas.microsoft.com/office/drawing/2014/chart" uri="{C3380CC4-5D6E-409C-BE32-E72D297353CC}">
                <c16:uniqueId val="{00000009-2235-44F4-900E-6532158485C6}"/>
              </c:ext>
            </c:extLst>
          </c:dPt>
          <c:dLbls>
            <c:numFmt formatCode="#,##0.00&quot;건&quot;"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'7'!$I$9:$I$13</c:f>
              <c:strCache>
                <c:ptCount val="5"/>
                <c:pt idx="0">
                  <c:v>부산지방법원관내</c:v>
                </c:pt>
                <c:pt idx="1">
                  <c:v>제주지방법원관내</c:v>
                </c:pt>
                <c:pt idx="2">
                  <c:v>서울동부지방법원관내</c:v>
                </c:pt>
                <c:pt idx="3">
                  <c:v>서울남부지방법원관내</c:v>
                </c:pt>
                <c:pt idx="4">
                  <c:v>서울중앙지방법원관내</c:v>
                </c:pt>
              </c:strCache>
            </c:strRef>
          </c:cat>
          <c:val>
            <c:numRef>
              <c:f>'7'!$J$9:$J$13</c:f>
              <c:numCache>
                <c:formatCode>0.00_ </c:formatCode>
                <c:ptCount val="5"/>
                <c:pt idx="0">
                  <c:v>0.39513992956804062</c:v>
                </c:pt>
                <c:pt idx="1">
                  <c:v>0.40845878326469159</c:v>
                </c:pt>
                <c:pt idx="2">
                  <c:v>0.43919128939194746</c:v>
                </c:pt>
                <c:pt idx="3">
                  <c:v>0.66196543555684417</c:v>
                </c:pt>
                <c:pt idx="4">
                  <c:v>1.5373867140892208</c:v>
                </c:pt>
              </c:numCache>
            </c:numRef>
          </c:val>
          <c:extLst>
            <c:ext xmlns:c16="http://schemas.microsoft.com/office/drawing/2014/chart" uri="{C3380CC4-5D6E-409C-BE32-E72D297353CC}">
              <c16:uniqueId val="{0000000A-2235-44F4-900E-6532158485C6}"/>
            </c:ext>
          </c:extLst>
        </c:ser>
        <c:dLbls>
          <c:showLegendKey val="0"/>
          <c:showVal val="0"/>
          <c:showCatName val="0"/>
          <c:showSerName val="0"/>
          <c:showPercent val="0"/>
          <c:showBubbleSize val="0"/>
        </c:dLbls>
        <c:gapWidth val="150"/>
        <c:axId val="218860160"/>
        <c:axId val="218866048"/>
      </c:barChart>
      <c:catAx>
        <c:axId val="218860160"/>
        <c:scaling>
          <c:orientation val="minMax"/>
        </c:scaling>
        <c:delete val="0"/>
        <c:axPos val="l"/>
        <c:numFmt formatCode="General" sourceLinked="0"/>
        <c:majorTickMark val="none"/>
        <c:minorTickMark val="none"/>
        <c:tickLblPos val="nextTo"/>
        <c:txPr>
          <a:bodyPr/>
          <a:lstStyle/>
          <a:p>
            <a:pPr>
              <a:defRPr b="1"/>
            </a:pPr>
            <a:endParaRPr lang="ko-KR"/>
          </a:p>
        </c:txPr>
        <c:crossAx val="218866048"/>
        <c:crosses val="autoZero"/>
        <c:auto val="1"/>
        <c:lblAlgn val="ctr"/>
        <c:lblOffset val="100"/>
        <c:noMultiLvlLbl val="0"/>
      </c:catAx>
      <c:valAx>
        <c:axId val="21886604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8860160"/>
        <c:crosses val="autoZero"/>
        <c:crossBetween val="between"/>
        <c:majorUnit val="1"/>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교통범죄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0"/>
        <c:ser>
          <c:idx val="0"/>
          <c:order val="0"/>
          <c:invertIfNegative val="0"/>
          <c:dPt>
            <c:idx val="0"/>
            <c:invertIfNegative val="0"/>
            <c:bubble3D val="0"/>
            <c:spPr>
              <a:solidFill>
                <a:schemeClr val="accent3">
                  <a:lumMod val="60000"/>
                  <a:lumOff val="40000"/>
                </a:schemeClr>
              </a:solidFill>
            </c:spPr>
            <c:extLst>
              <c:ext xmlns:c16="http://schemas.microsoft.com/office/drawing/2014/chart" uri="{C3380CC4-5D6E-409C-BE32-E72D297353CC}">
                <c16:uniqueId val="{00000001-F218-4D0A-8884-EC72E19950DC}"/>
              </c:ext>
            </c:extLst>
          </c:dPt>
          <c:dPt>
            <c:idx val="1"/>
            <c:invertIfNegative val="0"/>
            <c:bubble3D val="0"/>
            <c:spPr>
              <a:solidFill>
                <a:srgbClr val="FFFF99"/>
              </a:solidFill>
            </c:spPr>
            <c:extLst>
              <c:ext xmlns:c16="http://schemas.microsoft.com/office/drawing/2014/chart" uri="{C3380CC4-5D6E-409C-BE32-E72D297353CC}">
                <c16:uniqueId val="{00000003-F218-4D0A-8884-EC72E19950DC}"/>
              </c:ext>
            </c:extLst>
          </c:dPt>
          <c:dPt>
            <c:idx val="2"/>
            <c:invertIfNegative val="0"/>
            <c:bubble3D val="0"/>
            <c:spPr>
              <a:solidFill>
                <a:srgbClr val="C00000"/>
              </a:solidFill>
            </c:spPr>
            <c:extLst>
              <c:ext xmlns:c16="http://schemas.microsoft.com/office/drawing/2014/chart" uri="{C3380CC4-5D6E-409C-BE32-E72D297353CC}">
                <c16:uniqueId val="{00000005-F218-4D0A-8884-EC72E19950DC}"/>
              </c:ext>
            </c:extLst>
          </c:dPt>
          <c:dPt>
            <c:idx val="3"/>
            <c:invertIfNegative val="0"/>
            <c:bubble3D val="0"/>
            <c:spPr>
              <a:solidFill>
                <a:schemeClr val="bg2">
                  <a:lumMod val="75000"/>
                </a:schemeClr>
              </a:solidFill>
            </c:spPr>
            <c:extLst>
              <c:ext xmlns:c16="http://schemas.microsoft.com/office/drawing/2014/chart" uri="{C3380CC4-5D6E-409C-BE32-E72D297353CC}">
                <c16:uniqueId val="{00000007-F218-4D0A-8884-EC72E19950DC}"/>
              </c:ext>
            </c:extLst>
          </c:dPt>
          <c:dPt>
            <c:idx val="4"/>
            <c:invertIfNegative val="0"/>
            <c:bubble3D val="0"/>
            <c:spPr>
              <a:solidFill>
                <a:srgbClr val="FF3399"/>
              </a:solidFill>
            </c:spPr>
            <c:extLst>
              <c:ext xmlns:c16="http://schemas.microsoft.com/office/drawing/2014/chart" uri="{C3380CC4-5D6E-409C-BE32-E72D297353CC}">
                <c16:uniqueId val="{00000009-F218-4D0A-8884-EC72E19950DC}"/>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'8'!$D$30:$D$34</c:f>
              <c:strCache>
                <c:ptCount val="5"/>
                <c:pt idx="0">
                  <c:v>광주지방법원</c:v>
                </c:pt>
                <c:pt idx="1">
                  <c:v>청주지방법원</c:v>
                </c:pt>
                <c:pt idx="2">
                  <c:v>창원지방법원</c:v>
                </c:pt>
                <c:pt idx="3">
                  <c:v>제주지방법원</c:v>
                </c:pt>
                <c:pt idx="4">
                  <c:v>춘천지방법원</c:v>
                </c:pt>
              </c:strCache>
            </c:strRef>
          </c:cat>
          <c:val>
            <c:numRef>
              <c:f>'8'!$E$30:$E$34</c:f>
              <c:numCache>
                <c:formatCode>_-* #,##0.00_-;\-* #,##0.00_-;_-* "-"_-;_-@_-</c:formatCode>
                <c:ptCount val="5"/>
                <c:pt idx="0">
                  <c:v>1.2509438254194618</c:v>
                </c:pt>
                <c:pt idx="1">
                  <c:v>1.2513651541197874</c:v>
                </c:pt>
                <c:pt idx="2">
                  <c:v>1.2594385282268328</c:v>
                </c:pt>
                <c:pt idx="3">
                  <c:v>1.3949531009689466</c:v>
                </c:pt>
                <c:pt idx="4">
                  <c:v>1.6449812011708946</c:v>
                </c:pt>
              </c:numCache>
            </c:numRef>
          </c:val>
          <c:extLst>
            <c:ext xmlns:c16="http://schemas.microsoft.com/office/drawing/2014/chart" uri="{C3380CC4-5D6E-409C-BE32-E72D297353CC}">
              <c16:uniqueId val="{0000000A-F218-4D0A-8884-EC72E19950DC}"/>
            </c:ext>
          </c:extLst>
        </c:ser>
        <c:dLbls>
          <c:showLegendKey val="0"/>
          <c:showVal val="0"/>
          <c:showCatName val="0"/>
          <c:showSerName val="0"/>
          <c:showPercent val="0"/>
          <c:showBubbleSize val="0"/>
        </c:dLbls>
        <c:gapWidth val="150"/>
        <c:axId val="224646272"/>
        <c:axId val="224647808"/>
      </c:barChart>
      <c:catAx>
        <c:axId val="224646272"/>
        <c:scaling>
          <c:orientation val="minMax"/>
        </c:scaling>
        <c:delete val="0"/>
        <c:axPos val="l"/>
        <c:numFmt formatCode="General" sourceLinked="1"/>
        <c:majorTickMark val="none"/>
        <c:minorTickMark val="none"/>
        <c:tickLblPos val="nextTo"/>
        <c:txPr>
          <a:bodyPr/>
          <a:lstStyle/>
          <a:p>
            <a:pPr>
              <a:defRPr b="1"/>
            </a:pPr>
            <a:endParaRPr lang="ko-KR"/>
          </a:p>
        </c:txPr>
        <c:crossAx val="224647808"/>
        <c:crosses val="autoZero"/>
        <c:auto val="1"/>
        <c:lblAlgn val="ctr"/>
        <c:lblOffset val="100"/>
        <c:noMultiLvlLbl val="0"/>
      </c:catAx>
      <c:valAx>
        <c:axId val="22464780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24646272"/>
        <c:crosses val="autoZero"/>
        <c:crossBetween val="between"/>
        <c:majorUnit val="1"/>
      </c:valAx>
    </c:plotArea>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성범죄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0"/>
        <c:ser>
          <c:idx val="0"/>
          <c:order val="0"/>
          <c:invertIfNegative val="0"/>
          <c:dPt>
            <c:idx val="0"/>
            <c:invertIfNegative val="0"/>
            <c:bubble3D val="0"/>
            <c:spPr>
              <a:solidFill>
                <a:srgbClr val="92D050"/>
              </a:solidFill>
            </c:spPr>
            <c:extLst>
              <c:ext xmlns:c16="http://schemas.microsoft.com/office/drawing/2014/chart" uri="{C3380CC4-5D6E-409C-BE32-E72D297353CC}">
                <c16:uniqueId val="{00000001-4BAA-4379-B239-CC95819049F3}"/>
              </c:ext>
            </c:extLst>
          </c:dPt>
          <c:dPt>
            <c:idx val="1"/>
            <c:invertIfNegative val="0"/>
            <c:bubble3D val="0"/>
            <c:spPr>
              <a:solidFill>
                <a:srgbClr val="008080"/>
              </a:solidFill>
            </c:spPr>
            <c:extLst>
              <c:ext xmlns:c16="http://schemas.microsoft.com/office/drawing/2014/chart" uri="{C3380CC4-5D6E-409C-BE32-E72D297353CC}">
                <c16:uniqueId val="{00000003-4BAA-4379-B239-CC95819049F3}"/>
              </c:ext>
            </c:extLst>
          </c:dPt>
          <c:dPt>
            <c:idx val="2"/>
            <c:invertIfNegative val="0"/>
            <c:bubble3D val="0"/>
            <c:spPr>
              <a:solidFill>
                <a:srgbClr val="FFFF00"/>
              </a:solidFill>
            </c:spPr>
            <c:extLst>
              <c:ext xmlns:c16="http://schemas.microsoft.com/office/drawing/2014/chart" uri="{C3380CC4-5D6E-409C-BE32-E72D297353CC}">
                <c16:uniqueId val="{00000005-4BAA-4379-B239-CC95819049F3}"/>
              </c:ext>
            </c:extLst>
          </c:dPt>
          <c:dPt>
            <c:idx val="3"/>
            <c:invertIfNegative val="0"/>
            <c:bubble3D val="0"/>
            <c:spPr>
              <a:solidFill>
                <a:schemeClr val="bg2">
                  <a:lumMod val="75000"/>
                </a:schemeClr>
              </a:solidFill>
            </c:spPr>
            <c:extLst>
              <c:ext xmlns:c16="http://schemas.microsoft.com/office/drawing/2014/chart" uri="{C3380CC4-5D6E-409C-BE32-E72D297353CC}">
                <c16:uniqueId val="{00000007-4BAA-4379-B239-CC95819049F3}"/>
              </c:ext>
            </c:extLst>
          </c:dPt>
          <c:dPt>
            <c:idx val="4"/>
            <c:invertIfNegative val="0"/>
            <c:bubble3D val="0"/>
            <c:spPr>
              <a:solidFill>
                <a:srgbClr val="FF0000"/>
              </a:solidFill>
              <a:ln>
                <a:noFill/>
              </a:ln>
            </c:spPr>
            <c:extLst>
              <c:ext xmlns:c16="http://schemas.microsoft.com/office/drawing/2014/chart" uri="{C3380CC4-5D6E-409C-BE32-E72D297353CC}">
                <c16:uniqueId val="{00000009-4BAA-4379-B239-CC95819049F3}"/>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'8'!$K$32:$K$36</c:f>
              <c:strCache>
                <c:ptCount val="5"/>
                <c:pt idx="0">
                  <c:v>인천지방법원</c:v>
                </c:pt>
                <c:pt idx="1">
                  <c:v>부산지방법원</c:v>
                </c:pt>
                <c:pt idx="2">
                  <c:v>서울남부지방법원</c:v>
                </c:pt>
                <c:pt idx="3">
                  <c:v>제주지방법원</c:v>
                </c:pt>
                <c:pt idx="4">
                  <c:v>서울중앙지방법원</c:v>
                </c:pt>
              </c:strCache>
            </c:strRef>
          </c:cat>
          <c:val>
            <c:numRef>
              <c:f>'8'!$L$32:$L$36</c:f>
              <c:numCache>
                <c:formatCode>_-* #,##0.00_-;\-* #,##0.00_-;_-* "-"_-;_-@_-</c:formatCode>
                <c:ptCount val="5"/>
                <c:pt idx="0">
                  <c:v>0.34090033050357765</c:v>
                </c:pt>
                <c:pt idx="1">
                  <c:v>0.35806730459712605</c:v>
                </c:pt>
                <c:pt idx="2">
                  <c:v>0.36355877790537428</c:v>
                </c:pt>
                <c:pt idx="3">
                  <c:v>0.36717053080472278</c:v>
                </c:pt>
                <c:pt idx="4">
                  <c:v>0.61427592770452311</c:v>
                </c:pt>
              </c:numCache>
            </c:numRef>
          </c:val>
          <c:extLst>
            <c:ext xmlns:c16="http://schemas.microsoft.com/office/drawing/2014/chart" uri="{C3380CC4-5D6E-409C-BE32-E72D297353CC}">
              <c16:uniqueId val="{0000000A-4BAA-4379-B239-CC95819049F3}"/>
            </c:ext>
          </c:extLst>
        </c:ser>
        <c:dLbls>
          <c:showLegendKey val="0"/>
          <c:showVal val="0"/>
          <c:showCatName val="0"/>
          <c:showSerName val="0"/>
          <c:showPercent val="0"/>
          <c:showBubbleSize val="0"/>
        </c:dLbls>
        <c:gapWidth val="150"/>
        <c:axId val="223851648"/>
        <c:axId val="223853184"/>
      </c:barChart>
      <c:catAx>
        <c:axId val="223851648"/>
        <c:scaling>
          <c:orientation val="minMax"/>
        </c:scaling>
        <c:delete val="0"/>
        <c:axPos val="l"/>
        <c:numFmt formatCode="General" sourceLinked="1"/>
        <c:majorTickMark val="none"/>
        <c:minorTickMark val="none"/>
        <c:tickLblPos val="nextTo"/>
        <c:txPr>
          <a:bodyPr/>
          <a:lstStyle/>
          <a:p>
            <a:pPr>
              <a:defRPr b="1"/>
            </a:pPr>
            <a:endParaRPr lang="ko-KR"/>
          </a:p>
        </c:txPr>
        <c:crossAx val="223853184"/>
        <c:crosses val="autoZero"/>
        <c:auto val="1"/>
        <c:lblAlgn val="ctr"/>
        <c:lblOffset val="100"/>
        <c:noMultiLvlLbl val="0"/>
      </c:catAx>
      <c:valAx>
        <c:axId val="223853184"/>
        <c:scaling>
          <c:orientation val="minMax"/>
          <c:max val="4"/>
          <c:min val="0"/>
        </c:scaling>
        <c:delete val="0"/>
        <c:axPos val="b"/>
        <c:majorGridlines/>
        <c:numFmt formatCode="#,##0.0_);\(#,##0.0\)" sourceLinked="0"/>
        <c:majorTickMark val="none"/>
        <c:minorTickMark val="none"/>
        <c:tickLblPos val="nextTo"/>
        <c:txPr>
          <a:bodyPr/>
          <a:lstStyle/>
          <a:p>
            <a:pPr>
              <a:defRPr b="1"/>
            </a:pPr>
            <a:endParaRPr lang="ko-KR"/>
          </a:p>
        </c:txPr>
        <c:crossAx val="223851648"/>
        <c:crosses val="autoZero"/>
        <c:crossBetween val="between"/>
        <c:majorUnit val="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경제범죄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0"/>
        <c:ser>
          <c:idx val="0"/>
          <c:order val="0"/>
          <c:tx>
            <c:strRef>
              <c:f>'8'!$J$9:$J$13</c:f>
              <c:strCache>
                <c:ptCount val="5"/>
                <c:pt idx="0">
                  <c:v>울산지방법원</c:v>
                </c:pt>
                <c:pt idx="1">
                  <c:v>인천지방법원</c:v>
                </c:pt>
                <c:pt idx="2">
                  <c:v>제주지방법원</c:v>
                </c:pt>
                <c:pt idx="3">
                  <c:v>부산지방법원</c:v>
                </c:pt>
                <c:pt idx="4">
                  <c:v>서울중앙지방법원</c:v>
                </c:pt>
              </c:strCache>
            </c:strRef>
          </c:tx>
          <c:invertIfNegative val="0"/>
          <c:dPt>
            <c:idx val="0"/>
            <c:invertIfNegative val="0"/>
            <c:bubble3D val="0"/>
            <c:spPr>
              <a:solidFill>
                <a:srgbClr val="00CCFF"/>
              </a:solidFill>
            </c:spPr>
            <c:extLst>
              <c:ext xmlns:c16="http://schemas.microsoft.com/office/drawing/2014/chart" uri="{C3380CC4-5D6E-409C-BE32-E72D297353CC}">
                <c16:uniqueId val="{00000001-4CB6-421F-A163-72977955C01E}"/>
              </c:ext>
            </c:extLst>
          </c:dPt>
          <c:dPt>
            <c:idx val="1"/>
            <c:invertIfNegative val="0"/>
            <c:bubble3D val="0"/>
            <c:spPr>
              <a:solidFill>
                <a:srgbClr val="92D050"/>
              </a:solidFill>
            </c:spPr>
            <c:extLst>
              <c:ext xmlns:c16="http://schemas.microsoft.com/office/drawing/2014/chart" uri="{C3380CC4-5D6E-409C-BE32-E72D297353CC}">
                <c16:uniqueId val="{00000003-4CB6-421F-A163-72977955C01E}"/>
              </c:ext>
            </c:extLst>
          </c:dPt>
          <c:dPt>
            <c:idx val="2"/>
            <c:invertIfNegative val="0"/>
            <c:bubble3D val="0"/>
            <c:spPr>
              <a:solidFill>
                <a:schemeClr val="bg2">
                  <a:lumMod val="75000"/>
                </a:schemeClr>
              </a:solidFill>
            </c:spPr>
            <c:extLst>
              <c:ext xmlns:c16="http://schemas.microsoft.com/office/drawing/2014/chart" uri="{C3380CC4-5D6E-409C-BE32-E72D297353CC}">
                <c16:uniqueId val="{00000005-4CB6-421F-A163-72977955C01E}"/>
              </c:ext>
            </c:extLst>
          </c:dPt>
          <c:dPt>
            <c:idx val="3"/>
            <c:invertIfNegative val="0"/>
            <c:bubble3D val="0"/>
            <c:spPr>
              <a:solidFill>
                <a:srgbClr val="008080"/>
              </a:solidFill>
            </c:spPr>
            <c:extLst>
              <c:ext xmlns:c16="http://schemas.microsoft.com/office/drawing/2014/chart" uri="{C3380CC4-5D6E-409C-BE32-E72D297353CC}">
                <c16:uniqueId val="{00000007-4CB6-421F-A163-72977955C01E}"/>
              </c:ext>
            </c:extLst>
          </c:dPt>
          <c:dPt>
            <c:idx val="4"/>
            <c:invertIfNegative val="0"/>
            <c:bubble3D val="0"/>
            <c:spPr>
              <a:solidFill>
                <a:srgbClr val="FF0000"/>
              </a:solidFill>
            </c:spPr>
            <c:extLst>
              <c:ext xmlns:c16="http://schemas.microsoft.com/office/drawing/2014/chart" uri="{C3380CC4-5D6E-409C-BE32-E72D297353CC}">
                <c16:uniqueId val="{00000009-4CB6-421F-A163-72977955C01E}"/>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'8'!$J$9:$J$13</c:f>
              <c:strCache>
                <c:ptCount val="5"/>
                <c:pt idx="0">
                  <c:v>울산지방법원</c:v>
                </c:pt>
                <c:pt idx="1">
                  <c:v>인천지방법원</c:v>
                </c:pt>
                <c:pt idx="2">
                  <c:v>제주지방법원</c:v>
                </c:pt>
                <c:pt idx="3">
                  <c:v>부산지방법원</c:v>
                </c:pt>
                <c:pt idx="4">
                  <c:v>서울중앙지방법원</c:v>
                </c:pt>
              </c:strCache>
            </c:strRef>
          </c:cat>
          <c:val>
            <c:numRef>
              <c:f>'8'!$K$9:$K$13</c:f>
              <c:numCache>
                <c:formatCode>_-* #,##0.00_-;\-* #,##0.00_-;_-* "-"_-;_-@_-</c:formatCode>
                <c:ptCount val="5"/>
                <c:pt idx="0">
                  <c:v>1.2359546725573678</c:v>
                </c:pt>
                <c:pt idx="1">
                  <c:v>1.2638773664105671</c:v>
                </c:pt>
                <c:pt idx="2">
                  <c:v>1.2666646022540438</c:v>
                </c:pt>
                <c:pt idx="3">
                  <c:v>1.43136500802336</c:v>
                </c:pt>
                <c:pt idx="4">
                  <c:v>1.7022279259436313</c:v>
                </c:pt>
              </c:numCache>
            </c:numRef>
          </c:val>
          <c:extLst>
            <c:ext xmlns:c16="http://schemas.microsoft.com/office/drawing/2014/chart" uri="{C3380CC4-5D6E-409C-BE32-E72D297353CC}">
              <c16:uniqueId val="{0000000A-4CB6-421F-A163-72977955C01E}"/>
            </c:ext>
          </c:extLst>
        </c:ser>
        <c:dLbls>
          <c:showLegendKey val="0"/>
          <c:showVal val="0"/>
          <c:showCatName val="0"/>
          <c:showSerName val="0"/>
          <c:showPercent val="0"/>
          <c:showBubbleSize val="0"/>
        </c:dLbls>
        <c:gapWidth val="150"/>
        <c:axId val="219110400"/>
        <c:axId val="219120384"/>
      </c:barChart>
      <c:catAx>
        <c:axId val="219110400"/>
        <c:scaling>
          <c:orientation val="minMax"/>
        </c:scaling>
        <c:delete val="0"/>
        <c:axPos val="l"/>
        <c:numFmt formatCode="General" sourceLinked="1"/>
        <c:majorTickMark val="none"/>
        <c:minorTickMark val="none"/>
        <c:tickLblPos val="nextTo"/>
        <c:txPr>
          <a:bodyPr/>
          <a:lstStyle/>
          <a:p>
            <a:pPr>
              <a:defRPr b="1"/>
            </a:pPr>
            <a:endParaRPr lang="ko-KR"/>
          </a:p>
        </c:txPr>
        <c:crossAx val="219120384"/>
        <c:crosses val="autoZero"/>
        <c:auto val="1"/>
        <c:lblAlgn val="ctr"/>
        <c:lblOffset val="100"/>
        <c:noMultiLvlLbl val="0"/>
      </c:catAx>
      <c:valAx>
        <c:axId val="219120384"/>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19110400"/>
        <c:crosses val="autoZero"/>
        <c:crossBetween val="between"/>
        <c:majorUnit val="1"/>
      </c:valAx>
    </c:plotArea>
    <c:plotVisOnly val="1"/>
    <c:dispBlanksAs val="gap"/>
    <c:showDLblsOverMax val="0"/>
  </c:chart>
  <c:printSettings>
    <c:headerFooter/>
    <c:pageMargins b="0.75000000000000344" l="0.70000000000000062" r="0.70000000000000062" t="0.75000000000000344"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폭행범죄 관련 접수 인원수</a:t>
            </a:r>
            <a:endParaRPr lang="en-US" altLang="ko-KR"/>
          </a:p>
          <a:p>
            <a:pPr>
              <a:defRPr/>
            </a:pPr>
            <a:r>
              <a:rPr lang="en-US" altLang="ko-KR" sz="1200" b="0"/>
              <a:t>(</a:t>
            </a:r>
            <a:r>
              <a:rPr lang="ko-KR" altLang="en-US" sz="1200" b="0"/>
              <a:t>인구 </a:t>
            </a:r>
            <a:r>
              <a:rPr lang="en-US" altLang="ko-KR" sz="1200" b="0"/>
              <a:t>1,000</a:t>
            </a:r>
            <a:r>
              <a:rPr lang="ko-KR" altLang="en-US" sz="1200" b="0"/>
              <a:t>명당 상위 </a:t>
            </a:r>
            <a:r>
              <a:rPr lang="en-US" altLang="ko-KR" sz="1200" b="0"/>
              <a:t>5</a:t>
            </a:r>
            <a:r>
              <a:rPr lang="ko-KR" altLang="en-US" sz="1200" b="0"/>
              <a:t>개 법원</a:t>
            </a:r>
            <a:r>
              <a:rPr lang="en-US" altLang="ko-KR" sz="1200" b="0"/>
              <a:t>)</a:t>
            </a:r>
            <a:endParaRPr lang="ko-KR" altLang="en-US" sz="1200" b="0"/>
          </a:p>
        </c:rich>
      </c:tx>
      <c:overlay val="0"/>
    </c:title>
    <c:autoTitleDeleted val="0"/>
    <c:plotArea>
      <c:layout/>
      <c:barChart>
        <c:barDir val="bar"/>
        <c:grouping val="clustered"/>
        <c:varyColors val="0"/>
        <c:ser>
          <c:idx val="0"/>
          <c:order val="0"/>
          <c:invertIfNegative val="0"/>
          <c:dPt>
            <c:idx val="0"/>
            <c:invertIfNegative val="0"/>
            <c:bubble3D val="0"/>
            <c:spPr>
              <a:solidFill>
                <a:srgbClr val="008080"/>
              </a:solidFill>
            </c:spPr>
            <c:extLst>
              <c:ext xmlns:c16="http://schemas.microsoft.com/office/drawing/2014/chart" uri="{C3380CC4-5D6E-409C-BE32-E72D297353CC}">
                <c16:uniqueId val="{00000001-ABDC-43A4-B665-D6881097572C}"/>
              </c:ext>
            </c:extLst>
          </c:dPt>
          <c:dPt>
            <c:idx val="1"/>
            <c:invertIfNegative val="0"/>
            <c:bubble3D val="0"/>
            <c:spPr>
              <a:solidFill>
                <a:srgbClr val="00CCFF"/>
              </a:solidFill>
            </c:spPr>
            <c:extLst>
              <c:ext xmlns:c16="http://schemas.microsoft.com/office/drawing/2014/chart" uri="{C3380CC4-5D6E-409C-BE32-E72D297353CC}">
                <c16:uniqueId val="{00000003-ABDC-43A4-B665-D6881097572C}"/>
              </c:ext>
            </c:extLst>
          </c:dPt>
          <c:dPt>
            <c:idx val="2"/>
            <c:invertIfNegative val="0"/>
            <c:bubble3D val="0"/>
            <c:spPr>
              <a:solidFill>
                <a:srgbClr val="C00000"/>
              </a:solidFill>
            </c:spPr>
            <c:extLst>
              <c:ext xmlns:c16="http://schemas.microsoft.com/office/drawing/2014/chart" uri="{C3380CC4-5D6E-409C-BE32-E72D297353CC}">
                <c16:uniqueId val="{00000005-ABDC-43A4-B665-D6881097572C}"/>
              </c:ext>
            </c:extLst>
          </c:dPt>
          <c:dPt>
            <c:idx val="3"/>
            <c:invertIfNegative val="0"/>
            <c:bubble3D val="0"/>
            <c:spPr>
              <a:solidFill>
                <a:srgbClr val="FF0000"/>
              </a:solidFill>
            </c:spPr>
            <c:extLst>
              <c:ext xmlns:c16="http://schemas.microsoft.com/office/drawing/2014/chart" uri="{C3380CC4-5D6E-409C-BE32-E72D297353CC}">
                <c16:uniqueId val="{00000007-ABDC-43A4-B665-D6881097572C}"/>
              </c:ext>
            </c:extLst>
          </c:dPt>
          <c:dPt>
            <c:idx val="4"/>
            <c:invertIfNegative val="0"/>
            <c:bubble3D val="0"/>
            <c:spPr>
              <a:solidFill>
                <a:schemeClr val="bg2">
                  <a:lumMod val="75000"/>
                </a:schemeClr>
              </a:solidFill>
            </c:spPr>
            <c:extLst>
              <c:ext xmlns:c16="http://schemas.microsoft.com/office/drawing/2014/chart" uri="{C3380CC4-5D6E-409C-BE32-E72D297353CC}">
                <c16:uniqueId val="{00000009-ABDC-43A4-B665-D6881097572C}"/>
              </c:ext>
            </c:extLst>
          </c:dPt>
          <c:dLbls>
            <c:numFmt formatCode="#,##0.00&quot;명&quot;" sourceLinked="0"/>
            <c:spPr>
              <a:noFill/>
              <a:ln>
                <a:noFill/>
              </a:ln>
              <a:effectLst/>
            </c:spPr>
            <c:txPr>
              <a:bodyPr wrap="square" lIns="38100" tIns="19050" rIns="38100" bIns="19050" anchor="ctr">
                <a:spAutoFit/>
              </a:bodyPr>
              <a:lstStyle/>
              <a:p>
                <a:pPr>
                  <a:defRPr b="1"/>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'8'!$C$8:$C$12</c:f>
              <c:strCache>
                <c:ptCount val="5"/>
                <c:pt idx="0">
                  <c:v>부산지방법원</c:v>
                </c:pt>
                <c:pt idx="1">
                  <c:v>울산지방법원</c:v>
                </c:pt>
                <c:pt idx="2">
                  <c:v>창원지방법원</c:v>
                </c:pt>
                <c:pt idx="3">
                  <c:v>서울중앙지방법원</c:v>
                </c:pt>
                <c:pt idx="4">
                  <c:v>제주지방법원</c:v>
                </c:pt>
              </c:strCache>
            </c:strRef>
          </c:cat>
          <c:val>
            <c:numRef>
              <c:f>'8'!$D$8:$D$12</c:f>
              <c:numCache>
                <c:formatCode>_-* #,##0.00_-;\-* #,##0.00_-;_-* "-"_-;_-@_-</c:formatCode>
                <c:ptCount val="5"/>
                <c:pt idx="0">
                  <c:v>0.55669218147381472</c:v>
                </c:pt>
                <c:pt idx="1">
                  <c:v>0.55720387447890163</c:v>
                </c:pt>
                <c:pt idx="2">
                  <c:v>0.57197506680730281</c:v>
                </c:pt>
                <c:pt idx="3">
                  <c:v>0.59391318976956653</c:v>
                </c:pt>
                <c:pt idx="4">
                  <c:v>0.70927319404446443</c:v>
                </c:pt>
              </c:numCache>
            </c:numRef>
          </c:val>
          <c:extLst>
            <c:ext xmlns:c16="http://schemas.microsoft.com/office/drawing/2014/chart" uri="{C3380CC4-5D6E-409C-BE32-E72D297353CC}">
              <c16:uniqueId val="{0000000A-ABDC-43A4-B665-D6881097572C}"/>
            </c:ext>
          </c:extLst>
        </c:ser>
        <c:dLbls>
          <c:showLegendKey val="0"/>
          <c:showVal val="0"/>
          <c:showCatName val="0"/>
          <c:showSerName val="0"/>
          <c:showPercent val="0"/>
          <c:showBubbleSize val="0"/>
        </c:dLbls>
        <c:gapWidth val="150"/>
        <c:axId val="223820800"/>
        <c:axId val="223826688"/>
      </c:barChart>
      <c:catAx>
        <c:axId val="223820800"/>
        <c:scaling>
          <c:orientation val="minMax"/>
        </c:scaling>
        <c:delete val="0"/>
        <c:axPos val="l"/>
        <c:numFmt formatCode="General" sourceLinked="1"/>
        <c:majorTickMark val="none"/>
        <c:minorTickMark val="none"/>
        <c:tickLblPos val="nextTo"/>
        <c:txPr>
          <a:bodyPr/>
          <a:lstStyle/>
          <a:p>
            <a:pPr>
              <a:defRPr b="1"/>
            </a:pPr>
            <a:endParaRPr lang="ko-KR"/>
          </a:p>
        </c:txPr>
        <c:crossAx val="223826688"/>
        <c:crosses val="autoZero"/>
        <c:auto val="1"/>
        <c:lblAlgn val="ctr"/>
        <c:lblOffset val="100"/>
        <c:noMultiLvlLbl val="0"/>
      </c:catAx>
      <c:valAx>
        <c:axId val="223826688"/>
        <c:scaling>
          <c:orientation val="minMax"/>
          <c:max val="4"/>
        </c:scaling>
        <c:delete val="0"/>
        <c:axPos val="b"/>
        <c:majorGridlines/>
        <c:numFmt formatCode="#,##0.0_);\(#,##0.0\)" sourceLinked="0"/>
        <c:majorTickMark val="none"/>
        <c:minorTickMark val="none"/>
        <c:tickLblPos val="nextTo"/>
        <c:txPr>
          <a:bodyPr/>
          <a:lstStyle/>
          <a:p>
            <a:pPr>
              <a:defRPr b="1"/>
            </a:pPr>
            <a:endParaRPr lang="ko-KR"/>
          </a:p>
        </c:txPr>
        <c:crossAx val="223820800"/>
        <c:crosses val="autoZero"/>
        <c:crossBetween val="between"/>
        <c:majorUnit val="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323850</xdr:colOff>
      <xdr:row>8</xdr:row>
      <xdr:rowOff>0</xdr:rowOff>
    </xdr:from>
    <xdr:to>
      <xdr:col>9</xdr:col>
      <xdr:colOff>523875</xdr:colOff>
      <xdr:row>19</xdr:row>
      <xdr:rowOff>200025</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19049</xdr:rowOff>
    </xdr:from>
    <xdr:to>
      <xdr:col>4</xdr:col>
      <xdr:colOff>466725</xdr:colOff>
      <xdr:row>19</xdr:row>
      <xdr:rowOff>180974</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0.3937</cdr:x>
      <cdr:y>0.42857</cdr:y>
    </cdr:from>
    <cdr:to>
      <cdr:x>0.64567</cdr:x>
      <cdr:y>0.72036</cdr:y>
    </cdr:to>
    <cdr:sp macro="" textlink="">
      <cdr:nvSpPr>
        <cdr:cNvPr id="2" name="TextBox 1"/>
        <cdr:cNvSpPr txBox="1"/>
      </cdr:nvSpPr>
      <cdr:spPr>
        <a:xfrm xmlns:a="http://schemas.openxmlformats.org/drawingml/2006/main">
          <a:off x="1428750" y="13430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100"/>
            <a:t>소송사건</a:t>
          </a:r>
          <a:endParaRPr lang="en-US" altLang="ko-KR" sz="1100"/>
        </a:p>
        <a:p xmlns:a="http://schemas.openxmlformats.org/drawingml/2006/main">
          <a:pPr algn="ctr"/>
          <a:r>
            <a:rPr lang="en-US" altLang="ko-KR" sz="1100"/>
            <a:t>6,167,312</a:t>
          </a:r>
          <a:br>
            <a:rPr lang="en-US" altLang="ko-KR" sz="1100"/>
          </a:br>
          <a:r>
            <a:rPr lang="en-US" altLang="ko-KR" sz="1100"/>
            <a:t>(100.0%)</a:t>
          </a:r>
          <a:endParaRPr lang="ko-KR" altLang="en-US" sz="1100"/>
        </a:p>
      </cdr:txBody>
    </cdr:sp>
  </cdr:relSizeAnchor>
</c:userShapes>
</file>

<file path=xl/drawings/drawing3.xml><?xml version="1.0" encoding="utf-8"?>
<c:userShapes xmlns:c="http://schemas.openxmlformats.org/drawingml/2006/chart">
  <cdr:relSizeAnchor xmlns:cdr="http://schemas.openxmlformats.org/drawingml/2006/chartDrawing">
    <cdr:from>
      <cdr:x>0.35608</cdr:x>
      <cdr:y>0.47385</cdr:y>
    </cdr:from>
    <cdr:to>
      <cdr:x>0.64095</cdr:x>
      <cdr:y>0.76923</cdr:y>
    </cdr:to>
    <cdr:sp macro="" textlink="">
      <cdr:nvSpPr>
        <cdr:cNvPr id="2" name="TextBox 1"/>
        <cdr:cNvSpPr txBox="1"/>
      </cdr:nvSpPr>
      <cdr:spPr>
        <a:xfrm xmlns:a="http://schemas.openxmlformats.org/drawingml/2006/main">
          <a:off x="1143000" y="146685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100"/>
            <a:t>전체사건</a:t>
          </a:r>
          <a:endParaRPr lang="en-US" altLang="ko-KR" sz="1100"/>
        </a:p>
        <a:p xmlns:a="http://schemas.openxmlformats.org/drawingml/2006/main">
          <a:pPr algn="ctr"/>
          <a:r>
            <a:rPr lang="en-US" altLang="ko-KR" sz="1100"/>
            <a:t>16,023,852</a:t>
          </a:r>
        </a:p>
        <a:p xmlns:a="http://schemas.openxmlformats.org/drawingml/2006/main">
          <a:pPr algn="ctr"/>
          <a:r>
            <a:rPr lang="en-US" altLang="ko-KR" sz="1100"/>
            <a:t>(100.0%)</a:t>
          </a:r>
          <a:endParaRPr lang="ko-KR" altLang="en-US"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1</xdr:row>
      <xdr:rowOff>57150</xdr:rowOff>
    </xdr:from>
    <xdr:to>
      <xdr:col>4</xdr:col>
      <xdr:colOff>504825</xdr:colOff>
      <xdr:row>15</xdr:row>
      <xdr:rowOff>57151</xdr:rowOff>
    </xdr:to>
    <xdr:graphicFrame macro="">
      <xdr:nvGraphicFramePr>
        <xdr:cNvPr id="13" name="차트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190500</xdr:rowOff>
    </xdr:from>
    <xdr:to>
      <xdr:col>9</xdr:col>
      <xdr:colOff>647700</xdr:colOff>
      <xdr:row>35</xdr:row>
      <xdr:rowOff>142875</xdr:rowOff>
    </xdr:to>
    <xdr:grpSp>
      <xdr:nvGrpSpPr>
        <xdr:cNvPr id="38" name="그룹 37"/>
        <xdr:cNvGrpSpPr/>
      </xdr:nvGrpSpPr>
      <xdr:grpSpPr>
        <a:xfrm>
          <a:off x="0" y="4829175"/>
          <a:ext cx="6819900" cy="3724275"/>
          <a:chOff x="200025" y="4695825"/>
          <a:chExt cx="6819900" cy="3724275"/>
        </a:xfrm>
      </xdr:grpSpPr>
      <xdr:graphicFrame macro="">
        <xdr:nvGraphicFramePr>
          <xdr:cNvPr id="39" name="차트 7"/>
          <xdr:cNvGraphicFramePr>
            <a:graphicFrameLocks/>
          </xdr:cNvGraphicFramePr>
        </xdr:nvGraphicFramePr>
        <xdr:xfrm>
          <a:off x="200025" y="4695825"/>
          <a:ext cx="6638925" cy="372427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0" name="TextBox 39"/>
          <xdr:cNvSpPr txBox="1"/>
        </xdr:nvSpPr>
        <xdr:spPr>
          <a:xfrm>
            <a:off x="6248400" y="6257925"/>
            <a:ext cx="7239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900">
                <a:solidFill>
                  <a:schemeClr val="tx2"/>
                </a:solidFill>
              </a:rPr>
              <a:t>전체사건</a:t>
            </a:r>
          </a:p>
        </xdr:txBody>
      </xdr:sp>
      <xdr:sp macro="" textlink="">
        <xdr:nvSpPr>
          <xdr:cNvPr id="41" name="TextBox 40"/>
          <xdr:cNvSpPr txBox="1"/>
        </xdr:nvSpPr>
        <xdr:spPr>
          <a:xfrm>
            <a:off x="6219825" y="6657975"/>
            <a:ext cx="8001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rtl="0">
              <a:defRPr sz="1000"/>
            </a:pPr>
            <a:r>
              <a:rPr lang="ko-KR" altLang="en-US" sz="900" b="0" i="0" u="none" strike="noStrike" baseline="0">
                <a:solidFill>
                  <a:srgbClr val="800080"/>
                </a:solidFill>
                <a:latin typeface="맑은 고딕"/>
                <a:ea typeface="맑은 고딕"/>
              </a:rPr>
              <a:t>비송사건</a:t>
            </a:r>
          </a:p>
        </xdr:txBody>
      </xdr:sp>
      <xdr:sp macro="" textlink="">
        <xdr:nvSpPr>
          <xdr:cNvPr id="42" name="TextBox 41"/>
          <xdr:cNvSpPr txBox="1"/>
        </xdr:nvSpPr>
        <xdr:spPr>
          <a:xfrm>
            <a:off x="6057900" y="7153275"/>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ko-KR" altLang="en-US" sz="900" b="1">
                <a:solidFill>
                  <a:schemeClr val="accent3"/>
                </a:solidFill>
              </a:rPr>
              <a:t>본안외사건</a:t>
            </a:r>
          </a:p>
        </xdr:txBody>
      </xdr:sp>
      <xdr:sp macro="" textlink="">
        <xdr:nvSpPr>
          <xdr:cNvPr id="43" name="TextBox 42"/>
          <xdr:cNvSpPr txBox="1"/>
        </xdr:nvSpPr>
        <xdr:spPr>
          <a:xfrm>
            <a:off x="5962650" y="7648575"/>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ko-KR" altLang="en-US" sz="900" b="1">
                <a:solidFill>
                  <a:schemeClr val="accent2"/>
                </a:solidFill>
              </a:rPr>
              <a:t>본안사건</a:t>
            </a:r>
          </a:p>
        </xdr:txBody>
      </xdr:sp>
    </xdr:grpSp>
    <xdr:clientData/>
  </xdr:twoCellAnchor>
  <xdr:twoCellAnchor>
    <xdr:from>
      <xdr:col>4</xdr:col>
      <xdr:colOff>504826</xdr:colOff>
      <xdr:row>1</xdr:row>
      <xdr:rowOff>57150</xdr:rowOff>
    </xdr:from>
    <xdr:to>
      <xdr:col>9</xdr:col>
      <xdr:colOff>561976</xdr:colOff>
      <xdr:row>15</xdr:row>
      <xdr:rowOff>57600</xdr:rowOff>
    </xdr:to>
    <xdr:graphicFrame macro="">
      <xdr:nvGraphicFramePr>
        <xdr:cNvPr id="2" name="차트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571500</xdr:colOff>
      <xdr:row>9</xdr:row>
      <xdr:rowOff>161925</xdr:rowOff>
    </xdr:from>
    <xdr:ext cx="703782" cy="627095"/>
    <xdr:sp macro="" textlink="">
      <xdr:nvSpPr>
        <xdr:cNvPr id="4" name="TextBox 3"/>
        <xdr:cNvSpPr txBox="1"/>
      </xdr:nvSpPr>
      <xdr:spPr>
        <a:xfrm>
          <a:off x="1257300" y="2800350"/>
          <a:ext cx="703782" cy="6270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1000"/>
            <a:t>소송사건</a:t>
          </a:r>
          <a:endParaRPr lang="en-US" altLang="ko-KR" sz="1000"/>
        </a:p>
        <a:p>
          <a:pPr algn="ctr"/>
          <a:r>
            <a:rPr lang="en-US" altLang="ko-KR" sz="1000"/>
            <a:t>6,167,312</a:t>
          </a:r>
        </a:p>
        <a:p>
          <a:pPr algn="ctr"/>
          <a:r>
            <a:rPr lang="en-US" altLang="ko-KR" sz="1000"/>
            <a:t>(100.0%)</a:t>
          </a:r>
          <a:endParaRPr lang="ko-KR" altLang="en-US" sz="1000"/>
        </a:p>
      </xdr:txBody>
    </xdr:sp>
    <xdr:clientData/>
  </xdr:oneCellAnchor>
  <xdr:oneCellAnchor>
    <xdr:from>
      <xdr:col>0</xdr:col>
      <xdr:colOff>523875</xdr:colOff>
      <xdr:row>32</xdr:row>
      <xdr:rowOff>152400</xdr:rowOff>
    </xdr:from>
    <xdr:ext cx="411266" cy="336246"/>
    <xdr:sp macro="" textlink="">
      <xdr:nvSpPr>
        <xdr:cNvPr id="5" name="TextBox 4"/>
        <xdr:cNvSpPr txBox="1"/>
      </xdr:nvSpPr>
      <xdr:spPr>
        <a:xfrm>
          <a:off x="523875" y="7934325"/>
          <a:ext cx="411266" cy="33624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건</a:t>
          </a:r>
          <a:r>
            <a:rPr lang="en-US" altLang="ko-KR" sz="1100"/>
            <a:t>)</a:t>
          </a:r>
          <a:endParaRPr lang="ko-KR" altLang="en-US" sz="1100"/>
        </a:p>
      </xdr:txBody>
    </xdr:sp>
    <xdr:clientData/>
  </xdr:oneCellAnchor>
  <xdr:oneCellAnchor>
    <xdr:from>
      <xdr:col>1</xdr:col>
      <xdr:colOff>85725</xdr:colOff>
      <xdr:row>33</xdr:row>
      <xdr:rowOff>200025</xdr:rowOff>
    </xdr:from>
    <xdr:ext cx="411266" cy="336246"/>
    <xdr:sp macro="" textlink="">
      <xdr:nvSpPr>
        <xdr:cNvPr id="6" name="TextBox 5"/>
        <xdr:cNvSpPr txBox="1"/>
      </xdr:nvSpPr>
      <xdr:spPr>
        <a:xfrm>
          <a:off x="771525" y="8191500"/>
          <a:ext cx="411266"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년</a:t>
          </a:r>
          <a:r>
            <a:rPr lang="en-US" altLang="ko-KR" sz="1100"/>
            <a:t>)</a:t>
          </a:r>
          <a:endParaRPr lang="ko-KR" altLang="en-US" sz="1100"/>
        </a:p>
      </xdr:txBody>
    </xdr:sp>
    <xdr:clientData/>
  </xdr:oneCellAnchor>
</xdr:wsDr>
</file>

<file path=xl/drawings/drawing5.xml><?xml version="1.0" encoding="utf-8"?>
<c:userShapes xmlns:c="http://schemas.openxmlformats.org/drawingml/2006/chart">
  <cdr:relSizeAnchor xmlns:cdr="http://schemas.openxmlformats.org/drawingml/2006/chartDrawing">
    <cdr:from>
      <cdr:x>0.36827</cdr:x>
      <cdr:y>0.50755</cdr:y>
    </cdr:from>
    <cdr:to>
      <cdr:x>0.64023</cdr:x>
      <cdr:y>0.79758</cdr:y>
    </cdr:to>
    <cdr:sp macro="" textlink="">
      <cdr:nvSpPr>
        <cdr:cNvPr id="2" name="TextBox 1"/>
        <cdr:cNvSpPr txBox="1"/>
      </cdr:nvSpPr>
      <cdr:spPr>
        <a:xfrm xmlns:a="http://schemas.openxmlformats.org/drawingml/2006/main">
          <a:off x="1238250" y="160020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ko-KR" altLang="en-US" sz="1000"/>
            <a:t>비송사건</a:t>
          </a:r>
          <a:endParaRPr lang="en-US" altLang="ko-KR" sz="1000"/>
        </a:p>
        <a:p xmlns:a="http://schemas.openxmlformats.org/drawingml/2006/main">
          <a:pPr algn="ctr"/>
          <a:r>
            <a:rPr lang="en-US" altLang="ko-KR" sz="1000"/>
            <a:t>9,856,540</a:t>
          </a:r>
        </a:p>
        <a:p xmlns:a="http://schemas.openxmlformats.org/drawingml/2006/main">
          <a:pPr algn="ctr"/>
          <a:r>
            <a:rPr lang="en-US" altLang="ko-KR" sz="1000"/>
            <a:t>(100.0%)</a:t>
          </a:r>
          <a:endParaRPr lang="ko-KR" altLang="en-US" sz="10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9525</xdr:colOff>
      <xdr:row>5</xdr:row>
      <xdr:rowOff>0</xdr:rowOff>
    </xdr:from>
    <xdr:to>
      <xdr:col>1</xdr:col>
      <xdr:colOff>19050</xdr:colOff>
      <xdr:row>8</xdr:row>
      <xdr:rowOff>0</xdr:rowOff>
    </xdr:to>
    <xdr:sp macro="" textlink="">
      <xdr:nvSpPr>
        <xdr:cNvPr id="3792026"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0</xdr:col>
      <xdr:colOff>9525</xdr:colOff>
      <xdr:row>22</xdr:row>
      <xdr:rowOff>0</xdr:rowOff>
    </xdr:from>
    <xdr:to>
      <xdr:col>1</xdr:col>
      <xdr:colOff>9525</xdr:colOff>
      <xdr:row>24</xdr:row>
      <xdr:rowOff>219075</xdr:rowOff>
    </xdr:to>
    <xdr:sp macro="" textlink="">
      <xdr:nvSpPr>
        <xdr:cNvPr id="3792027" name="Line 2"/>
        <xdr:cNvSpPr>
          <a:spLocks noChangeShapeType="1"/>
        </xdr:cNvSpPr>
      </xdr:nvSpPr>
      <xdr:spPr bwMode="auto">
        <a:xfrm>
          <a:off x="9525" y="5381625"/>
          <a:ext cx="657225" cy="676275"/>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28"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29"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0"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0</xdr:col>
      <xdr:colOff>9525</xdr:colOff>
      <xdr:row>5</xdr:row>
      <xdr:rowOff>0</xdr:rowOff>
    </xdr:from>
    <xdr:to>
      <xdr:col>1</xdr:col>
      <xdr:colOff>19050</xdr:colOff>
      <xdr:row>8</xdr:row>
      <xdr:rowOff>0</xdr:rowOff>
    </xdr:to>
    <xdr:sp macro="" textlink="">
      <xdr:nvSpPr>
        <xdr:cNvPr id="3792031"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32"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33"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4"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0</xdr:col>
      <xdr:colOff>9525</xdr:colOff>
      <xdr:row>5</xdr:row>
      <xdr:rowOff>0</xdr:rowOff>
    </xdr:from>
    <xdr:to>
      <xdr:col>1</xdr:col>
      <xdr:colOff>19050</xdr:colOff>
      <xdr:row>8</xdr:row>
      <xdr:rowOff>0</xdr:rowOff>
    </xdr:to>
    <xdr:sp macro="" textlink="">
      <xdr:nvSpPr>
        <xdr:cNvPr id="3792035" name="Line 1"/>
        <xdr:cNvSpPr>
          <a:spLocks noChangeShapeType="1"/>
        </xdr:cNvSpPr>
      </xdr:nvSpPr>
      <xdr:spPr bwMode="auto">
        <a:xfrm>
          <a:off x="9525" y="1133475"/>
          <a:ext cx="666750" cy="742950"/>
        </a:xfrm>
        <a:prstGeom prst="line">
          <a:avLst/>
        </a:prstGeom>
        <a:noFill/>
        <a:ln w="9525">
          <a:solidFill>
            <a:srgbClr val="000000"/>
          </a:solidFill>
          <a:round/>
          <a:headEnd/>
          <a:tailEnd/>
        </a:ln>
      </xdr:spPr>
    </xdr:sp>
    <xdr:clientData/>
  </xdr:twoCellAnchor>
  <xdr:twoCellAnchor>
    <xdr:from>
      <xdr:col>1</xdr:col>
      <xdr:colOff>142875</xdr:colOff>
      <xdr:row>24</xdr:row>
      <xdr:rowOff>0</xdr:rowOff>
    </xdr:from>
    <xdr:to>
      <xdr:col>1</xdr:col>
      <xdr:colOff>723900</xdr:colOff>
      <xdr:row>24</xdr:row>
      <xdr:rowOff>0</xdr:rowOff>
    </xdr:to>
    <xdr:sp macro="" textlink="">
      <xdr:nvSpPr>
        <xdr:cNvPr id="3792037" name="Line 3"/>
        <xdr:cNvSpPr>
          <a:spLocks noChangeShapeType="1"/>
        </xdr:cNvSpPr>
      </xdr:nvSpPr>
      <xdr:spPr bwMode="auto">
        <a:xfrm flipV="1">
          <a:off x="800100" y="5838825"/>
          <a:ext cx="5810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581025</xdr:colOff>
      <xdr:row>23</xdr:row>
      <xdr:rowOff>219075</xdr:rowOff>
    </xdr:to>
    <xdr:sp macro="" textlink="">
      <xdr:nvSpPr>
        <xdr:cNvPr id="3792038" name="Line 4"/>
        <xdr:cNvSpPr>
          <a:spLocks noChangeShapeType="1"/>
        </xdr:cNvSpPr>
      </xdr:nvSpPr>
      <xdr:spPr bwMode="auto">
        <a:xfrm flipV="1">
          <a:off x="1476375" y="5829300"/>
          <a:ext cx="523875"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39"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1</xdr:col>
      <xdr:colOff>104775</xdr:colOff>
      <xdr:row>24</xdr:row>
      <xdr:rowOff>0</xdr:rowOff>
    </xdr:from>
    <xdr:to>
      <xdr:col>1</xdr:col>
      <xdr:colOff>723900</xdr:colOff>
      <xdr:row>24</xdr:row>
      <xdr:rowOff>0</xdr:rowOff>
    </xdr:to>
    <xdr:sp macro="" textlink="">
      <xdr:nvSpPr>
        <xdr:cNvPr id="3792040" name="Line 3"/>
        <xdr:cNvSpPr>
          <a:spLocks noChangeShapeType="1"/>
        </xdr:cNvSpPr>
      </xdr:nvSpPr>
      <xdr:spPr bwMode="auto">
        <a:xfrm flipV="1">
          <a:off x="762000" y="5838825"/>
          <a:ext cx="619125" cy="0"/>
        </a:xfrm>
        <a:prstGeom prst="line">
          <a:avLst/>
        </a:prstGeom>
        <a:noFill/>
        <a:ln w="9525">
          <a:solidFill>
            <a:srgbClr val="D9D9D9"/>
          </a:solidFill>
          <a:round/>
          <a:headEnd/>
          <a:tailEnd/>
        </a:ln>
      </xdr:spPr>
    </xdr:sp>
    <xdr:clientData/>
  </xdr:twoCellAnchor>
  <xdr:twoCellAnchor>
    <xdr:from>
      <xdr:col>2</xdr:col>
      <xdr:colOff>57150</xdr:colOff>
      <xdr:row>23</xdr:row>
      <xdr:rowOff>219075</xdr:rowOff>
    </xdr:from>
    <xdr:to>
      <xdr:col>2</xdr:col>
      <xdr:colOff>628650</xdr:colOff>
      <xdr:row>23</xdr:row>
      <xdr:rowOff>219075</xdr:rowOff>
    </xdr:to>
    <xdr:sp macro="" textlink="">
      <xdr:nvSpPr>
        <xdr:cNvPr id="3792041" name="Line 4"/>
        <xdr:cNvSpPr>
          <a:spLocks noChangeShapeType="1"/>
        </xdr:cNvSpPr>
      </xdr:nvSpPr>
      <xdr:spPr bwMode="auto">
        <a:xfrm flipV="1">
          <a:off x="1476375" y="5829300"/>
          <a:ext cx="571500" cy="0"/>
        </a:xfrm>
        <a:prstGeom prst="line">
          <a:avLst/>
        </a:prstGeom>
        <a:noFill/>
        <a:ln w="9525">
          <a:solidFill>
            <a:srgbClr val="FFFFFF"/>
          </a:solidFill>
          <a:round/>
          <a:headEnd/>
          <a:tailEnd/>
        </a:ln>
      </xdr:spPr>
    </xdr:sp>
    <xdr:clientData/>
  </xdr:twoCellAnchor>
  <xdr:twoCellAnchor>
    <xdr:from>
      <xdr:col>8</xdr:col>
      <xdr:colOff>57150</xdr:colOff>
      <xdr:row>24</xdr:row>
      <xdr:rowOff>0</xdr:rowOff>
    </xdr:from>
    <xdr:to>
      <xdr:col>8</xdr:col>
      <xdr:colOff>561975</xdr:colOff>
      <xdr:row>24</xdr:row>
      <xdr:rowOff>0</xdr:rowOff>
    </xdr:to>
    <xdr:sp macro="" textlink="">
      <xdr:nvSpPr>
        <xdr:cNvPr id="3792042" name="Line 5"/>
        <xdr:cNvSpPr>
          <a:spLocks noChangeShapeType="1"/>
        </xdr:cNvSpPr>
      </xdr:nvSpPr>
      <xdr:spPr bwMode="auto">
        <a:xfrm>
          <a:off x="5638800" y="5838825"/>
          <a:ext cx="504825" cy="0"/>
        </a:xfrm>
        <a:prstGeom prst="line">
          <a:avLst/>
        </a:prstGeom>
        <a:noFill/>
        <a:ln w="9525">
          <a:solidFill>
            <a:srgbClr val="FFFFFF"/>
          </a:solidFill>
          <a:round/>
          <a:headEnd/>
          <a:tailEnd/>
        </a:ln>
      </xdr:spPr>
    </xdr:sp>
    <xdr:clientData/>
  </xdr:twoCellAnchor>
  <xdr:twoCellAnchor>
    <xdr:from>
      <xdr:col>7</xdr:col>
      <xdr:colOff>85725</xdr:colOff>
      <xdr:row>24</xdr:row>
      <xdr:rowOff>0</xdr:rowOff>
    </xdr:from>
    <xdr:to>
      <xdr:col>7</xdr:col>
      <xdr:colOff>666750</xdr:colOff>
      <xdr:row>24</xdr:row>
      <xdr:rowOff>0</xdr:rowOff>
    </xdr:to>
    <xdr:sp macro="" textlink="">
      <xdr:nvSpPr>
        <xdr:cNvPr id="24" name="Line 5"/>
        <xdr:cNvSpPr>
          <a:spLocks noChangeShapeType="1"/>
        </xdr:cNvSpPr>
      </xdr:nvSpPr>
      <xdr:spPr bwMode="auto">
        <a:xfrm>
          <a:off x="4953000" y="5838825"/>
          <a:ext cx="581025" cy="0"/>
        </a:xfrm>
        <a:prstGeom prst="line">
          <a:avLst/>
        </a:prstGeom>
        <a:noFill/>
        <a:ln w="9525">
          <a:solidFill>
            <a:srgbClr val="FFFFFF"/>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390525</xdr:colOff>
      <xdr:row>22</xdr:row>
      <xdr:rowOff>28575</xdr:rowOff>
    </xdr:to>
    <xdr:graphicFrame macro="">
      <xdr:nvGraphicFramePr>
        <xdr:cNvPr id="3824659"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25</xdr:row>
      <xdr:rowOff>0</xdr:rowOff>
    </xdr:from>
    <xdr:to>
      <xdr:col>1</xdr:col>
      <xdr:colOff>19050</xdr:colOff>
      <xdr:row>27</xdr:row>
      <xdr:rowOff>0</xdr:rowOff>
    </xdr:to>
    <xdr:sp macro="" textlink="">
      <xdr:nvSpPr>
        <xdr:cNvPr id="3824660"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1"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2"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twoCellAnchor>
    <xdr:from>
      <xdr:col>0</xdr:col>
      <xdr:colOff>19050</xdr:colOff>
      <xdr:row>25</xdr:row>
      <xdr:rowOff>0</xdr:rowOff>
    </xdr:from>
    <xdr:to>
      <xdr:col>1</xdr:col>
      <xdr:colOff>19050</xdr:colOff>
      <xdr:row>27</xdr:row>
      <xdr:rowOff>0</xdr:rowOff>
    </xdr:to>
    <xdr:sp macro="" textlink="">
      <xdr:nvSpPr>
        <xdr:cNvPr id="3824663" name="Line 3"/>
        <xdr:cNvSpPr>
          <a:spLocks noChangeShapeType="1"/>
        </xdr:cNvSpPr>
      </xdr:nvSpPr>
      <xdr:spPr bwMode="auto">
        <a:xfrm>
          <a:off x="19050" y="6076950"/>
          <a:ext cx="1276350" cy="495300"/>
        </a:xfrm>
        <a:prstGeom prst="line">
          <a:avLst/>
        </a:prstGeom>
        <a:noFill/>
        <a:ln w="9525">
          <a:solidFill>
            <a:srgbClr val="000000"/>
          </a:solidFill>
          <a:round/>
          <a:headEnd/>
          <a:tailEnd/>
        </a:ln>
      </xdr:spPr>
    </xdr:sp>
    <xdr:clientData/>
  </xdr:twoCellAnchor>
  <xdr:oneCellAnchor>
    <xdr:from>
      <xdr:col>0</xdr:col>
      <xdr:colOff>495300</xdr:colOff>
      <xdr:row>19</xdr:row>
      <xdr:rowOff>95250</xdr:rowOff>
    </xdr:from>
    <xdr:ext cx="411266" cy="336246"/>
    <xdr:sp macro="" textlink="">
      <xdr:nvSpPr>
        <xdr:cNvPr id="2" name="TextBox 1"/>
        <xdr:cNvSpPr txBox="1"/>
      </xdr:nvSpPr>
      <xdr:spPr>
        <a:xfrm>
          <a:off x="495300" y="4076700"/>
          <a:ext cx="411266"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a:t>
          </a:r>
          <a:r>
            <a:rPr lang="ko-KR" altLang="en-US" sz="1100"/>
            <a:t>년</a:t>
          </a:r>
          <a:r>
            <a:rPr lang="en-US" altLang="ko-KR" sz="1100"/>
            <a:t>)</a:t>
          </a:r>
          <a:endParaRPr lang="ko-KR" altLang="en-US" sz="1100"/>
        </a:p>
      </xdr:txBody>
    </xdr:sp>
    <xdr:clientData/>
  </xdr:oneCellAnchor>
  <xdr:oneCellAnchor>
    <xdr:from>
      <xdr:col>0</xdr:col>
      <xdr:colOff>9525</xdr:colOff>
      <xdr:row>18</xdr:row>
      <xdr:rowOff>104775</xdr:rowOff>
    </xdr:from>
    <xdr:ext cx="571500" cy="336246"/>
    <xdr:sp macro="" textlink="">
      <xdr:nvSpPr>
        <xdr:cNvPr id="3" name="TextBox 2"/>
        <xdr:cNvSpPr txBox="1"/>
      </xdr:nvSpPr>
      <xdr:spPr>
        <a:xfrm>
          <a:off x="9525" y="3876675"/>
          <a:ext cx="571500" cy="33624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100"/>
            <a:t>(</a:t>
          </a:r>
          <a:r>
            <a:rPr lang="ko-KR" altLang="en-US" sz="1100"/>
            <a:t>지수</a:t>
          </a:r>
          <a:r>
            <a:rPr lang="en-US" altLang="ko-KR" sz="1100"/>
            <a:t>)</a:t>
          </a:r>
          <a:endParaRPr lang="ko-KR" altLang="en-US" sz="1100"/>
        </a:p>
      </xdr:txBody>
    </xdr:sp>
    <xdr:clientData/>
  </xdr:oneCellAnchor>
  <xdr:oneCellAnchor>
    <xdr:from>
      <xdr:col>9</xdr:col>
      <xdr:colOff>457200</xdr:colOff>
      <xdr:row>9</xdr:row>
      <xdr:rowOff>19050</xdr:rowOff>
    </xdr:from>
    <xdr:ext cx="436402" cy="259045"/>
    <xdr:sp macro="" textlink="">
      <xdr:nvSpPr>
        <xdr:cNvPr id="4" name="TextBox 3"/>
        <xdr:cNvSpPr txBox="1"/>
      </xdr:nvSpPr>
      <xdr:spPr>
        <a:xfrm>
          <a:off x="6867525" y="1905000"/>
          <a:ext cx="436402"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000" b="1">
              <a:solidFill>
                <a:schemeClr val="tx2">
                  <a:lumMod val="75000"/>
                </a:schemeClr>
              </a:solidFill>
              <a:latin typeface="돋움" panose="020B0600000101010101" pitchFamily="50" charset="-127"/>
              <a:ea typeface="돋움" panose="020B0600000101010101" pitchFamily="50" charset="-127"/>
            </a:rPr>
            <a:t>인구</a:t>
          </a:r>
        </a:p>
      </xdr:txBody>
    </xdr:sp>
    <xdr:clientData/>
  </xdr:oneCellAnchor>
  <xdr:oneCellAnchor>
    <xdr:from>
      <xdr:col>9</xdr:col>
      <xdr:colOff>400050</xdr:colOff>
      <xdr:row>12</xdr:row>
      <xdr:rowOff>200025</xdr:rowOff>
    </xdr:from>
    <xdr:ext cx="688137" cy="259045"/>
    <xdr:sp macro="" textlink="">
      <xdr:nvSpPr>
        <xdr:cNvPr id="10" name="TextBox 9"/>
        <xdr:cNvSpPr txBox="1"/>
      </xdr:nvSpPr>
      <xdr:spPr>
        <a:xfrm>
          <a:off x="6810375" y="2714625"/>
          <a:ext cx="688137"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000" b="1">
              <a:solidFill>
                <a:srgbClr val="FF00FF"/>
              </a:solidFill>
              <a:latin typeface="돋움" panose="020B0600000101010101" pitchFamily="50" charset="-127"/>
              <a:ea typeface="돋움" panose="020B0600000101010101" pitchFamily="50" charset="-127"/>
            </a:rPr>
            <a:t>전체사건</a:t>
          </a:r>
          <a:endParaRPr lang="ko-KR" altLang="en-US" sz="800" b="1">
            <a:solidFill>
              <a:srgbClr val="FF00FF"/>
            </a:solidFill>
            <a:latin typeface="돋움" panose="020B0600000101010101" pitchFamily="50" charset="-127"/>
            <a:ea typeface="돋움" panose="020B0600000101010101" pitchFamily="50" charset="-127"/>
          </a:endParaRPr>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0</xdr:colOff>
      <xdr:row>23</xdr:row>
      <xdr:rowOff>0</xdr:rowOff>
    </xdr:from>
    <xdr:to>
      <xdr:col>6</xdr:col>
      <xdr:colOff>440530</xdr:colOff>
      <xdr:row>41</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576263</xdr:colOff>
      <xdr:row>22</xdr:row>
      <xdr:rowOff>200025</xdr:rowOff>
    </xdr:from>
    <xdr:to>
      <xdr:col>13</xdr:col>
      <xdr:colOff>600076</xdr:colOff>
      <xdr:row>40</xdr:row>
      <xdr:rowOff>200025</xdr:rowOff>
    </xdr:to>
    <xdr:graphicFrame macro="">
      <xdr:nvGraphicFramePr>
        <xdr:cNvPr id="3" name="차트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0</xdr:rowOff>
    </xdr:from>
    <xdr:to>
      <xdr:col>6</xdr:col>
      <xdr:colOff>464344</xdr:colOff>
      <xdr:row>21</xdr:row>
      <xdr:rowOff>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600075</xdr:colOff>
      <xdr:row>3</xdr:row>
      <xdr:rowOff>4762</xdr:rowOff>
    </xdr:from>
    <xdr:to>
      <xdr:col>13</xdr:col>
      <xdr:colOff>600076</xdr:colOff>
      <xdr:row>21</xdr:row>
      <xdr:rowOff>4762</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0.29085</cdr:x>
      <cdr:y>0.92929</cdr:y>
    </cdr:from>
    <cdr:to>
      <cdr:x>0.38959</cdr:x>
      <cdr:y>1</cdr:y>
    </cdr:to>
    <cdr:sp macro="" textlink="">
      <cdr:nvSpPr>
        <cdr:cNvPr id="2" name="TextBox 1"/>
        <cdr:cNvSpPr txBox="1"/>
      </cdr:nvSpPr>
      <cdr:spPr>
        <a:xfrm xmlns:a="http://schemas.openxmlformats.org/drawingml/2006/main">
          <a:off x="1374775" y="3505189"/>
          <a:ext cx="466720"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0.xml><?xml version="1.0" encoding="utf-8"?>
<c:userShapes xmlns:c="http://schemas.openxmlformats.org/drawingml/2006/chart">
  <cdr:relSizeAnchor xmlns:cdr="http://schemas.openxmlformats.org/drawingml/2006/chartDrawing">
    <cdr:from>
      <cdr:x>0.26414</cdr:x>
      <cdr:y>0.92171</cdr:y>
    </cdr:from>
    <cdr:to>
      <cdr:x>0.35703</cdr:x>
      <cdr:y>0.99242</cdr:y>
    </cdr:to>
    <cdr:sp macro="" textlink="">
      <cdr:nvSpPr>
        <cdr:cNvPr id="2" name="TextBox 1"/>
        <cdr:cNvSpPr txBox="1"/>
      </cdr:nvSpPr>
      <cdr:spPr>
        <a:xfrm xmlns:a="http://schemas.openxmlformats.org/drawingml/2006/main">
          <a:off x="1327169" y="3476614"/>
          <a:ext cx="466720"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1.xml><?xml version="1.0" encoding="utf-8"?>
<c:userShapes xmlns:c="http://schemas.openxmlformats.org/drawingml/2006/chart">
  <cdr:relSizeAnchor xmlns:cdr="http://schemas.openxmlformats.org/drawingml/2006/chartDrawing">
    <cdr:from>
      <cdr:x>0.28338</cdr:x>
      <cdr:y>0.92929</cdr:y>
    </cdr:from>
    <cdr:to>
      <cdr:x>0.38162</cdr:x>
      <cdr:y>1</cdr:y>
    </cdr:to>
    <cdr:sp macro="" textlink="">
      <cdr:nvSpPr>
        <cdr:cNvPr id="2" name="TextBox 1"/>
        <cdr:cNvSpPr txBox="1"/>
      </cdr:nvSpPr>
      <cdr:spPr>
        <a:xfrm xmlns:a="http://schemas.openxmlformats.org/drawingml/2006/main">
          <a:off x="1346200" y="3505189"/>
          <a:ext cx="466720"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2.xml><?xml version="1.0" encoding="utf-8"?>
<c:userShapes xmlns:c="http://schemas.openxmlformats.org/drawingml/2006/chart">
  <cdr:relSizeAnchor xmlns:cdr="http://schemas.openxmlformats.org/drawingml/2006/chartDrawing">
    <cdr:from>
      <cdr:x>0.27111</cdr:x>
      <cdr:y>0.92929</cdr:y>
    </cdr:from>
    <cdr:to>
      <cdr:x>0.36444</cdr:x>
      <cdr:y>1</cdr:y>
    </cdr:to>
    <cdr:sp macro="" textlink="">
      <cdr:nvSpPr>
        <cdr:cNvPr id="2" name="TextBox 1"/>
        <cdr:cNvSpPr txBox="1"/>
      </cdr:nvSpPr>
      <cdr:spPr>
        <a:xfrm xmlns:a="http://schemas.openxmlformats.org/drawingml/2006/main">
          <a:off x="1355720" y="3505189"/>
          <a:ext cx="466708" cy="266711"/>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건수</a:t>
          </a:r>
          <a:r>
            <a:rPr lang="en-US" altLang="ko-KR" sz="800"/>
            <a:t>)</a:t>
          </a:r>
          <a:endParaRPr lang="ko-KR" altLang="en-US" sz="800"/>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23</xdr:row>
      <xdr:rowOff>0</xdr:rowOff>
    </xdr:from>
    <xdr:to>
      <xdr:col>6</xdr:col>
      <xdr:colOff>213750</xdr:colOff>
      <xdr:row>41</xdr:row>
      <xdr:rowOff>188100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23</xdr:row>
      <xdr:rowOff>0</xdr:rowOff>
    </xdr:from>
    <xdr:to>
      <xdr:col>13</xdr:col>
      <xdr:colOff>213750</xdr:colOff>
      <xdr:row>41</xdr:row>
      <xdr:rowOff>188100</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2</xdr:row>
      <xdr:rowOff>0</xdr:rowOff>
    </xdr:from>
    <xdr:to>
      <xdr:col>13</xdr:col>
      <xdr:colOff>251850</xdr:colOff>
      <xdr:row>20</xdr:row>
      <xdr:rowOff>188100</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409575</xdr:colOff>
      <xdr:row>19</xdr:row>
      <xdr:rowOff>95250</xdr:rowOff>
    </xdr:from>
    <xdr:to>
      <xdr:col>2</xdr:col>
      <xdr:colOff>247650</xdr:colOff>
      <xdr:row>20</xdr:row>
      <xdr:rowOff>133350</xdr:rowOff>
    </xdr:to>
    <xdr:sp macro="" textlink="">
      <xdr:nvSpPr>
        <xdr:cNvPr id="6" name="TextBox 5"/>
        <xdr:cNvSpPr txBox="1"/>
      </xdr:nvSpPr>
      <xdr:spPr>
        <a:xfrm>
          <a:off x="1019175" y="3352800"/>
          <a:ext cx="447675" cy="2095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인원수</a:t>
          </a:r>
          <a:r>
            <a:rPr lang="en-US" altLang="ko-KR" sz="800"/>
            <a:t>)</a:t>
          </a:r>
          <a:endParaRPr lang="ko-KR" altLang="en-US" sz="800"/>
        </a:p>
      </xdr:txBody>
    </xdr:sp>
    <xdr:clientData/>
  </xdr:twoCellAnchor>
  <xdr:twoCellAnchor>
    <xdr:from>
      <xdr:col>8</xdr:col>
      <xdr:colOff>409575</xdr:colOff>
      <xdr:row>40</xdr:row>
      <xdr:rowOff>104775</xdr:rowOff>
    </xdr:from>
    <xdr:to>
      <xdr:col>9</xdr:col>
      <xdr:colOff>247650</xdr:colOff>
      <xdr:row>41</xdr:row>
      <xdr:rowOff>142875</xdr:rowOff>
    </xdr:to>
    <xdr:sp macro="" textlink="">
      <xdr:nvSpPr>
        <xdr:cNvPr id="7" name="TextBox 6"/>
        <xdr:cNvSpPr txBox="1"/>
      </xdr:nvSpPr>
      <xdr:spPr>
        <a:xfrm>
          <a:off x="5286375" y="6962775"/>
          <a:ext cx="447675" cy="2095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인원수</a:t>
          </a:r>
          <a:r>
            <a:rPr lang="en-US" altLang="ko-KR" sz="800"/>
            <a:t>)</a:t>
          </a:r>
          <a:endParaRPr lang="ko-KR" altLang="en-US" sz="800"/>
        </a:p>
      </xdr:txBody>
    </xdr:sp>
    <xdr:clientData/>
  </xdr:twoCellAnchor>
  <xdr:twoCellAnchor>
    <xdr:from>
      <xdr:col>1</xdr:col>
      <xdr:colOff>142875</xdr:colOff>
      <xdr:row>40</xdr:row>
      <xdr:rowOff>95250</xdr:rowOff>
    </xdr:from>
    <xdr:to>
      <xdr:col>1</xdr:col>
      <xdr:colOff>695325</xdr:colOff>
      <xdr:row>41</xdr:row>
      <xdr:rowOff>133350</xdr:rowOff>
    </xdr:to>
    <xdr:sp macro="" textlink="">
      <xdr:nvSpPr>
        <xdr:cNvPr id="8" name="TextBox 7"/>
        <xdr:cNvSpPr txBox="1"/>
      </xdr:nvSpPr>
      <xdr:spPr>
        <a:xfrm>
          <a:off x="752475" y="6953250"/>
          <a:ext cx="466725" cy="2095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a:t>(</a:t>
          </a:r>
          <a:r>
            <a:rPr lang="ko-KR" altLang="en-US" sz="800"/>
            <a:t>인원수</a:t>
          </a:r>
          <a:r>
            <a:rPr lang="en-US" altLang="ko-KR" sz="800"/>
            <a:t>)</a:t>
          </a:r>
          <a:endParaRPr lang="ko-KR" altLang="en-US" sz="800"/>
        </a:p>
      </xdr:txBody>
    </xdr:sp>
    <xdr:clientData/>
  </xdr:twoCellAnchor>
  <xdr:twoCellAnchor>
    <xdr:from>
      <xdr:col>0</xdr:col>
      <xdr:colOff>0</xdr:colOff>
      <xdr:row>2</xdr:row>
      <xdr:rowOff>0</xdr:rowOff>
    </xdr:from>
    <xdr:to>
      <xdr:col>6</xdr:col>
      <xdr:colOff>213750</xdr:colOff>
      <xdr:row>20</xdr:row>
      <xdr:rowOff>188100</xdr:rowOff>
    </xdr:to>
    <xdr:graphicFrame macro="">
      <xdr:nvGraphicFramePr>
        <xdr:cNvPr id="9" name="차트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0.25047</cdr:x>
      <cdr:y>0.92444</cdr:y>
    </cdr:from>
    <cdr:to>
      <cdr:x>0.37324</cdr:x>
      <cdr:y>0.98698</cdr:y>
    </cdr:to>
    <cdr:sp macro="" textlink="">
      <cdr:nvSpPr>
        <cdr:cNvPr id="2" name="TextBox 5"/>
        <cdr:cNvSpPr txBox="1"/>
      </cdr:nvSpPr>
      <cdr:spPr>
        <a:xfrm xmlns:a="http://schemas.openxmlformats.org/drawingml/2006/main">
          <a:off x="1127125" y="3660775"/>
          <a:ext cx="552450" cy="247650"/>
        </a:xfrm>
        <a:prstGeom xmlns:a="http://schemas.openxmlformats.org/drawingml/2006/main" prst="rect">
          <a:avLst/>
        </a:prstGeom>
        <a:solidFill xmlns:a="http://schemas.openxmlformats.org/drawingml/2006/main">
          <a:schemeClr val="bg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altLang="ko-KR" sz="800"/>
            <a:t>(</a:t>
          </a:r>
          <a:r>
            <a:rPr lang="ko-KR" altLang="en-US" sz="800"/>
            <a:t>인원수</a:t>
          </a:r>
          <a:r>
            <a:rPr lang="en-US" altLang="ko-KR" sz="800"/>
            <a:t>)</a:t>
          </a:r>
          <a:endParaRPr lang="ko-KR" altLang="en-US" sz="800"/>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19050</xdr:colOff>
      <xdr:row>5</xdr:row>
      <xdr:rowOff>0</xdr:rowOff>
    </xdr:from>
    <xdr:to>
      <xdr:col>1</xdr:col>
      <xdr:colOff>19050</xdr:colOff>
      <xdr:row>7</xdr:row>
      <xdr:rowOff>0</xdr:rowOff>
    </xdr:to>
    <xdr:sp macro="" textlink="">
      <xdr:nvSpPr>
        <xdr:cNvPr id="2"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3"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4"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twoCellAnchor>
    <xdr:from>
      <xdr:col>0</xdr:col>
      <xdr:colOff>19050</xdr:colOff>
      <xdr:row>5</xdr:row>
      <xdr:rowOff>0</xdr:rowOff>
    </xdr:from>
    <xdr:to>
      <xdr:col>1</xdr:col>
      <xdr:colOff>19050</xdr:colOff>
      <xdr:row>7</xdr:row>
      <xdr:rowOff>0</xdr:rowOff>
    </xdr:to>
    <xdr:sp macro="" textlink="">
      <xdr:nvSpPr>
        <xdr:cNvPr id="5" name="Line 3"/>
        <xdr:cNvSpPr>
          <a:spLocks noChangeShapeType="1"/>
        </xdr:cNvSpPr>
      </xdr:nvSpPr>
      <xdr:spPr bwMode="auto">
        <a:xfrm>
          <a:off x="19050" y="5867400"/>
          <a:ext cx="1276350" cy="4953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4"/>
  <sheetViews>
    <sheetView showGridLines="0" tabSelected="1" zoomScaleNormal="100" zoomScaleSheetLayoutView="100" workbookViewId="0">
      <selection sqref="A1:I1"/>
    </sheetView>
  </sheetViews>
  <sheetFormatPr defaultRowHeight="16.5"/>
  <cols>
    <col min="11" max="12" width="9" style="8"/>
    <col min="13" max="13" width="10.25" style="8" bestFit="1" customWidth="1"/>
    <col min="14" max="14" width="9.25" style="8" bestFit="1" customWidth="1"/>
  </cols>
  <sheetData>
    <row r="1" spans="1:15" ht="41.25" customHeight="1">
      <c r="A1" s="521" t="s">
        <v>16</v>
      </c>
      <c r="B1" s="521"/>
      <c r="C1" s="521"/>
      <c r="D1" s="521"/>
      <c r="E1" s="521"/>
      <c r="F1" s="521"/>
      <c r="G1" s="521"/>
      <c r="H1" s="521"/>
      <c r="I1" s="521"/>
      <c r="J1" s="395"/>
      <c r="K1" s="2"/>
      <c r="L1" s="2"/>
      <c r="M1" s="2"/>
      <c r="N1" s="3"/>
    </row>
    <row r="2" spans="1:15">
      <c r="A2" s="396"/>
      <c r="B2" s="396"/>
      <c r="C2" s="396"/>
      <c r="D2" s="396"/>
      <c r="E2" s="396"/>
      <c r="F2" s="396"/>
      <c r="G2" s="396"/>
      <c r="H2" s="396"/>
      <c r="I2" s="396"/>
      <c r="J2" s="396"/>
      <c r="K2" s="3"/>
      <c r="L2" s="3"/>
      <c r="M2" s="3"/>
      <c r="N2" s="3"/>
    </row>
    <row r="3" spans="1:15" ht="32.25" customHeight="1">
      <c r="A3" s="397" t="s">
        <v>17</v>
      </c>
      <c r="B3" s="398"/>
      <c r="C3" s="398"/>
      <c r="D3" s="398"/>
      <c r="E3" s="398"/>
      <c r="F3" s="398"/>
      <c r="G3" s="398"/>
      <c r="H3" s="398"/>
      <c r="I3" s="398"/>
      <c r="J3" s="398"/>
      <c r="K3" s="3"/>
      <c r="L3" s="3"/>
      <c r="M3" s="3"/>
      <c r="N3" s="3"/>
    </row>
    <row r="4" spans="1:15" ht="94.5" customHeight="1">
      <c r="A4" s="522" t="s">
        <v>529</v>
      </c>
      <c r="B4" s="523"/>
      <c r="C4" s="523"/>
      <c r="D4" s="523"/>
      <c r="E4" s="523"/>
      <c r="F4" s="523"/>
      <c r="G4" s="523"/>
      <c r="H4" s="523"/>
      <c r="I4" s="523"/>
      <c r="J4" s="399"/>
      <c r="K4" s="6"/>
      <c r="L4" s="6"/>
      <c r="M4" s="6"/>
      <c r="N4" s="3"/>
    </row>
    <row r="5" spans="1:15" ht="36" customHeight="1">
      <c r="A5" s="400"/>
      <c r="B5" s="400"/>
      <c r="C5" s="400"/>
      <c r="D5" s="400"/>
      <c r="E5" s="400"/>
      <c r="F5" s="400"/>
      <c r="G5" s="400"/>
      <c r="H5" s="400"/>
      <c r="I5" s="400"/>
      <c r="J5" s="400"/>
      <c r="K5" s="7"/>
      <c r="L5" s="7"/>
      <c r="M5" s="7"/>
      <c r="N5" s="3"/>
    </row>
    <row r="6" spans="1:15" ht="18" customHeight="1">
      <c r="A6" s="396"/>
      <c r="B6" s="396"/>
      <c r="C6" s="396"/>
      <c r="D6" s="396"/>
      <c r="E6" s="396"/>
      <c r="F6" s="396"/>
      <c r="G6" s="396"/>
      <c r="H6" s="396"/>
      <c r="I6" s="396"/>
      <c r="J6" s="396"/>
      <c r="K6" s="3"/>
      <c r="L6" s="3"/>
      <c r="M6" s="3"/>
      <c r="N6" s="3"/>
    </row>
    <row r="7" spans="1:15" ht="27.75" customHeight="1">
      <c r="A7" s="401" t="s">
        <v>18</v>
      </c>
      <c r="B7" s="396"/>
      <c r="C7" s="396"/>
      <c r="D7" s="396"/>
      <c r="E7" s="396"/>
      <c r="F7" s="396"/>
      <c r="G7" s="396"/>
      <c r="H7" s="396"/>
      <c r="I7" s="396"/>
      <c r="J7" s="396"/>
      <c r="K7" s="3"/>
      <c r="L7" s="191"/>
      <c r="M7" s="3"/>
      <c r="N7" s="3"/>
    </row>
    <row r="8" spans="1:15" ht="120" customHeight="1">
      <c r="A8" s="524" t="s">
        <v>526</v>
      </c>
      <c r="B8" s="524"/>
      <c r="C8" s="524"/>
      <c r="D8" s="524"/>
      <c r="E8" s="524"/>
      <c r="F8" s="524"/>
      <c r="G8" s="524"/>
      <c r="H8" s="524"/>
      <c r="I8" s="524"/>
      <c r="J8" s="402"/>
      <c r="K8" s="6"/>
      <c r="L8" s="6"/>
      <c r="M8" s="6"/>
      <c r="N8" s="3"/>
    </row>
    <row r="9" spans="1:15" ht="21" customHeight="1">
      <c r="A9" s="403"/>
      <c r="B9" s="403"/>
      <c r="C9" s="403"/>
      <c r="D9" s="403"/>
      <c r="E9" s="403"/>
      <c r="F9" s="403"/>
      <c r="G9" s="403"/>
      <c r="H9" s="403"/>
      <c r="I9" s="403"/>
      <c r="J9" s="403"/>
      <c r="K9" s="7"/>
      <c r="L9" s="7"/>
      <c r="M9" s="7"/>
      <c r="N9" s="3"/>
    </row>
    <row r="10" spans="1:15" ht="21" customHeight="1">
      <c r="A10" s="403"/>
      <c r="B10" s="403"/>
      <c r="C10" s="403"/>
      <c r="D10" s="403"/>
      <c r="E10" s="403"/>
      <c r="F10" s="403"/>
      <c r="G10" s="403"/>
      <c r="H10" s="403"/>
      <c r="I10" s="403"/>
      <c r="J10" s="403"/>
      <c r="K10" s="7"/>
      <c r="L10" s="7"/>
      <c r="M10" s="7"/>
      <c r="N10" s="3"/>
    </row>
    <row r="11" spans="1:15" ht="21" customHeight="1">
      <c r="A11" s="7" t="s">
        <v>65</v>
      </c>
      <c r="B11" s="82">
        <v>9856540</v>
      </c>
      <c r="C11" s="385">
        <v>61.511676468304877</v>
      </c>
      <c r="D11" s="403"/>
      <c r="E11" s="403"/>
      <c r="F11" s="403"/>
      <c r="G11" s="403"/>
      <c r="H11" s="403"/>
      <c r="I11" s="403"/>
      <c r="J11" s="403"/>
      <c r="K11" s="7"/>
      <c r="L11" s="7"/>
      <c r="M11" s="111"/>
      <c r="N11" s="113"/>
      <c r="O11" s="115"/>
    </row>
    <row r="12" spans="1:15" ht="21" customHeight="1">
      <c r="A12" s="7" t="s">
        <v>64</v>
      </c>
      <c r="B12" s="82">
        <v>6167312</v>
      </c>
      <c r="C12" s="385">
        <v>38.488323531695123</v>
      </c>
      <c r="D12" s="403"/>
      <c r="E12" s="403"/>
      <c r="F12" s="403"/>
      <c r="G12" s="7" t="s">
        <v>20</v>
      </c>
      <c r="H12" s="111">
        <v>4946011</v>
      </c>
      <c r="I12" s="113">
        <v>80.197191256093419</v>
      </c>
      <c r="J12" s="403"/>
      <c r="K12" s="7"/>
      <c r="L12" s="7"/>
      <c r="M12" s="7"/>
      <c r="N12" s="3"/>
    </row>
    <row r="13" spans="1:15" ht="21" customHeight="1">
      <c r="A13" s="7"/>
      <c r="B13" s="110">
        <v>16023852</v>
      </c>
      <c r="C13" s="3"/>
      <c r="D13" s="403"/>
      <c r="E13" s="403"/>
      <c r="F13" s="403"/>
      <c r="G13" s="7" t="s">
        <v>19</v>
      </c>
      <c r="H13" s="111">
        <v>1221301</v>
      </c>
      <c r="I13" s="113">
        <v>19.802808743906581</v>
      </c>
      <c r="J13" s="403"/>
      <c r="K13" s="7"/>
    </row>
    <row r="14" spans="1:15" ht="21" customHeight="1">
      <c r="A14" s="403"/>
      <c r="B14" s="403"/>
      <c r="C14" s="403"/>
      <c r="D14" s="403"/>
      <c r="E14" s="403"/>
      <c r="F14" s="403"/>
      <c r="G14" s="403"/>
      <c r="H14" s="403"/>
      <c r="I14" s="403"/>
      <c r="J14" s="403"/>
      <c r="K14" s="7"/>
      <c r="O14" s="115"/>
    </row>
    <row r="15" spans="1:15" ht="21" customHeight="1">
      <c r="A15" s="403"/>
      <c r="B15" s="403"/>
      <c r="C15" s="403"/>
      <c r="D15" s="403"/>
      <c r="E15" s="403"/>
      <c r="F15" s="403"/>
      <c r="G15" s="403"/>
      <c r="H15" s="403"/>
      <c r="I15" s="403"/>
      <c r="J15" s="403"/>
      <c r="K15" s="7"/>
      <c r="L15" s="7"/>
      <c r="M15" s="7"/>
      <c r="N15" s="3"/>
    </row>
    <row r="16" spans="1:15" ht="21" customHeight="1">
      <c r="A16" s="403"/>
      <c r="B16" s="403"/>
      <c r="C16" s="403"/>
      <c r="D16" s="403"/>
      <c r="E16" s="403"/>
      <c r="F16" s="403"/>
      <c r="G16" s="403"/>
      <c r="H16" s="403"/>
      <c r="I16" s="403"/>
      <c r="J16" s="403"/>
      <c r="K16" s="7"/>
    </row>
    <row r="17" spans="1:15" ht="21" customHeight="1">
      <c r="A17" s="403"/>
      <c r="B17" s="403"/>
      <c r="C17" s="403"/>
      <c r="D17" s="403"/>
      <c r="E17" s="403"/>
      <c r="F17" s="403"/>
      <c r="G17" s="403"/>
      <c r="H17" s="403"/>
      <c r="I17" s="403"/>
      <c r="J17" s="403"/>
      <c r="K17" s="7"/>
    </row>
    <row r="18" spans="1:15" ht="21" customHeight="1">
      <c r="A18" s="403"/>
      <c r="B18" s="403"/>
      <c r="C18" s="403"/>
      <c r="D18" s="403"/>
      <c r="E18" s="403"/>
      <c r="F18" s="403"/>
      <c r="G18" s="403"/>
      <c r="H18" s="403"/>
      <c r="I18" s="403"/>
      <c r="J18" s="403"/>
      <c r="K18" s="7"/>
    </row>
    <row r="19" spans="1:15" ht="21" customHeight="1">
      <c r="A19" s="403"/>
      <c r="B19" s="403"/>
      <c r="C19" s="403"/>
      <c r="D19" s="403"/>
      <c r="E19" s="403"/>
      <c r="F19" s="403"/>
      <c r="G19" s="403"/>
      <c r="H19" s="403"/>
      <c r="I19" s="403"/>
      <c r="J19" s="403"/>
      <c r="K19" s="7"/>
      <c r="L19" s="7"/>
      <c r="M19" s="7"/>
      <c r="N19" s="3"/>
    </row>
    <row r="20" spans="1:15" ht="21" customHeight="1">
      <c r="A20" s="403"/>
      <c r="B20" s="403"/>
      <c r="C20" s="403"/>
      <c r="D20" s="403"/>
      <c r="E20" s="403"/>
      <c r="F20" s="403"/>
      <c r="G20" s="403"/>
      <c r="H20" s="403"/>
      <c r="I20" s="403"/>
      <c r="J20" s="403"/>
      <c r="K20" s="7"/>
      <c r="L20" s="7"/>
      <c r="M20" s="109"/>
      <c r="N20" s="181"/>
      <c r="O20" s="115"/>
    </row>
    <row r="21" spans="1:15" ht="21" customHeight="1">
      <c r="A21" s="403"/>
      <c r="B21" s="403"/>
      <c r="C21" s="403"/>
      <c r="D21" s="403"/>
      <c r="E21" s="403"/>
      <c r="F21" s="403"/>
      <c r="G21" s="403"/>
      <c r="H21" s="403"/>
      <c r="I21" s="403"/>
      <c r="J21" s="403"/>
      <c r="K21" s="7"/>
      <c r="L21" s="7"/>
      <c r="M21" s="7"/>
      <c r="N21" s="3"/>
    </row>
    <row r="22" spans="1:15">
      <c r="A22" s="404"/>
      <c r="B22" s="404"/>
      <c r="C22" s="404"/>
      <c r="D22" s="404"/>
      <c r="E22" s="404"/>
      <c r="F22" s="404"/>
      <c r="G22" s="404"/>
      <c r="H22" s="404"/>
      <c r="I22" s="404"/>
      <c r="J22" s="404"/>
    </row>
    <row r="23" spans="1:15">
      <c r="A23" s="404"/>
      <c r="B23" s="404"/>
      <c r="C23" s="404"/>
      <c r="D23" s="404"/>
      <c r="E23" s="404"/>
      <c r="F23" s="404"/>
      <c r="G23" s="404"/>
      <c r="H23" s="404"/>
      <c r="I23" s="404"/>
      <c r="J23" s="404"/>
    </row>
    <row r="24" spans="1:15">
      <c r="A24" s="404"/>
      <c r="B24" s="404"/>
      <c r="C24" s="404"/>
      <c r="D24" s="404"/>
      <c r="E24" s="404"/>
      <c r="F24" s="404"/>
      <c r="G24" s="404"/>
      <c r="H24" s="404"/>
      <c r="I24" s="404"/>
      <c r="J24" s="404"/>
    </row>
  </sheetData>
  <sheetProtection algorithmName="SHA-512" hashValue="Xc0tQt7j9HzgIS3Y0RN8zIQpMdFMIdGRH2DfOUFTz6Kt4WaSwdX1NzPxjjwXOVtra+3TXm8OwD0foHWdlWkFAg==" saltValue="RLAD/dIS/4LkIHOWzOZiJw==" spinCount="100000" sheet="1" objects="1" scenarios="1"/>
  <mergeCells count="3">
    <mergeCell ref="A1:I1"/>
    <mergeCell ref="A4:I4"/>
    <mergeCell ref="A8:I8"/>
  </mergeCells>
  <phoneticPr fontId="14" type="noConversion"/>
  <pageMargins left="0.31" right="0.16" top="0.75" bottom="0.75" header="0.3" footer="0.3"/>
  <pageSetup paperSize="9"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43"/>
  <sheetViews>
    <sheetView showGridLines="0" zoomScaleNormal="100" zoomScaleSheetLayoutView="100" workbookViewId="0">
      <selection sqref="A1:I1"/>
    </sheetView>
  </sheetViews>
  <sheetFormatPr defaultRowHeight="16.5"/>
  <sheetData>
    <row r="1" spans="1:10" ht="75.75" customHeight="1">
      <c r="A1" s="526" t="s">
        <v>523</v>
      </c>
      <c r="B1" s="526"/>
      <c r="C1" s="526"/>
      <c r="D1" s="526"/>
      <c r="E1" s="526"/>
      <c r="F1" s="526"/>
      <c r="G1" s="526"/>
      <c r="H1" s="526"/>
      <c r="I1" s="526"/>
      <c r="J1" s="4"/>
    </row>
    <row r="2" spans="1:10" ht="16.5" customHeight="1">
      <c r="A2" s="83"/>
      <c r="B2" s="83"/>
      <c r="C2" s="83"/>
      <c r="D2" s="83"/>
      <c r="E2" s="83"/>
      <c r="F2" s="83"/>
      <c r="G2" s="83"/>
      <c r="H2" s="83"/>
      <c r="I2" s="83"/>
      <c r="J2" s="1"/>
    </row>
    <row r="3" spans="1:10" ht="16.5" customHeight="1">
      <c r="A3" s="83"/>
      <c r="B3" s="83"/>
      <c r="C3" s="83"/>
      <c r="D3" s="83"/>
      <c r="E3" s="83"/>
      <c r="F3" s="83"/>
      <c r="G3" s="83"/>
      <c r="H3" s="83"/>
      <c r="I3" s="83"/>
      <c r="J3" s="1"/>
    </row>
    <row r="4" spans="1:10" ht="16.5" customHeight="1">
      <c r="A4" s="83"/>
      <c r="B4" s="83"/>
      <c r="C4" s="83"/>
      <c r="D4" s="83"/>
      <c r="E4" s="83"/>
      <c r="G4" s="55" t="s">
        <v>4</v>
      </c>
      <c r="H4" s="55" t="s">
        <v>5</v>
      </c>
      <c r="I4" s="59" t="s">
        <v>6</v>
      </c>
      <c r="J4" s="90"/>
    </row>
    <row r="5" spans="1:10" ht="16.5" customHeight="1">
      <c r="A5" s="83"/>
      <c r="B5" s="83"/>
      <c r="C5" s="83"/>
      <c r="D5" s="83"/>
      <c r="E5" s="83"/>
      <c r="G5" s="124">
        <v>9433210</v>
      </c>
      <c r="H5" s="124">
        <v>235263</v>
      </c>
      <c r="I5" s="125">
        <v>188067</v>
      </c>
      <c r="J5" s="90"/>
    </row>
    <row r="6" spans="1:10" ht="16.5" customHeight="1">
      <c r="A6" s="83"/>
      <c r="B6" s="83"/>
      <c r="C6" s="83"/>
      <c r="D6" s="83"/>
      <c r="E6" s="83"/>
      <c r="F6" s="83"/>
      <c r="G6" s="83"/>
      <c r="H6" s="83"/>
      <c r="I6" s="83"/>
      <c r="J6" s="90"/>
    </row>
    <row r="7" spans="1:10" ht="16.5" customHeight="1">
      <c r="A7" s="83"/>
      <c r="B7" s="83"/>
      <c r="C7" s="83"/>
      <c r="D7" s="83"/>
      <c r="E7" s="83"/>
      <c r="F7" s="83"/>
      <c r="G7" s="83"/>
      <c r="H7" s="83"/>
      <c r="I7" s="83"/>
      <c r="J7" s="90"/>
    </row>
    <row r="8" spans="1:10" ht="16.5" customHeight="1">
      <c r="A8" s="173"/>
      <c r="B8" s="173"/>
      <c r="C8" s="173"/>
      <c r="D8" s="173"/>
      <c r="E8" s="173"/>
      <c r="F8" s="173"/>
      <c r="G8" s="173"/>
      <c r="H8" s="173"/>
      <c r="I8" s="173"/>
      <c r="J8" s="90"/>
    </row>
    <row r="9" spans="1:10" ht="16.5" customHeight="1">
      <c r="A9" s="83"/>
      <c r="B9" s="83"/>
      <c r="C9" s="83"/>
      <c r="D9" s="83"/>
      <c r="E9" s="83"/>
      <c r="F9" s="83"/>
      <c r="G9" s="83"/>
      <c r="H9" s="83"/>
      <c r="I9" s="83"/>
      <c r="J9" s="90"/>
    </row>
    <row r="10" spans="1:10" ht="42" customHeight="1">
      <c r="A10" s="83"/>
      <c r="B10" s="83"/>
      <c r="C10" s="83"/>
      <c r="D10" s="83"/>
      <c r="E10" s="83"/>
      <c r="F10" s="83"/>
      <c r="G10" s="83"/>
      <c r="H10" s="83"/>
      <c r="I10" s="83"/>
      <c r="J10" s="1"/>
    </row>
    <row r="11" spans="1:10" ht="16.5" customHeight="1">
      <c r="A11" s="55" t="s">
        <v>11</v>
      </c>
      <c r="B11" s="55" t="s">
        <v>2</v>
      </c>
      <c r="C11" s="55" t="s">
        <v>12</v>
      </c>
      <c r="D11" s="59" t="s">
        <v>3</v>
      </c>
      <c r="E11" s="55" t="s">
        <v>13</v>
      </c>
      <c r="F11" s="55" t="s">
        <v>528</v>
      </c>
      <c r="G11" s="55" t="s">
        <v>14</v>
      </c>
      <c r="H11" s="83"/>
      <c r="I11" s="83"/>
      <c r="J11" s="1"/>
    </row>
    <row r="12" spans="1:10" ht="16.5" customHeight="1">
      <c r="A12" s="124">
        <v>4227700</v>
      </c>
      <c r="B12" s="124">
        <v>1579320</v>
      </c>
      <c r="C12" s="124">
        <v>177310</v>
      </c>
      <c r="D12" s="125">
        <v>131923</v>
      </c>
      <c r="E12" s="124">
        <v>49900</v>
      </c>
      <c r="F12" s="124">
        <v>1036</v>
      </c>
      <c r="G12" s="124">
        <v>123</v>
      </c>
      <c r="H12" s="83"/>
      <c r="I12" s="83"/>
      <c r="J12" s="1"/>
    </row>
    <row r="13" spans="1:10" ht="16.5" customHeight="1">
      <c r="A13" s="83"/>
      <c r="B13" s="83"/>
      <c r="C13" s="83"/>
      <c r="D13" s="83"/>
      <c r="E13" s="83"/>
      <c r="F13" s="83"/>
      <c r="G13" s="83"/>
      <c r="H13" s="83"/>
      <c r="I13" s="83"/>
      <c r="J13" s="1"/>
    </row>
    <row r="14" spans="1:10" ht="16.5" customHeight="1">
      <c r="A14" s="83"/>
      <c r="B14" s="83"/>
      <c r="C14" s="83"/>
      <c r="D14" s="83"/>
      <c r="E14" s="83"/>
      <c r="F14" s="83"/>
      <c r="G14" s="83"/>
      <c r="H14" s="83"/>
      <c r="I14" s="83"/>
      <c r="J14" s="1"/>
    </row>
    <row r="15" spans="1:10" ht="16.5" customHeight="1">
      <c r="A15" s="83"/>
      <c r="B15" s="83"/>
      <c r="C15" s="83"/>
      <c r="D15" s="83"/>
      <c r="E15" s="83"/>
      <c r="F15" s="83"/>
      <c r="G15" s="83"/>
      <c r="H15" s="83"/>
      <c r="I15" s="83"/>
      <c r="J15" s="1"/>
    </row>
    <row r="16" spans="1:10" ht="16.5" customHeight="1">
      <c r="A16" s="83"/>
      <c r="B16" s="83"/>
      <c r="C16" s="83"/>
      <c r="D16" s="83"/>
      <c r="E16" s="83"/>
      <c r="F16" s="83"/>
      <c r="G16" s="83"/>
      <c r="H16" s="83"/>
      <c r="I16" s="83"/>
      <c r="J16" s="1"/>
    </row>
    <row r="17" spans="1:10" ht="16.5" customHeight="1">
      <c r="A17" s="525" t="s">
        <v>524</v>
      </c>
      <c r="B17" s="525"/>
      <c r="C17" s="525"/>
      <c r="D17" s="525"/>
      <c r="E17" s="525"/>
      <c r="F17" s="83"/>
      <c r="G17" s="83"/>
      <c r="H17" s="83"/>
      <c r="I17" s="83"/>
      <c r="J17" s="1"/>
    </row>
    <row r="18" spans="1:10" ht="16.5" customHeight="1">
      <c r="A18" s="525"/>
      <c r="B18" s="525"/>
      <c r="C18" s="525"/>
      <c r="D18" s="525"/>
      <c r="E18" s="525"/>
      <c r="F18" s="83"/>
      <c r="G18" s="83"/>
      <c r="H18" s="83"/>
      <c r="I18" s="83"/>
      <c r="J18" s="1"/>
    </row>
    <row r="19" spans="1:10" ht="16.5" customHeight="1">
      <c r="A19" s="84"/>
      <c r="B19" s="84"/>
      <c r="C19" s="84"/>
      <c r="D19" s="84"/>
      <c r="E19" s="84"/>
      <c r="F19" s="84"/>
      <c r="G19" s="84"/>
      <c r="H19" s="84"/>
      <c r="I19" s="84"/>
      <c r="J19" s="85"/>
    </row>
    <row r="20" spans="1:10" ht="16.5" customHeight="1">
      <c r="A20" s="86"/>
      <c r="B20" s="7"/>
      <c r="C20" s="7"/>
      <c r="D20" s="7"/>
      <c r="E20" s="7"/>
      <c r="F20" s="7"/>
      <c r="G20" s="7"/>
      <c r="H20" s="7"/>
      <c r="I20" s="7"/>
      <c r="J20" s="5"/>
    </row>
    <row r="21" spans="1:10" ht="16.5" customHeight="1">
      <c r="A21" s="86"/>
      <c r="B21" s="7"/>
      <c r="C21" s="7"/>
      <c r="D21" s="101" t="s">
        <v>67</v>
      </c>
      <c r="E21" s="101"/>
      <c r="F21" s="182"/>
      <c r="G21" s="182"/>
      <c r="H21" s="182"/>
      <c r="I21" s="7"/>
      <c r="J21" s="5"/>
    </row>
    <row r="22" spans="1:10" ht="16.5" customHeight="1">
      <c r="A22" s="86"/>
      <c r="B22" s="7"/>
      <c r="C22" s="7"/>
      <c r="D22" s="101"/>
      <c r="E22" s="101" t="s">
        <v>68</v>
      </c>
      <c r="F22" s="101" t="s">
        <v>69</v>
      </c>
      <c r="G22" s="101" t="s">
        <v>70</v>
      </c>
      <c r="H22" s="101" t="s">
        <v>71</v>
      </c>
      <c r="I22" s="7"/>
      <c r="J22" s="5"/>
    </row>
    <row r="23" spans="1:10" ht="16.5" customHeight="1">
      <c r="A23" s="86"/>
      <c r="B23" s="7"/>
      <c r="C23" s="7"/>
      <c r="D23" s="101">
        <v>10</v>
      </c>
      <c r="E23" s="102">
        <v>17405933</v>
      </c>
      <c r="F23" s="102">
        <v>1482074</v>
      </c>
      <c r="G23" s="102">
        <v>4734122</v>
      </c>
      <c r="H23" s="102">
        <v>11189737</v>
      </c>
      <c r="I23" s="7"/>
      <c r="J23" s="5"/>
    </row>
    <row r="24" spans="1:10" ht="16.5" customHeight="1">
      <c r="A24" s="86"/>
      <c r="B24" s="7"/>
      <c r="C24" s="7"/>
      <c r="D24" s="101">
        <v>11</v>
      </c>
      <c r="E24" s="102">
        <v>18295844</v>
      </c>
      <c r="F24" s="102">
        <v>1503696</v>
      </c>
      <c r="G24" s="102">
        <v>4784127</v>
      </c>
      <c r="H24" s="102">
        <v>12008021</v>
      </c>
      <c r="I24" s="7"/>
      <c r="J24" s="5"/>
    </row>
    <row r="25" spans="1:10" ht="16.5" customHeight="1">
      <c r="A25" s="86"/>
      <c r="B25" s="7"/>
      <c r="C25" s="7"/>
      <c r="D25" s="101">
        <v>12</v>
      </c>
      <c r="E25" s="102">
        <v>18020244</v>
      </c>
      <c r="F25" s="102">
        <v>1573655</v>
      </c>
      <c r="G25" s="102">
        <v>4744390</v>
      </c>
      <c r="H25" s="102">
        <v>11702199</v>
      </c>
      <c r="I25" s="7"/>
      <c r="J25" s="5"/>
    </row>
    <row r="26" spans="1:10" ht="16.5" customHeight="1">
      <c r="A26" s="86"/>
      <c r="B26" s="7"/>
      <c r="C26" s="7"/>
      <c r="D26" s="101">
        <v>13</v>
      </c>
      <c r="E26" s="102">
        <v>18466987</v>
      </c>
      <c r="F26" s="102">
        <v>1605623</v>
      </c>
      <c r="G26" s="102">
        <v>4985097</v>
      </c>
      <c r="H26" s="102">
        <v>11876267</v>
      </c>
      <c r="I26" s="7"/>
      <c r="J26" s="5"/>
    </row>
    <row r="27" spans="1:10" ht="16.5" customHeight="1">
      <c r="A27" s="86"/>
      <c r="B27" s="7"/>
      <c r="C27" s="7"/>
      <c r="D27" s="101">
        <v>14</v>
      </c>
      <c r="E27" s="102">
        <v>18986585</v>
      </c>
      <c r="F27" s="102">
        <v>1657385</v>
      </c>
      <c r="G27" s="102">
        <v>4843459</v>
      </c>
      <c r="H27" s="102">
        <v>12485741</v>
      </c>
      <c r="I27" s="7"/>
      <c r="J27" s="5"/>
    </row>
    <row r="28" spans="1:10" ht="16.5" customHeight="1">
      <c r="A28" s="86"/>
      <c r="B28" s="7"/>
      <c r="C28" s="7"/>
      <c r="D28" s="101">
        <v>15</v>
      </c>
      <c r="E28" s="102">
        <v>20609851</v>
      </c>
      <c r="F28" s="102">
        <v>1525846</v>
      </c>
      <c r="G28" s="102">
        <v>4835939</v>
      </c>
      <c r="H28" s="102">
        <v>14248066</v>
      </c>
      <c r="I28" s="7"/>
      <c r="J28" s="5"/>
    </row>
    <row r="29" spans="1:10" ht="16.5" customHeight="1">
      <c r="A29" s="86"/>
      <c r="B29" s="7"/>
      <c r="C29" s="7"/>
      <c r="D29" s="101">
        <v>16</v>
      </c>
      <c r="E29" s="102">
        <v>18978570</v>
      </c>
      <c r="F29" s="102">
        <v>1523108</v>
      </c>
      <c r="G29" s="102">
        <v>5224405</v>
      </c>
      <c r="H29" s="102">
        <v>12231057</v>
      </c>
      <c r="I29" s="7"/>
      <c r="J29" s="5"/>
    </row>
    <row r="30" spans="1:10" ht="16.5" customHeight="1">
      <c r="A30" s="86"/>
      <c r="B30" s="7"/>
      <c r="C30" s="7"/>
      <c r="D30" s="101">
        <v>17</v>
      </c>
      <c r="E30" s="102">
        <v>18069526</v>
      </c>
      <c r="F30" s="102">
        <v>1555602</v>
      </c>
      <c r="G30" s="102">
        <v>5187181</v>
      </c>
      <c r="H30" s="102">
        <v>11326743</v>
      </c>
      <c r="I30" s="7"/>
      <c r="J30" s="5"/>
    </row>
    <row r="31" spans="1:10" ht="16.5" customHeight="1">
      <c r="A31" s="86"/>
      <c r="B31" s="7"/>
      <c r="C31" s="7"/>
      <c r="D31" s="101">
        <v>18</v>
      </c>
      <c r="E31" s="102">
        <v>17651498</v>
      </c>
      <c r="F31" s="102">
        <v>1462714</v>
      </c>
      <c r="G31" s="102">
        <v>5122866</v>
      </c>
      <c r="H31" s="102">
        <v>11065918</v>
      </c>
      <c r="I31" s="7"/>
      <c r="J31" s="5"/>
    </row>
    <row r="32" spans="1:10">
      <c r="A32" s="86"/>
      <c r="B32" s="7"/>
      <c r="C32" s="7"/>
      <c r="D32" s="101">
        <v>19</v>
      </c>
      <c r="E32" s="102">
        <v>17720328</v>
      </c>
      <c r="F32" s="102">
        <v>1461440</v>
      </c>
      <c r="G32" s="102">
        <v>5172904</v>
      </c>
      <c r="H32" s="102">
        <v>11085984</v>
      </c>
      <c r="I32" s="7"/>
      <c r="J32" s="5"/>
    </row>
    <row r="33" spans="1:10">
      <c r="A33" s="86"/>
      <c r="B33" s="7"/>
      <c r="C33" s="7"/>
      <c r="D33" s="101">
        <v>20</v>
      </c>
      <c r="E33" s="102">
        <v>18838150</v>
      </c>
      <c r="F33" s="102">
        <v>1448551</v>
      </c>
      <c r="G33" s="102">
        <v>5230682</v>
      </c>
      <c r="H33" s="102">
        <v>12158917</v>
      </c>
      <c r="I33" s="7"/>
      <c r="J33" s="5"/>
    </row>
    <row r="34" spans="1:10">
      <c r="A34" s="86"/>
      <c r="B34" s="7"/>
      <c r="C34" s="7"/>
      <c r="D34" s="101">
        <v>21</v>
      </c>
      <c r="E34" s="102">
        <v>17884639</v>
      </c>
      <c r="F34" s="102">
        <v>1297441</v>
      </c>
      <c r="G34" s="102">
        <v>4994026</v>
      </c>
      <c r="H34" s="102">
        <v>11593172</v>
      </c>
      <c r="I34" s="7"/>
      <c r="J34" s="5"/>
    </row>
    <row r="35" spans="1:10">
      <c r="A35" s="86"/>
      <c r="B35" s="7"/>
      <c r="C35" s="7"/>
      <c r="D35" s="101">
        <v>22</v>
      </c>
      <c r="E35" s="190">
        <v>16023852</v>
      </c>
      <c r="F35" s="190">
        <v>1221301</v>
      </c>
      <c r="G35" s="190">
        <v>4946011</v>
      </c>
      <c r="H35" s="190">
        <v>9856540</v>
      </c>
      <c r="I35" s="7"/>
      <c r="J35" s="5"/>
    </row>
    <row r="36" spans="1:10">
      <c r="A36" s="8"/>
      <c r="B36" s="8"/>
      <c r="C36" s="8"/>
      <c r="D36" s="8"/>
      <c r="E36" s="8"/>
      <c r="F36" s="8"/>
      <c r="G36" s="8"/>
      <c r="H36" s="8"/>
      <c r="I36" s="8"/>
      <c r="J36" s="87"/>
    </row>
    <row r="37" spans="1:10">
      <c r="A37" s="8"/>
      <c r="B37" s="8"/>
      <c r="C37" s="8"/>
      <c r="D37" s="8"/>
      <c r="E37" s="8"/>
      <c r="F37" s="8"/>
      <c r="G37" s="8"/>
      <c r="H37" s="8"/>
      <c r="I37" s="8"/>
      <c r="J37" s="87"/>
    </row>
    <row r="38" spans="1:10">
      <c r="A38" s="8"/>
      <c r="B38" s="8"/>
      <c r="C38" s="8"/>
      <c r="D38" s="8"/>
      <c r="E38" s="8"/>
      <c r="F38" s="8"/>
      <c r="G38" s="8"/>
      <c r="H38" s="8"/>
      <c r="I38" s="8"/>
      <c r="J38" s="87"/>
    </row>
    <row r="39" spans="1:10">
      <c r="A39" s="8"/>
      <c r="B39" s="8"/>
      <c r="C39" s="8"/>
      <c r="D39" s="8"/>
      <c r="E39" s="8"/>
      <c r="F39" s="8"/>
      <c r="G39" s="8"/>
      <c r="H39" s="8"/>
      <c r="I39" s="8"/>
      <c r="J39" s="87"/>
    </row>
    <row r="40" spans="1:10">
      <c r="A40" s="8"/>
      <c r="B40" s="8"/>
      <c r="C40" s="8"/>
      <c r="D40" s="8"/>
      <c r="E40" s="8"/>
      <c r="F40" s="8"/>
      <c r="G40" s="8"/>
      <c r="H40" s="8"/>
      <c r="I40" s="8"/>
      <c r="J40" s="87"/>
    </row>
    <row r="41" spans="1:10">
      <c r="A41" s="8"/>
      <c r="B41" s="8"/>
      <c r="C41" s="8"/>
      <c r="D41" s="8"/>
      <c r="E41" s="8"/>
      <c r="F41" s="8"/>
      <c r="G41" s="8"/>
      <c r="H41" s="8"/>
      <c r="I41" s="8"/>
      <c r="J41" s="87"/>
    </row>
    <row r="42" spans="1:10">
      <c r="A42" s="8"/>
      <c r="B42" s="8"/>
      <c r="C42" s="8"/>
      <c r="D42" s="8"/>
      <c r="E42" s="8"/>
      <c r="F42" s="8"/>
      <c r="G42" s="8"/>
      <c r="H42" s="8"/>
      <c r="I42" s="8"/>
      <c r="J42" s="87"/>
    </row>
    <row r="43" spans="1:10">
      <c r="A43" s="8"/>
      <c r="B43" s="8"/>
      <c r="C43" s="8"/>
      <c r="D43" s="8"/>
      <c r="E43" s="8"/>
      <c r="F43" s="8"/>
      <c r="G43" s="8"/>
      <c r="H43" s="8"/>
      <c r="I43" s="8"/>
      <c r="J43" s="87"/>
    </row>
  </sheetData>
  <sheetProtection algorithmName="SHA-512" hashValue="5TW/9rDXaP7vh9/VRzbbNkNF1DNQgBAo9UXVA0C7hz6N1Kzf+eqrYnGYaQhL72etTVNHFrinX76HqRFiD9Ry0g==" saltValue="tSTtgQW/LQqLzfB5e/ZUpA==" spinCount="100000" sheet="1" objects="1" scenarios="1"/>
  <mergeCells count="2">
    <mergeCell ref="A17:E18"/>
    <mergeCell ref="A1:I1"/>
  </mergeCells>
  <phoneticPr fontId="14" type="noConversion"/>
  <pageMargins left="0.16" right="0.16" top="0.75" bottom="0.26" header="0.3" footer="0.3"/>
  <pageSetup paperSize="9" orientation="portrait" verticalDpi="300" r:id="rId1"/>
  <colBreaks count="1" manualBreakCount="1">
    <brk id="10" max="4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Y53"/>
  <sheetViews>
    <sheetView showGridLines="0" zoomScaleNormal="100" zoomScaleSheetLayoutView="100" workbookViewId="0"/>
  </sheetViews>
  <sheetFormatPr defaultRowHeight="16.5"/>
  <cols>
    <col min="1" max="1" width="12.5" style="146" customWidth="1"/>
    <col min="2" max="2" width="11.875" style="146" customWidth="1"/>
    <col min="3" max="3" width="9.125" style="146" customWidth="1"/>
    <col min="4" max="11" width="9" style="146" customWidth="1"/>
    <col min="12" max="12" width="9.5" style="146" customWidth="1"/>
    <col min="13" max="13" width="12.375" style="146" customWidth="1"/>
    <col min="14" max="14" width="7.125" style="146" customWidth="1"/>
    <col min="15" max="15" width="8" style="146" customWidth="1"/>
    <col min="16" max="16" width="8.125" style="146" customWidth="1"/>
    <col min="17" max="17" width="8" style="146" customWidth="1"/>
    <col min="18" max="24" width="7.5" style="146" customWidth="1"/>
    <col min="25" max="25" width="8" style="146" customWidth="1"/>
    <col min="26" max="16384" width="9" style="146"/>
  </cols>
  <sheetData>
    <row r="1" spans="1:25">
      <c r="A1" s="51" t="s">
        <v>154</v>
      </c>
      <c r="B1" s="42"/>
      <c r="C1" s="42"/>
      <c r="D1" s="187"/>
      <c r="E1" s="187"/>
      <c r="F1" s="187"/>
      <c r="G1" s="187"/>
      <c r="H1" s="187"/>
      <c r="I1" s="187"/>
      <c r="J1" s="187"/>
      <c r="K1" s="42"/>
      <c r="L1" s="42"/>
      <c r="M1" s="42"/>
      <c r="N1" s="42"/>
      <c r="O1" s="42"/>
      <c r="P1" s="42"/>
      <c r="Q1" s="42"/>
      <c r="R1" s="42"/>
      <c r="S1" s="42"/>
      <c r="T1" s="42"/>
      <c r="U1" s="42"/>
      <c r="V1" s="42"/>
      <c r="W1" s="42"/>
      <c r="X1" s="42"/>
    </row>
    <row r="2" spans="1:25">
      <c r="A2" s="242" t="s">
        <v>153</v>
      </c>
      <c r="B2" s="527" t="s">
        <v>139</v>
      </c>
      <c r="C2" s="529" t="s">
        <v>152</v>
      </c>
      <c r="D2" s="530"/>
      <c r="E2" s="530"/>
      <c r="F2" s="530"/>
      <c r="G2" s="530"/>
      <c r="H2" s="530"/>
      <c r="I2" s="530"/>
      <c r="J2" s="531"/>
      <c r="K2" s="529" t="s">
        <v>151</v>
      </c>
      <c r="L2" s="530"/>
      <c r="M2" s="530"/>
      <c r="N2" s="531"/>
      <c r="O2" s="44"/>
      <c r="P2" s="44"/>
      <c r="Q2" s="44"/>
      <c r="R2" s="44"/>
      <c r="S2" s="42"/>
      <c r="T2" s="42"/>
      <c r="U2" s="42"/>
      <c r="V2" s="42"/>
      <c r="W2" s="42"/>
      <c r="X2" s="42"/>
      <c r="Y2" s="191"/>
    </row>
    <row r="3" spans="1:25">
      <c r="A3" s="243" t="s">
        <v>150</v>
      </c>
      <c r="B3" s="528"/>
      <c r="C3" s="244" t="s">
        <v>143</v>
      </c>
      <c r="D3" s="247" t="s">
        <v>149</v>
      </c>
      <c r="E3" s="247" t="s">
        <v>148</v>
      </c>
      <c r="F3" s="247" t="s">
        <v>147</v>
      </c>
      <c r="G3" s="247" t="s">
        <v>528</v>
      </c>
      <c r="H3" s="247" t="s">
        <v>146</v>
      </c>
      <c r="I3" s="247" t="s">
        <v>145</v>
      </c>
      <c r="J3" s="245" t="s">
        <v>144</v>
      </c>
      <c r="K3" s="246" t="s">
        <v>143</v>
      </c>
      <c r="L3" s="247" t="s">
        <v>142</v>
      </c>
      <c r="M3" s="247" t="s">
        <v>141</v>
      </c>
      <c r="N3" s="245" t="s">
        <v>140</v>
      </c>
      <c r="O3" s="44"/>
      <c r="P3" s="44"/>
      <c r="Q3" s="44"/>
      <c r="R3" s="44"/>
      <c r="S3" s="42"/>
      <c r="T3" s="42"/>
      <c r="U3" s="42"/>
      <c r="V3" s="42"/>
      <c r="W3" s="42"/>
      <c r="X3" s="42"/>
      <c r="Y3" s="192"/>
    </row>
    <row r="4" spans="1:25">
      <c r="A4" s="46" t="s">
        <v>139</v>
      </c>
      <c r="B4" s="122">
        <v>16023852</v>
      </c>
      <c r="C4" s="123">
        <v>6167312</v>
      </c>
      <c r="D4" s="124">
        <v>4227700</v>
      </c>
      <c r="E4" s="124">
        <v>177310</v>
      </c>
      <c r="F4" s="124">
        <v>49900</v>
      </c>
      <c r="G4" s="124">
        <v>1036</v>
      </c>
      <c r="H4" s="124">
        <v>123</v>
      </c>
      <c r="I4" s="124">
        <v>1579320</v>
      </c>
      <c r="J4" s="125">
        <v>131923</v>
      </c>
      <c r="K4" s="126">
        <v>9856540</v>
      </c>
      <c r="L4" s="124">
        <v>9433210</v>
      </c>
      <c r="M4" s="124">
        <v>235263</v>
      </c>
      <c r="N4" s="125">
        <v>188067</v>
      </c>
      <c r="O4" s="44"/>
      <c r="P4" s="44"/>
      <c r="Q4" s="44"/>
      <c r="R4" s="44"/>
      <c r="S4" s="42"/>
      <c r="T4" s="42"/>
      <c r="U4" s="42"/>
      <c r="V4" s="42"/>
      <c r="W4" s="42"/>
      <c r="X4" s="42"/>
    </row>
    <row r="5" spans="1:25">
      <c r="A5" s="48" t="s">
        <v>138</v>
      </c>
      <c r="B5" s="127">
        <v>72352</v>
      </c>
      <c r="C5" s="128">
        <v>72352</v>
      </c>
      <c r="D5" s="118">
        <v>38350</v>
      </c>
      <c r="E5" s="118">
        <v>1161</v>
      </c>
      <c r="F5" s="118">
        <v>6727</v>
      </c>
      <c r="G5" s="118">
        <v>164</v>
      </c>
      <c r="H5" s="118">
        <v>97</v>
      </c>
      <c r="I5" s="118">
        <v>25634</v>
      </c>
      <c r="J5" s="129">
        <v>219</v>
      </c>
      <c r="K5" s="128">
        <v>0</v>
      </c>
      <c r="L5" s="118">
        <v>0</v>
      </c>
      <c r="M5" s="118">
        <v>0</v>
      </c>
      <c r="N5" s="129">
        <v>0</v>
      </c>
      <c r="O5" s="44"/>
      <c r="P5" s="44"/>
      <c r="Q5" s="44"/>
      <c r="R5" s="44"/>
      <c r="S5" s="42"/>
      <c r="T5" s="42"/>
      <c r="U5" s="42"/>
      <c r="V5" s="42"/>
      <c r="W5" s="42"/>
      <c r="X5" s="42"/>
    </row>
    <row r="6" spans="1:25">
      <c r="A6" s="48" t="s">
        <v>137</v>
      </c>
      <c r="B6" s="127">
        <v>60264</v>
      </c>
      <c r="C6" s="128">
        <v>60264</v>
      </c>
      <c r="D6" s="118">
        <v>19640</v>
      </c>
      <c r="E6" s="118">
        <v>2435</v>
      </c>
      <c r="F6" s="118">
        <v>9490</v>
      </c>
      <c r="G6" s="118">
        <v>872</v>
      </c>
      <c r="H6" s="118">
        <v>9</v>
      </c>
      <c r="I6" s="118">
        <v>27818</v>
      </c>
      <c r="J6" s="129">
        <v>0</v>
      </c>
      <c r="K6" s="128">
        <v>0</v>
      </c>
      <c r="L6" s="118">
        <v>0</v>
      </c>
      <c r="M6" s="118">
        <v>0</v>
      </c>
      <c r="N6" s="129">
        <v>0</v>
      </c>
      <c r="O6" s="44"/>
      <c r="P6" s="44"/>
      <c r="Q6" s="44"/>
      <c r="R6" s="44"/>
      <c r="S6" s="42"/>
      <c r="T6" s="42"/>
      <c r="U6" s="42"/>
      <c r="V6" s="42"/>
      <c r="W6" s="42"/>
      <c r="X6" s="42"/>
    </row>
    <row r="7" spans="1:25">
      <c r="A7" s="48" t="s">
        <v>136</v>
      </c>
      <c r="B7" s="127">
        <v>15891236</v>
      </c>
      <c r="C7" s="128">
        <v>6034696</v>
      </c>
      <c r="D7" s="118">
        <v>4169710</v>
      </c>
      <c r="E7" s="118">
        <v>173714</v>
      </c>
      <c r="F7" s="118">
        <v>33683</v>
      </c>
      <c r="G7" s="118">
        <v>0</v>
      </c>
      <c r="H7" s="118">
        <v>17</v>
      </c>
      <c r="I7" s="118">
        <v>1525868</v>
      </c>
      <c r="J7" s="129">
        <v>131704</v>
      </c>
      <c r="K7" s="128">
        <v>9856540</v>
      </c>
      <c r="L7" s="118">
        <v>9433210</v>
      </c>
      <c r="M7" s="118">
        <v>235263</v>
      </c>
      <c r="N7" s="129">
        <v>188067</v>
      </c>
      <c r="O7" s="44"/>
      <c r="P7" s="44"/>
      <c r="Q7" s="44"/>
      <c r="R7" s="44"/>
      <c r="S7" s="42"/>
      <c r="U7" s="42"/>
      <c r="V7" s="42"/>
      <c r="W7" s="42"/>
      <c r="X7" s="42"/>
    </row>
    <row r="8" spans="1:25">
      <c r="A8" s="169" t="s">
        <v>15</v>
      </c>
      <c r="B8" s="127">
        <v>128622</v>
      </c>
      <c r="C8" s="128">
        <v>128622</v>
      </c>
      <c r="D8" s="118">
        <v>58480</v>
      </c>
      <c r="E8" s="118">
        <v>4147</v>
      </c>
      <c r="F8" s="118">
        <v>0</v>
      </c>
      <c r="G8" s="118">
        <v>0</v>
      </c>
      <c r="H8" s="118">
        <v>0</v>
      </c>
      <c r="I8" s="118">
        <v>63770</v>
      </c>
      <c r="J8" s="129">
        <v>2225</v>
      </c>
      <c r="K8" s="128">
        <v>0</v>
      </c>
      <c r="L8" s="118">
        <v>0</v>
      </c>
      <c r="M8" s="118">
        <v>0</v>
      </c>
      <c r="N8" s="129">
        <v>0</v>
      </c>
      <c r="O8" s="44"/>
      <c r="P8" s="44"/>
      <c r="Q8" s="44"/>
      <c r="R8" s="44"/>
      <c r="S8" s="42"/>
      <c r="T8" s="42"/>
      <c r="U8" s="42"/>
      <c r="V8" s="42"/>
      <c r="W8" s="42"/>
      <c r="X8" s="42"/>
    </row>
    <row r="9" spans="1:25">
      <c r="A9" s="104" t="s">
        <v>135</v>
      </c>
      <c r="B9" s="133">
        <v>15762614</v>
      </c>
      <c r="C9" s="134">
        <v>5906074</v>
      </c>
      <c r="D9" s="119">
        <v>4111230</v>
      </c>
      <c r="E9" s="119">
        <v>169567</v>
      </c>
      <c r="F9" s="119">
        <v>33683</v>
      </c>
      <c r="G9" s="119">
        <v>0</v>
      </c>
      <c r="H9" s="119">
        <v>17</v>
      </c>
      <c r="I9" s="119">
        <v>1462098</v>
      </c>
      <c r="J9" s="117">
        <v>129479</v>
      </c>
      <c r="K9" s="134">
        <v>9856540</v>
      </c>
      <c r="L9" s="119">
        <v>9433210</v>
      </c>
      <c r="M9" s="119">
        <v>235263</v>
      </c>
      <c r="N9" s="117">
        <v>188067</v>
      </c>
      <c r="O9" s="44"/>
      <c r="P9" s="44"/>
      <c r="R9" s="44"/>
      <c r="S9" s="42"/>
      <c r="T9" s="42"/>
      <c r="U9" s="42"/>
      <c r="V9" s="42"/>
      <c r="W9" s="42"/>
      <c r="X9" s="42"/>
    </row>
    <row r="10" spans="1:25" ht="54" customHeight="1">
      <c r="A10" s="534" t="s">
        <v>522</v>
      </c>
      <c r="B10" s="534"/>
      <c r="C10" s="534"/>
      <c r="D10" s="534"/>
      <c r="E10" s="534"/>
      <c r="F10" s="534"/>
      <c r="G10" s="534"/>
      <c r="H10" s="534"/>
      <c r="I10" s="534"/>
      <c r="J10" s="534"/>
      <c r="K10" s="534"/>
      <c r="L10" s="534"/>
      <c r="M10" s="534"/>
      <c r="N10" s="534"/>
      <c r="O10" s="42"/>
      <c r="P10" s="42"/>
      <c r="Q10" s="42"/>
      <c r="R10" s="42"/>
      <c r="S10" s="42"/>
      <c r="T10" s="42"/>
      <c r="U10" s="42"/>
      <c r="V10" s="42"/>
      <c r="W10" s="42"/>
      <c r="X10" s="42"/>
    </row>
    <row r="11" spans="1:25">
      <c r="A11" s="49"/>
      <c r="B11" s="49"/>
      <c r="C11" s="50"/>
      <c r="D11" s="42"/>
      <c r="E11" s="42"/>
      <c r="F11" s="42"/>
      <c r="G11" s="42"/>
      <c r="H11" s="42"/>
      <c r="I11" s="42"/>
      <c r="J11" s="42"/>
      <c r="K11" s="42"/>
      <c r="L11" s="42"/>
      <c r="M11" s="42"/>
      <c r="N11" s="42"/>
      <c r="O11" s="42"/>
      <c r="P11" s="42"/>
      <c r="Q11" s="42"/>
      <c r="R11" s="42"/>
      <c r="S11" s="42"/>
      <c r="T11" s="42"/>
      <c r="U11" s="42"/>
      <c r="V11" s="42"/>
      <c r="W11" s="42"/>
      <c r="X11" s="42"/>
    </row>
    <row r="12" spans="1:25" ht="16.5" hidden="1" customHeight="1">
      <c r="A12" s="51" t="s">
        <v>134</v>
      </c>
      <c r="B12" s="44"/>
      <c r="C12" s="44"/>
      <c r="D12" s="44"/>
      <c r="E12" s="44"/>
      <c r="F12" s="44"/>
      <c r="G12" s="44"/>
      <c r="H12" s="44"/>
      <c r="I12" s="44"/>
      <c r="J12" s="44"/>
      <c r="K12" s="44"/>
      <c r="L12" s="44"/>
      <c r="M12" s="44"/>
      <c r="N12" s="88"/>
      <c r="O12" s="44"/>
      <c r="P12" s="44"/>
      <c r="Q12" s="44"/>
      <c r="R12" s="44"/>
      <c r="S12" s="44"/>
      <c r="T12" s="42"/>
      <c r="U12" s="42"/>
      <c r="V12" s="42"/>
      <c r="W12" s="42"/>
      <c r="X12" s="42"/>
    </row>
    <row r="13" spans="1:25">
      <c r="A13" s="242" t="s">
        <v>107</v>
      </c>
      <c r="B13" s="529" t="s">
        <v>127</v>
      </c>
      <c r="C13" s="531"/>
      <c r="D13" s="529" t="s">
        <v>126</v>
      </c>
      <c r="E13" s="533"/>
      <c r="F13" s="532" t="s">
        <v>125</v>
      </c>
      <c r="G13" s="533"/>
      <c r="H13" s="532" t="s">
        <v>124</v>
      </c>
      <c r="I13" s="533"/>
      <c r="J13" s="532" t="s">
        <v>527</v>
      </c>
      <c r="K13" s="533"/>
      <c r="L13" s="532" t="s">
        <v>122</v>
      </c>
      <c r="M13" s="533"/>
      <c r="N13" s="532" t="s">
        <v>121</v>
      </c>
      <c r="O13" s="530"/>
      <c r="P13" s="533"/>
      <c r="Q13" s="543" t="s">
        <v>106</v>
      </c>
      <c r="R13" s="543" t="s">
        <v>133</v>
      </c>
      <c r="S13" s="538" t="s">
        <v>132</v>
      </c>
      <c r="T13" s="538" t="s">
        <v>131</v>
      </c>
      <c r="U13" s="538" t="s">
        <v>193</v>
      </c>
      <c r="V13" s="538" t="s">
        <v>130</v>
      </c>
      <c r="W13" s="540" t="s">
        <v>420</v>
      </c>
      <c r="X13" s="542"/>
    </row>
    <row r="14" spans="1:25">
      <c r="A14" s="243" t="s">
        <v>99</v>
      </c>
      <c r="B14" s="248" t="s">
        <v>98</v>
      </c>
      <c r="C14" s="249" t="s">
        <v>97</v>
      </c>
      <c r="D14" s="250" t="s">
        <v>98</v>
      </c>
      <c r="E14" s="247" t="s">
        <v>97</v>
      </c>
      <c r="F14" s="250" t="s">
        <v>98</v>
      </c>
      <c r="G14" s="247" t="s">
        <v>97</v>
      </c>
      <c r="H14" s="250" t="s">
        <v>98</v>
      </c>
      <c r="I14" s="247" t="s">
        <v>97</v>
      </c>
      <c r="J14" s="250" t="s">
        <v>98</v>
      </c>
      <c r="K14" s="247" t="s">
        <v>97</v>
      </c>
      <c r="L14" s="250" t="s">
        <v>98</v>
      </c>
      <c r="M14" s="251" t="s">
        <v>97</v>
      </c>
      <c r="N14" s="251" t="s">
        <v>120</v>
      </c>
      <c r="O14" s="251" t="s">
        <v>119</v>
      </c>
      <c r="P14" s="247" t="s">
        <v>97</v>
      </c>
      <c r="Q14" s="544"/>
      <c r="R14" s="544"/>
      <c r="S14" s="539"/>
      <c r="T14" s="539"/>
      <c r="U14" s="539"/>
      <c r="V14" s="539"/>
      <c r="W14" s="541"/>
      <c r="X14" s="542"/>
    </row>
    <row r="15" spans="1:25">
      <c r="A15" s="143" t="s">
        <v>129</v>
      </c>
      <c r="B15" s="334">
        <v>52480</v>
      </c>
      <c r="C15" s="335">
        <v>19872</v>
      </c>
      <c r="D15" s="293">
        <v>28284</v>
      </c>
      <c r="E15" s="293">
        <v>10066</v>
      </c>
      <c r="F15" s="157">
        <v>705</v>
      </c>
      <c r="G15" s="157">
        <v>456</v>
      </c>
      <c r="H15" s="293">
        <v>4126</v>
      </c>
      <c r="I15" s="293">
        <v>2601</v>
      </c>
      <c r="J15" s="293">
        <v>126</v>
      </c>
      <c r="K15" s="293">
        <v>38</v>
      </c>
      <c r="L15" s="293">
        <v>41</v>
      </c>
      <c r="M15" s="293">
        <v>56</v>
      </c>
      <c r="N15" s="157">
        <v>19179</v>
      </c>
      <c r="O15" s="157">
        <v>19</v>
      </c>
      <c r="P15" s="157">
        <v>6422</v>
      </c>
      <c r="Q15" s="157">
        <v>20</v>
      </c>
      <c r="R15" s="91">
        <v>97</v>
      </c>
      <c r="S15" s="91">
        <v>19</v>
      </c>
      <c r="T15" s="91">
        <v>59</v>
      </c>
      <c r="U15" s="91">
        <v>24</v>
      </c>
      <c r="V15" s="91">
        <v>14</v>
      </c>
      <c r="W15" s="105">
        <v>0</v>
      </c>
      <c r="X15" s="136"/>
    </row>
    <row r="16" spans="1:25">
      <c r="A16" s="44"/>
      <c r="B16" s="161"/>
      <c r="C16" s="161"/>
      <c r="D16" s="161"/>
      <c r="E16" s="161"/>
      <c r="F16" s="44"/>
      <c r="G16" s="44"/>
      <c r="H16" s="44"/>
      <c r="I16" s="44"/>
      <c r="J16" s="44"/>
      <c r="K16" s="44"/>
      <c r="L16" s="57"/>
      <c r="M16" s="57"/>
      <c r="N16" s="57"/>
      <c r="O16" s="44"/>
      <c r="P16" s="44"/>
      <c r="Q16" s="44"/>
      <c r="R16" s="44"/>
      <c r="S16" s="42"/>
      <c r="T16" s="42"/>
      <c r="U16" s="42"/>
      <c r="V16" s="42"/>
      <c r="W16" s="42"/>
      <c r="X16" s="42"/>
    </row>
    <row r="17" spans="1:24">
      <c r="A17" s="51" t="s">
        <v>128</v>
      </c>
      <c r="B17" s="161"/>
      <c r="C17" s="161"/>
      <c r="D17" s="161"/>
      <c r="E17" s="161"/>
      <c r="F17" s="44"/>
      <c r="G17" s="44"/>
      <c r="H17" s="44"/>
      <c r="I17" s="44"/>
      <c r="J17" s="44"/>
      <c r="K17" s="44"/>
      <c r="L17" s="44"/>
      <c r="M17" s="44"/>
      <c r="N17" s="88"/>
      <c r="O17" s="44"/>
      <c r="P17" s="44"/>
      <c r="Q17" s="44"/>
      <c r="R17" s="42"/>
      <c r="S17" s="42"/>
      <c r="T17" s="42"/>
      <c r="U17" s="42"/>
      <c r="V17" s="42"/>
      <c r="W17" s="42"/>
    </row>
    <row r="18" spans="1:24">
      <c r="A18" s="242" t="s">
        <v>107</v>
      </c>
      <c r="B18" s="535" t="s">
        <v>127</v>
      </c>
      <c r="C18" s="536"/>
      <c r="D18" s="535" t="s">
        <v>126</v>
      </c>
      <c r="E18" s="537"/>
      <c r="F18" s="532" t="s">
        <v>125</v>
      </c>
      <c r="G18" s="533"/>
      <c r="H18" s="532" t="s">
        <v>124</v>
      </c>
      <c r="I18" s="533"/>
      <c r="J18" s="532" t="s">
        <v>527</v>
      </c>
      <c r="K18" s="533"/>
      <c r="L18" s="532" t="s">
        <v>122</v>
      </c>
      <c r="M18" s="533"/>
      <c r="N18" s="532" t="s">
        <v>121</v>
      </c>
      <c r="O18" s="530"/>
      <c r="P18" s="531"/>
      <c r="Q18" s="42"/>
      <c r="R18" s="42"/>
      <c r="S18" s="42"/>
      <c r="T18" s="42"/>
      <c r="U18" s="42"/>
      <c r="V18" s="42"/>
      <c r="W18" s="42"/>
    </row>
    <row r="19" spans="1:24">
      <c r="A19" s="243" t="s">
        <v>99</v>
      </c>
      <c r="B19" s="336" t="s">
        <v>98</v>
      </c>
      <c r="C19" s="337" t="s">
        <v>97</v>
      </c>
      <c r="D19" s="338" t="s">
        <v>98</v>
      </c>
      <c r="E19" s="339" t="s">
        <v>97</v>
      </c>
      <c r="F19" s="247" t="s">
        <v>98</v>
      </c>
      <c r="G19" s="247" t="s">
        <v>97</v>
      </c>
      <c r="H19" s="247" t="s">
        <v>98</v>
      </c>
      <c r="I19" s="247" t="s">
        <v>97</v>
      </c>
      <c r="J19" s="247" t="s">
        <v>98</v>
      </c>
      <c r="K19" s="247" t="s">
        <v>97</v>
      </c>
      <c r="L19" s="247" t="s">
        <v>98</v>
      </c>
      <c r="M19" s="247" t="s">
        <v>97</v>
      </c>
      <c r="N19" s="247" t="s">
        <v>120</v>
      </c>
      <c r="O19" s="247" t="s">
        <v>119</v>
      </c>
      <c r="P19" s="245" t="s">
        <v>97</v>
      </c>
      <c r="Q19" s="42"/>
      <c r="R19" s="42"/>
      <c r="S19" s="42"/>
      <c r="T19" s="42"/>
      <c r="U19" s="42"/>
      <c r="V19" s="42"/>
      <c r="W19" s="42"/>
    </row>
    <row r="20" spans="1:24">
      <c r="A20" s="47" t="s">
        <v>1</v>
      </c>
      <c r="B20" s="131">
        <v>32037</v>
      </c>
      <c r="C20" s="116">
        <v>28227</v>
      </c>
      <c r="D20" s="324">
        <v>12529</v>
      </c>
      <c r="E20" s="324">
        <v>7111</v>
      </c>
      <c r="F20" s="264">
        <v>1575</v>
      </c>
      <c r="G20" s="264">
        <v>860</v>
      </c>
      <c r="H20" s="324">
        <v>7226</v>
      </c>
      <c r="I20" s="324">
        <v>2264</v>
      </c>
      <c r="J20" s="324">
        <v>562</v>
      </c>
      <c r="K20" s="324">
        <v>310</v>
      </c>
      <c r="L20" s="324">
        <v>5</v>
      </c>
      <c r="M20" s="324">
        <v>4</v>
      </c>
      <c r="N20" s="264">
        <v>10059</v>
      </c>
      <c r="O20" s="264">
        <v>81</v>
      </c>
      <c r="P20" s="276">
        <v>17678</v>
      </c>
      <c r="Q20" s="42"/>
      <c r="R20" s="42"/>
      <c r="S20" s="42"/>
      <c r="T20" s="42"/>
      <c r="U20" s="42"/>
      <c r="V20" s="42"/>
      <c r="W20" s="42"/>
    </row>
    <row r="21" spans="1:24">
      <c r="A21" s="48" t="s">
        <v>115</v>
      </c>
      <c r="B21" s="128">
        <v>16043</v>
      </c>
      <c r="C21" s="129">
        <v>13527</v>
      </c>
      <c r="D21" s="118">
        <v>6367</v>
      </c>
      <c r="E21" s="118">
        <v>3784</v>
      </c>
      <c r="F21" s="232">
        <v>664</v>
      </c>
      <c r="G21" s="232">
        <v>457</v>
      </c>
      <c r="H21" s="118">
        <v>4528</v>
      </c>
      <c r="I21" s="118">
        <v>1291</v>
      </c>
      <c r="J21" s="118">
        <v>0</v>
      </c>
      <c r="K21" s="118">
        <v>0</v>
      </c>
      <c r="L21" s="118">
        <v>3</v>
      </c>
      <c r="M21" s="118">
        <v>1</v>
      </c>
      <c r="N21" s="232">
        <v>4449</v>
      </c>
      <c r="O21" s="232">
        <v>32</v>
      </c>
      <c r="P21" s="277">
        <v>7994</v>
      </c>
      <c r="Q21" s="42"/>
      <c r="R21" s="42"/>
      <c r="S21" s="42"/>
      <c r="T21" s="42"/>
      <c r="U21" s="42"/>
      <c r="V21" s="42"/>
      <c r="W21" s="42"/>
    </row>
    <row r="22" spans="1:24" ht="15.75" customHeight="1">
      <c r="A22" s="48" t="s">
        <v>114</v>
      </c>
      <c r="B22" s="128">
        <v>2494</v>
      </c>
      <c r="C22" s="129">
        <v>2297</v>
      </c>
      <c r="D22" s="118">
        <v>914</v>
      </c>
      <c r="E22" s="118">
        <v>531</v>
      </c>
      <c r="F22" s="232">
        <v>136</v>
      </c>
      <c r="G22" s="232">
        <v>71</v>
      </c>
      <c r="H22" s="118">
        <v>494</v>
      </c>
      <c r="I22" s="118">
        <v>260</v>
      </c>
      <c r="J22" s="118">
        <v>0</v>
      </c>
      <c r="K22" s="118">
        <v>0</v>
      </c>
      <c r="L22" s="118">
        <v>0</v>
      </c>
      <c r="M22" s="118">
        <v>0</v>
      </c>
      <c r="N22" s="232">
        <v>936</v>
      </c>
      <c r="O22" s="232">
        <v>14</v>
      </c>
      <c r="P22" s="277">
        <v>1435</v>
      </c>
      <c r="Q22" s="42"/>
      <c r="R22" s="42"/>
      <c r="S22" s="42"/>
      <c r="T22" s="42"/>
      <c r="U22" s="42"/>
      <c r="V22" s="42"/>
      <c r="W22" s="42"/>
    </row>
    <row r="23" spans="1:24" ht="15.75" customHeight="1">
      <c r="A23" s="48" t="s">
        <v>113</v>
      </c>
      <c r="B23" s="128">
        <v>1882</v>
      </c>
      <c r="C23" s="129">
        <v>2543</v>
      </c>
      <c r="D23" s="118">
        <v>761</v>
      </c>
      <c r="E23" s="118">
        <v>424</v>
      </c>
      <c r="F23" s="232">
        <v>62</v>
      </c>
      <c r="G23" s="232">
        <v>41</v>
      </c>
      <c r="H23" s="118">
        <v>341</v>
      </c>
      <c r="I23" s="118">
        <v>100</v>
      </c>
      <c r="J23" s="118">
        <v>0</v>
      </c>
      <c r="K23" s="118">
        <v>0</v>
      </c>
      <c r="L23" s="118">
        <v>0</v>
      </c>
      <c r="M23" s="118">
        <v>0</v>
      </c>
      <c r="N23" s="232">
        <v>710</v>
      </c>
      <c r="O23" s="232">
        <v>8</v>
      </c>
      <c r="P23" s="277">
        <v>1978</v>
      </c>
      <c r="Q23" s="42"/>
      <c r="R23" s="42"/>
      <c r="S23" s="42"/>
      <c r="T23" s="42"/>
      <c r="U23" s="42"/>
      <c r="V23" s="42"/>
      <c r="W23" s="42"/>
    </row>
    <row r="24" spans="1:24" ht="15.75" customHeight="1">
      <c r="A24" s="48" t="s">
        <v>112</v>
      </c>
      <c r="B24" s="128">
        <v>3806</v>
      </c>
      <c r="C24" s="129">
        <v>3791</v>
      </c>
      <c r="D24" s="118">
        <v>1531</v>
      </c>
      <c r="E24" s="118">
        <v>714</v>
      </c>
      <c r="F24" s="232">
        <v>210</v>
      </c>
      <c r="G24" s="232">
        <v>76</v>
      </c>
      <c r="H24" s="118">
        <v>659</v>
      </c>
      <c r="I24" s="118">
        <v>265</v>
      </c>
      <c r="J24" s="118">
        <v>0</v>
      </c>
      <c r="K24" s="118">
        <v>0</v>
      </c>
      <c r="L24" s="118">
        <v>2</v>
      </c>
      <c r="M24" s="118">
        <v>3</v>
      </c>
      <c r="N24" s="232">
        <v>1395</v>
      </c>
      <c r="O24" s="232">
        <v>9</v>
      </c>
      <c r="P24" s="277">
        <v>2733</v>
      </c>
      <c r="Q24" s="42"/>
      <c r="R24" s="42"/>
      <c r="S24" s="42"/>
      <c r="T24" s="42"/>
      <c r="U24" s="42"/>
      <c r="V24" s="42"/>
      <c r="W24" s="42"/>
    </row>
    <row r="25" spans="1:24" ht="15.75" customHeight="1">
      <c r="A25" s="48" t="s">
        <v>111</v>
      </c>
      <c r="B25" s="128">
        <v>2781</v>
      </c>
      <c r="C25" s="129">
        <v>2294</v>
      </c>
      <c r="D25" s="118">
        <v>986</v>
      </c>
      <c r="E25" s="118">
        <v>538</v>
      </c>
      <c r="F25" s="232">
        <v>122</v>
      </c>
      <c r="G25" s="232">
        <v>48</v>
      </c>
      <c r="H25" s="118">
        <v>594</v>
      </c>
      <c r="I25" s="118">
        <v>168</v>
      </c>
      <c r="J25" s="118">
        <v>0</v>
      </c>
      <c r="K25" s="118">
        <v>0</v>
      </c>
      <c r="L25" s="118">
        <v>0</v>
      </c>
      <c r="M25" s="118">
        <v>0</v>
      </c>
      <c r="N25" s="232">
        <v>1067</v>
      </c>
      <c r="O25" s="232">
        <v>12</v>
      </c>
      <c r="P25" s="277">
        <v>1540</v>
      </c>
      <c r="Q25" s="42"/>
      <c r="R25" s="42"/>
      <c r="S25" s="42"/>
      <c r="T25" s="42"/>
      <c r="U25" s="42"/>
      <c r="V25" s="42"/>
      <c r="W25" s="42"/>
    </row>
    <row r="26" spans="1:24" ht="15.75" customHeight="1">
      <c r="A26" s="120" t="s">
        <v>110</v>
      </c>
      <c r="B26" s="128">
        <v>4327</v>
      </c>
      <c r="C26" s="129">
        <v>3392</v>
      </c>
      <c r="D26" s="325">
        <v>1828</v>
      </c>
      <c r="E26" s="325">
        <v>1047</v>
      </c>
      <c r="F26" s="265">
        <v>381</v>
      </c>
      <c r="G26" s="265">
        <v>167</v>
      </c>
      <c r="H26" s="325">
        <v>610</v>
      </c>
      <c r="I26" s="325">
        <v>180</v>
      </c>
      <c r="J26" s="325">
        <v>0</v>
      </c>
      <c r="K26" s="325">
        <v>0</v>
      </c>
      <c r="L26" s="325">
        <v>0</v>
      </c>
      <c r="M26" s="325">
        <v>0</v>
      </c>
      <c r="N26" s="265">
        <v>1502</v>
      </c>
      <c r="O26" s="265">
        <v>6</v>
      </c>
      <c r="P26" s="277">
        <v>1998</v>
      </c>
      <c r="Q26" s="42"/>
      <c r="R26" s="42"/>
      <c r="S26" s="42"/>
      <c r="T26" s="42"/>
      <c r="U26" s="42"/>
      <c r="V26" s="42"/>
      <c r="W26" s="42"/>
    </row>
    <row r="27" spans="1:24" ht="15.75" customHeight="1">
      <c r="A27" s="104" t="s">
        <v>109</v>
      </c>
      <c r="B27" s="128">
        <v>704</v>
      </c>
      <c r="C27" s="129">
        <v>383</v>
      </c>
      <c r="D27" s="119">
        <v>142</v>
      </c>
      <c r="E27" s="119">
        <v>73</v>
      </c>
      <c r="F27" s="266">
        <v>0</v>
      </c>
      <c r="G27" s="266">
        <v>0</v>
      </c>
      <c r="H27" s="119">
        <v>0</v>
      </c>
      <c r="I27" s="119">
        <v>0</v>
      </c>
      <c r="J27" s="119">
        <v>562</v>
      </c>
      <c r="K27" s="119">
        <v>310</v>
      </c>
      <c r="L27" s="119">
        <v>0</v>
      </c>
      <c r="M27" s="119">
        <v>0</v>
      </c>
      <c r="N27" s="266">
        <v>0</v>
      </c>
      <c r="O27" s="266">
        <v>0</v>
      </c>
      <c r="P27" s="277">
        <v>0</v>
      </c>
      <c r="Q27" s="42"/>
      <c r="R27" s="42"/>
      <c r="S27" s="42"/>
      <c r="T27" s="42"/>
      <c r="U27" s="42"/>
      <c r="V27" s="42"/>
      <c r="W27" s="42"/>
    </row>
    <row r="28" spans="1:24" ht="15.75" customHeight="1">
      <c r="A28" s="61"/>
      <c r="B28" s="62"/>
      <c r="C28" s="62"/>
      <c r="D28" s="62"/>
      <c r="E28" s="62"/>
      <c r="F28" s="62"/>
      <c r="G28" s="62"/>
      <c r="H28" s="62"/>
      <c r="I28" s="62"/>
      <c r="J28" s="62"/>
      <c r="K28" s="62"/>
      <c r="L28" s="62"/>
      <c r="M28" s="62"/>
      <c r="N28" s="62"/>
      <c r="O28" s="62"/>
      <c r="P28" s="62"/>
      <c r="Q28" s="42"/>
      <c r="R28" s="42"/>
      <c r="S28" s="42"/>
      <c r="T28" s="42"/>
      <c r="U28" s="42"/>
      <c r="V28" s="42"/>
      <c r="W28" s="42"/>
    </row>
    <row r="29" spans="1:24" ht="15.75" customHeight="1">
      <c r="A29" s="63" t="s">
        <v>108</v>
      </c>
      <c r="B29" s="64"/>
      <c r="C29" s="64"/>
      <c r="D29" s="121"/>
      <c r="E29" s="121"/>
      <c r="F29" s="64"/>
      <c r="G29" s="64"/>
      <c r="H29" s="88"/>
      <c r="I29" s="64"/>
      <c r="J29" s="64"/>
      <c r="K29" s="64"/>
      <c r="L29" s="64"/>
      <c r="M29" s="64"/>
      <c r="N29" s="64"/>
      <c r="O29" s="64"/>
      <c r="P29" s="137"/>
      <c r="Q29" s="147"/>
      <c r="R29" s="147"/>
      <c r="S29" s="42"/>
      <c r="T29" s="42"/>
      <c r="U29" s="150"/>
      <c r="V29" s="150"/>
      <c r="W29" s="150"/>
      <c r="X29" s="150"/>
    </row>
    <row r="30" spans="1:24">
      <c r="A30" s="236" t="s">
        <v>107</v>
      </c>
      <c r="B30" s="545" t="s">
        <v>21</v>
      </c>
      <c r="C30" s="546"/>
      <c r="D30" s="545" t="s">
        <v>73</v>
      </c>
      <c r="E30" s="547"/>
      <c r="F30" s="548" t="s">
        <v>74</v>
      </c>
      <c r="G30" s="547"/>
      <c r="H30" s="548" t="s">
        <v>75</v>
      </c>
      <c r="I30" s="547"/>
      <c r="J30" s="549" t="s">
        <v>106</v>
      </c>
      <c r="K30" s="554" t="s">
        <v>105</v>
      </c>
      <c r="L30" s="554" t="s">
        <v>104</v>
      </c>
      <c r="M30" s="554" t="s">
        <v>103</v>
      </c>
      <c r="N30" s="554" t="s">
        <v>102</v>
      </c>
      <c r="O30" s="554" t="s">
        <v>101</v>
      </c>
      <c r="P30" s="551" t="s">
        <v>100</v>
      </c>
      <c r="Q30" s="556"/>
      <c r="R30" s="148"/>
      <c r="S30" s="42"/>
      <c r="T30" s="42"/>
      <c r="U30" s="150"/>
      <c r="V30" s="150"/>
      <c r="W30" s="150"/>
    </row>
    <row r="31" spans="1:24" ht="16.5" customHeight="1">
      <c r="A31" s="237" t="s">
        <v>99</v>
      </c>
      <c r="B31" s="238" t="s">
        <v>98</v>
      </c>
      <c r="C31" s="239" t="s">
        <v>97</v>
      </c>
      <c r="D31" s="240" t="s">
        <v>98</v>
      </c>
      <c r="E31" s="241" t="s">
        <v>97</v>
      </c>
      <c r="F31" s="241" t="s">
        <v>98</v>
      </c>
      <c r="G31" s="241" t="s">
        <v>97</v>
      </c>
      <c r="H31" s="241" t="s">
        <v>98</v>
      </c>
      <c r="I31" s="241" t="s">
        <v>97</v>
      </c>
      <c r="J31" s="550"/>
      <c r="K31" s="555"/>
      <c r="L31" s="555"/>
      <c r="M31" s="555"/>
      <c r="N31" s="555"/>
      <c r="O31" s="555"/>
      <c r="P31" s="552"/>
      <c r="Q31" s="556"/>
      <c r="R31" s="179"/>
      <c r="S31" s="179"/>
      <c r="T31" s="152"/>
      <c r="U31" s="153"/>
      <c r="V31" s="153"/>
      <c r="W31" s="153"/>
    </row>
    <row r="32" spans="1:24">
      <c r="A32" s="47" t="s">
        <v>1</v>
      </c>
      <c r="B32" s="318">
        <v>108733</v>
      </c>
      <c r="C32" s="319">
        <v>19889</v>
      </c>
      <c r="D32" s="233">
        <v>44961</v>
      </c>
      <c r="E32" s="315">
        <v>13519</v>
      </c>
      <c r="F32" s="233">
        <v>2664</v>
      </c>
      <c r="G32" s="233">
        <v>1483</v>
      </c>
      <c r="H32" s="233">
        <v>61108</v>
      </c>
      <c r="I32" s="233">
        <v>2596</v>
      </c>
      <c r="J32" s="278">
        <v>219</v>
      </c>
      <c r="K32" s="279">
        <v>1091</v>
      </c>
      <c r="L32" s="280">
        <v>233</v>
      </c>
      <c r="M32" s="280">
        <v>580</v>
      </c>
      <c r="N32" s="280">
        <v>102</v>
      </c>
      <c r="O32" s="280">
        <v>64</v>
      </c>
      <c r="P32" s="281">
        <v>2</v>
      </c>
      <c r="Q32" s="135"/>
      <c r="R32" s="179"/>
      <c r="S32" s="179"/>
      <c r="T32" s="153"/>
      <c r="U32" s="153"/>
      <c r="V32" s="153"/>
      <c r="W32" s="153"/>
    </row>
    <row r="33" spans="1:23">
      <c r="A33" s="71" t="s">
        <v>96</v>
      </c>
      <c r="B33" s="320">
        <v>12218</v>
      </c>
      <c r="C33" s="321">
        <v>1142</v>
      </c>
      <c r="D33" s="267">
        <v>8162</v>
      </c>
      <c r="E33" s="316">
        <v>942</v>
      </c>
      <c r="F33" s="267">
        <v>0</v>
      </c>
      <c r="G33" s="267">
        <v>0</v>
      </c>
      <c r="H33" s="234">
        <v>4056</v>
      </c>
      <c r="I33" s="234">
        <v>200</v>
      </c>
      <c r="J33" s="234">
        <v>0</v>
      </c>
      <c r="K33" s="282">
        <v>0</v>
      </c>
      <c r="L33" s="267">
        <v>0</v>
      </c>
      <c r="M33" s="267">
        <v>0</v>
      </c>
      <c r="N33" s="267">
        <v>0</v>
      </c>
      <c r="O33" s="283">
        <v>0</v>
      </c>
      <c r="P33" s="282">
        <v>0</v>
      </c>
      <c r="Q33" s="136"/>
      <c r="R33" s="179"/>
      <c r="S33" s="64"/>
      <c r="T33" s="153"/>
      <c r="U33" s="153"/>
      <c r="V33" s="153"/>
      <c r="W33" s="153"/>
    </row>
    <row r="34" spans="1:23">
      <c r="A34" s="71" t="s">
        <v>95</v>
      </c>
      <c r="B34" s="320">
        <v>407</v>
      </c>
      <c r="C34" s="321">
        <v>738</v>
      </c>
      <c r="D34" s="267">
        <v>0</v>
      </c>
      <c r="E34" s="316">
        <v>0</v>
      </c>
      <c r="F34" s="267">
        <v>407</v>
      </c>
      <c r="G34" s="267">
        <v>213</v>
      </c>
      <c r="H34" s="234">
        <v>0</v>
      </c>
      <c r="I34" s="234">
        <v>9</v>
      </c>
      <c r="J34" s="234">
        <v>40</v>
      </c>
      <c r="K34" s="282">
        <v>287</v>
      </c>
      <c r="L34" s="267">
        <v>65</v>
      </c>
      <c r="M34" s="267">
        <v>104</v>
      </c>
      <c r="N34" s="267">
        <v>20</v>
      </c>
      <c r="O34" s="267">
        <v>0</v>
      </c>
      <c r="P34" s="282">
        <v>0</v>
      </c>
      <c r="Q34" s="136"/>
      <c r="R34" s="179"/>
      <c r="S34" s="64"/>
      <c r="T34" s="153"/>
      <c r="U34" s="153"/>
      <c r="V34" s="153"/>
      <c r="W34" s="153"/>
    </row>
    <row r="35" spans="1:23">
      <c r="A35" s="71" t="s">
        <v>94</v>
      </c>
      <c r="B35" s="320">
        <v>0</v>
      </c>
      <c r="C35" s="321">
        <v>514</v>
      </c>
      <c r="D35" s="267">
        <v>0</v>
      </c>
      <c r="E35" s="316">
        <v>514</v>
      </c>
      <c r="F35" s="267">
        <v>0</v>
      </c>
      <c r="G35" s="267">
        <v>0</v>
      </c>
      <c r="H35" s="234">
        <v>0</v>
      </c>
      <c r="I35" s="234">
        <v>0</v>
      </c>
      <c r="J35" s="234">
        <v>0</v>
      </c>
      <c r="K35" s="282">
        <v>0</v>
      </c>
      <c r="L35" s="267">
        <v>0</v>
      </c>
      <c r="M35" s="267">
        <v>0</v>
      </c>
      <c r="N35" s="267">
        <v>0</v>
      </c>
      <c r="O35" s="267">
        <v>0</v>
      </c>
      <c r="P35" s="282">
        <v>0</v>
      </c>
      <c r="Q35" s="136"/>
      <c r="R35" s="179"/>
      <c r="S35" s="64"/>
      <c r="T35" s="153"/>
      <c r="U35" s="153"/>
      <c r="V35" s="153"/>
      <c r="W35" s="153"/>
    </row>
    <row r="36" spans="1:23">
      <c r="A36" s="71" t="s">
        <v>93</v>
      </c>
      <c r="B36" s="320">
        <v>3693</v>
      </c>
      <c r="C36" s="321">
        <v>388</v>
      </c>
      <c r="D36" s="267">
        <v>1787</v>
      </c>
      <c r="E36" s="316">
        <v>311</v>
      </c>
      <c r="F36" s="267">
        <v>0</v>
      </c>
      <c r="G36" s="267">
        <v>1</v>
      </c>
      <c r="H36" s="234">
        <v>1906</v>
      </c>
      <c r="I36" s="234">
        <v>74</v>
      </c>
      <c r="J36" s="234">
        <v>0</v>
      </c>
      <c r="K36" s="282">
        <v>0</v>
      </c>
      <c r="L36" s="267">
        <v>0</v>
      </c>
      <c r="M36" s="267">
        <v>0</v>
      </c>
      <c r="N36" s="267">
        <v>0</v>
      </c>
      <c r="O36" s="284">
        <v>2</v>
      </c>
      <c r="P36" s="282">
        <v>0</v>
      </c>
      <c r="Q36" s="136"/>
      <c r="R36" s="179"/>
      <c r="S36" s="64"/>
      <c r="T36" s="148"/>
      <c r="U36" s="148"/>
      <c r="V36" s="149"/>
      <c r="W36" s="149"/>
    </row>
    <row r="37" spans="1:23">
      <c r="A37" s="71" t="s">
        <v>92</v>
      </c>
      <c r="B37" s="320">
        <v>4349</v>
      </c>
      <c r="C37" s="321">
        <v>487</v>
      </c>
      <c r="D37" s="267">
        <v>1997</v>
      </c>
      <c r="E37" s="316">
        <v>362</v>
      </c>
      <c r="F37" s="267">
        <v>0</v>
      </c>
      <c r="G37" s="267">
        <v>5</v>
      </c>
      <c r="H37" s="234">
        <v>2352</v>
      </c>
      <c r="I37" s="234">
        <v>118</v>
      </c>
      <c r="J37" s="234">
        <v>0</v>
      </c>
      <c r="K37" s="282">
        <v>0</v>
      </c>
      <c r="L37" s="267">
        <v>0</v>
      </c>
      <c r="M37" s="267">
        <v>0</v>
      </c>
      <c r="N37" s="267">
        <v>0</v>
      </c>
      <c r="O37" s="267">
        <v>2</v>
      </c>
      <c r="P37" s="282">
        <v>0</v>
      </c>
      <c r="Q37" s="136"/>
      <c r="R37" s="179"/>
      <c r="S37" s="64"/>
      <c r="T37" s="148"/>
      <c r="U37" s="148"/>
      <c r="V37" s="149"/>
      <c r="W37" s="149"/>
    </row>
    <row r="38" spans="1:23">
      <c r="A38" s="71" t="s">
        <v>91</v>
      </c>
      <c r="B38" s="320">
        <v>3779</v>
      </c>
      <c r="C38" s="321">
        <v>414</v>
      </c>
      <c r="D38" s="267">
        <v>1461</v>
      </c>
      <c r="E38" s="316">
        <v>277</v>
      </c>
      <c r="F38" s="267">
        <v>0</v>
      </c>
      <c r="G38" s="267">
        <v>8</v>
      </c>
      <c r="H38" s="234">
        <v>2318</v>
      </c>
      <c r="I38" s="234">
        <v>126</v>
      </c>
      <c r="J38" s="234">
        <v>0</v>
      </c>
      <c r="K38" s="282">
        <v>0</v>
      </c>
      <c r="L38" s="267">
        <v>0</v>
      </c>
      <c r="M38" s="267">
        <v>0</v>
      </c>
      <c r="N38" s="267">
        <v>0</v>
      </c>
      <c r="O38" s="267">
        <v>3</v>
      </c>
      <c r="P38" s="282">
        <v>0</v>
      </c>
      <c r="Q38" s="136"/>
      <c r="R38" s="179"/>
      <c r="S38" s="64"/>
      <c r="T38" s="553"/>
      <c r="U38" s="179"/>
      <c r="V38" s="179"/>
      <c r="W38" s="179"/>
    </row>
    <row r="39" spans="1:23">
      <c r="A39" s="71" t="s">
        <v>90</v>
      </c>
      <c r="B39" s="320">
        <v>2675</v>
      </c>
      <c r="C39" s="321">
        <v>342</v>
      </c>
      <c r="D39" s="267">
        <v>1148</v>
      </c>
      <c r="E39" s="316">
        <v>252</v>
      </c>
      <c r="F39" s="267">
        <v>0</v>
      </c>
      <c r="G39" s="267">
        <v>7</v>
      </c>
      <c r="H39" s="234">
        <v>1527</v>
      </c>
      <c r="I39" s="234">
        <v>82</v>
      </c>
      <c r="J39" s="234">
        <v>0</v>
      </c>
      <c r="K39" s="282">
        <v>0</v>
      </c>
      <c r="L39" s="267">
        <v>0</v>
      </c>
      <c r="M39" s="267">
        <v>0</v>
      </c>
      <c r="N39" s="267">
        <v>0</v>
      </c>
      <c r="O39" s="267">
        <v>1</v>
      </c>
      <c r="P39" s="282">
        <v>0</v>
      </c>
      <c r="Q39" s="136"/>
      <c r="R39" s="179"/>
      <c r="S39" s="64"/>
      <c r="T39" s="553"/>
      <c r="U39" s="154"/>
      <c r="V39" s="154"/>
      <c r="W39" s="154"/>
    </row>
    <row r="40" spans="1:23">
      <c r="A40" s="71" t="s">
        <v>89</v>
      </c>
      <c r="B40" s="320">
        <v>6836</v>
      </c>
      <c r="C40" s="321">
        <v>1231</v>
      </c>
      <c r="D40" s="267">
        <v>2439</v>
      </c>
      <c r="E40" s="316">
        <v>866</v>
      </c>
      <c r="F40" s="267">
        <v>121</v>
      </c>
      <c r="G40" s="267">
        <v>95</v>
      </c>
      <c r="H40" s="234">
        <v>4276</v>
      </c>
      <c r="I40" s="234">
        <v>132</v>
      </c>
      <c r="J40" s="234">
        <v>21</v>
      </c>
      <c r="K40" s="282">
        <v>63</v>
      </c>
      <c r="L40" s="267">
        <v>22</v>
      </c>
      <c r="M40" s="267">
        <v>23</v>
      </c>
      <c r="N40" s="267">
        <v>7</v>
      </c>
      <c r="O40" s="267">
        <v>2</v>
      </c>
      <c r="P40" s="282">
        <v>0</v>
      </c>
      <c r="Q40" s="136"/>
      <c r="R40" s="179"/>
      <c r="S40" s="64"/>
      <c r="T40" s="553"/>
      <c r="U40" s="179"/>
      <c r="V40" s="179"/>
      <c r="W40" s="179"/>
    </row>
    <row r="41" spans="1:23">
      <c r="A41" s="71" t="s">
        <v>88</v>
      </c>
      <c r="B41" s="320">
        <v>8914</v>
      </c>
      <c r="C41" s="321">
        <v>1729</v>
      </c>
      <c r="D41" s="267">
        <v>3192</v>
      </c>
      <c r="E41" s="316">
        <v>1135</v>
      </c>
      <c r="F41" s="267">
        <v>277</v>
      </c>
      <c r="G41" s="267">
        <v>110</v>
      </c>
      <c r="H41" s="234">
        <v>5445</v>
      </c>
      <c r="I41" s="234">
        <v>272</v>
      </c>
      <c r="J41" s="234">
        <v>12</v>
      </c>
      <c r="K41" s="282">
        <v>92</v>
      </c>
      <c r="L41" s="267">
        <v>21</v>
      </c>
      <c r="M41" s="267">
        <v>74</v>
      </c>
      <c r="N41" s="267">
        <v>9</v>
      </c>
      <c r="O41" s="267">
        <v>4</v>
      </c>
      <c r="P41" s="282">
        <v>0</v>
      </c>
      <c r="Q41" s="136"/>
      <c r="R41" s="179"/>
      <c r="S41" s="64"/>
      <c r="T41" s="553"/>
      <c r="U41" s="154"/>
      <c r="V41" s="154"/>
      <c r="W41" s="154"/>
    </row>
    <row r="42" spans="1:23">
      <c r="A42" s="71" t="s">
        <v>87</v>
      </c>
      <c r="B42" s="320">
        <v>14908</v>
      </c>
      <c r="C42" s="321">
        <v>3114</v>
      </c>
      <c r="D42" s="267">
        <v>5890</v>
      </c>
      <c r="E42" s="316">
        <v>2059</v>
      </c>
      <c r="F42" s="267">
        <v>442</v>
      </c>
      <c r="G42" s="267">
        <v>265</v>
      </c>
      <c r="H42" s="234">
        <v>8576</v>
      </c>
      <c r="I42" s="234">
        <v>349</v>
      </c>
      <c r="J42" s="234">
        <v>19</v>
      </c>
      <c r="K42" s="282">
        <v>219</v>
      </c>
      <c r="L42" s="267">
        <v>40</v>
      </c>
      <c r="M42" s="267">
        <v>138</v>
      </c>
      <c r="N42" s="267">
        <v>16</v>
      </c>
      <c r="O42" s="267">
        <v>9</v>
      </c>
      <c r="P42" s="282">
        <v>0</v>
      </c>
      <c r="Q42" s="136"/>
      <c r="R42" s="179"/>
      <c r="S42" s="64"/>
      <c r="T42" s="553"/>
      <c r="U42" s="179"/>
      <c r="V42" s="179"/>
      <c r="W42" s="179"/>
    </row>
    <row r="43" spans="1:23">
      <c r="A43" s="71" t="s">
        <v>86</v>
      </c>
      <c r="B43" s="320">
        <v>3248</v>
      </c>
      <c r="C43" s="321">
        <v>581</v>
      </c>
      <c r="D43" s="267">
        <v>957</v>
      </c>
      <c r="E43" s="316">
        <v>433</v>
      </c>
      <c r="F43" s="267">
        <v>93</v>
      </c>
      <c r="G43" s="267">
        <v>55</v>
      </c>
      <c r="H43" s="234">
        <v>2198</v>
      </c>
      <c r="I43" s="234">
        <v>50</v>
      </c>
      <c r="J43" s="234">
        <v>7</v>
      </c>
      <c r="K43" s="282">
        <v>21</v>
      </c>
      <c r="L43" s="267">
        <v>6</v>
      </c>
      <c r="M43" s="267">
        <v>8</v>
      </c>
      <c r="N43" s="267">
        <v>1</v>
      </c>
      <c r="O43" s="267">
        <v>0</v>
      </c>
      <c r="P43" s="282">
        <v>0</v>
      </c>
      <c r="Q43" s="136"/>
      <c r="R43" s="179"/>
      <c r="S43" s="64"/>
      <c r="T43" s="553"/>
      <c r="U43" s="154"/>
      <c r="V43" s="154"/>
      <c r="W43" s="154"/>
    </row>
    <row r="44" spans="1:23">
      <c r="A44" s="71" t="s">
        <v>85</v>
      </c>
      <c r="B44" s="320">
        <v>6971</v>
      </c>
      <c r="C44" s="321">
        <v>1532</v>
      </c>
      <c r="D44" s="267">
        <v>2506</v>
      </c>
      <c r="E44" s="316">
        <v>1096</v>
      </c>
      <c r="F44" s="267">
        <v>185</v>
      </c>
      <c r="G44" s="267">
        <v>131</v>
      </c>
      <c r="H44" s="234">
        <v>4280</v>
      </c>
      <c r="I44" s="234">
        <v>160</v>
      </c>
      <c r="J44" s="234">
        <v>30</v>
      </c>
      <c r="K44" s="282">
        <v>46</v>
      </c>
      <c r="L44" s="267">
        <v>20</v>
      </c>
      <c r="M44" s="267">
        <v>36</v>
      </c>
      <c r="N44" s="267">
        <v>9</v>
      </c>
      <c r="O44" s="267">
        <v>4</v>
      </c>
      <c r="P44" s="282">
        <v>0</v>
      </c>
      <c r="Q44" s="136"/>
      <c r="R44" s="179"/>
      <c r="S44" s="64"/>
      <c r="T44" s="553"/>
      <c r="U44" s="179"/>
      <c r="V44" s="179"/>
      <c r="W44" s="179"/>
    </row>
    <row r="45" spans="1:23">
      <c r="A45" s="71" t="s">
        <v>84</v>
      </c>
      <c r="B45" s="320">
        <v>2941</v>
      </c>
      <c r="C45" s="321">
        <v>593</v>
      </c>
      <c r="D45" s="267">
        <v>1081</v>
      </c>
      <c r="E45" s="316">
        <v>423</v>
      </c>
      <c r="F45" s="267">
        <v>81</v>
      </c>
      <c r="G45" s="267">
        <v>37</v>
      </c>
      <c r="H45" s="234">
        <v>1779</v>
      </c>
      <c r="I45" s="234">
        <v>83</v>
      </c>
      <c r="J45" s="234">
        <v>9</v>
      </c>
      <c r="K45" s="282">
        <v>20</v>
      </c>
      <c r="L45" s="267">
        <v>6</v>
      </c>
      <c r="M45" s="267">
        <v>15</v>
      </c>
      <c r="N45" s="267">
        <v>0</v>
      </c>
      <c r="O45" s="267">
        <v>0</v>
      </c>
      <c r="P45" s="282">
        <v>0</v>
      </c>
      <c r="Q45" s="136"/>
      <c r="R45" s="179"/>
      <c r="S45" s="64"/>
      <c r="T45" s="553"/>
      <c r="U45" s="154"/>
      <c r="V45" s="154"/>
      <c r="W45" s="154"/>
    </row>
    <row r="46" spans="1:23">
      <c r="A46" s="71" t="s">
        <v>83</v>
      </c>
      <c r="B46" s="320">
        <v>9592</v>
      </c>
      <c r="C46" s="321">
        <v>2052</v>
      </c>
      <c r="D46" s="267">
        <v>3568</v>
      </c>
      <c r="E46" s="316">
        <v>1425</v>
      </c>
      <c r="F46" s="267">
        <v>203</v>
      </c>
      <c r="G46" s="267">
        <v>161</v>
      </c>
      <c r="H46" s="234">
        <v>5821</v>
      </c>
      <c r="I46" s="234">
        <v>258</v>
      </c>
      <c r="J46" s="234">
        <v>22</v>
      </c>
      <c r="K46" s="282">
        <v>94</v>
      </c>
      <c r="L46" s="267">
        <v>19</v>
      </c>
      <c r="M46" s="267">
        <v>58</v>
      </c>
      <c r="N46" s="267">
        <v>4</v>
      </c>
      <c r="O46" s="267">
        <v>11</v>
      </c>
      <c r="P46" s="282">
        <v>0</v>
      </c>
      <c r="Q46" s="136"/>
      <c r="R46" s="154"/>
      <c r="S46" s="64"/>
      <c r="T46" s="553"/>
      <c r="U46" s="179"/>
      <c r="V46" s="179"/>
      <c r="W46" s="179"/>
    </row>
    <row r="47" spans="1:23">
      <c r="A47" s="71" t="s">
        <v>82</v>
      </c>
      <c r="B47" s="320">
        <v>7924</v>
      </c>
      <c r="C47" s="321">
        <v>1278</v>
      </c>
      <c r="D47" s="267">
        <v>3454</v>
      </c>
      <c r="E47" s="316">
        <v>798</v>
      </c>
      <c r="F47" s="267">
        <v>161</v>
      </c>
      <c r="G47" s="267">
        <v>110</v>
      </c>
      <c r="H47" s="234">
        <v>4309</v>
      </c>
      <c r="I47" s="234">
        <v>204</v>
      </c>
      <c r="J47" s="234">
        <v>14</v>
      </c>
      <c r="K47" s="282">
        <v>89</v>
      </c>
      <c r="L47" s="267">
        <v>8</v>
      </c>
      <c r="M47" s="267">
        <v>42</v>
      </c>
      <c r="N47" s="267">
        <v>6</v>
      </c>
      <c r="O47" s="267">
        <v>5</v>
      </c>
      <c r="P47" s="282">
        <v>2</v>
      </c>
      <c r="Q47" s="136"/>
      <c r="R47" s="179"/>
      <c r="S47" s="64"/>
      <c r="T47" s="553"/>
      <c r="U47" s="154"/>
      <c r="V47" s="154"/>
      <c r="W47" s="154"/>
    </row>
    <row r="48" spans="1:23">
      <c r="A48" s="71" t="s">
        <v>81</v>
      </c>
      <c r="B48" s="320">
        <v>2543</v>
      </c>
      <c r="C48" s="321">
        <v>611</v>
      </c>
      <c r="D48" s="267">
        <v>824</v>
      </c>
      <c r="E48" s="316">
        <v>475</v>
      </c>
      <c r="F48" s="267">
        <v>80</v>
      </c>
      <c r="G48" s="267">
        <v>33</v>
      </c>
      <c r="H48" s="234">
        <v>1639</v>
      </c>
      <c r="I48" s="234">
        <v>66</v>
      </c>
      <c r="J48" s="234">
        <v>6</v>
      </c>
      <c r="K48" s="282">
        <v>13</v>
      </c>
      <c r="L48" s="267">
        <v>0</v>
      </c>
      <c r="M48" s="267">
        <v>9</v>
      </c>
      <c r="N48" s="267">
        <v>7</v>
      </c>
      <c r="O48" s="267">
        <v>2</v>
      </c>
      <c r="P48" s="282">
        <v>0</v>
      </c>
      <c r="Q48" s="136"/>
      <c r="R48" s="154"/>
      <c r="S48" s="64"/>
      <c r="T48" s="553"/>
      <c r="U48" s="179"/>
      <c r="V48" s="179"/>
      <c r="W48" s="179"/>
    </row>
    <row r="49" spans="1:23">
      <c r="A49" s="71" t="s">
        <v>80</v>
      </c>
      <c r="B49" s="320">
        <v>6147</v>
      </c>
      <c r="C49" s="321">
        <v>1019</v>
      </c>
      <c r="D49" s="267">
        <v>2065</v>
      </c>
      <c r="E49" s="316">
        <v>679</v>
      </c>
      <c r="F49" s="267">
        <v>206</v>
      </c>
      <c r="G49" s="267">
        <v>111</v>
      </c>
      <c r="H49" s="234">
        <v>3876</v>
      </c>
      <c r="I49" s="234">
        <v>150</v>
      </c>
      <c r="J49" s="234">
        <v>6</v>
      </c>
      <c r="K49" s="282">
        <v>28</v>
      </c>
      <c r="L49" s="267">
        <v>8</v>
      </c>
      <c r="M49" s="267">
        <v>16</v>
      </c>
      <c r="N49" s="267">
        <v>6</v>
      </c>
      <c r="O49" s="267">
        <v>15</v>
      </c>
      <c r="P49" s="282">
        <v>0</v>
      </c>
      <c r="Q49" s="136"/>
      <c r="R49" s="154"/>
      <c r="S49" s="64"/>
      <c r="T49" s="553"/>
      <c r="U49" s="179"/>
      <c r="V49" s="179"/>
      <c r="W49" s="179"/>
    </row>
    <row r="50" spans="1:23">
      <c r="A50" s="71" t="s">
        <v>79</v>
      </c>
      <c r="B50" s="320">
        <v>5977</v>
      </c>
      <c r="C50" s="321">
        <v>1070</v>
      </c>
      <c r="D50" s="267">
        <v>2268</v>
      </c>
      <c r="E50" s="316">
        <v>752</v>
      </c>
      <c r="F50" s="267">
        <v>239</v>
      </c>
      <c r="G50" s="267">
        <v>73</v>
      </c>
      <c r="H50" s="234">
        <v>3470</v>
      </c>
      <c r="I50" s="234">
        <v>146</v>
      </c>
      <c r="J50" s="234">
        <v>10</v>
      </c>
      <c r="K50" s="282">
        <v>43</v>
      </c>
      <c r="L50" s="267">
        <v>11</v>
      </c>
      <c r="M50" s="267">
        <v>27</v>
      </c>
      <c r="N50" s="267">
        <v>6</v>
      </c>
      <c r="O50" s="267">
        <v>2</v>
      </c>
      <c r="P50" s="282">
        <v>0</v>
      </c>
      <c r="Q50" s="136"/>
      <c r="R50" s="72"/>
      <c r="S50" s="64"/>
      <c r="T50" s="553"/>
      <c r="U50" s="154"/>
      <c r="V50" s="154"/>
      <c r="W50" s="154"/>
    </row>
    <row r="51" spans="1:23">
      <c r="A51" s="71" t="s">
        <v>78</v>
      </c>
      <c r="B51" s="320">
        <v>3485</v>
      </c>
      <c r="C51" s="321">
        <v>772</v>
      </c>
      <c r="D51" s="267">
        <v>1422</v>
      </c>
      <c r="E51" s="316">
        <v>571</v>
      </c>
      <c r="F51" s="267">
        <v>94</v>
      </c>
      <c r="G51" s="267">
        <v>48</v>
      </c>
      <c r="H51" s="234">
        <v>1969</v>
      </c>
      <c r="I51" s="234">
        <v>65</v>
      </c>
      <c r="J51" s="234">
        <v>19</v>
      </c>
      <c r="K51" s="282">
        <v>41</v>
      </c>
      <c r="L51" s="267">
        <v>3</v>
      </c>
      <c r="M51" s="267">
        <v>16</v>
      </c>
      <c r="N51" s="267">
        <v>7</v>
      </c>
      <c r="O51" s="267">
        <v>2</v>
      </c>
      <c r="P51" s="282">
        <v>0</v>
      </c>
      <c r="Q51" s="136"/>
      <c r="R51" s="72"/>
      <c r="S51" s="64"/>
      <c r="T51" s="553"/>
      <c r="U51" s="179"/>
      <c r="V51" s="179"/>
      <c r="W51" s="179"/>
    </row>
    <row r="52" spans="1:23">
      <c r="A52" s="73" t="s">
        <v>77</v>
      </c>
      <c r="B52" s="322">
        <v>2126</v>
      </c>
      <c r="C52" s="323">
        <v>282</v>
      </c>
      <c r="D52" s="268">
        <v>740</v>
      </c>
      <c r="E52" s="317">
        <v>149</v>
      </c>
      <c r="F52" s="268">
        <v>75</v>
      </c>
      <c r="G52" s="268">
        <v>20</v>
      </c>
      <c r="H52" s="235">
        <v>1311</v>
      </c>
      <c r="I52" s="235">
        <v>52</v>
      </c>
      <c r="J52" s="235">
        <v>4</v>
      </c>
      <c r="K52" s="285">
        <v>35</v>
      </c>
      <c r="L52" s="268">
        <v>4</v>
      </c>
      <c r="M52" s="268">
        <v>14</v>
      </c>
      <c r="N52" s="268">
        <v>4</v>
      </c>
      <c r="O52" s="268">
        <v>0</v>
      </c>
      <c r="P52" s="285">
        <v>0</v>
      </c>
      <c r="Q52" s="136"/>
      <c r="R52" s="72"/>
      <c r="S52" s="64"/>
      <c r="T52" s="553"/>
      <c r="U52" s="179"/>
      <c r="V52" s="179"/>
      <c r="W52" s="179"/>
    </row>
    <row r="53" spans="1:23">
      <c r="A53" s="155" t="s">
        <v>76</v>
      </c>
    </row>
  </sheetData>
  <sheetProtection algorithmName="SHA-512" hashValue="S6zm9JS953nW1ZhG2MFF3YqCeR0K3meA98vevUvmvtgY3snYTNgWkK5oYmBIWg7lzrd/lP09UAG3hMVSFLOEgA==" saltValue="hoSH4J/PN8otKwd6XlxlyA==" spinCount="100000" sheet="1" objects="1" scenarios="1"/>
  <mergeCells count="45">
    <mergeCell ref="T51:T52"/>
    <mergeCell ref="Q30:Q31"/>
    <mergeCell ref="T38:T39"/>
    <mergeCell ref="T42:T43"/>
    <mergeCell ref="T44:T45"/>
    <mergeCell ref="T46:T47"/>
    <mergeCell ref="T48:T50"/>
    <mergeCell ref="K30:K31"/>
    <mergeCell ref="L30:L31"/>
    <mergeCell ref="M30:M31"/>
    <mergeCell ref="N30:N31"/>
    <mergeCell ref="O30:O31"/>
    <mergeCell ref="P30:P31"/>
    <mergeCell ref="S13:S14"/>
    <mergeCell ref="T13:T14"/>
    <mergeCell ref="T40:T41"/>
    <mergeCell ref="N18:P18"/>
    <mergeCell ref="B30:C30"/>
    <mergeCell ref="D30:E30"/>
    <mergeCell ref="F30:G30"/>
    <mergeCell ref="H30:I30"/>
    <mergeCell ref="J30:J31"/>
    <mergeCell ref="U13:U14"/>
    <mergeCell ref="V13:V14"/>
    <mergeCell ref="W13:W14"/>
    <mergeCell ref="X13:X14"/>
    <mergeCell ref="L13:M13"/>
    <mergeCell ref="N13:P13"/>
    <mergeCell ref="Q13:Q14"/>
    <mergeCell ref="R13:R14"/>
    <mergeCell ref="B2:B3"/>
    <mergeCell ref="C2:J2"/>
    <mergeCell ref="K2:N2"/>
    <mergeCell ref="L18:M18"/>
    <mergeCell ref="A10:N10"/>
    <mergeCell ref="B13:C13"/>
    <mergeCell ref="D13:E13"/>
    <mergeCell ref="F13:G13"/>
    <mergeCell ref="H13:I13"/>
    <mergeCell ref="J13:K13"/>
    <mergeCell ref="B18:C18"/>
    <mergeCell ref="D18:E18"/>
    <mergeCell ref="F18:G18"/>
    <mergeCell ref="H18:I18"/>
    <mergeCell ref="J18:K18"/>
  </mergeCells>
  <phoneticPr fontId="96" type="noConversion"/>
  <conditionalFormatting sqref="O33">
    <cfRule type="cellIs" dxfId="8" priority="8" operator="lessThan">
      <formula>0</formula>
    </cfRule>
  </conditionalFormatting>
  <conditionalFormatting sqref="O36">
    <cfRule type="cellIs" dxfId="7" priority="7" operator="lessThan">
      <formula>0</formula>
    </cfRule>
  </conditionalFormatting>
  <pageMargins left="0.2" right="0.2" top="0.22" bottom="0.2" header="0.31496062992125984" footer="0.31496062992125984"/>
  <pageSetup paperSize="9" scale="60" orientation="landscape"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L112"/>
  <sheetViews>
    <sheetView showGridLines="0" zoomScaleNormal="100" zoomScaleSheetLayoutView="100" workbookViewId="0"/>
  </sheetViews>
  <sheetFormatPr defaultRowHeight="16.5"/>
  <cols>
    <col min="1" max="1" width="13.625" style="89" customWidth="1"/>
    <col min="2" max="2" width="9.5" style="89" customWidth="1"/>
    <col min="3" max="4" width="8.75" style="89" customWidth="1"/>
    <col min="5" max="5" width="8.125" style="89" customWidth="1"/>
    <col min="6" max="6" width="9.375" style="89" customWidth="1"/>
    <col min="7" max="7" width="8.75" style="89" customWidth="1"/>
    <col min="8" max="8" width="8.125" style="89" customWidth="1"/>
    <col min="9" max="9" width="8.75" style="89" customWidth="1"/>
    <col min="10" max="10" width="7.875" style="89" customWidth="1"/>
    <col min="11" max="12" width="8" style="89" customWidth="1"/>
    <col min="13" max="13" width="7.875" style="89" customWidth="1"/>
    <col min="14" max="14" width="7.375" style="89" customWidth="1"/>
    <col min="15" max="15" width="6.25" style="89" customWidth="1"/>
    <col min="16" max="16" width="7.375" style="89" customWidth="1"/>
    <col min="17" max="18" width="7.25" style="89" customWidth="1"/>
    <col min="19" max="19" width="9.75" style="89" customWidth="1"/>
    <col min="20" max="20" width="6.875" style="89" customWidth="1"/>
    <col min="21" max="21" width="7.625" style="89" customWidth="1"/>
    <col min="22" max="22" width="8.25" style="89" customWidth="1"/>
    <col min="23" max="23" width="6.875" style="89" customWidth="1"/>
    <col min="24" max="24" width="7.625" style="89" customWidth="1"/>
    <col min="25" max="25" width="7.625" style="200" customWidth="1"/>
    <col min="26" max="26" width="7.125" style="89" customWidth="1"/>
    <col min="27" max="27" width="7.625" style="89" customWidth="1"/>
    <col min="28" max="28" width="8.25" style="89" customWidth="1"/>
    <col min="29" max="29" width="9.125" style="89" customWidth="1"/>
    <col min="30" max="30" width="9" style="89" customWidth="1"/>
    <col min="31" max="31" width="7" style="89" customWidth="1"/>
    <col min="32" max="32" width="5.875" style="89" customWidth="1"/>
    <col min="33" max="33" width="7" style="89" customWidth="1"/>
    <col min="34" max="34" width="6.875" style="89" customWidth="1"/>
    <col min="35" max="35" width="9.5" style="89" customWidth="1"/>
    <col min="36" max="36" width="11.25" style="89" customWidth="1"/>
    <col min="37" max="37" width="13.375" style="89" customWidth="1"/>
    <col min="38" max="75" width="9" style="89" customWidth="1"/>
    <col min="76" max="76" width="12.5" style="89" customWidth="1"/>
    <col min="77" max="16384" width="9" style="89"/>
  </cols>
  <sheetData>
    <row r="1" spans="1:38" s="115" customFormat="1">
      <c r="A1" s="75" t="s">
        <v>259</v>
      </c>
      <c r="B1" s="365"/>
      <c r="C1" s="365"/>
      <c r="D1" s="365"/>
      <c r="E1" s="365"/>
      <c r="F1" s="365"/>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row>
    <row r="2" spans="1:38" ht="16.5" customHeight="1">
      <c r="A2" s="95" t="s">
        <v>153</v>
      </c>
      <c r="B2" s="557" t="s">
        <v>139</v>
      </c>
      <c r="C2" s="574" t="s">
        <v>429</v>
      </c>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9"/>
      <c r="AI2" s="574" t="s">
        <v>22</v>
      </c>
      <c r="AJ2" s="575"/>
      <c r="AK2" s="575"/>
      <c r="AL2" s="576"/>
    </row>
    <row r="3" spans="1:38" ht="16.5" customHeight="1">
      <c r="A3" s="189"/>
      <c r="B3" s="558"/>
      <c r="C3" s="559" t="s">
        <v>127</v>
      </c>
      <c r="D3" s="559"/>
      <c r="E3" s="559" t="s">
        <v>197</v>
      </c>
      <c r="F3" s="559"/>
      <c r="G3" s="559"/>
      <c r="H3" s="559"/>
      <c r="I3" s="559"/>
      <c r="J3" s="559"/>
      <c r="K3" s="559"/>
      <c r="L3" s="559"/>
      <c r="M3" s="559"/>
      <c r="N3" s="559" t="s">
        <v>125</v>
      </c>
      <c r="O3" s="559"/>
      <c r="P3" s="559"/>
      <c r="Q3" s="559"/>
      <c r="R3" s="560" t="s">
        <v>416</v>
      </c>
      <c r="S3" s="561"/>
      <c r="T3" s="559" t="s">
        <v>435</v>
      </c>
      <c r="U3" s="559"/>
      <c r="V3" s="559"/>
      <c r="W3" s="559"/>
      <c r="X3" s="559"/>
      <c r="Y3" s="559"/>
      <c r="Z3" s="559"/>
      <c r="AA3" s="580" t="s">
        <v>3</v>
      </c>
      <c r="AB3" s="580" t="s">
        <v>133</v>
      </c>
      <c r="AC3" s="583" t="s">
        <v>104</v>
      </c>
      <c r="AD3" s="583" t="s">
        <v>103</v>
      </c>
      <c r="AE3" s="583" t="s">
        <v>193</v>
      </c>
      <c r="AF3" s="583" t="s">
        <v>101</v>
      </c>
      <c r="AG3" s="583" t="s">
        <v>100</v>
      </c>
      <c r="AH3" s="583" t="s">
        <v>191</v>
      </c>
      <c r="AI3" s="559" t="s">
        <v>431</v>
      </c>
      <c r="AJ3" s="559" t="s">
        <v>432</v>
      </c>
      <c r="AK3" s="577" t="s">
        <v>430</v>
      </c>
      <c r="AL3" s="571" t="s">
        <v>433</v>
      </c>
    </row>
    <row r="4" spans="1:38" ht="16.5" customHeight="1">
      <c r="A4" s="189"/>
      <c r="B4" s="558"/>
      <c r="C4" s="565" t="s">
        <v>252</v>
      </c>
      <c r="D4" s="566" t="s">
        <v>258</v>
      </c>
      <c r="E4" s="562" t="s">
        <v>436</v>
      </c>
      <c r="F4" s="563"/>
      <c r="G4" s="564"/>
      <c r="H4" s="562" t="s">
        <v>437</v>
      </c>
      <c r="I4" s="563"/>
      <c r="J4" s="563"/>
      <c r="K4" s="563"/>
      <c r="L4" s="563"/>
      <c r="M4" s="564"/>
      <c r="N4" s="565" t="s">
        <v>252</v>
      </c>
      <c r="O4" s="562" t="s">
        <v>434</v>
      </c>
      <c r="P4" s="563"/>
      <c r="Q4" s="564"/>
      <c r="R4" s="586" t="s">
        <v>252</v>
      </c>
      <c r="S4" s="565" t="s">
        <v>251</v>
      </c>
      <c r="T4" s="562" t="s">
        <v>436</v>
      </c>
      <c r="U4" s="563"/>
      <c r="V4" s="564"/>
      <c r="W4" s="563" t="s">
        <v>437</v>
      </c>
      <c r="X4" s="563"/>
      <c r="Y4" s="563"/>
      <c r="Z4" s="564"/>
      <c r="AA4" s="581"/>
      <c r="AB4" s="581"/>
      <c r="AC4" s="584"/>
      <c r="AD4" s="584"/>
      <c r="AE4" s="584"/>
      <c r="AF4" s="584"/>
      <c r="AG4" s="584"/>
      <c r="AH4" s="584"/>
      <c r="AI4" s="559"/>
      <c r="AJ4" s="559"/>
      <c r="AK4" s="578"/>
      <c r="AL4" s="571"/>
    </row>
    <row r="5" spans="1:38" ht="22.5" customHeight="1">
      <c r="A5" s="96" t="s">
        <v>150</v>
      </c>
      <c r="B5" s="559"/>
      <c r="C5" s="558"/>
      <c r="D5" s="567"/>
      <c r="E5" s="477" t="s">
        <v>250</v>
      </c>
      <c r="F5" s="477" t="s">
        <v>249</v>
      </c>
      <c r="G5" s="477" t="s">
        <v>257</v>
      </c>
      <c r="H5" s="477" t="s">
        <v>118</v>
      </c>
      <c r="I5" s="477" t="s">
        <v>256</v>
      </c>
      <c r="J5" s="477" t="s">
        <v>255</v>
      </c>
      <c r="K5" s="477" t="s">
        <v>253</v>
      </c>
      <c r="L5" s="477" t="s">
        <v>8</v>
      </c>
      <c r="M5" s="477" t="s">
        <v>254</v>
      </c>
      <c r="N5" s="558"/>
      <c r="O5" s="477" t="s">
        <v>118</v>
      </c>
      <c r="P5" s="477" t="s">
        <v>253</v>
      </c>
      <c r="Q5" s="477" t="s">
        <v>8</v>
      </c>
      <c r="R5" s="587"/>
      <c r="S5" s="558"/>
      <c r="T5" s="477" t="s">
        <v>250</v>
      </c>
      <c r="U5" s="477" t="s">
        <v>249</v>
      </c>
      <c r="V5" s="477" t="s">
        <v>117</v>
      </c>
      <c r="W5" s="477" t="s">
        <v>248</v>
      </c>
      <c r="X5" s="477" t="s">
        <v>247</v>
      </c>
      <c r="Y5" s="202" t="s">
        <v>116</v>
      </c>
      <c r="Z5" s="477" t="s">
        <v>8</v>
      </c>
      <c r="AA5" s="582"/>
      <c r="AB5" s="582"/>
      <c r="AC5" s="585"/>
      <c r="AD5" s="585"/>
      <c r="AE5" s="585"/>
      <c r="AF5" s="585"/>
      <c r="AG5" s="585"/>
      <c r="AH5" s="585"/>
      <c r="AI5" s="559"/>
      <c r="AJ5" s="559"/>
      <c r="AK5" s="578"/>
      <c r="AL5" s="571"/>
    </row>
    <row r="6" spans="1:38" s="98" customFormat="1" ht="15.75" customHeight="1">
      <c r="A6" s="405" t="s">
        <v>246</v>
      </c>
      <c r="B6" s="366">
        <v>15762614</v>
      </c>
      <c r="C6" s="340">
        <v>1028051</v>
      </c>
      <c r="D6" s="367">
        <v>4878023</v>
      </c>
      <c r="E6" s="332">
        <v>27726</v>
      </c>
      <c r="F6" s="332">
        <v>223821</v>
      </c>
      <c r="G6" s="206">
        <v>492576</v>
      </c>
      <c r="H6" s="332">
        <v>65630</v>
      </c>
      <c r="I6" s="332">
        <v>1040923</v>
      </c>
      <c r="J6" s="332">
        <v>1225850</v>
      </c>
      <c r="K6" s="332">
        <v>80432</v>
      </c>
      <c r="L6" s="332">
        <v>775154</v>
      </c>
      <c r="M6" s="206">
        <v>179118</v>
      </c>
      <c r="N6" s="194">
        <v>41966</v>
      </c>
      <c r="O6" s="194">
        <v>8024</v>
      </c>
      <c r="P6" s="194">
        <v>92937</v>
      </c>
      <c r="Q6" s="206">
        <v>26640</v>
      </c>
      <c r="R6" s="340">
        <v>21906</v>
      </c>
      <c r="S6" s="341">
        <v>11794</v>
      </c>
      <c r="T6" s="310">
        <v>21287</v>
      </c>
      <c r="U6" s="194">
        <v>198621</v>
      </c>
      <c r="V6" s="194">
        <v>148</v>
      </c>
      <c r="W6" s="194">
        <v>135327</v>
      </c>
      <c r="X6" s="194">
        <v>416410</v>
      </c>
      <c r="Y6" s="194">
        <v>526426</v>
      </c>
      <c r="Z6" s="206">
        <v>102237</v>
      </c>
      <c r="AA6" s="194">
        <v>59970</v>
      </c>
      <c r="AB6" s="194">
        <v>45913</v>
      </c>
      <c r="AC6" s="194">
        <v>2660</v>
      </c>
      <c r="AD6" s="194">
        <v>19681</v>
      </c>
      <c r="AE6" s="194">
        <v>1255</v>
      </c>
      <c r="AF6" s="194">
        <v>1087</v>
      </c>
      <c r="AG6" s="194">
        <v>167</v>
      </c>
      <c r="AH6" s="206">
        <v>60388</v>
      </c>
      <c r="AI6" s="340">
        <v>9856540</v>
      </c>
      <c r="AJ6" s="332">
        <v>9433210</v>
      </c>
      <c r="AK6" s="332">
        <v>235263</v>
      </c>
      <c r="AL6" s="478">
        <v>188067</v>
      </c>
    </row>
    <row r="7" spans="1:38" ht="15.75" customHeight="1">
      <c r="A7" s="76" t="s">
        <v>96</v>
      </c>
      <c r="B7" s="368">
        <v>1295614</v>
      </c>
      <c r="C7" s="342">
        <v>219288</v>
      </c>
      <c r="D7" s="348">
        <v>535803</v>
      </c>
      <c r="E7" s="370">
        <v>7189</v>
      </c>
      <c r="F7" s="370">
        <v>42893</v>
      </c>
      <c r="G7" s="479">
        <v>156659</v>
      </c>
      <c r="H7" s="326">
        <v>12970</v>
      </c>
      <c r="I7" s="326">
        <v>309716</v>
      </c>
      <c r="J7" s="326">
        <v>46962</v>
      </c>
      <c r="K7" s="326">
        <v>6919</v>
      </c>
      <c r="L7" s="326">
        <v>81083</v>
      </c>
      <c r="M7" s="252">
        <v>0</v>
      </c>
      <c r="N7" s="261">
        <v>0</v>
      </c>
      <c r="O7" s="214">
        <v>0</v>
      </c>
      <c r="P7" s="214">
        <v>0</v>
      </c>
      <c r="Q7" s="479">
        <v>0</v>
      </c>
      <c r="R7" s="342">
        <v>0</v>
      </c>
      <c r="S7" s="343">
        <v>2</v>
      </c>
      <c r="T7" s="304">
        <v>1420</v>
      </c>
      <c r="U7" s="195">
        <v>11118</v>
      </c>
      <c r="V7" s="195">
        <v>9</v>
      </c>
      <c r="W7" s="195">
        <v>5532</v>
      </c>
      <c r="X7" s="195">
        <v>22837</v>
      </c>
      <c r="Y7" s="195">
        <v>40046</v>
      </c>
      <c r="Z7" s="480">
        <v>8147</v>
      </c>
      <c r="AA7" s="261">
        <v>0</v>
      </c>
      <c r="AB7" s="214">
        <v>0</v>
      </c>
      <c r="AC7" s="214">
        <v>0</v>
      </c>
      <c r="AD7" s="214">
        <v>0</v>
      </c>
      <c r="AE7" s="214">
        <v>0</v>
      </c>
      <c r="AF7" s="214">
        <v>16</v>
      </c>
      <c r="AG7" s="214">
        <v>0</v>
      </c>
      <c r="AH7" s="214">
        <v>1573</v>
      </c>
      <c r="AI7" s="342">
        <v>540523</v>
      </c>
      <c r="AJ7" s="351">
        <v>517072</v>
      </c>
      <c r="AK7" s="370">
        <v>0</v>
      </c>
      <c r="AL7" s="481">
        <v>23451</v>
      </c>
    </row>
    <row r="8" spans="1:38" ht="15.75" customHeight="1">
      <c r="A8" s="76" t="s">
        <v>95</v>
      </c>
      <c r="B8" s="368">
        <v>58923</v>
      </c>
      <c r="C8" s="342">
        <v>8081</v>
      </c>
      <c r="D8" s="481">
        <v>41931</v>
      </c>
      <c r="E8" s="370">
        <v>0</v>
      </c>
      <c r="F8" s="370">
        <v>0</v>
      </c>
      <c r="G8" s="479">
        <v>0</v>
      </c>
      <c r="H8" s="326">
        <v>0</v>
      </c>
      <c r="I8" s="326">
        <v>0</v>
      </c>
      <c r="J8" s="326">
        <v>0</v>
      </c>
      <c r="K8" s="326">
        <v>0</v>
      </c>
      <c r="L8" s="326">
        <v>0</v>
      </c>
      <c r="M8" s="196">
        <v>0</v>
      </c>
      <c r="N8" s="261">
        <v>8081</v>
      </c>
      <c r="O8" s="214">
        <v>2765</v>
      </c>
      <c r="P8" s="214">
        <v>17301</v>
      </c>
      <c r="Q8" s="479">
        <v>4563</v>
      </c>
      <c r="R8" s="342">
        <v>0</v>
      </c>
      <c r="S8" s="343">
        <v>0</v>
      </c>
      <c r="T8" s="305">
        <v>0</v>
      </c>
      <c r="U8" s="196">
        <v>0</v>
      </c>
      <c r="V8" s="196">
        <v>0</v>
      </c>
      <c r="W8" s="196">
        <v>0</v>
      </c>
      <c r="X8" s="196">
        <v>0</v>
      </c>
      <c r="Y8" s="196">
        <v>0</v>
      </c>
      <c r="Z8" s="482">
        <v>0</v>
      </c>
      <c r="AA8" s="261">
        <v>7776</v>
      </c>
      <c r="AB8" s="214">
        <v>6568</v>
      </c>
      <c r="AC8" s="214">
        <v>418</v>
      </c>
      <c r="AD8" s="214">
        <v>2182</v>
      </c>
      <c r="AE8" s="214">
        <v>150</v>
      </c>
      <c r="AF8" s="214">
        <v>0</v>
      </c>
      <c r="AG8" s="214">
        <v>18</v>
      </c>
      <c r="AH8" s="214">
        <v>190</v>
      </c>
      <c r="AI8" s="342">
        <v>8911</v>
      </c>
      <c r="AJ8" s="326">
        <v>0</v>
      </c>
      <c r="AK8" s="326">
        <v>8911</v>
      </c>
      <c r="AL8" s="481">
        <v>0</v>
      </c>
    </row>
    <row r="9" spans="1:38" ht="15.75" customHeight="1">
      <c r="A9" s="76" t="s">
        <v>245</v>
      </c>
      <c r="B9" s="368">
        <v>13263</v>
      </c>
      <c r="C9" s="342">
        <v>8493</v>
      </c>
      <c r="D9" s="481">
        <v>4770</v>
      </c>
      <c r="E9" s="370">
        <v>0</v>
      </c>
      <c r="F9" s="370">
        <v>0</v>
      </c>
      <c r="G9" s="479">
        <v>0</v>
      </c>
      <c r="H9" s="326">
        <v>0</v>
      </c>
      <c r="I9" s="326">
        <v>0</v>
      </c>
      <c r="J9" s="326">
        <v>0</v>
      </c>
      <c r="K9" s="326">
        <v>0</v>
      </c>
      <c r="L9" s="326">
        <v>0</v>
      </c>
      <c r="M9" s="196">
        <v>0</v>
      </c>
      <c r="N9" s="261">
        <v>0</v>
      </c>
      <c r="O9" s="214">
        <v>0</v>
      </c>
      <c r="P9" s="214">
        <v>0</v>
      </c>
      <c r="Q9" s="479">
        <v>0</v>
      </c>
      <c r="R9" s="342">
        <v>8493</v>
      </c>
      <c r="S9" s="343">
        <v>4770</v>
      </c>
      <c r="T9" s="305">
        <v>0</v>
      </c>
      <c r="U9" s="196">
        <v>0</v>
      </c>
      <c r="V9" s="196">
        <v>0</v>
      </c>
      <c r="W9" s="196">
        <v>0</v>
      </c>
      <c r="X9" s="196">
        <v>0</v>
      </c>
      <c r="Y9" s="196">
        <v>0</v>
      </c>
      <c r="Z9" s="482">
        <v>0</v>
      </c>
      <c r="AA9" s="261">
        <v>0</v>
      </c>
      <c r="AB9" s="214">
        <v>0</v>
      </c>
      <c r="AC9" s="214">
        <v>0</v>
      </c>
      <c r="AD9" s="214">
        <v>0</v>
      </c>
      <c r="AE9" s="214">
        <v>0</v>
      </c>
      <c r="AF9" s="214">
        <v>0</v>
      </c>
      <c r="AG9" s="214">
        <v>0</v>
      </c>
      <c r="AH9" s="214">
        <v>0</v>
      </c>
      <c r="AI9" s="342">
        <v>0</v>
      </c>
      <c r="AJ9" s="353">
        <v>0</v>
      </c>
      <c r="AK9" s="370">
        <v>0</v>
      </c>
      <c r="AL9" s="481">
        <v>0</v>
      </c>
    </row>
    <row r="10" spans="1:38" ht="15.75" customHeight="1">
      <c r="A10" s="171" t="s">
        <v>244</v>
      </c>
      <c r="B10" s="368">
        <v>39526</v>
      </c>
      <c r="C10" s="342">
        <v>209</v>
      </c>
      <c r="D10" s="481">
        <v>39317</v>
      </c>
      <c r="E10" s="370">
        <v>209</v>
      </c>
      <c r="F10" s="370">
        <v>0</v>
      </c>
      <c r="G10" s="479">
        <v>0</v>
      </c>
      <c r="H10" s="326">
        <v>0</v>
      </c>
      <c r="I10" s="326">
        <v>0</v>
      </c>
      <c r="J10" s="326">
        <v>0</v>
      </c>
      <c r="K10" s="326">
        <v>0</v>
      </c>
      <c r="L10" s="326">
        <v>119</v>
      </c>
      <c r="M10" s="482">
        <v>39198</v>
      </c>
      <c r="N10" s="261">
        <v>0</v>
      </c>
      <c r="O10" s="214">
        <v>0</v>
      </c>
      <c r="P10" s="214">
        <v>0</v>
      </c>
      <c r="Q10" s="479">
        <v>0</v>
      </c>
      <c r="R10" s="342">
        <v>0</v>
      </c>
      <c r="S10" s="343">
        <v>0</v>
      </c>
      <c r="T10" s="305">
        <v>0</v>
      </c>
      <c r="U10" s="196">
        <v>0</v>
      </c>
      <c r="V10" s="196">
        <v>0</v>
      </c>
      <c r="W10" s="196">
        <v>0</v>
      </c>
      <c r="X10" s="196">
        <v>0</v>
      </c>
      <c r="Y10" s="196">
        <v>0</v>
      </c>
      <c r="Z10" s="482">
        <v>0</v>
      </c>
      <c r="AA10" s="261">
        <v>0</v>
      </c>
      <c r="AB10" s="214">
        <v>0</v>
      </c>
      <c r="AC10" s="214">
        <v>0</v>
      </c>
      <c r="AD10" s="214">
        <v>0</v>
      </c>
      <c r="AE10" s="214">
        <v>0</v>
      </c>
      <c r="AF10" s="214">
        <v>0</v>
      </c>
      <c r="AG10" s="214">
        <v>0</v>
      </c>
      <c r="AH10" s="214">
        <v>0</v>
      </c>
      <c r="AI10" s="342">
        <v>0</v>
      </c>
      <c r="AJ10" s="353">
        <v>0</v>
      </c>
      <c r="AK10" s="370">
        <v>0</v>
      </c>
      <c r="AL10" s="481">
        <v>0</v>
      </c>
    </row>
    <row r="11" spans="1:38" ht="15.75" customHeight="1">
      <c r="A11" s="76" t="s">
        <v>93</v>
      </c>
      <c r="B11" s="368">
        <v>364910</v>
      </c>
      <c r="C11" s="342">
        <v>42063</v>
      </c>
      <c r="D11" s="481">
        <v>141495</v>
      </c>
      <c r="E11" s="370">
        <v>1069</v>
      </c>
      <c r="F11" s="370">
        <v>7547</v>
      </c>
      <c r="G11" s="479">
        <v>28123</v>
      </c>
      <c r="H11" s="326">
        <v>3773</v>
      </c>
      <c r="I11" s="326">
        <v>41479</v>
      </c>
      <c r="J11" s="326">
        <v>31537</v>
      </c>
      <c r="K11" s="327">
        <v>3629</v>
      </c>
      <c r="L11" s="326">
        <v>21947</v>
      </c>
      <c r="M11" s="482">
        <v>0</v>
      </c>
      <c r="N11" s="261">
        <v>0</v>
      </c>
      <c r="O11" s="214">
        <v>0</v>
      </c>
      <c r="P11" s="214">
        <v>0</v>
      </c>
      <c r="Q11" s="479">
        <v>0</v>
      </c>
      <c r="R11" s="342">
        <v>0</v>
      </c>
      <c r="S11" s="343">
        <v>1</v>
      </c>
      <c r="T11" s="304">
        <v>499</v>
      </c>
      <c r="U11" s="195">
        <v>4823</v>
      </c>
      <c r="V11" s="195">
        <v>2</v>
      </c>
      <c r="W11" s="195">
        <v>4927</v>
      </c>
      <c r="X11" s="195">
        <v>10827</v>
      </c>
      <c r="Y11" s="195">
        <v>18827</v>
      </c>
      <c r="Z11" s="480">
        <v>2697</v>
      </c>
      <c r="AA11" s="261">
        <v>0</v>
      </c>
      <c r="AB11" s="214">
        <v>364</v>
      </c>
      <c r="AC11" s="214">
        <v>0</v>
      </c>
      <c r="AD11" s="214">
        <v>161</v>
      </c>
      <c r="AE11" s="214">
        <v>0</v>
      </c>
      <c r="AF11" s="214">
        <v>14</v>
      </c>
      <c r="AG11" s="214">
        <v>0</v>
      </c>
      <c r="AH11" s="214">
        <v>1312</v>
      </c>
      <c r="AI11" s="342">
        <v>181352</v>
      </c>
      <c r="AJ11" s="354">
        <v>171664</v>
      </c>
      <c r="AK11" s="326">
        <v>6263</v>
      </c>
      <c r="AL11" s="481">
        <v>3425</v>
      </c>
    </row>
    <row r="12" spans="1:38" ht="15.75" customHeight="1">
      <c r="A12" s="76" t="s">
        <v>92</v>
      </c>
      <c r="B12" s="368">
        <v>550984</v>
      </c>
      <c r="C12" s="342">
        <v>64991</v>
      </c>
      <c r="D12" s="481">
        <v>204513</v>
      </c>
      <c r="E12" s="370">
        <v>1261</v>
      </c>
      <c r="F12" s="370">
        <v>11578</v>
      </c>
      <c r="G12" s="479">
        <v>44134</v>
      </c>
      <c r="H12" s="326">
        <v>5755</v>
      </c>
      <c r="I12" s="326">
        <v>73898</v>
      </c>
      <c r="J12" s="326">
        <v>39797</v>
      </c>
      <c r="K12" s="327">
        <v>3644</v>
      </c>
      <c r="L12" s="326">
        <v>29068</v>
      </c>
      <c r="M12" s="482">
        <v>0</v>
      </c>
      <c r="N12" s="261">
        <v>0</v>
      </c>
      <c r="O12" s="214">
        <v>0</v>
      </c>
      <c r="P12" s="214">
        <v>0</v>
      </c>
      <c r="Q12" s="479">
        <v>0</v>
      </c>
      <c r="R12" s="342">
        <v>0</v>
      </c>
      <c r="S12" s="343">
        <v>0</v>
      </c>
      <c r="T12" s="304">
        <v>697</v>
      </c>
      <c r="U12" s="195">
        <v>7316</v>
      </c>
      <c r="V12" s="195">
        <v>5</v>
      </c>
      <c r="W12" s="195">
        <v>8193</v>
      </c>
      <c r="X12" s="195">
        <v>13880</v>
      </c>
      <c r="Y12" s="195">
        <v>22731</v>
      </c>
      <c r="Z12" s="480">
        <v>4714</v>
      </c>
      <c r="AA12" s="261">
        <v>0</v>
      </c>
      <c r="AB12" s="214">
        <v>679</v>
      </c>
      <c r="AC12" s="214">
        <v>0</v>
      </c>
      <c r="AD12" s="214">
        <v>346</v>
      </c>
      <c r="AE12" s="214">
        <v>0</v>
      </c>
      <c r="AF12" s="214">
        <v>43</v>
      </c>
      <c r="AG12" s="214">
        <v>0</v>
      </c>
      <c r="AH12" s="214">
        <v>1765</v>
      </c>
      <c r="AI12" s="342">
        <v>281480</v>
      </c>
      <c r="AJ12" s="354">
        <v>269085</v>
      </c>
      <c r="AK12" s="326">
        <v>8230</v>
      </c>
      <c r="AL12" s="481">
        <v>4165</v>
      </c>
    </row>
    <row r="13" spans="1:38" ht="15.75" customHeight="1">
      <c r="A13" s="76" t="s">
        <v>91</v>
      </c>
      <c r="B13" s="368">
        <v>391525</v>
      </c>
      <c r="C13" s="342">
        <v>30368</v>
      </c>
      <c r="D13" s="481">
        <v>147796</v>
      </c>
      <c r="E13" s="370">
        <v>622</v>
      </c>
      <c r="F13" s="370">
        <v>6572</v>
      </c>
      <c r="G13" s="479">
        <v>15145</v>
      </c>
      <c r="H13" s="326">
        <v>2485</v>
      </c>
      <c r="I13" s="326">
        <v>24783</v>
      </c>
      <c r="J13" s="326">
        <v>43519</v>
      </c>
      <c r="K13" s="327">
        <v>2653</v>
      </c>
      <c r="L13" s="326">
        <v>23172</v>
      </c>
      <c r="M13" s="482">
        <v>0</v>
      </c>
      <c r="N13" s="261">
        <v>0</v>
      </c>
      <c r="O13" s="214">
        <v>0</v>
      </c>
      <c r="P13" s="214">
        <v>0</v>
      </c>
      <c r="Q13" s="479">
        <v>0</v>
      </c>
      <c r="R13" s="342">
        <v>0</v>
      </c>
      <c r="S13" s="343">
        <v>1</v>
      </c>
      <c r="T13" s="304">
        <v>641</v>
      </c>
      <c r="U13" s="195">
        <v>7384</v>
      </c>
      <c r="V13" s="195">
        <v>4</v>
      </c>
      <c r="W13" s="195">
        <v>10460</v>
      </c>
      <c r="X13" s="195">
        <v>14049</v>
      </c>
      <c r="Y13" s="195">
        <v>20607</v>
      </c>
      <c r="Z13" s="480">
        <v>3405</v>
      </c>
      <c r="AA13" s="261">
        <v>0</v>
      </c>
      <c r="AB13" s="214">
        <v>451</v>
      </c>
      <c r="AC13" s="214">
        <v>0</v>
      </c>
      <c r="AD13" s="214">
        <v>203</v>
      </c>
      <c r="AE13" s="214">
        <v>0</v>
      </c>
      <c r="AF13" s="214">
        <v>57</v>
      </c>
      <c r="AG13" s="214">
        <v>0</v>
      </c>
      <c r="AH13" s="214">
        <v>1951</v>
      </c>
      <c r="AI13" s="342">
        <v>213361</v>
      </c>
      <c r="AJ13" s="354">
        <v>197288</v>
      </c>
      <c r="AK13" s="326">
        <v>8606</v>
      </c>
      <c r="AL13" s="481">
        <v>7467</v>
      </c>
    </row>
    <row r="14" spans="1:38" ht="15.75" customHeight="1">
      <c r="A14" s="76" t="s">
        <v>90</v>
      </c>
      <c r="B14" s="368">
        <v>339126</v>
      </c>
      <c r="C14" s="342">
        <v>29736</v>
      </c>
      <c r="D14" s="481">
        <v>134830</v>
      </c>
      <c r="E14" s="370">
        <v>864</v>
      </c>
      <c r="F14" s="370">
        <v>10762</v>
      </c>
      <c r="G14" s="479">
        <v>13367</v>
      </c>
      <c r="H14" s="326">
        <v>2826</v>
      </c>
      <c r="I14" s="326">
        <v>52393</v>
      </c>
      <c r="J14" s="326">
        <v>23686</v>
      </c>
      <c r="K14" s="327">
        <v>2898</v>
      </c>
      <c r="L14" s="326">
        <v>17484</v>
      </c>
      <c r="M14" s="482">
        <v>0</v>
      </c>
      <c r="N14" s="261">
        <v>0</v>
      </c>
      <c r="O14" s="214">
        <v>0</v>
      </c>
      <c r="P14" s="214">
        <v>0</v>
      </c>
      <c r="Q14" s="479">
        <v>0</v>
      </c>
      <c r="R14" s="342">
        <v>0</v>
      </c>
      <c r="S14" s="343">
        <v>1</v>
      </c>
      <c r="T14" s="304">
        <v>478</v>
      </c>
      <c r="U14" s="195">
        <v>4265</v>
      </c>
      <c r="V14" s="195">
        <v>0</v>
      </c>
      <c r="W14" s="195">
        <v>4130</v>
      </c>
      <c r="X14" s="195">
        <v>9118</v>
      </c>
      <c r="Y14" s="195">
        <v>18030</v>
      </c>
      <c r="Z14" s="480">
        <v>2425</v>
      </c>
      <c r="AA14" s="261">
        <v>0</v>
      </c>
      <c r="AB14" s="214">
        <v>384</v>
      </c>
      <c r="AC14" s="214">
        <v>0</v>
      </c>
      <c r="AD14" s="214">
        <v>188</v>
      </c>
      <c r="AE14" s="214">
        <v>0</v>
      </c>
      <c r="AF14" s="214">
        <v>7</v>
      </c>
      <c r="AG14" s="214">
        <v>0</v>
      </c>
      <c r="AH14" s="214">
        <v>1260</v>
      </c>
      <c r="AI14" s="342">
        <v>174560</v>
      </c>
      <c r="AJ14" s="354">
        <v>165642</v>
      </c>
      <c r="AK14" s="326">
        <v>5348</v>
      </c>
      <c r="AL14" s="481">
        <v>3570</v>
      </c>
    </row>
    <row r="15" spans="1:38" ht="15.75" customHeight="1">
      <c r="A15" s="76" t="s">
        <v>89</v>
      </c>
      <c r="B15" s="371">
        <v>375172</v>
      </c>
      <c r="C15" s="344">
        <v>18498</v>
      </c>
      <c r="D15" s="483">
        <v>126116</v>
      </c>
      <c r="E15" s="373">
        <v>609</v>
      </c>
      <c r="F15" s="373">
        <v>4247</v>
      </c>
      <c r="G15" s="484">
        <v>5845</v>
      </c>
      <c r="H15" s="328">
        <v>1484</v>
      </c>
      <c r="I15" s="328">
        <v>12853</v>
      </c>
      <c r="J15" s="328">
        <v>33425</v>
      </c>
      <c r="K15" s="329">
        <v>2155</v>
      </c>
      <c r="L15" s="328">
        <v>20214</v>
      </c>
      <c r="M15" s="485">
        <v>11618</v>
      </c>
      <c r="N15" s="262">
        <v>1095</v>
      </c>
      <c r="O15" s="215">
        <v>163</v>
      </c>
      <c r="P15" s="215">
        <v>2880</v>
      </c>
      <c r="Q15" s="484">
        <v>805</v>
      </c>
      <c r="R15" s="344">
        <v>1053</v>
      </c>
      <c r="S15" s="345">
        <v>599</v>
      </c>
      <c r="T15" s="306">
        <v>551</v>
      </c>
      <c r="U15" s="197">
        <v>5094</v>
      </c>
      <c r="V15" s="197">
        <v>4</v>
      </c>
      <c r="W15" s="197">
        <v>4632</v>
      </c>
      <c r="X15" s="197">
        <v>10235</v>
      </c>
      <c r="Y15" s="197">
        <v>13800</v>
      </c>
      <c r="Z15" s="486">
        <v>2994</v>
      </c>
      <c r="AA15" s="262">
        <v>4486</v>
      </c>
      <c r="AB15" s="198">
        <v>739</v>
      </c>
      <c r="AC15" s="198">
        <v>82</v>
      </c>
      <c r="AD15" s="215">
        <v>659</v>
      </c>
      <c r="AE15" s="215">
        <v>38</v>
      </c>
      <c r="AF15" s="215">
        <v>64</v>
      </c>
      <c r="AG15" s="215">
        <v>5</v>
      </c>
      <c r="AH15" s="215">
        <v>2186</v>
      </c>
      <c r="AI15" s="344">
        <v>230558</v>
      </c>
      <c r="AJ15" s="355">
        <v>217551</v>
      </c>
      <c r="AK15" s="328">
        <v>5622</v>
      </c>
      <c r="AL15" s="483">
        <v>7385</v>
      </c>
    </row>
    <row r="16" spans="1:38" ht="15.75" customHeight="1">
      <c r="A16" s="76" t="s">
        <v>243</v>
      </c>
      <c r="B16" s="371">
        <v>420586</v>
      </c>
      <c r="C16" s="344">
        <v>19442</v>
      </c>
      <c r="D16" s="483">
        <v>109014</v>
      </c>
      <c r="E16" s="373">
        <v>564</v>
      </c>
      <c r="F16" s="373">
        <v>5307</v>
      </c>
      <c r="G16" s="484">
        <v>7256</v>
      </c>
      <c r="H16" s="328">
        <v>1215</v>
      </c>
      <c r="I16" s="328">
        <v>14491</v>
      </c>
      <c r="J16" s="328">
        <v>34456</v>
      </c>
      <c r="K16" s="329">
        <v>2640</v>
      </c>
      <c r="L16" s="328">
        <v>20263</v>
      </c>
      <c r="M16" s="485">
        <v>0</v>
      </c>
      <c r="N16" s="262">
        <v>1162</v>
      </c>
      <c r="O16" s="215">
        <v>203</v>
      </c>
      <c r="P16" s="215">
        <v>2883</v>
      </c>
      <c r="Q16" s="484">
        <v>894</v>
      </c>
      <c r="R16" s="344">
        <v>0</v>
      </c>
      <c r="S16" s="345">
        <v>0</v>
      </c>
      <c r="T16" s="306">
        <v>424</v>
      </c>
      <c r="U16" s="197">
        <v>4728</v>
      </c>
      <c r="V16" s="197">
        <v>1</v>
      </c>
      <c r="W16" s="197">
        <v>2670</v>
      </c>
      <c r="X16" s="197">
        <v>10671</v>
      </c>
      <c r="Y16" s="197">
        <v>13745</v>
      </c>
      <c r="Z16" s="486">
        <v>1997</v>
      </c>
      <c r="AA16" s="262">
        <v>0</v>
      </c>
      <c r="AB16" s="198">
        <v>1229</v>
      </c>
      <c r="AC16" s="198">
        <v>79</v>
      </c>
      <c r="AD16" s="215">
        <v>493</v>
      </c>
      <c r="AE16" s="215">
        <v>16</v>
      </c>
      <c r="AF16" s="215">
        <v>36</v>
      </c>
      <c r="AG16" s="215">
        <v>3</v>
      </c>
      <c r="AH16" s="215">
        <v>1030</v>
      </c>
      <c r="AI16" s="344">
        <v>292130</v>
      </c>
      <c r="AJ16" s="355">
        <v>281800</v>
      </c>
      <c r="AK16" s="328">
        <v>6791</v>
      </c>
      <c r="AL16" s="483">
        <v>3539</v>
      </c>
    </row>
    <row r="17" spans="1:38" ht="15.75" customHeight="1">
      <c r="A17" s="76" t="s">
        <v>440</v>
      </c>
      <c r="B17" s="371">
        <v>269328</v>
      </c>
      <c r="C17" s="344">
        <v>10189</v>
      </c>
      <c r="D17" s="483">
        <v>57517</v>
      </c>
      <c r="E17" s="373">
        <v>201</v>
      </c>
      <c r="F17" s="373">
        <v>2596</v>
      </c>
      <c r="G17" s="484">
        <v>4603</v>
      </c>
      <c r="H17" s="328">
        <v>203</v>
      </c>
      <c r="I17" s="328">
        <v>9987</v>
      </c>
      <c r="J17" s="328">
        <v>17186</v>
      </c>
      <c r="K17" s="329">
        <v>1456</v>
      </c>
      <c r="L17" s="328">
        <v>9432</v>
      </c>
      <c r="M17" s="485">
        <v>0</v>
      </c>
      <c r="N17" s="262">
        <v>616</v>
      </c>
      <c r="O17" s="215">
        <v>153</v>
      </c>
      <c r="P17" s="215">
        <v>1359</v>
      </c>
      <c r="Q17" s="484">
        <v>367</v>
      </c>
      <c r="R17" s="344">
        <v>0</v>
      </c>
      <c r="S17" s="345">
        <v>2</v>
      </c>
      <c r="T17" s="197">
        <v>180</v>
      </c>
      <c r="U17" s="197">
        <v>1993</v>
      </c>
      <c r="V17" s="197">
        <v>0</v>
      </c>
      <c r="W17" s="197">
        <v>3679</v>
      </c>
      <c r="X17" s="197">
        <v>6003</v>
      </c>
      <c r="Y17" s="197">
        <v>5747</v>
      </c>
      <c r="Z17" s="197">
        <v>555</v>
      </c>
      <c r="AA17" s="262">
        <v>0</v>
      </c>
      <c r="AB17" s="198">
        <v>501</v>
      </c>
      <c r="AC17" s="198">
        <v>36</v>
      </c>
      <c r="AD17" s="215">
        <v>271</v>
      </c>
      <c r="AE17" s="215">
        <v>7</v>
      </c>
      <c r="AF17" s="215">
        <v>0</v>
      </c>
      <c r="AG17" s="215">
        <v>0</v>
      </c>
      <c r="AH17" s="215">
        <v>573</v>
      </c>
      <c r="AI17" s="344">
        <v>201622</v>
      </c>
      <c r="AJ17" s="355">
        <v>195986</v>
      </c>
      <c r="AK17" s="328">
        <v>3958</v>
      </c>
      <c r="AL17" s="483">
        <v>1678</v>
      </c>
    </row>
    <row r="18" spans="1:38" ht="15.75" customHeight="1">
      <c r="A18" s="177" t="s">
        <v>201</v>
      </c>
      <c r="B18" s="368">
        <v>1065086</v>
      </c>
      <c r="C18" s="342">
        <v>48129</v>
      </c>
      <c r="D18" s="481">
        <v>292647</v>
      </c>
      <c r="E18" s="370">
        <v>1374</v>
      </c>
      <c r="F18" s="370">
        <v>12150</v>
      </c>
      <c r="G18" s="479">
        <v>17704</v>
      </c>
      <c r="H18" s="326">
        <v>2902</v>
      </c>
      <c r="I18" s="326">
        <v>37331</v>
      </c>
      <c r="J18" s="326">
        <v>85067</v>
      </c>
      <c r="K18" s="326">
        <v>6251</v>
      </c>
      <c r="L18" s="326">
        <v>49909</v>
      </c>
      <c r="M18" s="482">
        <v>11618</v>
      </c>
      <c r="N18" s="261">
        <v>2873</v>
      </c>
      <c r="O18" s="214">
        <v>519</v>
      </c>
      <c r="P18" s="214">
        <v>7122</v>
      </c>
      <c r="Q18" s="479">
        <v>2066</v>
      </c>
      <c r="R18" s="342">
        <v>1053</v>
      </c>
      <c r="S18" s="343">
        <v>601</v>
      </c>
      <c r="T18" s="307">
        <v>1155</v>
      </c>
      <c r="U18" s="196">
        <v>11815</v>
      </c>
      <c r="V18" s="196">
        <v>5</v>
      </c>
      <c r="W18" s="196">
        <v>10981</v>
      </c>
      <c r="X18" s="196">
        <v>26909</v>
      </c>
      <c r="Y18" s="196">
        <v>33292</v>
      </c>
      <c r="Z18" s="204">
        <v>5546</v>
      </c>
      <c r="AA18" s="261">
        <v>4486</v>
      </c>
      <c r="AB18" s="196">
        <v>2469</v>
      </c>
      <c r="AC18" s="196">
        <v>197</v>
      </c>
      <c r="AD18" s="214">
        <v>1423</v>
      </c>
      <c r="AE18" s="214">
        <v>61</v>
      </c>
      <c r="AF18" s="214">
        <v>100</v>
      </c>
      <c r="AG18" s="214">
        <v>8</v>
      </c>
      <c r="AH18" s="214">
        <v>3789</v>
      </c>
      <c r="AI18" s="342">
        <v>724310</v>
      </c>
      <c r="AJ18" s="326">
        <v>695337</v>
      </c>
      <c r="AK18" s="326">
        <v>16371</v>
      </c>
      <c r="AL18" s="481">
        <v>12602</v>
      </c>
    </row>
    <row r="19" spans="1:38" ht="15.75" customHeight="1">
      <c r="A19" s="76" t="s">
        <v>88</v>
      </c>
      <c r="B19" s="371">
        <v>876018</v>
      </c>
      <c r="C19" s="344">
        <v>49367</v>
      </c>
      <c r="D19" s="483">
        <v>287654</v>
      </c>
      <c r="E19" s="373">
        <v>1099</v>
      </c>
      <c r="F19" s="373">
        <v>11220</v>
      </c>
      <c r="G19" s="484">
        <v>20410</v>
      </c>
      <c r="H19" s="328">
        <v>4518</v>
      </c>
      <c r="I19" s="328">
        <v>38534</v>
      </c>
      <c r="J19" s="328">
        <v>81965</v>
      </c>
      <c r="K19" s="329">
        <v>4800</v>
      </c>
      <c r="L19" s="328">
        <v>47286</v>
      </c>
      <c r="M19" s="485">
        <v>17201</v>
      </c>
      <c r="N19" s="262">
        <v>0</v>
      </c>
      <c r="O19" s="215">
        <v>0</v>
      </c>
      <c r="P19" s="215">
        <v>0</v>
      </c>
      <c r="Q19" s="484">
        <v>0</v>
      </c>
      <c r="R19" s="344">
        <v>1801</v>
      </c>
      <c r="S19" s="345">
        <v>687</v>
      </c>
      <c r="T19" s="306">
        <v>1384</v>
      </c>
      <c r="U19" s="197">
        <v>13446</v>
      </c>
      <c r="V19" s="197">
        <v>7</v>
      </c>
      <c r="W19" s="197">
        <v>14858</v>
      </c>
      <c r="X19" s="197">
        <v>25669</v>
      </c>
      <c r="Y19" s="197">
        <v>40688</v>
      </c>
      <c r="Z19" s="486">
        <v>7367</v>
      </c>
      <c r="AA19" s="262">
        <v>0</v>
      </c>
      <c r="AB19" s="198">
        <v>0</v>
      </c>
      <c r="AC19" s="198">
        <v>0</v>
      </c>
      <c r="AD19" s="215">
        <v>0</v>
      </c>
      <c r="AE19" s="215">
        <v>0</v>
      </c>
      <c r="AF19" s="215">
        <v>114</v>
      </c>
      <c r="AG19" s="215">
        <v>0</v>
      </c>
      <c r="AH19" s="215">
        <v>3967</v>
      </c>
      <c r="AI19" s="344">
        <v>538997</v>
      </c>
      <c r="AJ19" s="355">
        <v>527035</v>
      </c>
      <c r="AK19" s="328">
        <v>0</v>
      </c>
      <c r="AL19" s="483">
        <v>11962</v>
      </c>
    </row>
    <row r="20" spans="1:38" ht="15.75" customHeight="1">
      <c r="A20" s="76" t="s">
        <v>401</v>
      </c>
      <c r="B20" s="371">
        <v>35617</v>
      </c>
      <c r="C20" s="344">
        <v>2558</v>
      </c>
      <c r="D20" s="483">
        <v>18515</v>
      </c>
      <c r="E20" s="373">
        <v>0</v>
      </c>
      <c r="F20" s="373">
        <v>0</v>
      </c>
      <c r="G20" s="484">
        <v>0</v>
      </c>
      <c r="H20" s="326">
        <v>0</v>
      </c>
      <c r="I20" s="326">
        <v>0</v>
      </c>
      <c r="J20" s="326">
        <v>0</v>
      </c>
      <c r="K20" s="326">
        <v>0</v>
      </c>
      <c r="L20" s="326">
        <v>0</v>
      </c>
      <c r="M20" s="196">
        <v>0</v>
      </c>
      <c r="N20" s="262">
        <v>2558</v>
      </c>
      <c r="O20" s="215">
        <v>918</v>
      </c>
      <c r="P20" s="215">
        <v>5609</v>
      </c>
      <c r="Q20" s="484">
        <v>1509</v>
      </c>
      <c r="R20" s="344">
        <v>0</v>
      </c>
      <c r="S20" s="345">
        <v>0</v>
      </c>
      <c r="T20" s="306">
        <v>0</v>
      </c>
      <c r="U20" s="197">
        <v>0</v>
      </c>
      <c r="V20" s="197">
        <v>0</v>
      </c>
      <c r="W20" s="197">
        <v>0</v>
      </c>
      <c r="X20" s="197">
        <v>0</v>
      </c>
      <c r="Y20" s="197">
        <v>0</v>
      </c>
      <c r="Z20" s="486">
        <v>0</v>
      </c>
      <c r="AA20" s="262">
        <v>5291</v>
      </c>
      <c r="AB20" s="198">
        <v>3366</v>
      </c>
      <c r="AC20" s="198">
        <v>142</v>
      </c>
      <c r="AD20" s="215">
        <v>1516</v>
      </c>
      <c r="AE20" s="215">
        <v>91</v>
      </c>
      <c r="AF20" s="215">
        <v>0</v>
      </c>
      <c r="AG20" s="215">
        <v>4</v>
      </c>
      <c r="AH20" s="215">
        <v>69</v>
      </c>
      <c r="AI20" s="344">
        <v>14544</v>
      </c>
      <c r="AJ20" s="355">
        <v>0</v>
      </c>
      <c r="AK20" s="328">
        <v>14544</v>
      </c>
      <c r="AL20" s="483">
        <v>0</v>
      </c>
    </row>
    <row r="21" spans="1:38" ht="15.75" customHeight="1">
      <c r="A21" s="76" t="s">
        <v>242</v>
      </c>
      <c r="B21" s="371">
        <v>367898</v>
      </c>
      <c r="C21" s="344">
        <v>18266</v>
      </c>
      <c r="D21" s="483">
        <v>97930</v>
      </c>
      <c r="E21" s="373">
        <v>432</v>
      </c>
      <c r="F21" s="373">
        <v>4791</v>
      </c>
      <c r="G21" s="484">
        <v>6962</v>
      </c>
      <c r="H21" s="328">
        <v>310</v>
      </c>
      <c r="I21" s="328">
        <v>12670</v>
      </c>
      <c r="J21" s="328">
        <v>29397</v>
      </c>
      <c r="K21" s="329">
        <v>1937</v>
      </c>
      <c r="L21" s="328">
        <v>17077</v>
      </c>
      <c r="M21" s="485">
        <v>0</v>
      </c>
      <c r="N21" s="262">
        <v>977</v>
      </c>
      <c r="O21" s="215">
        <v>177</v>
      </c>
      <c r="P21" s="215">
        <v>2026</v>
      </c>
      <c r="Q21" s="484">
        <v>677</v>
      </c>
      <c r="R21" s="344">
        <v>0</v>
      </c>
      <c r="S21" s="345">
        <v>0</v>
      </c>
      <c r="T21" s="306">
        <v>382</v>
      </c>
      <c r="U21" s="197">
        <v>4721</v>
      </c>
      <c r="V21" s="197">
        <v>1</v>
      </c>
      <c r="W21" s="197">
        <v>3967</v>
      </c>
      <c r="X21" s="197">
        <v>11714</v>
      </c>
      <c r="Y21" s="197">
        <v>12512</v>
      </c>
      <c r="Z21" s="486">
        <v>1964</v>
      </c>
      <c r="AA21" s="262">
        <v>0</v>
      </c>
      <c r="AB21" s="198">
        <v>1323</v>
      </c>
      <c r="AC21" s="198">
        <v>102</v>
      </c>
      <c r="AD21" s="215">
        <v>772</v>
      </c>
      <c r="AE21" s="215">
        <v>57</v>
      </c>
      <c r="AF21" s="215">
        <v>29</v>
      </c>
      <c r="AG21" s="215">
        <v>2</v>
      </c>
      <c r="AH21" s="215">
        <v>1217</v>
      </c>
      <c r="AI21" s="344">
        <v>251702</v>
      </c>
      <c r="AJ21" s="355">
        <v>242988</v>
      </c>
      <c r="AK21" s="370">
        <v>6053</v>
      </c>
      <c r="AL21" s="483">
        <v>2661</v>
      </c>
    </row>
    <row r="22" spans="1:38" ht="15.75" customHeight="1">
      <c r="A22" s="177" t="s">
        <v>201</v>
      </c>
      <c r="B22" s="368">
        <v>1279533</v>
      </c>
      <c r="C22" s="342">
        <v>70191</v>
      </c>
      <c r="D22" s="481">
        <v>404099</v>
      </c>
      <c r="E22" s="370">
        <v>1531</v>
      </c>
      <c r="F22" s="370">
        <v>16011</v>
      </c>
      <c r="G22" s="479">
        <v>27372</v>
      </c>
      <c r="H22" s="326">
        <v>4828</v>
      </c>
      <c r="I22" s="326">
        <v>51204</v>
      </c>
      <c r="J22" s="326">
        <v>111362</v>
      </c>
      <c r="K22" s="326">
        <v>6737</v>
      </c>
      <c r="L22" s="326">
        <v>64363</v>
      </c>
      <c r="M22" s="482">
        <v>17201</v>
      </c>
      <c r="N22" s="261">
        <v>3535</v>
      </c>
      <c r="O22" s="214">
        <v>1095</v>
      </c>
      <c r="P22" s="214">
        <v>7635</v>
      </c>
      <c r="Q22" s="479">
        <v>2186</v>
      </c>
      <c r="R22" s="342">
        <v>1801</v>
      </c>
      <c r="S22" s="343">
        <v>687</v>
      </c>
      <c r="T22" s="307">
        <v>1766</v>
      </c>
      <c r="U22" s="196">
        <v>18167</v>
      </c>
      <c r="V22" s="196">
        <v>8</v>
      </c>
      <c r="W22" s="196">
        <v>18825</v>
      </c>
      <c r="X22" s="196">
        <v>37383</v>
      </c>
      <c r="Y22" s="196">
        <v>53200</v>
      </c>
      <c r="Z22" s="204">
        <v>9331</v>
      </c>
      <c r="AA22" s="261">
        <v>5291</v>
      </c>
      <c r="AB22" s="196">
        <v>4689</v>
      </c>
      <c r="AC22" s="196">
        <v>244</v>
      </c>
      <c r="AD22" s="214">
        <v>2288</v>
      </c>
      <c r="AE22" s="214">
        <v>148</v>
      </c>
      <c r="AF22" s="214">
        <v>143</v>
      </c>
      <c r="AG22" s="214">
        <v>6</v>
      </c>
      <c r="AH22" s="214">
        <v>5253</v>
      </c>
      <c r="AI22" s="342">
        <v>805243</v>
      </c>
      <c r="AJ22" s="326">
        <v>770023</v>
      </c>
      <c r="AK22" s="326">
        <v>20597</v>
      </c>
      <c r="AL22" s="481">
        <v>14623</v>
      </c>
    </row>
    <row r="23" spans="1:38" ht="15.75" customHeight="1">
      <c r="A23" s="76" t="s">
        <v>87</v>
      </c>
      <c r="B23" s="371">
        <v>1119776</v>
      </c>
      <c r="C23" s="344">
        <v>44967</v>
      </c>
      <c r="D23" s="483">
        <v>252237</v>
      </c>
      <c r="E23" s="373">
        <v>1521</v>
      </c>
      <c r="F23" s="373">
        <v>10557</v>
      </c>
      <c r="G23" s="484">
        <v>18173</v>
      </c>
      <c r="H23" s="328">
        <v>4979</v>
      </c>
      <c r="I23" s="328">
        <v>35573</v>
      </c>
      <c r="J23" s="328">
        <v>64717</v>
      </c>
      <c r="K23" s="329">
        <v>6372</v>
      </c>
      <c r="L23" s="328">
        <v>40628</v>
      </c>
      <c r="M23" s="485">
        <v>24727</v>
      </c>
      <c r="N23" s="262">
        <v>0</v>
      </c>
      <c r="O23" s="215">
        <v>0</v>
      </c>
      <c r="P23" s="215">
        <v>0</v>
      </c>
      <c r="Q23" s="484">
        <v>0</v>
      </c>
      <c r="R23" s="344">
        <v>3282</v>
      </c>
      <c r="S23" s="345">
        <v>1339</v>
      </c>
      <c r="T23" s="306">
        <v>1240</v>
      </c>
      <c r="U23" s="197">
        <v>10186</v>
      </c>
      <c r="V23" s="197">
        <v>8</v>
      </c>
      <c r="W23" s="197">
        <v>5705</v>
      </c>
      <c r="X23" s="197">
        <v>25357</v>
      </c>
      <c r="Y23" s="197">
        <v>33203</v>
      </c>
      <c r="Z23" s="486">
        <v>6260</v>
      </c>
      <c r="AA23" s="262">
        <v>0</v>
      </c>
      <c r="AB23" s="198">
        <v>0</v>
      </c>
      <c r="AC23" s="198">
        <v>0</v>
      </c>
      <c r="AD23" s="215">
        <v>0</v>
      </c>
      <c r="AE23" s="215">
        <v>0</v>
      </c>
      <c r="AF23" s="215">
        <v>112</v>
      </c>
      <c r="AG23" s="215">
        <v>0</v>
      </c>
      <c r="AH23" s="215">
        <v>3265</v>
      </c>
      <c r="AI23" s="344">
        <v>822572</v>
      </c>
      <c r="AJ23" s="356">
        <v>810278</v>
      </c>
      <c r="AK23" s="370">
        <v>0</v>
      </c>
      <c r="AL23" s="483">
        <v>12294</v>
      </c>
    </row>
    <row r="24" spans="1:38" ht="15.75" customHeight="1">
      <c r="A24" s="171" t="s">
        <v>402</v>
      </c>
      <c r="B24" s="371">
        <v>39181</v>
      </c>
      <c r="C24" s="344">
        <v>2668</v>
      </c>
      <c r="D24" s="483">
        <v>22497</v>
      </c>
      <c r="E24" s="373">
        <v>0</v>
      </c>
      <c r="F24" s="373">
        <v>0</v>
      </c>
      <c r="G24" s="484">
        <v>0</v>
      </c>
      <c r="H24" s="328">
        <v>0</v>
      </c>
      <c r="I24" s="328">
        <v>0</v>
      </c>
      <c r="J24" s="328">
        <v>0</v>
      </c>
      <c r="K24" s="329">
        <v>0</v>
      </c>
      <c r="L24" s="328">
        <v>0</v>
      </c>
      <c r="M24" s="485">
        <v>0</v>
      </c>
      <c r="N24" s="262">
        <v>2668</v>
      </c>
      <c r="O24" s="215">
        <v>554</v>
      </c>
      <c r="P24" s="215">
        <v>4818</v>
      </c>
      <c r="Q24" s="484">
        <v>1728</v>
      </c>
      <c r="R24" s="344">
        <v>0</v>
      </c>
      <c r="S24" s="345">
        <v>0</v>
      </c>
      <c r="T24" s="306">
        <v>0</v>
      </c>
      <c r="U24" s="197">
        <v>0</v>
      </c>
      <c r="V24" s="197">
        <v>0</v>
      </c>
      <c r="W24" s="197">
        <v>0</v>
      </c>
      <c r="X24" s="197">
        <v>0</v>
      </c>
      <c r="Y24" s="197">
        <v>0</v>
      </c>
      <c r="Z24" s="486">
        <v>0</v>
      </c>
      <c r="AA24" s="262">
        <v>10110</v>
      </c>
      <c r="AB24" s="198">
        <v>3432</v>
      </c>
      <c r="AC24" s="198">
        <v>160</v>
      </c>
      <c r="AD24" s="215">
        <v>1527</v>
      </c>
      <c r="AE24" s="215">
        <v>85</v>
      </c>
      <c r="AF24" s="215">
        <v>0</v>
      </c>
      <c r="AG24" s="215">
        <v>17</v>
      </c>
      <c r="AH24" s="215">
        <v>66</v>
      </c>
      <c r="AI24" s="344">
        <v>14016</v>
      </c>
      <c r="AJ24" s="356">
        <v>0</v>
      </c>
      <c r="AK24" s="328">
        <v>14016</v>
      </c>
      <c r="AL24" s="483">
        <v>0</v>
      </c>
    </row>
    <row r="25" spans="1:38" ht="15.75" customHeight="1">
      <c r="A25" s="76" t="s">
        <v>241</v>
      </c>
      <c r="B25" s="371">
        <v>435730</v>
      </c>
      <c r="C25" s="344">
        <v>22598</v>
      </c>
      <c r="D25" s="483">
        <v>110711</v>
      </c>
      <c r="E25" s="373">
        <v>831</v>
      </c>
      <c r="F25" s="373">
        <v>6874</v>
      </c>
      <c r="G25" s="484">
        <v>9496</v>
      </c>
      <c r="H25" s="328">
        <v>903</v>
      </c>
      <c r="I25" s="328">
        <v>16266</v>
      </c>
      <c r="J25" s="328">
        <v>31727</v>
      </c>
      <c r="K25" s="329">
        <v>4234</v>
      </c>
      <c r="L25" s="328">
        <v>20439</v>
      </c>
      <c r="M25" s="485">
        <v>0</v>
      </c>
      <c r="N25" s="262">
        <v>1209</v>
      </c>
      <c r="O25" s="215">
        <v>322</v>
      </c>
      <c r="P25" s="215">
        <v>2504</v>
      </c>
      <c r="Q25" s="484">
        <v>816</v>
      </c>
      <c r="R25" s="344">
        <v>0</v>
      </c>
      <c r="S25" s="345">
        <v>1</v>
      </c>
      <c r="T25" s="306">
        <v>417</v>
      </c>
      <c r="U25" s="197">
        <v>3771</v>
      </c>
      <c r="V25" s="197">
        <v>0</v>
      </c>
      <c r="W25" s="197">
        <v>4084</v>
      </c>
      <c r="X25" s="197">
        <v>11356</v>
      </c>
      <c r="Y25" s="197">
        <v>13062</v>
      </c>
      <c r="Z25" s="486">
        <v>1601</v>
      </c>
      <c r="AA25" s="262">
        <v>0</v>
      </c>
      <c r="AB25" s="198">
        <v>1469</v>
      </c>
      <c r="AC25" s="198">
        <v>76</v>
      </c>
      <c r="AD25" s="215">
        <v>499</v>
      </c>
      <c r="AE25" s="215">
        <v>24</v>
      </c>
      <c r="AF25" s="215">
        <v>8</v>
      </c>
      <c r="AG25" s="215">
        <v>0</v>
      </c>
      <c r="AH25" s="215">
        <v>1320</v>
      </c>
      <c r="AI25" s="344">
        <v>302421</v>
      </c>
      <c r="AJ25" s="356">
        <v>291281</v>
      </c>
      <c r="AK25" s="328">
        <v>6530</v>
      </c>
      <c r="AL25" s="483">
        <v>4610</v>
      </c>
    </row>
    <row r="26" spans="1:38" ht="15.75" customHeight="1">
      <c r="A26" s="76" t="s">
        <v>240</v>
      </c>
      <c r="B26" s="371">
        <v>91784</v>
      </c>
      <c r="C26" s="344">
        <v>6770</v>
      </c>
      <c r="D26" s="483">
        <v>36385</v>
      </c>
      <c r="E26" s="373">
        <v>216</v>
      </c>
      <c r="F26" s="373">
        <v>1894</v>
      </c>
      <c r="G26" s="484">
        <v>2264</v>
      </c>
      <c r="H26" s="328">
        <v>102</v>
      </c>
      <c r="I26" s="328">
        <v>4563</v>
      </c>
      <c r="J26" s="328">
        <v>11841</v>
      </c>
      <c r="K26" s="329">
        <v>771</v>
      </c>
      <c r="L26" s="328">
        <v>6892</v>
      </c>
      <c r="M26" s="485">
        <v>0</v>
      </c>
      <c r="N26" s="262">
        <v>353</v>
      </c>
      <c r="O26" s="215">
        <v>52</v>
      </c>
      <c r="P26" s="215">
        <v>883</v>
      </c>
      <c r="Q26" s="484">
        <v>231</v>
      </c>
      <c r="R26" s="344">
        <v>0</v>
      </c>
      <c r="S26" s="345">
        <v>0</v>
      </c>
      <c r="T26" s="306">
        <v>206</v>
      </c>
      <c r="U26" s="197">
        <v>1834</v>
      </c>
      <c r="V26" s="197">
        <v>3</v>
      </c>
      <c r="W26" s="197">
        <v>726</v>
      </c>
      <c r="X26" s="197">
        <v>4622</v>
      </c>
      <c r="Y26" s="197">
        <v>3813</v>
      </c>
      <c r="Z26" s="486">
        <v>626</v>
      </c>
      <c r="AA26" s="262">
        <v>0</v>
      </c>
      <c r="AB26" s="198">
        <v>469</v>
      </c>
      <c r="AC26" s="198">
        <v>33</v>
      </c>
      <c r="AD26" s="215">
        <v>159</v>
      </c>
      <c r="AE26" s="215">
        <v>18</v>
      </c>
      <c r="AF26" s="215">
        <v>2</v>
      </c>
      <c r="AG26" s="215">
        <v>2</v>
      </c>
      <c r="AH26" s="215">
        <v>580</v>
      </c>
      <c r="AI26" s="344">
        <v>48629</v>
      </c>
      <c r="AJ26" s="356">
        <v>44462</v>
      </c>
      <c r="AK26" s="328">
        <v>2191</v>
      </c>
      <c r="AL26" s="483">
        <v>1976</v>
      </c>
    </row>
    <row r="27" spans="1:38" ht="15.75" customHeight="1">
      <c r="A27" s="76" t="s">
        <v>239</v>
      </c>
      <c r="B27" s="371">
        <v>177801</v>
      </c>
      <c r="C27" s="344">
        <v>12709</v>
      </c>
      <c r="D27" s="483">
        <v>71691</v>
      </c>
      <c r="E27" s="373">
        <v>342</v>
      </c>
      <c r="F27" s="373">
        <v>3057</v>
      </c>
      <c r="G27" s="484">
        <v>4393</v>
      </c>
      <c r="H27" s="328">
        <v>119</v>
      </c>
      <c r="I27" s="328">
        <v>9148</v>
      </c>
      <c r="J27" s="328">
        <v>23819</v>
      </c>
      <c r="K27" s="329">
        <v>1293</v>
      </c>
      <c r="L27" s="328">
        <v>11968</v>
      </c>
      <c r="M27" s="485">
        <v>0</v>
      </c>
      <c r="N27" s="262">
        <v>673</v>
      </c>
      <c r="O27" s="215">
        <v>108</v>
      </c>
      <c r="P27" s="215">
        <v>1370</v>
      </c>
      <c r="Q27" s="484">
        <v>448</v>
      </c>
      <c r="R27" s="344">
        <v>0</v>
      </c>
      <c r="S27" s="345">
        <v>0</v>
      </c>
      <c r="T27" s="306">
        <v>365</v>
      </c>
      <c r="U27" s="197">
        <v>3877</v>
      </c>
      <c r="V27" s="197">
        <v>2</v>
      </c>
      <c r="W27" s="197">
        <v>1790</v>
      </c>
      <c r="X27" s="197">
        <v>8860</v>
      </c>
      <c r="Y27" s="197">
        <v>8449</v>
      </c>
      <c r="Z27" s="486">
        <v>1435</v>
      </c>
      <c r="AA27" s="262">
        <v>0</v>
      </c>
      <c r="AB27" s="198">
        <v>1128</v>
      </c>
      <c r="AC27" s="198">
        <v>55</v>
      </c>
      <c r="AD27" s="215">
        <v>348</v>
      </c>
      <c r="AE27" s="215">
        <v>7</v>
      </c>
      <c r="AF27" s="215">
        <v>9</v>
      </c>
      <c r="AG27" s="215">
        <v>0</v>
      </c>
      <c r="AH27" s="215">
        <v>1337</v>
      </c>
      <c r="AI27" s="344">
        <v>93401</v>
      </c>
      <c r="AJ27" s="356">
        <v>85966</v>
      </c>
      <c r="AK27" s="328">
        <v>4010</v>
      </c>
      <c r="AL27" s="483">
        <v>3425</v>
      </c>
    </row>
    <row r="28" spans="1:38" ht="15.75" customHeight="1">
      <c r="A28" s="76" t="s">
        <v>238</v>
      </c>
      <c r="B28" s="371">
        <v>399155</v>
      </c>
      <c r="C28" s="344">
        <v>21506</v>
      </c>
      <c r="D28" s="483">
        <v>125088</v>
      </c>
      <c r="E28" s="373">
        <v>463</v>
      </c>
      <c r="F28" s="373">
        <v>4726</v>
      </c>
      <c r="G28" s="484">
        <v>8374</v>
      </c>
      <c r="H28" s="328">
        <v>468</v>
      </c>
      <c r="I28" s="328">
        <v>16233</v>
      </c>
      <c r="J28" s="328">
        <v>38463</v>
      </c>
      <c r="K28" s="329">
        <v>2169</v>
      </c>
      <c r="L28" s="328">
        <v>21153</v>
      </c>
      <c r="M28" s="485">
        <v>0</v>
      </c>
      <c r="N28" s="262">
        <v>1252</v>
      </c>
      <c r="O28" s="215">
        <v>185</v>
      </c>
      <c r="P28" s="215">
        <v>2464</v>
      </c>
      <c r="Q28" s="484">
        <v>710</v>
      </c>
      <c r="R28" s="344">
        <v>0</v>
      </c>
      <c r="S28" s="345">
        <v>0</v>
      </c>
      <c r="T28" s="306">
        <v>595</v>
      </c>
      <c r="U28" s="197">
        <v>6094</v>
      </c>
      <c r="V28" s="197">
        <v>2</v>
      </c>
      <c r="W28" s="197">
        <v>6027</v>
      </c>
      <c r="X28" s="197">
        <v>15074</v>
      </c>
      <c r="Y28" s="197">
        <v>13889</v>
      </c>
      <c r="Z28" s="486">
        <v>2622</v>
      </c>
      <c r="AA28" s="262">
        <v>0</v>
      </c>
      <c r="AB28" s="198">
        <v>2398</v>
      </c>
      <c r="AC28" s="198">
        <v>149</v>
      </c>
      <c r="AD28" s="215">
        <v>1080</v>
      </c>
      <c r="AE28" s="215">
        <v>70</v>
      </c>
      <c r="AF28" s="215">
        <v>29</v>
      </c>
      <c r="AG28" s="215">
        <v>2</v>
      </c>
      <c r="AH28" s="215">
        <v>1903</v>
      </c>
      <c r="AI28" s="344">
        <v>252561</v>
      </c>
      <c r="AJ28" s="356">
        <v>240192</v>
      </c>
      <c r="AK28" s="328">
        <v>7503</v>
      </c>
      <c r="AL28" s="483">
        <v>4866</v>
      </c>
    </row>
    <row r="29" spans="1:38" ht="15.75" customHeight="1">
      <c r="A29" s="76" t="s">
        <v>237</v>
      </c>
      <c r="B29" s="371">
        <v>228142</v>
      </c>
      <c r="C29" s="344">
        <v>12836</v>
      </c>
      <c r="D29" s="483">
        <v>60508</v>
      </c>
      <c r="E29" s="373">
        <v>452</v>
      </c>
      <c r="F29" s="373">
        <v>3388</v>
      </c>
      <c r="G29" s="484">
        <v>5107</v>
      </c>
      <c r="H29" s="328">
        <v>185</v>
      </c>
      <c r="I29" s="328">
        <v>8780</v>
      </c>
      <c r="J29" s="328">
        <v>16920</v>
      </c>
      <c r="K29" s="329">
        <v>2262</v>
      </c>
      <c r="L29" s="328">
        <v>10739</v>
      </c>
      <c r="M29" s="485">
        <v>0</v>
      </c>
      <c r="N29" s="262">
        <v>645</v>
      </c>
      <c r="O29" s="215">
        <v>126</v>
      </c>
      <c r="P29" s="215">
        <v>1475</v>
      </c>
      <c r="Q29" s="484">
        <v>427</v>
      </c>
      <c r="R29" s="344">
        <v>0</v>
      </c>
      <c r="S29" s="345">
        <v>1</v>
      </c>
      <c r="T29" s="306">
        <v>307</v>
      </c>
      <c r="U29" s="197">
        <v>2936</v>
      </c>
      <c r="V29" s="197">
        <v>1</v>
      </c>
      <c r="W29" s="197">
        <v>1877</v>
      </c>
      <c r="X29" s="197">
        <v>5915</v>
      </c>
      <c r="Y29" s="197">
        <v>7796</v>
      </c>
      <c r="Z29" s="486">
        <v>1479</v>
      </c>
      <c r="AA29" s="262">
        <v>0</v>
      </c>
      <c r="AB29" s="198">
        <v>1038</v>
      </c>
      <c r="AC29" s="198">
        <v>29</v>
      </c>
      <c r="AD29" s="215">
        <v>396</v>
      </c>
      <c r="AE29" s="215">
        <v>16</v>
      </c>
      <c r="AF29" s="215">
        <v>33</v>
      </c>
      <c r="AG29" s="215">
        <v>4</v>
      </c>
      <c r="AH29" s="215">
        <v>1010</v>
      </c>
      <c r="AI29" s="344">
        <v>154798</v>
      </c>
      <c r="AJ29" s="356">
        <v>149091</v>
      </c>
      <c r="AK29" s="328">
        <v>3778</v>
      </c>
      <c r="AL29" s="483">
        <v>1929</v>
      </c>
    </row>
    <row r="30" spans="1:38" ht="15.75" customHeight="1">
      <c r="A30" s="177" t="s">
        <v>201</v>
      </c>
      <c r="B30" s="368">
        <v>2491569</v>
      </c>
      <c r="C30" s="342">
        <v>124054</v>
      </c>
      <c r="D30" s="481">
        <v>679117</v>
      </c>
      <c r="E30" s="370">
        <v>3825</v>
      </c>
      <c r="F30" s="370">
        <v>30496</v>
      </c>
      <c r="G30" s="479">
        <v>47807</v>
      </c>
      <c r="H30" s="326">
        <v>6756</v>
      </c>
      <c r="I30" s="326">
        <v>90563</v>
      </c>
      <c r="J30" s="326">
        <v>187487</v>
      </c>
      <c r="K30" s="326">
        <v>17101</v>
      </c>
      <c r="L30" s="326">
        <v>111819</v>
      </c>
      <c r="M30" s="482">
        <v>24727</v>
      </c>
      <c r="N30" s="261">
        <v>6800</v>
      </c>
      <c r="O30" s="214">
        <v>1347</v>
      </c>
      <c r="P30" s="214">
        <v>13514</v>
      </c>
      <c r="Q30" s="479">
        <v>4360</v>
      </c>
      <c r="R30" s="342">
        <v>3282</v>
      </c>
      <c r="S30" s="343">
        <v>1341</v>
      </c>
      <c r="T30" s="307">
        <v>3130</v>
      </c>
      <c r="U30" s="196">
        <v>28698</v>
      </c>
      <c r="V30" s="196">
        <v>16</v>
      </c>
      <c r="W30" s="196">
        <v>20209</v>
      </c>
      <c r="X30" s="196">
        <v>71184</v>
      </c>
      <c r="Y30" s="196">
        <v>80212</v>
      </c>
      <c r="Z30" s="204">
        <v>14023</v>
      </c>
      <c r="AA30" s="261">
        <v>10110</v>
      </c>
      <c r="AB30" s="196">
        <v>9934</v>
      </c>
      <c r="AC30" s="196">
        <v>502</v>
      </c>
      <c r="AD30" s="214">
        <v>4009</v>
      </c>
      <c r="AE30" s="214">
        <v>220</v>
      </c>
      <c r="AF30" s="214">
        <v>193</v>
      </c>
      <c r="AG30" s="214">
        <v>25</v>
      </c>
      <c r="AH30" s="214">
        <v>9481</v>
      </c>
      <c r="AI30" s="342">
        <v>1688398</v>
      </c>
      <c r="AJ30" s="326">
        <v>1621270</v>
      </c>
      <c r="AK30" s="326">
        <v>38028</v>
      </c>
      <c r="AL30" s="481">
        <v>29100</v>
      </c>
    </row>
    <row r="31" spans="1:38" ht="15.75" customHeight="1">
      <c r="A31" s="76" t="s">
        <v>86</v>
      </c>
      <c r="B31" s="371">
        <v>276699</v>
      </c>
      <c r="C31" s="344">
        <v>5880</v>
      </c>
      <c r="D31" s="483">
        <v>37535</v>
      </c>
      <c r="E31" s="373">
        <v>201</v>
      </c>
      <c r="F31" s="373">
        <v>1180</v>
      </c>
      <c r="G31" s="484">
        <v>1646</v>
      </c>
      <c r="H31" s="328">
        <v>736</v>
      </c>
      <c r="I31" s="328">
        <v>4583</v>
      </c>
      <c r="J31" s="328">
        <v>9091</v>
      </c>
      <c r="K31" s="329">
        <v>454</v>
      </c>
      <c r="L31" s="328">
        <v>5129</v>
      </c>
      <c r="M31" s="485">
        <v>3242</v>
      </c>
      <c r="N31" s="262">
        <v>325</v>
      </c>
      <c r="O31" s="215">
        <v>45</v>
      </c>
      <c r="P31" s="215">
        <v>871</v>
      </c>
      <c r="Q31" s="484">
        <v>162</v>
      </c>
      <c r="R31" s="344">
        <v>332</v>
      </c>
      <c r="S31" s="345">
        <v>193</v>
      </c>
      <c r="T31" s="306">
        <v>199</v>
      </c>
      <c r="U31" s="197">
        <v>1997</v>
      </c>
      <c r="V31" s="197">
        <v>0</v>
      </c>
      <c r="W31" s="197">
        <v>635</v>
      </c>
      <c r="X31" s="197">
        <v>3706</v>
      </c>
      <c r="Y31" s="197">
        <v>4839</v>
      </c>
      <c r="Z31" s="486">
        <v>1239</v>
      </c>
      <c r="AA31" s="262">
        <v>1731</v>
      </c>
      <c r="AB31" s="198">
        <v>267</v>
      </c>
      <c r="AC31" s="198">
        <v>36</v>
      </c>
      <c r="AD31" s="215">
        <v>112</v>
      </c>
      <c r="AE31" s="215">
        <v>11</v>
      </c>
      <c r="AF31" s="215">
        <v>1</v>
      </c>
      <c r="AG31" s="215">
        <v>0</v>
      </c>
      <c r="AH31" s="215">
        <v>452</v>
      </c>
      <c r="AI31" s="344">
        <v>233284</v>
      </c>
      <c r="AJ31" s="356">
        <v>229039</v>
      </c>
      <c r="AK31" s="328">
        <v>1964</v>
      </c>
      <c r="AL31" s="483">
        <v>2281</v>
      </c>
    </row>
    <row r="32" spans="1:38" ht="15.75" customHeight="1">
      <c r="A32" s="76" t="s">
        <v>236</v>
      </c>
      <c r="B32" s="371">
        <v>79449</v>
      </c>
      <c r="C32" s="344">
        <v>4671</v>
      </c>
      <c r="D32" s="483">
        <v>28818</v>
      </c>
      <c r="E32" s="373">
        <v>110</v>
      </c>
      <c r="F32" s="373">
        <v>1184</v>
      </c>
      <c r="G32" s="484">
        <v>1452</v>
      </c>
      <c r="H32" s="328">
        <v>291</v>
      </c>
      <c r="I32" s="328">
        <v>3985</v>
      </c>
      <c r="J32" s="328">
        <v>8642</v>
      </c>
      <c r="K32" s="329">
        <v>381</v>
      </c>
      <c r="L32" s="328">
        <v>4952</v>
      </c>
      <c r="M32" s="485">
        <v>1129</v>
      </c>
      <c r="N32" s="262">
        <v>262</v>
      </c>
      <c r="O32" s="215">
        <v>23</v>
      </c>
      <c r="P32" s="215">
        <v>823</v>
      </c>
      <c r="Q32" s="484">
        <v>214</v>
      </c>
      <c r="R32" s="344">
        <v>81</v>
      </c>
      <c r="S32" s="345">
        <v>59</v>
      </c>
      <c r="T32" s="306">
        <v>133</v>
      </c>
      <c r="U32" s="197">
        <v>1449</v>
      </c>
      <c r="V32" s="197">
        <v>0</v>
      </c>
      <c r="W32" s="197">
        <v>433</v>
      </c>
      <c r="X32" s="197">
        <v>3478</v>
      </c>
      <c r="Y32" s="197">
        <v>2962</v>
      </c>
      <c r="Z32" s="486">
        <v>527</v>
      </c>
      <c r="AA32" s="262">
        <v>0</v>
      </c>
      <c r="AB32" s="198">
        <v>324</v>
      </c>
      <c r="AC32" s="198">
        <v>6</v>
      </c>
      <c r="AD32" s="215">
        <v>112</v>
      </c>
      <c r="AE32" s="215">
        <v>9</v>
      </c>
      <c r="AF32" s="215">
        <v>1</v>
      </c>
      <c r="AG32" s="215">
        <v>0</v>
      </c>
      <c r="AH32" s="215">
        <v>467</v>
      </c>
      <c r="AI32" s="344">
        <v>45960</v>
      </c>
      <c r="AJ32" s="356">
        <v>42895</v>
      </c>
      <c r="AK32" s="328">
        <v>1794</v>
      </c>
      <c r="AL32" s="483">
        <v>1271</v>
      </c>
    </row>
    <row r="33" spans="1:38" ht="15.75" customHeight="1">
      <c r="A33" s="76" t="s">
        <v>235</v>
      </c>
      <c r="B33" s="371">
        <v>116192</v>
      </c>
      <c r="C33" s="344">
        <v>5994</v>
      </c>
      <c r="D33" s="483">
        <v>32293</v>
      </c>
      <c r="E33" s="373">
        <v>138</v>
      </c>
      <c r="F33" s="373">
        <v>1293</v>
      </c>
      <c r="G33" s="484">
        <v>2002</v>
      </c>
      <c r="H33" s="329">
        <v>84</v>
      </c>
      <c r="I33" s="328">
        <v>4981</v>
      </c>
      <c r="J33" s="328">
        <v>11149</v>
      </c>
      <c r="K33" s="329">
        <v>392</v>
      </c>
      <c r="L33" s="328">
        <v>5889</v>
      </c>
      <c r="M33" s="485">
        <v>0</v>
      </c>
      <c r="N33" s="262">
        <v>319</v>
      </c>
      <c r="O33" s="215">
        <v>32</v>
      </c>
      <c r="P33" s="215">
        <v>847</v>
      </c>
      <c r="Q33" s="484">
        <v>233</v>
      </c>
      <c r="R33" s="344">
        <v>0</v>
      </c>
      <c r="S33" s="345">
        <v>0</v>
      </c>
      <c r="T33" s="306">
        <v>134</v>
      </c>
      <c r="U33" s="197">
        <v>2107</v>
      </c>
      <c r="V33" s="197">
        <v>1</v>
      </c>
      <c r="W33" s="197">
        <v>497</v>
      </c>
      <c r="X33" s="197">
        <v>2765</v>
      </c>
      <c r="Y33" s="197">
        <v>3545</v>
      </c>
      <c r="Z33" s="486">
        <v>783</v>
      </c>
      <c r="AA33" s="262">
        <v>0</v>
      </c>
      <c r="AB33" s="198">
        <v>361</v>
      </c>
      <c r="AC33" s="198">
        <v>50</v>
      </c>
      <c r="AD33" s="215">
        <v>170</v>
      </c>
      <c r="AE33" s="215">
        <v>13</v>
      </c>
      <c r="AF33" s="215">
        <v>3</v>
      </c>
      <c r="AG33" s="215">
        <v>52</v>
      </c>
      <c r="AH33" s="215">
        <v>447</v>
      </c>
      <c r="AI33" s="344">
        <v>77905</v>
      </c>
      <c r="AJ33" s="356">
        <v>74260</v>
      </c>
      <c r="AK33" s="328">
        <v>2207</v>
      </c>
      <c r="AL33" s="483">
        <v>1438</v>
      </c>
    </row>
    <row r="34" spans="1:38" ht="15.75" customHeight="1">
      <c r="A34" s="76" t="s">
        <v>234</v>
      </c>
      <c r="B34" s="371">
        <v>35562</v>
      </c>
      <c r="C34" s="344">
        <v>2035</v>
      </c>
      <c r="D34" s="483">
        <v>11901</v>
      </c>
      <c r="E34" s="373">
        <v>80</v>
      </c>
      <c r="F34" s="373">
        <v>515</v>
      </c>
      <c r="G34" s="484">
        <v>508</v>
      </c>
      <c r="H34" s="329">
        <v>26</v>
      </c>
      <c r="I34" s="328">
        <v>1499</v>
      </c>
      <c r="J34" s="328">
        <v>3895</v>
      </c>
      <c r="K34" s="329">
        <v>132</v>
      </c>
      <c r="L34" s="328">
        <v>2249</v>
      </c>
      <c r="M34" s="485">
        <v>0</v>
      </c>
      <c r="N34" s="262">
        <v>104</v>
      </c>
      <c r="O34" s="215">
        <v>16</v>
      </c>
      <c r="P34" s="215">
        <v>302</v>
      </c>
      <c r="Q34" s="484">
        <v>66</v>
      </c>
      <c r="R34" s="344">
        <v>0</v>
      </c>
      <c r="S34" s="345">
        <v>0</v>
      </c>
      <c r="T34" s="306">
        <v>136</v>
      </c>
      <c r="U34" s="197">
        <v>690</v>
      </c>
      <c r="V34" s="197">
        <v>2</v>
      </c>
      <c r="W34" s="197">
        <v>221</v>
      </c>
      <c r="X34" s="197">
        <v>1443</v>
      </c>
      <c r="Y34" s="197">
        <v>1463</v>
      </c>
      <c r="Z34" s="486">
        <v>223</v>
      </c>
      <c r="AA34" s="262">
        <v>0</v>
      </c>
      <c r="AB34" s="198">
        <v>149</v>
      </c>
      <c r="AC34" s="198">
        <v>2</v>
      </c>
      <c r="AD34" s="215">
        <v>34</v>
      </c>
      <c r="AE34" s="215">
        <v>2</v>
      </c>
      <c r="AF34" s="215">
        <v>0</v>
      </c>
      <c r="AG34" s="215">
        <v>0</v>
      </c>
      <c r="AH34" s="215">
        <v>179</v>
      </c>
      <c r="AI34" s="344">
        <v>21626</v>
      </c>
      <c r="AJ34" s="356">
        <v>20456</v>
      </c>
      <c r="AK34" s="328">
        <v>686</v>
      </c>
      <c r="AL34" s="483">
        <v>484</v>
      </c>
    </row>
    <row r="35" spans="1:38" ht="15.75" customHeight="1">
      <c r="A35" s="76" t="s">
        <v>233</v>
      </c>
      <c r="B35" s="371">
        <v>29391</v>
      </c>
      <c r="C35" s="344">
        <v>1906</v>
      </c>
      <c r="D35" s="483">
        <v>12771</v>
      </c>
      <c r="E35" s="373">
        <v>57</v>
      </c>
      <c r="F35" s="373">
        <v>512</v>
      </c>
      <c r="G35" s="484">
        <v>520</v>
      </c>
      <c r="H35" s="329">
        <v>15</v>
      </c>
      <c r="I35" s="329">
        <v>1429</v>
      </c>
      <c r="J35" s="328">
        <v>4609</v>
      </c>
      <c r="K35" s="329">
        <v>204</v>
      </c>
      <c r="L35" s="328">
        <v>2338</v>
      </c>
      <c r="M35" s="485">
        <v>0</v>
      </c>
      <c r="N35" s="262">
        <v>127</v>
      </c>
      <c r="O35" s="215">
        <v>7</v>
      </c>
      <c r="P35" s="215">
        <v>416</v>
      </c>
      <c r="Q35" s="484">
        <v>85</v>
      </c>
      <c r="R35" s="344">
        <v>0</v>
      </c>
      <c r="S35" s="345">
        <v>0</v>
      </c>
      <c r="T35" s="306">
        <v>55</v>
      </c>
      <c r="U35" s="197">
        <v>634</v>
      </c>
      <c r="V35" s="197">
        <v>1</v>
      </c>
      <c r="W35" s="197">
        <v>255</v>
      </c>
      <c r="X35" s="197">
        <v>1190</v>
      </c>
      <c r="Y35" s="197">
        <v>1582</v>
      </c>
      <c r="Z35" s="486">
        <v>228</v>
      </c>
      <c r="AA35" s="262">
        <v>0</v>
      </c>
      <c r="AB35" s="198">
        <v>169</v>
      </c>
      <c r="AC35" s="198">
        <v>13</v>
      </c>
      <c r="AD35" s="215">
        <v>41</v>
      </c>
      <c r="AE35" s="215">
        <v>6</v>
      </c>
      <c r="AF35" s="215">
        <v>0</v>
      </c>
      <c r="AG35" s="215">
        <v>1</v>
      </c>
      <c r="AH35" s="215">
        <v>183</v>
      </c>
      <c r="AI35" s="344">
        <v>14714</v>
      </c>
      <c r="AJ35" s="356">
        <v>13451</v>
      </c>
      <c r="AK35" s="328">
        <v>642</v>
      </c>
      <c r="AL35" s="483">
        <v>621</v>
      </c>
    </row>
    <row r="36" spans="1:38" ht="15.75" customHeight="1">
      <c r="A36" s="177" t="s">
        <v>201</v>
      </c>
      <c r="B36" s="368">
        <v>537293</v>
      </c>
      <c r="C36" s="342">
        <v>20486</v>
      </c>
      <c r="D36" s="481">
        <v>123318</v>
      </c>
      <c r="E36" s="370">
        <v>586</v>
      </c>
      <c r="F36" s="370">
        <v>4684</v>
      </c>
      <c r="G36" s="479">
        <v>6128</v>
      </c>
      <c r="H36" s="326">
        <v>1152</v>
      </c>
      <c r="I36" s="326">
        <v>16477</v>
      </c>
      <c r="J36" s="326">
        <v>37386</v>
      </c>
      <c r="K36" s="326">
        <v>1563</v>
      </c>
      <c r="L36" s="326">
        <v>20557</v>
      </c>
      <c r="M36" s="482">
        <v>4371</v>
      </c>
      <c r="N36" s="261">
        <v>1137</v>
      </c>
      <c r="O36" s="214">
        <v>123</v>
      </c>
      <c r="P36" s="214">
        <v>3259</v>
      </c>
      <c r="Q36" s="479">
        <v>760</v>
      </c>
      <c r="R36" s="342">
        <v>413</v>
      </c>
      <c r="S36" s="343">
        <v>252</v>
      </c>
      <c r="T36" s="307">
        <v>657</v>
      </c>
      <c r="U36" s="196">
        <v>6877</v>
      </c>
      <c r="V36" s="196">
        <v>4</v>
      </c>
      <c r="W36" s="196">
        <v>2041</v>
      </c>
      <c r="X36" s="196">
        <v>12582</v>
      </c>
      <c r="Y36" s="196">
        <v>14391</v>
      </c>
      <c r="Z36" s="204">
        <v>3000</v>
      </c>
      <c r="AA36" s="261">
        <v>1731</v>
      </c>
      <c r="AB36" s="196">
        <v>1270</v>
      </c>
      <c r="AC36" s="196">
        <v>107</v>
      </c>
      <c r="AD36" s="214">
        <v>469</v>
      </c>
      <c r="AE36" s="214">
        <v>41</v>
      </c>
      <c r="AF36" s="214">
        <v>5</v>
      </c>
      <c r="AG36" s="214">
        <v>53</v>
      </c>
      <c r="AH36" s="214">
        <v>1728</v>
      </c>
      <c r="AI36" s="342">
        <v>393489</v>
      </c>
      <c r="AJ36" s="326">
        <v>380101</v>
      </c>
      <c r="AK36" s="326">
        <v>7293</v>
      </c>
      <c r="AL36" s="481">
        <v>6095</v>
      </c>
    </row>
    <row r="37" spans="1:38" ht="15.75" customHeight="1">
      <c r="A37" s="76" t="s">
        <v>85</v>
      </c>
      <c r="B37" s="371">
        <v>672040</v>
      </c>
      <c r="C37" s="344">
        <v>26976</v>
      </c>
      <c r="D37" s="483">
        <v>161261</v>
      </c>
      <c r="E37" s="373">
        <v>771</v>
      </c>
      <c r="F37" s="373">
        <v>6606</v>
      </c>
      <c r="G37" s="484">
        <v>10853</v>
      </c>
      <c r="H37" s="328">
        <v>4582</v>
      </c>
      <c r="I37" s="329">
        <v>29116</v>
      </c>
      <c r="J37" s="328">
        <v>41219</v>
      </c>
      <c r="K37" s="329">
        <v>2722</v>
      </c>
      <c r="L37" s="328">
        <v>26472</v>
      </c>
      <c r="M37" s="485">
        <v>13675</v>
      </c>
      <c r="N37" s="262">
        <v>0</v>
      </c>
      <c r="O37" s="215">
        <v>0</v>
      </c>
      <c r="P37" s="215">
        <v>0</v>
      </c>
      <c r="Q37" s="484">
        <v>0</v>
      </c>
      <c r="R37" s="344">
        <v>1257</v>
      </c>
      <c r="S37" s="345">
        <v>917</v>
      </c>
      <c r="T37" s="306">
        <v>704</v>
      </c>
      <c r="U37" s="197">
        <v>6778</v>
      </c>
      <c r="V37" s="197">
        <v>7</v>
      </c>
      <c r="W37" s="197">
        <v>4537</v>
      </c>
      <c r="X37" s="197">
        <v>13454</v>
      </c>
      <c r="Y37" s="197">
        <v>18151</v>
      </c>
      <c r="Z37" s="486">
        <v>3886</v>
      </c>
      <c r="AA37" s="262">
        <v>0</v>
      </c>
      <c r="AB37" s="198">
        <v>0</v>
      </c>
      <c r="AC37" s="198">
        <v>0</v>
      </c>
      <c r="AD37" s="215">
        <v>0</v>
      </c>
      <c r="AE37" s="215">
        <v>0</v>
      </c>
      <c r="AF37" s="215">
        <v>18</v>
      </c>
      <c r="AG37" s="215">
        <v>0</v>
      </c>
      <c r="AH37" s="215">
        <v>2512</v>
      </c>
      <c r="AI37" s="344">
        <v>483803</v>
      </c>
      <c r="AJ37" s="356">
        <v>475785</v>
      </c>
      <c r="AK37" s="370">
        <v>0</v>
      </c>
      <c r="AL37" s="483">
        <v>8018</v>
      </c>
    </row>
    <row r="38" spans="1:38" ht="15.75" customHeight="1">
      <c r="A38" s="76" t="s">
        <v>403</v>
      </c>
      <c r="B38" s="371">
        <v>23058</v>
      </c>
      <c r="C38" s="344">
        <v>1552</v>
      </c>
      <c r="D38" s="483">
        <v>13005</v>
      </c>
      <c r="E38" s="373">
        <v>0</v>
      </c>
      <c r="F38" s="373">
        <v>0</v>
      </c>
      <c r="G38" s="484">
        <v>0</v>
      </c>
      <c r="H38" s="326">
        <v>0</v>
      </c>
      <c r="I38" s="326">
        <v>0</v>
      </c>
      <c r="J38" s="326">
        <v>0</v>
      </c>
      <c r="K38" s="326">
        <v>0</v>
      </c>
      <c r="L38" s="326">
        <v>0</v>
      </c>
      <c r="M38" s="196">
        <v>0</v>
      </c>
      <c r="N38" s="262">
        <v>1552</v>
      </c>
      <c r="O38" s="215">
        <v>244</v>
      </c>
      <c r="P38" s="215">
        <v>3196</v>
      </c>
      <c r="Q38" s="484">
        <v>1087</v>
      </c>
      <c r="R38" s="344">
        <v>0</v>
      </c>
      <c r="S38" s="345">
        <v>0</v>
      </c>
      <c r="T38" s="306">
        <v>0</v>
      </c>
      <c r="U38" s="197">
        <v>0</v>
      </c>
      <c r="V38" s="197">
        <v>0</v>
      </c>
      <c r="W38" s="197">
        <v>0</v>
      </c>
      <c r="X38" s="197">
        <v>0</v>
      </c>
      <c r="Y38" s="197">
        <v>0</v>
      </c>
      <c r="Z38" s="486">
        <v>0</v>
      </c>
      <c r="AA38" s="262">
        <v>5482</v>
      </c>
      <c r="AB38" s="198">
        <v>2035</v>
      </c>
      <c r="AC38" s="198">
        <v>104</v>
      </c>
      <c r="AD38" s="215">
        <v>781</v>
      </c>
      <c r="AE38" s="215">
        <v>20</v>
      </c>
      <c r="AF38" s="215">
        <v>0</v>
      </c>
      <c r="AG38" s="215">
        <v>12</v>
      </c>
      <c r="AH38" s="215">
        <v>44</v>
      </c>
      <c r="AI38" s="344">
        <v>8501</v>
      </c>
      <c r="AJ38" s="356">
        <v>0</v>
      </c>
      <c r="AK38" s="328">
        <v>8501</v>
      </c>
      <c r="AL38" s="483">
        <v>0</v>
      </c>
    </row>
    <row r="39" spans="1:38" ht="15.75" customHeight="1">
      <c r="A39" s="76" t="s">
        <v>232</v>
      </c>
      <c r="B39" s="371">
        <v>60477</v>
      </c>
      <c r="C39" s="344">
        <v>4329</v>
      </c>
      <c r="D39" s="483">
        <v>27112</v>
      </c>
      <c r="E39" s="373">
        <v>155</v>
      </c>
      <c r="F39" s="373">
        <v>1103</v>
      </c>
      <c r="G39" s="484">
        <v>1345</v>
      </c>
      <c r="H39" s="328">
        <v>61</v>
      </c>
      <c r="I39" s="328">
        <v>3618</v>
      </c>
      <c r="J39" s="328">
        <v>8933</v>
      </c>
      <c r="K39" s="329">
        <v>363</v>
      </c>
      <c r="L39" s="328">
        <v>4757</v>
      </c>
      <c r="M39" s="485">
        <v>0</v>
      </c>
      <c r="N39" s="262">
        <v>254</v>
      </c>
      <c r="O39" s="215">
        <v>35</v>
      </c>
      <c r="P39" s="215">
        <v>706</v>
      </c>
      <c r="Q39" s="484">
        <v>171</v>
      </c>
      <c r="R39" s="344">
        <v>0</v>
      </c>
      <c r="S39" s="345">
        <v>0</v>
      </c>
      <c r="T39" s="306">
        <v>142</v>
      </c>
      <c r="U39" s="197">
        <v>1327</v>
      </c>
      <c r="V39" s="197">
        <v>3</v>
      </c>
      <c r="W39" s="197">
        <v>496</v>
      </c>
      <c r="X39" s="197">
        <v>2817</v>
      </c>
      <c r="Y39" s="197">
        <v>3545</v>
      </c>
      <c r="Z39" s="486">
        <v>657</v>
      </c>
      <c r="AA39" s="262">
        <v>0</v>
      </c>
      <c r="AB39" s="198">
        <v>281</v>
      </c>
      <c r="AC39" s="198">
        <v>13</v>
      </c>
      <c r="AD39" s="215">
        <v>160</v>
      </c>
      <c r="AE39" s="215">
        <v>5</v>
      </c>
      <c r="AF39" s="215">
        <v>4</v>
      </c>
      <c r="AG39" s="215">
        <v>0</v>
      </c>
      <c r="AH39" s="215">
        <v>490</v>
      </c>
      <c r="AI39" s="344">
        <v>29036</v>
      </c>
      <c r="AJ39" s="356">
        <v>26059</v>
      </c>
      <c r="AK39" s="328">
        <v>1444</v>
      </c>
      <c r="AL39" s="483">
        <v>1533</v>
      </c>
    </row>
    <row r="40" spans="1:38" ht="15.75" customHeight="1">
      <c r="A40" s="76" t="s">
        <v>231</v>
      </c>
      <c r="B40" s="371">
        <v>43837</v>
      </c>
      <c r="C40" s="344">
        <v>1666</v>
      </c>
      <c r="D40" s="483">
        <v>9987</v>
      </c>
      <c r="E40" s="373">
        <v>75</v>
      </c>
      <c r="F40" s="373">
        <v>453</v>
      </c>
      <c r="G40" s="484">
        <v>463</v>
      </c>
      <c r="H40" s="328">
        <v>21</v>
      </c>
      <c r="I40" s="328">
        <v>1176</v>
      </c>
      <c r="J40" s="328">
        <v>3310</v>
      </c>
      <c r="K40" s="329">
        <v>156</v>
      </c>
      <c r="L40" s="328">
        <v>1752</v>
      </c>
      <c r="M40" s="485">
        <v>0</v>
      </c>
      <c r="N40" s="262">
        <v>95</v>
      </c>
      <c r="O40" s="215">
        <v>15</v>
      </c>
      <c r="P40" s="215">
        <v>275</v>
      </c>
      <c r="Q40" s="484">
        <v>75</v>
      </c>
      <c r="R40" s="344">
        <v>0</v>
      </c>
      <c r="S40" s="345">
        <v>0</v>
      </c>
      <c r="T40" s="306">
        <v>68</v>
      </c>
      <c r="U40" s="197">
        <v>511</v>
      </c>
      <c r="V40" s="197">
        <v>1</v>
      </c>
      <c r="W40" s="197">
        <v>380</v>
      </c>
      <c r="X40" s="197">
        <v>1005</v>
      </c>
      <c r="Y40" s="197">
        <v>1407</v>
      </c>
      <c r="Z40" s="486">
        <v>103</v>
      </c>
      <c r="AA40" s="262">
        <v>0</v>
      </c>
      <c r="AB40" s="198">
        <v>53</v>
      </c>
      <c r="AC40" s="198">
        <v>7</v>
      </c>
      <c r="AD40" s="215">
        <v>23</v>
      </c>
      <c r="AE40" s="215">
        <v>9</v>
      </c>
      <c r="AF40" s="215">
        <v>27</v>
      </c>
      <c r="AG40" s="215">
        <v>0</v>
      </c>
      <c r="AH40" s="215">
        <v>193</v>
      </c>
      <c r="AI40" s="344">
        <v>32184</v>
      </c>
      <c r="AJ40" s="356">
        <v>30943</v>
      </c>
      <c r="AK40" s="328">
        <v>594</v>
      </c>
      <c r="AL40" s="483">
        <v>647</v>
      </c>
    </row>
    <row r="41" spans="1:38" ht="15.75" customHeight="1">
      <c r="A41" s="76" t="s">
        <v>230</v>
      </c>
      <c r="B41" s="371">
        <v>56714</v>
      </c>
      <c r="C41" s="344">
        <v>2517</v>
      </c>
      <c r="D41" s="483">
        <v>15323</v>
      </c>
      <c r="E41" s="373">
        <v>76</v>
      </c>
      <c r="F41" s="373">
        <v>573</v>
      </c>
      <c r="G41" s="484">
        <v>722</v>
      </c>
      <c r="H41" s="328">
        <v>49</v>
      </c>
      <c r="I41" s="328">
        <v>1921</v>
      </c>
      <c r="J41" s="328">
        <v>5199</v>
      </c>
      <c r="K41" s="329">
        <v>173</v>
      </c>
      <c r="L41" s="328">
        <v>2554</v>
      </c>
      <c r="M41" s="485">
        <v>0</v>
      </c>
      <c r="N41" s="262">
        <v>168</v>
      </c>
      <c r="O41" s="215">
        <v>18</v>
      </c>
      <c r="P41" s="215">
        <v>466</v>
      </c>
      <c r="Q41" s="484">
        <v>95</v>
      </c>
      <c r="R41" s="344">
        <v>0</v>
      </c>
      <c r="S41" s="345">
        <v>0</v>
      </c>
      <c r="T41" s="306">
        <v>88</v>
      </c>
      <c r="U41" s="197">
        <v>885</v>
      </c>
      <c r="V41" s="197">
        <v>5</v>
      </c>
      <c r="W41" s="197">
        <v>527</v>
      </c>
      <c r="X41" s="197">
        <v>1413</v>
      </c>
      <c r="Y41" s="197">
        <v>2031</v>
      </c>
      <c r="Z41" s="486">
        <v>265</v>
      </c>
      <c r="AA41" s="262">
        <v>0</v>
      </c>
      <c r="AB41" s="198">
        <v>137</v>
      </c>
      <c r="AC41" s="198">
        <v>21</v>
      </c>
      <c r="AD41" s="215">
        <v>83</v>
      </c>
      <c r="AE41" s="215">
        <v>9</v>
      </c>
      <c r="AF41" s="215">
        <v>6</v>
      </c>
      <c r="AG41" s="215">
        <v>0</v>
      </c>
      <c r="AH41" s="215">
        <v>356</v>
      </c>
      <c r="AI41" s="344">
        <v>38874</v>
      </c>
      <c r="AJ41" s="356">
        <v>37273</v>
      </c>
      <c r="AK41" s="328">
        <v>931</v>
      </c>
      <c r="AL41" s="483">
        <v>670</v>
      </c>
    </row>
    <row r="42" spans="1:38" ht="15.75" customHeight="1">
      <c r="A42" s="76" t="s">
        <v>229</v>
      </c>
      <c r="B42" s="371">
        <v>88699</v>
      </c>
      <c r="C42" s="344">
        <v>5836</v>
      </c>
      <c r="D42" s="483">
        <v>34781</v>
      </c>
      <c r="E42" s="373">
        <v>138</v>
      </c>
      <c r="F42" s="373">
        <v>1306</v>
      </c>
      <c r="G42" s="484">
        <v>1710</v>
      </c>
      <c r="H42" s="328">
        <v>67</v>
      </c>
      <c r="I42" s="328">
        <v>4311</v>
      </c>
      <c r="J42" s="328">
        <v>11763</v>
      </c>
      <c r="K42" s="329">
        <v>328</v>
      </c>
      <c r="L42" s="328">
        <v>5836</v>
      </c>
      <c r="M42" s="485">
        <v>0</v>
      </c>
      <c r="N42" s="262">
        <v>338</v>
      </c>
      <c r="O42" s="215">
        <v>31</v>
      </c>
      <c r="P42" s="215">
        <v>718</v>
      </c>
      <c r="Q42" s="484">
        <v>206</v>
      </c>
      <c r="R42" s="344">
        <v>0</v>
      </c>
      <c r="S42" s="345">
        <v>0</v>
      </c>
      <c r="T42" s="306">
        <v>197</v>
      </c>
      <c r="U42" s="197">
        <v>2146</v>
      </c>
      <c r="V42" s="197">
        <v>1</v>
      </c>
      <c r="W42" s="197">
        <v>929</v>
      </c>
      <c r="X42" s="197">
        <v>3874</v>
      </c>
      <c r="Y42" s="197">
        <v>4141</v>
      </c>
      <c r="Z42" s="486">
        <v>1309</v>
      </c>
      <c r="AA42" s="262">
        <v>0</v>
      </c>
      <c r="AB42" s="198">
        <v>405</v>
      </c>
      <c r="AC42" s="198">
        <v>77</v>
      </c>
      <c r="AD42" s="215">
        <v>256</v>
      </c>
      <c r="AE42" s="215">
        <v>35</v>
      </c>
      <c r="AF42" s="215">
        <v>0</v>
      </c>
      <c r="AG42" s="215">
        <v>0</v>
      </c>
      <c r="AH42" s="215">
        <v>495</v>
      </c>
      <c r="AI42" s="344">
        <v>48082</v>
      </c>
      <c r="AJ42" s="356">
        <v>44370</v>
      </c>
      <c r="AK42" s="328">
        <v>1978</v>
      </c>
      <c r="AL42" s="483">
        <v>1734</v>
      </c>
    </row>
    <row r="43" spans="1:38" ht="15.75" customHeight="1">
      <c r="A43" s="76" t="s">
        <v>228</v>
      </c>
      <c r="B43" s="371">
        <v>305691</v>
      </c>
      <c r="C43" s="344">
        <v>13482</v>
      </c>
      <c r="D43" s="483">
        <v>81040</v>
      </c>
      <c r="E43" s="373">
        <v>379</v>
      </c>
      <c r="F43" s="373">
        <v>3146</v>
      </c>
      <c r="G43" s="484">
        <v>5301</v>
      </c>
      <c r="H43" s="328">
        <v>410</v>
      </c>
      <c r="I43" s="328">
        <v>12499</v>
      </c>
      <c r="J43" s="328">
        <v>26931</v>
      </c>
      <c r="K43" s="329">
        <v>1199</v>
      </c>
      <c r="L43" s="328">
        <v>14465</v>
      </c>
      <c r="M43" s="485">
        <v>0</v>
      </c>
      <c r="N43" s="262">
        <v>860</v>
      </c>
      <c r="O43" s="215">
        <v>88</v>
      </c>
      <c r="P43" s="215">
        <v>1783</v>
      </c>
      <c r="Q43" s="484">
        <v>502</v>
      </c>
      <c r="R43" s="344">
        <v>0</v>
      </c>
      <c r="S43" s="345">
        <v>0</v>
      </c>
      <c r="T43" s="306">
        <v>320</v>
      </c>
      <c r="U43" s="197">
        <v>3473</v>
      </c>
      <c r="V43" s="197">
        <v>3</v>
      </c>
      <c r="W43" s="197">
        <v>1292</v>
      </c>
      <c r="X43" s="197">
        <v>8815</v>
      </c>
      <c r="Y43" s="197">
        <v>9090</v>
      </c>
      <c r="Z43" s="486">
        <v>1918</v>
      </c>
      <c r="AA43" s="262">
        <v>0</v>
      </c>
      <c r="AB43" s="198">
        <v>500</v>
      </c>
      <c r="AC43" s="198">
        <v>37</v>
      </c>
      <c r="AD43" s="215">
        <v>293</v>
      </c>
      <c r="AE43" s="215">
        <v>9</v>
      </c>
      <c r="AF43" s="215">
        <v>5</v>
      </c>
      <c r="AG43" s="215">
        <v>5</v>
      </c>
      <c r="AH43" s="215">
        <v>1199</v>
      </c>
      <c r="AI43" s="344">
        <v>211169</v>
      </c>
      <c r="AJ43" s="356">
        <v>202666</v>
      </c>
      <c r="AK43" s="328">
        <v>5332</v>
      </c>
      <c r="AL43" s="483">
        <v>3171</v>
      </c>
    </row>
    <row r="44" spans="1:38" ht="15.75" customHeight="1">
      <c r="A44" s="177" t="s">
        <v>201</v>
      </c>
      <c r="B44" s="368">
        <v>1250516</v>
      </c>
      <c r="C44" s="342">
        <v>56358</v>
      </c>
      <c r="D44" s="481">
        <v>342509</v>
      </c>
      <c r="E44" s="370">
        <v>1594</v>
      </c>
      <c r="F44" s="370">
        <v>13187</v>
      </c>
      <c r="G44" s="479">
        <v>20394</v>
      </c>
      <c r="H44" s="326">
        <v>5190</v>
      </c>
      <c r="I44" s="326">
        <v>52641</v>
      </c>
      <c r="J44" s="326">
        <v>97355</v>
      </c>
      <c r="K44" s="326">
        <v>4941</v>
      </c>
      <c r="L44" s="326">
        <v>55836</v>
      </c>
      <c r="M44" s="196">
        <v>13675</v>
      </c>
      <c r="N44" s="261">
        <v>3267</v>
      </c>
      <c r="O44" s="214">
        <v>431</v>
      </c>
      <c r="P44" s="214">
        <v>7144</v>
      </c>
      <c r="Q44" s="479">
        <v>2136</v>
      </c>
      <c r="R44" s="342">
        <v>1257</v>
      </c>
      <c r="S44" s="343">
        <v>917</v>
      </c>
      <c r="T44" s="307">
        <v>1519</v>
      </c>
      <c r="U44" s="196">
        <v>15120</v>
      </c>
      <c r="V44" s="196">
        <v>20</v>
      </c>
      <c r="W44" s="196">
        <v>8161</v>
      </c>
      <c r="X44" s="196">
        <v>31378</v>
      </c>
      <c r="Y44" s="196">
        <v>38365</v>
      </c>
      <c r="Z44" s="204">
        <v>8138</v>
      </c>
      <c r="AA44" s="261">
        <v>5482</v>
      </c>
      <c r="AB44" s="196">
        <v>3411</v>
      </c>
      <c r="AC44" s="196">
        <v>259</v>
      </c>
      <c r="AD44" s="214">
        <v>1596</v>
      </c>
      <c r="AE44" s="214">
        <v>87</v>
      </c>
      <c r="AF44" s="214">
        <v>60</v>
      </c>
      <c r="AG44" s="214">
        <v>17</v>
      </c>
      <c r="AH44" s="214">
        <v>5289</v>
      </c>
      <c r="AI44" s="342">
        <v>851649</v>
      </c>
      <c r="AJ44" s="326">
        <v>817096</v>
      </c>
      <c r="AK44" s="326">
        <v>18780</v>
      </c>
      <c r="AL44" s="481">
        <v>15773</v>
      </c>
    </row>
    <row r="45" spans="1:38" ht="15.75" customHeight="1">
      <c r="A45" s="76" t="s">
        <v>84</v>
      </c>
      <c r="B45" s="371">
        <v>389166</v>
      </c>
      <c r="C45" s="344">
        <v>14128</v>
      </c>
      <c r="D45" s="483">
        <v>90206</v>
      </c>
      <c r="E45" s="373">
        <v>392</v>
      </c>
      <c r="F45" s="373">
        <v>3090</v>
      </c>
      <c r="G45" s="484">
        <v>5009</v>
      </c>
      <c r="H45" s="328">
        <v>1249</v>
      </c>
      <c r="I45" s="328">
        <v>12704</v>
      </c>
      <c r="J45" s="328">
        <v>24990</v>
      </c>
      <c r="K45" s="329">
        <v>1348</v>
      </c>
      <c r="L45" s="328">
        <v>13763</v>
      </c>
      <c r="M45" s="485">
        <v>5105</v>
      </c>
      <c r="N45" s="262">
        <v>782</v>
      </c>
      <c r="O45" s="215">
        <v>130</v>
      </c>
      <c r="P45" s="215">
        <v>1811</v>
      </c>
      <c r="Q45" s="484">
        <v>544</v>
      </c>
      <c r="R45" s="344">
        <v>368</v>
      </c>
      <c r="S45" s="345">
        <v>186</v>
      </c>
      <c r="T45" s="306">
        <v>471</v>
      </c>
      <c r="U45" s="197">
        <v>4013</v>
      </c>
      <c r="V45" s="197">
        <v>3</v>
      </c>
      <c r="W45" s="197">
        <v>1655</v>
      </c>
      <c r="X45" s="197">
        <v>8160</v>
      </c>
      <c r="Y45" s="197">
        <v>11631</v>
      </c>
      <c r="Z45" s="486">
        <v>2255</v>
      </c>
      <c r="AA45" s="262">
        <v>2128</v>
      </c>
      <c r="AB45" s="198">
        <v>675</v>
      </c>
      <c r="AC45" s="198">
        <v>42</v>
      </c>
      <c r="AD45" s="215">
        <v>411</v>
      </c>
      <c r="AE45" s="215">
        <v>5</v>
      </c>
      <c r="AF45" s="215">
        <v>10</v>
      </c>
      <c r="AG45" s="215">
        <v>1</v>
      </c>
      <c r="AH45" s="215">
        <v>1403</v>
      </c>
      <c r="AI45" s="344">
        <v>284832</v>
      </c>
      <c r="AJ45" s="356">
        <v>275614</v>
      </c>
      <c r="AK45" s="328">
        <v>5396</v>
      </c>
      <c r="AL45" s="483">
        <v>3822</v>
      </c>
    </row>
    <row r="46" spans="1:38" ht="15.75" customHeight="1">
      <c r="A46" s="76" t="s">
        <v>227</v>
      </c>
      <c r="B46" s="371">
        <v>81931</v>
      </c>
      <c r="C46" s="344">
        <v>4286</v>
      </c>
      <c r="D46" s="483">
        <v>25600</v>
      </c>
      <c r="E46" s="373">
        <v>160</v>
      </c>
      <c r="F46" s="373">
        <v>992</v>
      </c>
      <c r="G46" s="484">
        <v>1480</v>
      </c>
      <c r="H46" s="328">
        <v>56</v>
      </c>
      <c r="I46" s="328">
        <v>3552</v>
      </c>
      <c r="J46" s="328">
        <v>8761</v>
      </c>
      <c r="K46" s="329">
        <v>334</v>
      </c>
      <c r="L46" s="328">
        <v>4724</v>
      </c>
      <c r="M46" s="485">
        <v>0</v>
      </c>
      <c r="N46" s="262">
        <v>272</v>
      </c>
      <c r="O46" s="215">
        <v>43</v>
      </c>
      <c r="P46" s="215">
        <v>668</v>
      </c>
      <c r="Q46" s="484">
        <v>153</v>
      </c>
      <c r="R46" s="344">
        <v>0</v>
      </c>
      <c r="S46" s="345">
        <v>0</v>
      </c>
      <c r="T46" s="306">
        <v>127</v>
      </c>
      <c r="U46" s="197">
        <v>1255</v>
      </c>
      <c r="V46" s="197">
        <v>0</v>
      </c>
      <c r="W46" s="197">
        <v>267</v>
      </c>
      <c r="X46" s="197">
        <v>3118</v>
      </c>
      <c r="Y46" s="197">
        <v>2445</v>
      </c>
      <c r="Z46" s="486">
        <v>588</v>
      </c>
      <c r="AA46" s="262">
        <v>0</v>
      </c>
      <c r="AB46" s="198">
        <v>283</v>
      </c>
      <c r="AC46" s="198">
        <v>31</v>
      </c>
      <c r="AD46" s="215">
        <v>78</v>
      </c>
      <c r="AE46" s="215">
        <v>12</v>
      </c>
      <c r="AF46" s="215">
        <v>5</v>
      </c>
      <c r="AG46" s="215">
        <v>0</v>
      </c>
      <c r="AH46" s="215">
        <v>482</v>
      </c>
      <c r="AI46" s="344">
        <v>52045</v>
      </c>
      <c r="AJ46" s="356">
        <v>49013</v>
      </c>
      <c r="AK46" s="328">
        <v>1589</v>
      </c>
      <c r="AL46" s="483">
        <v>1443</v>
      </c>
    </row>
    <row r="47" spans="1:38" ht="15.75" customHeight="1">
      <c r="A47" s="76" t="s">
        <v>226</v>
      </c>
      <c r="B47" s="371">
        <v>45343</v>
      </c>
      <c r="C47" s="344">
        <v>1712</v>
      </c>
      <c r="D47" s="483">
        <v>12059</v>
      </c>
      <c r="E47" s="373">
        <v>45</v>
      </c>
      <c r="F47" s="373">
        <v>465</v>
      </c>
      <c r="G47" s="484">
        <v>565</v>
      </c>
      <c r="H47" s="328">
        <v>25</v>
      </c>
      <c r="I47" s="328">
        <v>1546</v>
      </c>
      <c r="J47" s="328">
        <v>4174</v>
      </c>
      <c r="K47" s="329">
        <v>128</v>
      </c>
      <c r="L47" s="328">
        <v>2113</v>
      </c>
      <c r="M47" s="485">
        <v>0</v>
      </c>
      <c r="N47" s="262">
        <v>108</v>
      </c>
      <c r="O47" s="215">
        <v>9</v>
      </c>
      <c r="P47" s="215">
        <v>324</v>
      </c>
      <c r="Q47" s="484">
        <v>89</v>
      </c>
      <c r="R47" s="344">
        <v>0</v>
      </c>
      <c r="S47" s="345">
        <v>0</v>
      </c>
      <c r="T47" s="306">
        <v>53</v>
      </c>
      <c r="U47" s="197">
        <v>476</v>
      </c>
      <c r="V47" s="197">
        <v>0</v>
      </c>
      <c r="W47" s="197">
        <v>156</v>
      </c>
      <c r="X47" s="197">
        <v>1478</v>
      </c>
      <c r="Y47" s="197">
        <v>1383</v>
      </c>
      <c r="Z47" s="486">
        <v>224</v>
      </c>
      <c r="AA47" s="262">
        <v>0</v>
      </c>
      <c r="AB47" s="198">
        <v>111</v>
      </c>
      <c r="AC47" s="198">
        <v>10</v>
      </c>
      <c r="AD47" s="215">
        <v>30</v>
      </c>
      <c r="AE47" s="215">
        <v>0</v>
      </c>
      <c r="AF47" s="215">
        <v>13</v>
      </c>
      <c r="AG47" s="215">
        <v>0</v>
      </c>
      <c r="AH47" s="215">
        <v>246</v>
      </c>
      <c r="AI47" s="344">
        <v>31572</v>
      </c>
      <c r="AJ47" s="356">
        <v>30447</v>
      </c>
      <c r="AK47" s="328">
        <v>780</v>
      </c>
      <c r="AL47" s="483">
        <v>345</v>
      </c>
    </row>
    <row r="48" spans="1:38" ht="15.75" customHeight="1">
      <c r="A48" s="76" t="s">
        <v>225</v>
      </c>
      <c r="B48" s="371">
        <v>21544</v>
      </c>
      <c r="C48" s="344">
        <v>949</v>
      </c>
      <c r="D48" s="483">
        <v>5724</v>
      </c>
      <c r="E48" s="373">
        <v>30</v>
      </c>
      <c r="F48" s="373">
        <v>246</v>
      </c>
      <c r="G48" s="484">
        <v>283</v>
      </c>
      <c r="H48" s="328">
        <v>7</v>
      </c>
      <c r="I48" s="328">
        <v>708</v>
      </c>
      <c r="J48" s="328">
        <v>2039</v>
      </c>
      <c r="K48" s="329">
        <v>118</v>
      </c>
      <c r="L48" s="328">
        <v>1203</v>
      </c>
      <c r="M48" s="485">
        <v>0</v>
      </c>
      <c r="N48" s="262">
        <v>65</v>
      </c>
      <c r="O48" s="215">
        <v>8</v>
      </c>
      <c r="P48" s="215">
        <v>208</v>
      </c>
      <c r="Q48" s="484">
        <v>48</v>
      </c>
      <c r="R48" s="344">
        <v>0</v>
      </c>
      <c r="S48" s="345">
        <v>0</v>
      </c>
      <c r="T48" s="306">
        <v>36</v>
      </c>
      <c r="U48" s="197">
        <v>289</v>
      </c>
      <c r="V48" s="197">
        <v>0</v>
      </c>
      <c r="W48" s="197">
        <v>50</v>
      </c>
      <c r="X48" s="197">
        <v>550</v>
      </c>
      <c r="Y48" s="197">
        <v>463</v>
      </c>
      <c r="Z48" s="486">
        <v>98</v>
      </c>
      <c r="AA48" s="262">
        <v>0</v>
      </c>
      <c r="AB48" s="198">
        <v>73</v>
      </c>
      <c r="AC48" s="198">
        <v>1</v>
      </c>
      <c r="AD48" s="215">
        <v>42</v>
      </c>
      <c r="AE48" s="215">
        <v>0</v>
      </c>
      <c r="AF48" s="215">
        <v>0</v>
      </c>
      <c r="AG48" s="215">
        <v>0</v>
      </c>
      <c r="AH48" s="215">
        <v>108</v>
      </c>
      <c r="AI48" s="344">
        <v>14871</v>
      </c>
      <c r="AJ48" s="356">
        <v>14233</v>
      </c>
      <c r="AK48" s="328">
        <v>351</v>
      </c>
      <c r="AL48" s="483">
        <v>287</v>
      </c>
    </row>
    <row r="49" spans="1:38" ht="15.75" customHeight="1">
      <c r="A49" s="177" t="s">
        <v>201</v>
      </c>
      <c r="B49" s="368">
        <v>537984</v>
      </c>
      <c r="C49" s="342">
        <v>21075</v>
      </c>
      <c r="D49" s="481">
        <v>133589</v>
      </c>
      <c r="E49" s="370">
        <v>627</v>
      </c>
      <c r="F49" s="370">
        <v>4793</v>
      </c>
      <c r="G49" s="479">
        <v>7337</v>
      </c>
      <c r="H49" s="326">
        <v>1337</v>
      </c>
      <c r="I49" s="326">
        <v>18510</v>
      </c>
      <c r="J49" s="326">
        <v>39964</v>
      </c>
      <c r="K49" s="326">
        <v>1928</v>
      </c>
      <c r="L49" s="326">
        <v>21803</v>
      </c>
      <c r="M49" s="196">
        <v>5105</v>
      </c>
      <c r="N49" s="261">
        <v>1227</v>
      </c>
      <c r="O49" s="214">
        <v>190</v>
      </c>
      <c r="P49" s="214">
        <v>3011</v>
      </c>
      <c r="Q49" s="479">
        <v>834</v>
      </c>
      <c r="R49" s="342">
        <v>368</v>
      </c>
      <c r="S49" s="343">
        <v>186</v>
      </c>
      <c r="T49" s="307">
        <v>687</v>
      </c>
      <c r="U49" s="196">
        <v>6033</v>
      </c>
      <c r="V49" s="196">
        <v>3</v>
      </c>
      <c r="W49" s="196">
        <v>2128</v>
      </c>
      <c r="X49" s="196">
        <v>13306</v>
      </c>
      <c r="Y49" s="196">
        <v>15922</v>
      </c>
      <c r="Z49" s="204">
        <v>3165</v>
      </c>
      <c r="AA49" s="261">
        <v>2128</v>
      </c>
      <c r="AB49" s="196">
        <v>1142</v>
      </c>
      <c r="AC49" s="196">
        <v>84</v>
      </c>
      <c r="AD49" s="214">
        <v>561</v>
      </c>
      <c r="AE49" s="214">
        <v>17</v>
      </c>
      <c r="AF49" s="214">
        <v>28</v>
      </c>
      <c r="AG49" s="214">
        <v>1</v>
      </c>
      <c r="AH49" s="214">
        <v>2239</v>
      </c>
      <c r="AI49" s="342">
        <v>383320</v>
      </c>
      <c r="AJ49" s="326">
        <v>369307</v>
      </c>
      <c r="AK49" s="326">
        <v>8116</v>
      </c>
      <c r="AL49" s="481">
        <v>5897</v>
      </c>
    </row>
    <row r="50" spans="1:38" ht="15.75" customHeight="1">
      <c r="A50" s="76" t="s">
        <v>83</v>
      </c>
      <c r="B50" s="371">
        <v>674419</v>
      </c>
      <c r="C50" s="344">
        <v>29951</v>
      </c>
      <c r="D50" s="483">
        <v>173521</v>
      </c>
      <c r="E50" s="373">
        <v>848</v>
      </c>
      <c r="F50" s="373">
        <v>6948</v>
      </c>
      <c r="G50" s="484">
        <v>12542</v>
      </c>
      <c r="H50" s="328">
        <v>2844</v>
      </c>
      <c r="I50" s="328">
        <v>28933</v>
      </c>
      <c r="J50" s="328">
        <v>44802</v>
      </c>
      <c r="K50" s="329">
        <v>2479</v>
      </c>
      <c r="L50" s="328">
        <v>30323</v>
      </c>
      <c r="M50" s="485">
        <v>17090</v>
      </c>
      <c r="N50" s="262">
        <v>0</v>
      </c>
      <c r="O50" s="215">
        <v>0</v>
      </c>
      <c r="P50" s="215">
        <v>0</v>
      </c>
      <c r="Q50" s="484">
        <v>0</v>
      </c>
      <c r="R50" s="344">
        <v>1183</v>
      </c>
      <c r="S50" s="345">
        <v>691</v>
      </c>
      <c r="T50" s="306">
        <v>693</v>
      </c>
      <c r="U50" s="197">
        <v>7731</v>
      </c>
      <c r="V50" s="197">
        <v>6</v>
      </c>
      <c r="W50" s="197">
        <v>5075</v>
      </c>
      <c r="X50" s="197">
        <v>16238</v>
      </c>
      <c r="Y50" s="197">
        <v>17680</v>
      </c>
      <c r="Z50" s="486">
        <v>5031</v>
      </c>
      <c r="AA50" s="262">
        <v>0</v>
      </c>
      <c r="AB50" s="198">
        <v>0</v>
      </c>
      <c r="AC50" s="198">
        <v>0</v>
      </c>
      <c r="AD50" s="215">
        <v>0</v>
      </c>
      <c r="AE50" s="215">
        <v>0</v>
      </c>
      <c r="AF50" s="215">
        <v>37</v>
      </c>
      <c r="AG50" s="215">
        <v>0</v>
      </c>
      <c r="AH50" s="215">
        <v>2298</v>
      </c>
      <c r="AI50" s="344">
        <v>470947</v>
      </c>
      <c r="AJ50" s="356">
        <v>463504</v>
      </c>
      <c r="AK50" s="370">
        <v>0</v>
      </c>
      <c r="AL50" s="483">
        <v>7443</v>
      </c>
    </row>
    <row r="51" spans="1:38" ht="15.75" customHeight="1">
      <c r="A51" s="76" t="s">
        <v>404</v>
      </c>
      <c r="B51" s="371">
        <v>31789</v>
      </c>
      <c r="C51" s="344">
        <v>2230</v>
      </c>
      <c r="D51" s="483">
        <v>16197</v>
      </c>
      <c r="E51" s="373">
        <v>0</v>
      </c>
      <c r="F51" s="373">
        <v>0</v>
      </c>
      <c r="G51" s="484">
        <v>0</v>
      </c>
      <c r="H51" s="326">
        <v>0</v>
      </c>
      <c r="I51" s="326">
        <v>0</v>
      </c>
      <c r="J51" s="326">
        <v>0</v>
      </c>
      <c r="K51" s="326">
        <v>0</v>
      </c>
      <c r="L51" s="326">
        <v>0</v>
      </c>
      <c r="M51" s="196">
        <v>0</v>
      </c>
      <c r="N51" s="262">
        <v>2230</v>
      </c>
      <c r="O51" s="215">
        <v>289</v>
      </c>
      <c r="P51" s="215">
        <v>4985</v>
      </c>
      <c r="Q51" s="484">
        <v>1287</v>
      </c>
      <c r="R51" s="344">
        <v>0</v>
      </c>
      <c r="S51" s="345">
        <v>0</v>
      </c>
      <c r="T51" s="308">
        <v>0</v>
      </c>
      <c r="U51" s="198">
        <v>0</v>
      </c>
      <c r="V51" s="198">
        <v>0</v>
      </c>
      <c r="W51" s="198">
        <v>0</v>
      </c>
      <c r="X51" s="198">
        <v>0</v>
      </c>
      <c r="Y51" s="198">
        <v>0</v>
      </c>
      <c r="Z51" s="485">
        <v>0</v>
      </c>
      <c r="AA51" s="262">
        <v>5703</v>
      </c>
      <c r="AB51" s="198">
        <v>2688</v>
      </c>
      <c r="AC51" s="198">
        <v>185</v>
      </c>
      <c r="AD51" s="215">
        <v>962</v>
      </c>
      <c r="AE51" s="215">
        <v>36</v>
      </c>
      <c r="AF51" s="215">
        <v>0</v>
      </c>
      <c r="AG51" s="215">
        <v>12</v>
      </c>
      <c r="AH51" s="215">
        <v>50</v>
      </c>
      <c r="AI51" s="344">
        <v>13362</v>
      </c>
      <c r="AJ51" s="356">
        <v>0</v>
      </c>
      <c r="AK51" s="328">
        <v>13362</v>
      </c>
      <c r="AL51" s="483">
        <v>0</v>
      </c>
    </row>
    <row r="52" spans="1:38" ht="15.75" customHeight="1">
      <c r="A52" s="76" t="s">
        <v>216</v>
      </c>
      <c r="B52" s="371">
        <v>219090</v>
      </c>
      <c r="C52" s="344">
        <v>14315</v>
      </c>
      <c r="D52" s="483">
        <v>69734</v>
      </c>
      <c r="E52" s="373">
        <v>263</v>
      </c>
      <c r="F52" s="373">
        <v>2771</v>
      </c>
      <c r="G52" s="484">
        <v>5792</v>
      </c>
      <c r="H52" s="328">
        <v>790</v>
      </c>
      <c r="I52" s="328">
        <v>10628</v>
      </c>
      <c r="J52" s="328">
        <v>21409</v>
      </c>
      <c r="K52" s="329">
        <v>877</v>
      </c>
      <c r="L52" s="328">
        <v>12675</v>
      </c>
      <c r="M52" s="485">
        <v>0</v>
      </c>
      <c r="N52" s="262">
        <v>0</v>
      </c>
      <c r="O52" s="215">
        <v>0</v>
      </c>
      <c r="P52" s="215">
        <v>0</v>
      </c>
      <c r="Q52" s="484">
        <v>0</v>
      </c>
      <c r="R52" s="344">
        <v>0</v>
      </c>
      <c r="S52" s="345">
        <v>1</v>
      </c>
      <c r="T52" s="306">
        <v>439</v>
      </c>
      <c r="U52" s="197">
        <v>5043</v>
      </c>
      <c r="V52" s="197">
        <v>7</v>
      </c>
      <c r="W52" s="197">
        <v>3376</v>
      </c>
      <c r="X52" s="197">
        <v>8537</v>
      </c>
      <c r="Y52" s="197">
        <v>7794</v>
      </c>
      <c r="Z52" s="486">
        <v>2288</v>
      </c>
      <c r="AA52" s="262">
        <v>0</v>
      </c>
      <c r="AB52" s="198">
        <v>0</v>
      </c>
      <c r="AC52" s="198">
        <v>0</v>
      </c>
      <c r="AD52" s="215">
        <v>0</v>
      </c>
      <c r="AE52" s="215">
        <v>0</v>
      </c>
      <c r="AF52" s="215">
        <v>15</v>
      </c>
      <c r="AG52" s="215">
        <v>0</v>
      </c>
      <c r="AH52" s="215">
        <v>1344</v>
      </c>
      <c r="AI52" s="344">
        <v>135041</v>
      </c>
      <c r="AJ52" s="356">
        <v>132097</v>
      </c>
      <c r="AK52" s="370">
        <v>0</v>
      </c>
      <c r="AL52" s="483">
        <v>2944</v>
      </c>
    </row>
    <row r="53" spans="1:38" ht="15.75" customHeight="1">
      <c r="A53" s="76" t="s">
        <v>224</v>
      </c>
      <c r="B53" s="371">
        <v>59198</v>
      </c>
      <c r="C53" s="344">
        <v>3271</v>
      </c>
      <c r="D53" s="483">
        <v>18066</v>
      </c>
      <c r="E53" s="373">
        <v>53</v>
      </c>
      <c r="F53" s="373">
        <v>735</v>
      </c>
      <c r="G53" s="484">
        <v>1183</v>
      </c>
      <c r="H53" s="328">
        <v>27</v>
      </c>
      <c r="I53" s="328">
        <v>2573</v>
      </c>
      <c r="J53" s="328">
        <v>6154</v>
      </c>
      <c r="K53" s="329">
        <v>192</v>
      </c>
      <c r="L53" s="328">
        <v>3138</v>
      </c>
      <c r="M53" s="485">
        <v>0</v>
      </c>
      <c r="N53" s="262">
        <v>238</v>
      </c>
      <c r="O53" s="215">
        <v>12</v>
      </c>
      <c r="P53" s="215">
        <v>555</v>
      </c>
      <c r="Q53" s="484">
        <v>155</v>
      </c>
      <c r="R53" s="344">
        <v>0</v>
      </c>
      <c r="S53" s="345">
        <v>0</v>
      </c>
      <c r="T53" s="306">
        <v>106</v>
      </c>
      <c r="U53" s="197">
        <v>945</v>
      </c>
      <c r="V53" s="197">
        <v>11</v>
      </c>
      <c r="W53" s="197">
        <v>359</v>
      </c>
      <c r="X53" s="197">
        <v>1871</v>
      </c>
      <c r="Y53" s="197">
        <v>1978</v>
      </c>
      <c r="Z53" s="486">
        <v>295</v>
      </c>
      <c r="AA53" s="262">
        <v>0</v>
      </c>
      <c r="AB53" s="198">
        <v>259</v>
      </c>
      <c r="AC53" s="198">
        <v>16</v>
      </c>
      <c r="AD53" s="215">
        <v>87</v>
      </c>
      <c r="AE53" s="215">
        <v>6</v>
      </c>
      <c r="AF53" s="215">
        <v>9</v>
      </c>
      <c r="AG53" s="215">
        <v>0</v>
      </c>
      <c r="AH53" s="215">
        <v>380</v>
      </c>
      <c r="AI53" s="344">
        <v>37861</v>
      </c>
      <c r="AJ53" s="356">
        <v>35421</v>
      </c>
      <c r="AK53" s="328">
        <v>1346</v>
      </c>
      <c r="AL53" s="483">
        <v>1094</v>
      </c>
    </row>
    <row r="54" spans="1:38" ht="15.75" customHeight="1">
      <c r="A54" s="76" t="s">
        <v>223</v>
      </c>
      <c r="B54" s="371">
        <v>86790</v>
      </c>
      <c r="C54" s="344">
        <v>3543</v>
      </c>
      <c r="D54" s="483">
        <v>20527</v>
      </c>
      <c r="E54" s="373">
        <v>98</v>
      </c>
      <c r="F54" s="373">
        <v>845</v>
      </c>
      <c r="G54" s="484">
        <v>1264</v>
      </c>
      <c r="H54" s="328">
        <v>32</v>
      </c>
      <c r="I54" s="328">
        <v>2807</v>
      </c>
      <c r="J54" s="328">
        <v>7656</v>
      </c>
      <c r="K54" s="329">
        <v>239</v>
      </c>
      <c r="L54" s="328">
        <v>3879</v>
      </c>
      <c r="M54" s="485">
        <v>0</v>
      </c>
      <c r="N54" s="262">
        <v>161</v>
      </c>
      <c r="O54" s="215">
        <v>21</v>
      </c>
      <c r="P54" s="215">
        <v>430</v>
      </c>
      <c r="Q54" s="484">
        <v>114</v>
      </c>
      <c r="R54" s="344">
        <v>0</v>
      </c>
      <c r="S54" s="345">
        <v>0</v>
      </c>
      <c r="T54" s="306">
        <v>86</v>
      </c>
      <c r="U54" s="197">
        <v>1089</v>
      </c>
      <c r="V54" s="197">
        <v>0</v>
      </c>
      <c r="W54" s="197">
        <v>327</v>
      </c>
      <c r="X54" s="197">
        <v>2229</v>
      </c>
      <c r="Y54" s="197">
        <v>1588</v>
      </c>
      <c r="Z54" s="486">
        <v>450</v>
      </c>
      <c r="AA54" s="262">
        <v>0</v>
      </c>
      <c r="AB54" s="198">
        <v>186</v>
      </c>
      <c r="AC54" s="198">
        <v>12</v>
      </c>
      <c r="AD54" s="215">
        <v>49</v>
      </c>
      <c r="AE54" s="215">
        <v>0</v>
      </c>
      <c r="AF54" s="215">
        <v>4</v>
      </c>
      <c r="AG54" s="215">
        <v>3</v>
      </c>
      <c r="AH54" s="215">
        <v>501</v>
      </c>
      <c r="AI54" s="344">
        <v>62720</v>
      </c>
      <c r="AJ54" s="356">
        <v>60844</v>
      </c>
      <c r="AK54" s="328">
        <v>1127</v>
      </c>
      <c r="AL54" s="483">
        <v>749</v>
      </c>
    </row>
    <row r="55" spans="1:38" ht="15.75" customHeight="1">
      <c r="A55" s="76" t="s">
        <v>222</v>
      </c>
      <c r="B55" s="371">
        <v>132613</v>
      </c>
      <c r="C55" s="344">
        <v>6605</v>
      </c>
      <c r="D55" s="483">
        <v>39334</v>
      </c>
      <c r="E55" s="373">
        <v>122</v>
      </c>
      <c r="F55" s="373">
        <v>1333</v>
      </c>
      <c r="G55" s="484">
        <v>2508</v>
      </c>
      <c r="H55" s="328">
        <v>78</v>
      </c>
      <c r="I55" s="328">
        <v>5881</v>
      </c>
      <c r="J55" s="328">
        <v>14509</v>
      </c>
      <c r="K55" s="329">
        <v>365</v>
      </c>
      <c r="L55" s="328">
        <v>7117</v>
      </c>
      <c r="M55" s="485">
        <v>0</v>
      </c>
      <c r="N55" s="262">
        <v>373</v>
      </c>
      <c r="O55" s="215">
        <v>29</v>
      </c>
      <c r="P55" s="215">
        <v>833</v>
      </c>
      <c r="Q55" s="484">
        <v>214</v>
      </c>
      <c r="R55" s="344">
        <v>0</v>
      </c>
      <c r="S55" s="345">
        <v>0</v>
      </c>
      <c r="T55" s="306">
        <v>143</v>
      </c>
      <c r="U55" s="197">
        <v>2126</v>
      </c>
      <c r="V55" s="197">
        <v>0</v>
      </c>
      <c r="W55" s="197">
        <v>355</v>
      </c>
      <c r="X55" s="197">
        <v>4090</v>
      </c>
      <c r="Y55" s="197">
        <v>4025</v>
      </c>
      <c r="Z55" s="486">
        <v>663</v>
      </c>
      <c r="AA55" s="262">
        <v>0</v>
      </c>
      <c r="AB55" s="198">
        <v>334</v>
      </c>
      <c r="AC55" s="198">
        <v>18</v>
      </c>
      <c r="AD55" s="215">
        <v>110</v>
      </c>
      <c r="AE55" s="215">
        <v>14</v>
      </c>
      <c r="AF55" s="215">
        <v>12</v>
      </c>
      <c r="AG55" s="215">
        <v>0</v>
      </c>
      <c r="AH55" s="215">
        <v>687</v>
      </c>
      <c r="AI55" s="344">
        <v>86674</v>
      </c>
      <c r="AJ55" s="356">
        <v>82865</v>
      </c>
      <c r="AK55" s="328">
        <v>2387</v>
      </c>
      <c r="AL55" s="483">
        <v>1422</v>
      </c>
    </row>
    <row r="56" spans="1:38" ht="15.75" customHeight="1">
      <c r="A56" s="76" t="s">
        <v>221</v>
      </c>
      <c r="B56" s="371">
        <v>83889</v>
      </c>
      <c r="C56" s="344">
        <v>6475</v>
      </c>
      <c r="D56" s="483">
        <v>39068</v>
      </c>
      <c r="E56" s="373">
        <v>132</v>
      </c>
      <c r="F56" s="373">
        <v>1223</v>
      </c>
      <c r="G56" s="484">
        <v>2386</v>
      </c>
      <c r="H56" s="328">
        <v>68</v>
      </c>
      <c r="I56" s="328">
        <v>6190</v>
      </c>
      <c r="J56" s="328">
        <v>12820</v>
      </c>
      <c r="K56" s="329">
        <v>475</v>
      </c>
      <c r="L56" s="328">
        <v>6242</v>
      </c>
      <c r="M56" s="485">
        <v>0</v>
      </c>
      <c r="N56" s="262">
        <v>394</v>
      </c>
      <c r="O56" s="215">
        <v>38</v>
      </c>
      <c r="P56" s="215">
        <v>824</v>
      </c>
      <c r="Q56" s="484">
        <v>243</v>
      </c>
      <c r="R56" s="344">
        <v>0</v>
      </c>
      <c r="S56" s="345">
        <v>0</v>
      </c>
      <c r="T56" s="306">
        <v>178</v>
      </c>
      <c r="U56" s="197">
        <v>2160</v>
      </c>
      <c r="V56" s="197">
        <v>2</v>
      </c>
      <c r="W56" s="197">
        <v>746</v>
      </c>
      <c r="X56" s="197">
        <v>4173</v>
      </c>
      <c r="Y56" s="197">
        <v>5288</v>
      </c>
      <c r="Z56" s="486">
        <v>828</v>
      </c>
      <c r="AA56" s="262">
        <v>0</v>
      </c>
      <c r="AB56" s="198">
        <v>301</v>
      </c>
      <c r="AC56" s="198">
        <v>16</v>
      </c>
      <c r="AD56" s="215">
        <v>157</v>
      </c>
      <c r="AE56" s="215">
        <v>4</v>
      </c>
      <c r="AF56" s="215">
        <v>17</v>
      </c>
      <c r="AG56" s="215">
        <v>0</v>
      </c>
      <c r="AH56" s="215">
        <v>638</v>
      </c>
      <c r="AI56" s="344">
        <v>38346</v>
      </c>
      <c r="AJ56" s="356">
        <v>34021</v>
      </c>
      <c r="AK56" s="328">
        <v>2942</v>
      </c>
      <c r="AL56" s="483">
        <v>1383</v>
      </c>
    </row>
    <row r="57" spans="1:38" ht="15.75" customHeight="1">
      <c r="A57" s="76" t="s">
        <v>220</v>
      </c>
      <c r="B57" s="371">
        <v>44801</v>
      </c>
      <c r="C57" s="344">
        <v>2240</v>
      </c>
      <c r="D57" s="483">
        <v>12704</v>
      </c>
      <c r="E57" s="373">
        <v>85</v>
      </c>
      <c r="F57" s="373">
        <v>616</v>
      </c>
      <c r="G57" s="484">
        <v>713</v>
      </c>
      <c r="H57" s="328">
        <v>116</v>
      </c>
      <c r="I57" s="328">
        <v>1558</v>
      </c>
      <c r="J57" s="328">
        <v>4398</v>
      </c>
      <c r="K57" s="329">
        <v>118</v>
      </c>
      <c r="L57" s="328">
        <v>2377</v>
      </c>
      <c r="M57" s="485">
        <v>0</v>
      </c>
      <c r="N57" s="262">
        <v>177</v>
      </c>
      <c r="O57" s="215">
        <v>11</v>
      </c>
      <c r="P57" s="215">
        <v>374</v>
      </c>
      <c r="Q57" s="484">
        <v>92</v>
      </c>
      <c r="R57" s="344">
        <v>0</v>
      </c>
      <c r="S57" s="345">
        <v>0</v>
      </c>
      <c r="T57" s="306">
        <v>70</v>
      </c>
      <c r="U57" s="197">
        <v>579</v>
      </c>
      <c r="V57" s="197">
        <v>0</v>
      </c>
      <c r="W57" s="197">
        <v>500</v>
      </c>
      <c r="X57" s="197">
        <v>1143</v>
      </c>
      <c r="Y57" s="197">
        <v>1438</v>
      </c>
      <c r="Z57" s="486">
        <v>134</v>
      </c>
      <c r="AA57" s="262">
        <v>0</v>
      </c>
      <c r="AB57" s="198">
        <v>105</v>
      </c>
      <c r="AC57" s="198">
        <v>4</v>
      </c>
      <c r="AD57" s="215">
        <v>44</v>
      </c>
      <c r="AE57" s="215">
        <v>1</v>
      </c>
      <c r="AF57" s="215">
        <v>2</v>
      </c>
      <c r="AG57" s="215">
        <v>0</v>
      </c>
      <c r="AH57" s="215">
        <v>289</v>
      </c>
      <c r="AI57" s="344">
        <v>29857</v>
      </c>
      <c r="AJ57" s="356">
        <v>28275</v>
      </c>
      <c r="AK57" s="328">
        <v>982</v>
      </c>
      <c r="AL57" s="483">
        <v>600</v>
      </c>
    </row>
    <row r="58" spans="1:38" ht="15.75" customHeight="1">
      <c r="A58" s="76" t="s">
        <v>219</v>
      </c>
      <c r="B58" s="371">
        <v>29251</v>
      </c>
      <c r="C58" s="344">
        <v>1003</v>
      </c>
      <c r="D58" s="483">
        <v>5685</v>
      </c>
      <c r="E58" s="373">
        <v>20</v>
      </c>
      <c r="F58" s="373">
        <v>286</v>
      </c>
      <c r="G58" s="484">
        <v>248</v>
      </c>
      <c r="H58" s="328">
        <v>8</v>
      </c>
      <c r="I58" s="328">
        <v>669</v>
      </c>
      <c r="J58" s="328">
        <v>1978</v>
      </c>
      <c r="K58" s="329">
        <v>44</v>
      </c>
      <c r="L58" s="328">
        <v>1129</v>
      </c>
      <c r="M58" s="485">
        <v>0</v>
      </c>
      <c r="N58" s="262">
        <v>67</v>
      </c>
      <c r="O58" s="215">
        <v>3</v>
      </c>
      <c r="P58" s="215">
        <v>191</v>
      </c>
      <c r="Q58" s="484">
        <v>23</v>
      </c>
      <c r="R58" s="344">
        <v>0</v>
      </c>
      <c r="S58" s="345">
        <v>0</v>
      </c>
      <c r="T58" s="306">
        <v>76</v>
      </c>
      <c r="U58" s="197">
        <v>304</v>
      </c>
      <c r="V58" s="197">
        <v>2</v>
      </c>
      <c r="W58" s="197">
        <v>42</v>
      </c>
      <c r="X58" s="197">
        <v>672</v>
      </c>
      <c r="Y58" s="197">
        <v>622</v>
      </c>
      <c r="Z58" s="486">
        <v>86</v>
      </c>
      <c r="AA58" s="262">
        <v>0</v>
      </c>
      <c r="AB58" s="198">
        <v>62</v>
      </c>
      <c r="AC58" s="198">
        <v>2</v>
      </c>
      <c r="AD58" s="215">
        <v>23</v>
      </c>
      <c r="AE58" s="215">
        <v>0</v>
      </c>
      <c r="AF58" s="215">
        <v>16</v>
      </c>
      <c r="AG58" s="215">
        <v>0</v>
      </c>
      <c r="AH58" s="215">
        <v>115</v>
      </c>
      <c r="AI58" s="344">
        <v>22563</v>
      </c>
      <c r="AJ58" s="356">
        <v>21921</v>
      </c>
      <c r="AK58" s="328">
        <v>366</v>
      </c>
      <c r="AL58" s="483">
        <v>276</v>
      </c>
    </row>
    <row r="59" spans="1:38" ht="15.75" customHeight="1">
      <c r="A59" s="76" t="s">
        <v>218</v>
      </c>
      <c r="B59" s="371">
        <v>23702</v>
      </c>
      <c r="C59" s="344">
        <v>1348</v>
      </c>
      <c r="D59" s="483">
        <v>7477</v>
      </c>
      <c r="E59" s="373">
        <v>26</v>
      </c>
      <c r="F59" s="373">
        <v>330</v>
      </c>
      <c r="G59" s="484">
        <v>393</v>
      </c>
      <c r="H59" s="328">
        <v>18</v>
      </c>
      <c r="I59" s="328">
        <v>975</v>
      </c>
      <c r="J59" s="328">
        <v>2763</v>
      </c>
      <c r="K59" s="329">
        <v>84</v>
      </c>
      <c r="L59" s="328">
        <v>1378</v>
      </c>
      <c r="M59" s="485">
        <v>0</v>
      </c>
      <c r="N59" s="262">
        <v>78</v>
      </c>
      <c r="O59" s="215">
        <v>6</v>
      </c>
      <c r="P59" s="215">
        <v>209</v>
      </c>
      <c r="Q59" s="484">
        <v>39</v>
      </c>
      <c r="R59" s="344">
        <v>0</v>
      </c>
      <c r="S59" s="345">
        <v>0</v>
      </c>
      <c r="T59" s="306">
        <v>80</v>
      </c>
      <c r="U59" s="197">
        <v>440</v>
      </c>
      <c r="V59" s="197">
        <v>1</v>
      </c>
      <c r="W59" s="197">
        <v>73</v>
      </c>
      <c r="X59" s="197">
        <v>881</v>
      </c>
      <c r="Y59" s="197">
        <v>637</v>
      </c>
      <c r="Z59" s="486">
        <v>120</v>
      </c>
      <c r="AA59" s="262">
        <v>0</v>
      </c>
      <c r="AB59" s="198">
        <v>122</v>
      </c>
      <c r="AC59" s="198">
        <v>0</v>
      </c>
      <c r="AD59" s="215">
        <v>27</v>
      </c>
      <c r="AE59" s="215">
        <v>0</v>
      </c>
      <c r="AF59" s="215">
        <v>0</v>
      </c>
      <c r="AG59" s="215">
        <v>0</v>
      </c>
      <c r="AH59" s="215">
        <v>145</v>
      </c>
      <c r="AI59" s="344">
        <v>14877</v>
      </c>
      <c r="AJ59" s="356">
        <v>13899</v>
      </c>
      <c r="AK59" s="328">
        <v>372</v>
      </c>
      <c r="AL59" s="483">
        <v>606</v>
      </c>
    </row>
    <row r="60" spans="1:38" ht="15.75" customHeight="1">
      <c r="A60" s="177" t="s">
        <v>201</v>
      </c>
      <c r="B60" s="368">
        <v>1385542</v>
      </c>
      <c r="C60" s="342">
        <v>70981</v>
      </c>
      <c r="D60" s="481">
        <v>402313</v>
      </c>
      <c r="E60" s="370">
        <v>1647</v>
      </c>
      <c r="F60" s="370">
        <v>15087</v>
      </c>
      <c r="G60" s="479">
        <v>27029</v>
      </c>
      <c r="H60" s="326">
        <v>3981</v>
      </c>
      <c r="I60" s="326">
        <v>60214</v>
      </c>
      <c r="J60" s="326">
        <v>116489</v>
      </c>
      <c r="K60" s="326">
        <v>4873</v>
      </c>
      <c r="L60" s="326">
        <v>68258</v>
      </c>
      <c r="M60" s="196">
        <v>17090</v>
      </c>
      <c r="N60" s="261">
        <v>3718</v>
      </c>
      <c r="O60" s="214">
        <v>409</v>
      </c>
      <c r="P60" s="214">
        <v>8401</v>
      </c>
      <c r="Q60" s="479">
        <v>2167</v>
      </c>
      <c r="R60" s="342">
        <v>1183</v>
      </c>
      <c r="S60" s="343">
        <v>692</v>
      </c>
      <c r="T60" s="307">
        <v>1871</v>
      </c>
      <c r="U60" s="196">
        <v>20417</v>
      </c>
      <c r="V60" s="196">
        <v>29</v>
      </c>
      <c r="W60" s="196">
        <v>10853</v>
      </c>
      <c r="X60" s="196">
        <v>39834</v>
      </c>
      <c r="Y60" s="196">
        <v>41050</v>
      </c>
      <c r="Z60" s="204">
        <v>9895</v>
      </c>
      <c r="AA60" s="261">
        <v>5703</v>
      </c>
      <c r="AB60" s="196">
        <v>4057</v>
      </c>
      <c r="AC60" s="196">
        <v>253</v>
      </c>
      <c r="AD60" s="214">
        <v>1459</v>
      </c>
      <c r="AE60" s="214">
        <v>61</v>
      </c>
      <c r="AF60" s="214">
        <v>112</v>
      </c>
      <c r="AG60" s="214">
        <v>15</v>
      </c>
      <c r="AH60" s="214">
        <v>6447</v>
      </c>
      <c r="AI60" s="342">
        <v>912248</v>
      </c>
      <c r="AJ60" s="326">
        <v>872847</v>
      </c>
      <c r="AK60" s="326">
        <v>22884</v>
      </c>
      <c r="AL60" s="481">
        <v>16517</v>
      </c>
    </row>
    <row r="61" spans="1:38" ht="15.75" customHeight="1">
      <c r="A61" s="76" t="s">
        <v>82</v>
      </c>
      <c r="B61" s="371">
        <v>395630</v>
      </c>
      <c r="C61" s="344">
        <v>30179</v>
      </c>
      <c r="D61" s="483">
        <v>150877</v>
      </c>
      <c r="E61" s="373">
        <v>841</v>
      </c>
      <c r="F61" s="373">
        <v>6496</v>
      </c>
      <c r="G61" s="484">
        <v>14654</v>
      </c>
      <c r="H61" s="328">
        <v>3397</v>
      </c>
      <c r="I61" s="328">
        <v>33697</v>
      </c>
      <c r="J61" s="328">
        <v>36490</v>
      </c>
      <c r="K61" s="329">
        <v>1495</v>
      </c>
      <c r="L61" s="328">
        <v>23418</v>
      </c>
      <c r="M61" s="485">
        <v>11321</v>
      </c>
      <c r="N61" s="262">
        <v>0</v>
      </c>
      <c r="O61" s="215">
        <v>0</v>
      </c>
      <c r="P61" s="215">
        <v>0</v>
      </c>
      <c r="Q61" s="484">
        <v>0</v>
      </c>
      <c r="R61" s="344">
        <v>980</v>
      </c>
      <c r="S61" s="345">
        <v>613</v>
      </c>
      <c r="T61" s="306">
        <v>772</v>
      </c>
      <c r="U61" s="197">
        <v>6434</v>
      </c>
      <c r="V61" s="197">
        <v>2</v>
      </c>
      <c r="W61" s="197">
        <v>4018</v>
      </c>
      <c r="X61" s="197">
        <v>11293</v>
      </c>
      <c r="Y61" s="197">
        <v>18909</v>
      </c>
      <c r="Z61" s="486">
        <v>4678</v>
      </c>
      <c r="AA61" s="262">
        <v>0</v>
      </c>
      <c r="AB61" s="198">
        <v>0</v>
      </c>
      <c r="AC61" s="198">
        <v>0</v>
      </c>
      <c r="AD61" s="215">
        <v>0</v>
      </c>
      <c r="AE61" s="215">
        <v>0</v>
      </c>
      <c r="AF61" s="215">
        <v>6</v>
      </c>
      <c r="AG61" s="215">
        <v>0</v>
      </c>
      <c r="AH61" s="215">
        <v>1542</v>
      </c>
      <c r="AI61" s="344">
        <v>214574</v>
      </c>
      <c r="AJ61" s="356">
        <v>209446</v>
      </c>
      <c r="AK61" s="370">
        <v>0</v>
      </c>
      <c r="AL61" s="483">
        <v>5128</v>
      </c>
    </row>
    <row r="62" spans="1:38" ht="15.75" customHeight="1">
      <c r="A62" s="76" t="s">
        <v>405</v>
      </c>
      <c r="B62" s="371">
        <v>35850</v>
      </c>
      <c r="C62" s="344">
        <v>2784</v>
      </c>
      <c r="D62" s="483">
        <v>17164</v>
      </c>
      <c r="E62" s="373">
        <v>0</v>
      </c>
      <c r="F62" s="373">
        <v>0</v>
      </c>
      <c r="G62" s="484">
        <v>0</v>
      </c>
      <c r="H62" s="326">
        <v>0</v>
      </c>
      <c r="I62" s="326">
        <v>0</v>
      </c>
      <c r="J62" s="326">
        <v>0</v>
      </c>
      <c r="K62" s="326">
        <v>0</v>
      </c>
      <c r="L62" s="326">
        <v>0</v>
      </c>
      <c r="M62" s="196">
        <v>0</v>
      </c>
      <c r="N62" s="262">
        <v>2784</v>
      </c>
      <c r="O62" s="215">
        <v>284</v>
      </c>
      <c r="P62" s="215">
        <v>6973</v>
      </c>
      <c r="Q62" s="484">
        <v>1868</v>
      </c>
      <c r="R62" s="344">
        <v>0</v>
      </c>
      <c r="S62" s="345">
        <v>0</v>
      </c>
      <c r="T62" s="308">
        <v>0</v>
      </c>
      <c r="U62" s="198">
        <v>0</v>
      </c>
      <c r="V62" s="198">
        <v>0</v>
      </c>
      <c r="W62" s="198">
        <v>0</v>
      </c>
      <c r="X62" s="198">
        <v>0</v>
      </c>
      <c r="Y62" s="198">
        <v>0</v>
      </c>
      <c r="Z62" s="485">
        <v>0</v>
      </c>
      <c r="AA62" s="262">
        <v>3985</v>
      </c>
      <c r="AB62" s="198">
        <v>2564</v>
      </c>
      <c r="AC62" s="198">
        <v>137</v>
      </c>
      <c r="AD62" s="215">
        <v>1171</v>
      </c>
      <c r="AE62" s="215">
        <v>116</v>
      </c>
      <c r="AF62" s="215">
        <v>0</v>
      </c>
      <c r="AG62" s="215">
        <v>5</v>
      </c>
      <c r="AH62" s="215">
        <v>61</v>
      </c>
      <c r="AI62" s="344">
        <v>15902</v>
      </c>
      <c r="AJ62" s="356">
        <v>0</v>
      </c>
      <c r="AK62" s="487">
        <v>15902</v>
      </c>
      <c r="AL62" s="483">
        <v>0</v>
      </c>
    </row>
    <row r="63" spans="1:38" ht="15.75" customHeight="1">
      <c r="A63" s="76" t="s">
        <v>217</v>
      </c>
      <c r="B63" s="371">
        <v>253234</v>
      </c>
      <c r="C63" s="344">
        <v>14847</v>
      </c>
      <c r="D63" s="483">
        <v>97653</v>
      </c>
      <c r="E63" s="373">
        <v>483</v>
      </c>
      <c r="F63" s="373">
        <v>3885</v>
      </c>
      <c r="G63" s="484">
        <v>6526</v>
      </c>
      <c r="H63" s="328">
        <v>780</v>
      </c>
      <c r="I63" s="328">
        <v>28067</v>
      </c>
      <c r="J63" s="328">
        <v>26461</v>
      </c>
      <c r="K63" s="329">
        <v>1255</v>
      </c>
      <c r="L63" s="328">
        <v>19216</v>
      </c>
      <c r="M63" s="485">
        <v>0</v>
      </c>
      <c r="N63" s="262">
        <v>0</v>
      </c>
      <c r="O63" s="215">
        <v>0</v>
      </c>
      <c r="P63" s="215">
        <v>0</v>
      </c>
      <c r="Q63" s="484">
        <v>0</v>
      </c>
      <c r="R63" s="344">
        <v>0</v>
      </c>
      <c r="S63" s="345">
        <v>0</v>
      </c>
      <c r="T63" s="306">
        <v>279</v>
      </c>
      <c r="U63" s="197">
        <v>3674</v>
      </c>
      <c r="V63" s="197">
        <v>0</v>
      </c>
      <c r="W63" s="197">
        <v>2430</v>
      </c>
      <c r="X63" s="197">
        <v>7451</v>
      </c>
      <c r="Y63" s="197">
        <v>8253</v>
      </c>
      <c r="Z63" s="486">
        <v>2107</v>
      </c>
      <c r="AA63" s="262">
        <v>0</v>
      </c>
      <c r="AB63" s="198">
        <v>0</v>
      </c>
      <c r="AC63" s="198">
        <v>0</v>
      </c>
      <c r="AD63" s="215">
        <v>0</v>
      </c>
      <c r="AE63" s="215">
        <v>0</v>
      </c>
      <c r="AF63" s="215">
        <v>8</v>
      </c>
      <c r="AG63" s="215">
        <v>0</v>
      </c>
      <c r="AH63" s="215">
        <v>1625</v>
      </c>
      <c r="AI63" s="344">
        <v>140734</v>
      </c>
      <c r="AJ63" s="356">
        <v>138794</v>
      </c>
      <c r="AK63" s="370">
        <v>0</v>
      </c>
      <c r="AL63" s="483">
        <v>1940</v>
      </c>
    </row>
    <row r="64" spans="1:38" ht="15.75" customHeight="1">
      <c r="A64" s="76" t="s">
        <v>216</v>
      </c>
      <c r="B64" s="371">
        <v>193542</v>
      </c>
      <c r="C64" s="344">
        <v>13817</v>
      </c>
      <c r="D64" s="483">
        <v>78100</v>
      </c>
      <c r="E64" s="373">
        <v>314</v>
      </c>
      <c r="F64" s="373">
        <v>2839</v>
      </c>
      <c r="G64" s="484">
        <v>5821</v>
      </c>
      <c r="H64" s="328">
        <v>693</v>
      </c>
      <c r="I64" s="328">
        <v>10880</v>
      </c>
      <c r="J64" s="328">
        <v>27453</v>
      </c>
      <c r="K64" s="329">
        <v>1134</v>
      </c>
      <c r="L64" s="328">
        <v>14181</v>
      </c>
      <c r="M64" s="198">
        <v>0</v>
      </c>
      <c r="N64" s="262">
        <v>0</v>
      </c>
      <c r="O64" s="215">
        <v>0</v>
      </c>
      <c r="P64" s="215">
        <v>0</v>
      </c>
      <c r="Q64" s="484">
        <v>0</v>
      </c>
      <c r="R64" s="344">
        <v>0</v>
      </c>
      <c r="S64" s="345">
        <v>0</v>
      </c>
      <c r="T64" s="306">
        <v>467</v>
      </c>
      <c r="U64" s="197">
        <v>4373</v>
      </c>
      <c r="V64" s="197">
        <v>3</v>
      </c>
      <c r="W64" s="197">
        <v>2988</v>
      </c>
      <c r="X64" s="197">
        <v>7749</v>
      </c>
      <c r="Y64" s="197">
        <v>9202</v>
      </c>
      <c r="Z64" s="486">
        <v>2385</v>
      </c>
      <c r="AA64" s="262">
        <v>0</v>
      </c>
      <c r="AB64" s="198">
        <v>0</v>
      </c>
      <c r="AC64" s="198">
        <v>0</v>
      </c>
      <c r="AD64" s="215">
        <v>0</v>
      </c>
      <c r="AE64" s="215">
        <v>0</v>
      </c>
      <c r="AF64" s="215">
        <v>76</v>
      </c>
      <c r="AG64" s="215">
        <v>0</v>
      </c>
      <c r="AH64" s="215">
        <v>1359</v>
      </c>
      <c r="AI64" s="344">
        <v>101625</v>
      </c>
      <c r="AJ64" s="356">
        <v>99791</v>
      </c>
      <c r="AK64" s="370">
        <v>0</v>
      </c>
      <c r="AL64" s="483">
        <v>1834</v>
      </c>
    </row>
    <row r="65" spans="1:38" ht="15.75" customHeight="1">
      <c r="A65" s="177" t="s">
        <v>201</v>
      </c>
      <c r="B65" s="326">
        <v>878256</v>
      </c>
      <c r="C65" s="342">
        <v>61627</v>
      </c>
      <c r="D65" s="481">
        <v>343794</v>
      </c>
      <c r="E65" s="370">
        <v>1638</v>
      </c>
      <c r="F65" s="370">
        <v>13220</v>
      </c>
      <c r="G65" s="479">
        <v>27001</v>
      </c>
      <c r="H65" s="326">
        <v>4870</v>
      </c>
      <c r="I65" s="326">
        <v>72644</v>
      </c>
      <c r="J65" s="326">
        <v>90404</v>
      </c>
      <c r="K65" s="326">
        <v>3884</v>
      </c>
      <c r="L65" s="326">
        <v>56815</v>
      </c>
      <c r="M65" s="196">
        <v>11321</v>
      </c>
      <c r="N65" s="261">
        <v>2784</v>
      </c>
      <c r="O65" s="214">
        <v>284</v>
      </c>
      <c r="P65" s="214">
        <v>6973</v>
      </c>
      <c r="Q65" s="479">
        <v>1868</v>
      </c>
      <c r="R65" s="342">
        <v>980</v>
      </c>
      <c r="S65" s="343">
        <v>613</v>
      </c>
      <c r="T65" s="307">
        <v>1518</v>
      </c>
      <c r="U65" s="196">
        <v>14481</v>
      </c>
      <c r="V65" s="196">
        <v>5</v>
      </c>
      <c r="W65" s="196">
        <v>9436</v>
      </c>
      <c r="X65" s="196">
        <v>26493</v>
      </c>
      <c r="Y65" s="196">
        <v>36364</v>
      </c>
      <c r="Z65" s="204">
        <v>9170</v>
      </c>
      <c r="AA65" s="261">
        <v>3985</v>
      </c>
      <c r="AB65" s="196">
        <v>2564</v>
      </c>
      <c r="AC65" s="196">
        <v>137</v>
      </c>
      <c r="AD65" s="214">
        <v>1171</v>
      </c>
      <c r="AE65" s="214">
        <v>116</v>
      </c>
      <c r="AF65" s="214">
        <v>90</v>
      </c>
      <c r="AG65" s="214">
        <v>5</v>
      </c>
      <c r="AH65" s="214">
        <v>4587</v>
      </c>
      <c r="AI65" s="342">
        <v>472835</v>
      </c>
      <c r="AJ65" s="326">
        <v>448031</v>
      </c>
      <c r="AK65" s="326">
        <v>15902</v>
      </c>
      <c r="AL65" s="481">
        <v>8902</v>
      </c>
    </row>
    <row r="66" spans="1:38" ht="15.75" customHeight="1">
      <c r="A66" s="76" t="s">
        <v>81</v>
      </c>
      <c r="B66" s="328">
        <v>350391</v>
      </c>
      <c r="C66" s="344">
        <v>19701</v>
      </c>
      <c r="D66" s="483">
        <v>118913</v>
      </c>
      <c r="E66" s="373">
        <v>479</v>
      </c>
      <c r="F66" s="373">
        <v>4124</v>
      </c>
      <c r="G66" s="484">
        <v>7560</v>
      </c>
      <c r="H66" s="328">
        <v>761</v>
      </c>
      <c r="I66" s="328">
        <v>16566</v>
      </c>
      <c r="J66" s="328">
        <v>37708</v>
      </c>
      <c r="K66" s="329">
        <v>1559</v>
      </c>
      <c r="L66" s="328">
        <v>21308</v>
      </c>
      <c r="M66" s="485">
        <v>5771</v>
      </c>
      <c r="N66" s="262">
        <v>0</v>
      </c>
      <c r="O66" s="215">
        <v>0</v>
      </c>
      <c r="P66" s="215">
        <v>0</v>
      </c>
      <c r="Q66" s="484">
        <v>0</v>
      </c>
      <c r="R66" s="344">
        <v>619</v>
      </c>
      <c r="S66" s="345">
        <v>253</v>
      </c>
      <c r="T66" s="306">
        <v>549</v>
      </c>
      <c r="U66" s="197">
        <v>6369</v>
      </c>
      <c r="V66" s="197">
        <v>1</v>
      </c>
      <c r="W66" s="197">
        <v>3672</v>
      </c>
      <c r="X66" s="197">
        <v>12831</v>
      </c>
      <c r="Y66" s="197">
        <v>14311</v>
      </c>
      <c r="Z66" s="486">
        <v>2626</v>
      </c>
      <c r="AA66" s="262">
        <v>0</v>
      </c>
      <c r="AB66" s="198">
        <v>0</v>
      </c>
      <c r="AC66" s="198">
        <v>0</v>
      </c>
      <c r="AD66" s="215">
        <v>0</v>
      </c>
      <c r="AE66" s="215">
        <v>0</v>
      </c>
      <c r="AF66" s="215">
        <v>41</v>
      </c>
      <c r="AG66" s="215">
        <v>0</v>
      </c>
      <c r="AH66" s="215">
        <v>1506</v>
      </c>
      <c r="AI66" s="344">
        <v>211777</v>
      </c>
      <c r="AJ66" s="356">
        <v>206885</v>
      </c>
      <c r="AK66" s="370">
        <v>0</v>
      </c>
      <c r="AL66" s="483">
        <v>4892</v>
      </c>
    </row>
    <row r="67" spans="1:38" s="381" customFormat="1" ht="15.75" customHeight="1">
      <c r="A67" s="76" t="s">
        <v>406</v>
      </c>
      <c r="B67" s="328">
        <v>15933</v>
      </c>
      <c r="C67" s="344">
        <v>1299</v>
      </c>
      <c r="D67" s="483">
        <v>7640</v>
      </c>
      <c r="E67" s="373">
        <v>0</v>
      </c>
      <c r="F67" s="373">
        <v>0</v>
      </c>
      <c r="G67" s="484">
        <v>0</v>
      </c>
      <c r="H67" s="328">
        <v>0</v>
      </c>
      <c r="I67" s="328">
        <v>0</v>
      </c>
      <c r="J67" s="328">
        <v>0</v>
      </c>
      <c r="K67" s="329">
        <v>0</v>
      </c>
      <c r="L67" s="328">
        <v>0</v>
      </c>
      <c r="M67" s="485">
        <v>0</v>
      </c>
      <c r="N67" s="262">
        <v>1299</v>
      </c>
      <c r="O67" s="215">
        <v>131</v>
      </c>
      <c r="P67" s="215">
        <v>2469</v>
      </c>
      <c r="Q67" s="484">
        <v>918</v>
      </c>
      <c r="R67" s="344">
        <v>0</v>
      </c>
      <c r="S67" s="345">
        <v>0</v>
      </c>
      <c r="T67" s="306">
        <v>0</v>
      </c>
      <c r="U67" s="197">
        <v>0</v>
      </c>
      <c r="V67" s="197">
        <v>0</v>
      </c>
      <c r="W67" s="197">
        <v>0</v>
      </c>
      <c r="X67" s="197">
        <v>0</v>
      </c>
      <c r="Y67" s="197">
        <v>0</v>
      </c>
      <c r="Z67" s="486">
        <v>0</v>
      </c>
      <c r="AA67" s="262">
        <v>2481</v>
      </c>
      <c r="AB67" s="198">
        <v>826</v>
      </c>
      <c r="AC67" s="198">
        <v>68</v>
      </c>
      <c r="AD67" s="198">
        <v>583</v>
      </c>
      <c r="AE67" s="215">
        <v>133</v>
      </c>
      <c r="AF67" s="215">
        <v>0</v>
      </c>
      <c r="AG67" s="215">
        <v>1</v>
      </c>
      <c r="AH67" s="215">
        <v>30</v>
      </c>
      <c r="AI67" s="344">
        <v>6994</v>
      </c>
      <c r="AJ67" s="356">
        <v>0</v>
      </c>
      <c r="AK67" s="328">
        <v>6994</v>
      </c>
      <c r="AL67" s="483">
        <v>0</v>
      </c>
    </row>
    <row r="68" spans="1:38" ht="15.75" customHeight="1">
      <c r="A68" s="177" t="s">
        <v>201</v>
      </c>
      <c r="B68" s="326">
        <v>366324</v>
      </c>
      <c r="C68" s="342">
        <v>21000</v>
      </c>
      <c r="D68" s="481">
        <v>126553</v>
      </c>
      <c r="E68" s="370">
        <v>479</v>
      </c>
      <c r="F68" s="370">
        <v>4124</v>
      </c>
      <c r="G68" s="479">
        <v>7560</v>
      </c>
      <c r="H68" s="326">
        <v>761</v>
      </c>
      <c r="I68" s="326">
        <v>16566</v>
      </c>
      <c r="J68" s="326">
        <v>37708</v>
      </c>
      <c r="K68" s="327">
        <v>1559</v>
      </c>
      <c r="L68" s="326">
        <v>21308</v>
      </c>
      <c r="M68" s="482">
        <v>5771</v>
      </c>
      <c r="N68" s="261">
        <v>1299</v>
      </c>
      <c r="O68" s="214">
        <v>131</v>
      </c>
      <c r="P68" s="214">
        <v>2469</v>
      </c>
      <c r="Q68" s="479">
        <v>918</v>
      </c>
      <c r="R68" s="342">
        <v>619</v>
      </c>
      <c r="S68" s="343">
        <v>253</v>
      </c>
      <c r="T68" s="304">
        <v>549</v>
      </c>
      <c r="U68" s="195">
        <v>6369</v>
      </c>
      <c r="V68" s="195">
        <v>1</v>
      </c>
      <c r="W68" s="195">
        <v>3672</v>
      </c>
      <c r="X68" s="195">
        <v>12831</v>
      </c>
      <c r="Y68" s="195">
        <v>14311</v>
      </c>
      <c r="Z68" s="480">
        <v>2626</v>
      </c>
      <c r="AA68" s="261">
        <v>2481</v>
      </c>
      <c r="AB68" s="196">
        <v>826</v>
      </c>
      <c r="AC68" s="196">
        <v>68</v>
      </c>
      <c r="AD68" s="214">
        <v>583</v>
      </c>
      <c r="AE68" s="214">
        <v>133</v>
      </c>
      <c r="AF68" s="214">
        <v>41</v>
      </c>
      <c r="AG68" s="214">
        <v>1</v>
      </c>
      <c r="AH68" s="214">
        <v>1536</v>
      </c>
      <c r="AI68" s="342">
        <v>218771</v>
      </c>
      <c r="AJ68" s="358">
        <v>206885</v>
      </c>
      <c r="AK68" s="326">
        <v>6994</v>
      </c>
      <c r="AL68" s="481">
        <v>4892</v>
      </c>
    </row>
    <row r="69" spans="1:38" ht="15.75" customHeight="1">
      <c r="A69" s="76" t="s">
        <v>80</v>
      </c>
      <c r="B69" s="328">
        <v>575498</v>
      </c>
      <c r="C69" s="344">
        <v>17310</v>
      </c>
      <c r="D69" s="483">
        <v>119541</v>
      </c>
      <c r="E69" s="373">
        <v>428</v>
      </c>
      <c r="F69" s="373">
        <v>3665</v>
      </c>
      <c r="G69" s="484">
        <v>6425</v>
      </c>
      <c r="H69" s="328">
        <v>1937</v>
      </c>
      <c r="I69" s="328">
        <v>19513</v>
      </c>
      <c r="J69" s="328">
        <v>31341</v>
      </c>
      <c r="K69" s="329">
        <v>1424</v>
      </c>
      <c r="L69" s="328">
        <v>17385</v>
      </c>
      <c r="M69" s="485">
        <v>12208</v>
      </c>
      <c r="N69" s="262">
        <v>1031</v>
      </c>
      <c r="O69" s="215">
        <v>109</v>
      </c>
      <c r="P69" s="215">
        <v>2036</v>
      </c>
      <c r="Q69" s="484">
        <v>766</v>
      </c>
      <c r="R69" s="344">
        <v>901</v>
      </c>
      <c r="S69" s="345">
        <v>499</v>
      </c>
      <c r="T69" s="306">
        <v>484</v>
      </c>
      <c r="U69" s="197">
        <v>4373</v>
      </c>
      <c r="V69" s="197">
        <v>3</v>
      </c>
      <c r="W69" s="197">
        <v>2168</v>
      </c>
      <c r="X69" s="197">
        <v>8898</v>
      </c>
      <c r="Y69" s="197">
        <v>12315</v>
      </c>
      <c r="Z69" s="486">
        <v>2830</v>
      </c>
      <c r="AA69" s="262">
        <v>3228</v>
      </c>
      <c r="AB69" s="198">
        <v>687</v>
      </c>
      <c r="AC69" s="198">
        <v>67</v>
      </c>
      <c r="AD69" s="215">
        <v>343</v>
      </c>
      <c r="AE69" s="215">
        <v>27</v>
      </c>
      <c r="AF69" s="215">
        <v>54</v>
      </c>
      <c r="AG69" s="215">
        <v>2</v>
      </c>
      <c r="AH69" s="215">
        <v>1704</v>
      </c>
      <c r="AI69" s="344">
        <v>438647</v>
      </c>
      <c r="AJ69" s="356">
        <v>428327</v>
      </c>
      <c r="AK69" s="328">
        <v>6622</v>
      </c>
      <c r="AL69" s="483">
        <v>3698</v>
      </c>
    </row>
    <row r="70" spans="1:38" ht="15.75" customHeight="1">
      <c r="A70" s="76" t="s">
        <v>215</v>
      </c>
      <c r="B70" s="328">
        <v>91217</v>
      </c>
      <c r="C70" s="344">
        <v>6487</v>
      </c>
      <c r="D70" s="483">
        <v>36758</v>
      </c>
      <c r="E70" s="373">
        <v>127</v>
      </c>
      <c r="F70" s="373">
        <v>1257</v>
      </c>
      <c r="G70" s="484">
        <v>2549</v>
      </c>
      <c r="H70" s="328">
        <v>49</v>
      </c>
      <c r="I70" s="328">
        <v>6045</v>
      </c>
      <c r="J70" s="328">
        <v>13260</v>
      </c>
      <c r="K70" s="329">
        <v>648</v>
      </c>
      <c r="L70" s="328">
        <v>6239</v>
      </c>
      <c r="M70" s="485">
        <v>0</v>
      </c>
      <c r="N70" s="262">
        <v>314</v>
      </c>
      <c r="O70" s="215">
        <v>25</v>
      </c>
      <c r="P70" s="215">
        <v>810</v>
      </c>
      <c r="Q70" s="484">
        <v>220</v>
      </c>
      <c r="R70" s="344">
        <v>0</v>
      </c>
      <c r="S70" s="345">
        <v>0</v>
      </c>
      <c r="T70" s="306">
        <v>165</v>
      </c>
      <c r="U70" s="197">
        <v>2075</v>
      </c>
      <c r="V70" s="197">
        <v>0</v>
      </c>
      <c r="W70" s="197">
        <v>1164</v>
      </c>
      <c r="X70" s="197">
        <v>3049</v>
      </c>
      <c r="Y70" s="197">
        <v>3426</v>
      </c>
      <c r="Z70" s="486">
        <v>814</v>
      </c>
      <c r="AA70" s="262">
        <v>0</v>
      </c>
      <c r="AB70" s="198">
        <v>199</v>
      </c>
      <c r="AC70" s="198">
        <v>25</v>
      </c>
      <c r="AD70" s="215">
        <v>99</v>
      </c>
      <c r="AE70" s="215">
        <v>1</v>
      </c>
      <c r="AF70" s="215">
        <v>26</v>
      </c>
      <c r="AG70" s="215">
        <v>0</v>
      </c>
      <c r="AH70" s="215">
        <v>659</v>
      </c>
      <c r="AI70" s="344">
        <v>47972</v>
      </c>
      <c r="AJ70" s="356">
        <v>44605</v>
      </c>
      <c r="AK70" s="328">
        <v>2300</v>
      </c>
      <c r="AL70" s="483">
        <v>1067</v>
      </c>
    </row>
    <row r="71" spans="1:38" ht="15.75" customHeight="1">
      <c r="A71" s="76" t="s">
        <v>214</v>
      </c>
      <c r="B71" s="328">
        <v>111487</v>
      </c>
      <c r="C71" s="344">
        <v>7728</v>
      </c>
      <c r="D71" s="483">
        <v>43426</v>
      </c>
      <c r="E71" s="373">
        <v>210</v>
      </c>
      <c r="F71" s="373">
        <v>2052</v>
      </c>
      <c r="G71" s="484">
        <v>2395</v>
      </c>
      <c r="H71" s="328">
        <v>60</v>
      </c>
      <c r="I71" s="328">
        <v>7371</v>
      </c>
      <c r="J71" s="328">
        <v>14064</v>
      </c>
      <c r="K71" s="329">
        <v>568</v>
      </c>
      <c r="L71" s="328">
        <v>8311</v>
      </c>
      <c r="M71" s="485">
        <v>0</v>
      </c>
      <c r="N71" s="262">
        <v>460</v>
      </c>
      <c r="O71" s="215">
        <v>45</v>
      </c>
      <c r="P71" s="215">
        <v>1040</v>
      </c>
      <c r="Q71" s="484">
        <v>315</v>
      </c>
      <c r="R71" s="344">
        <v>0</v>
      </c>
      <c r="S71" s="345">
        <v>0</v>
      </c>
      <c r="T71" s="306">
        <v>214</v>
      </c>
      <c r="U71" s="197">
        <v>2393</v>
      </c>
      <c r="V71" s="197">
        <v>4</v>
      </c>
      <c r="W71" s="197">
        <v>958</v>
      </c>
      <c r="X71" s="197">
        <v>3753</v>
      </c>
      <c r="Y71" s="197">
        <v>4414</v>
      </c>
      <c r="Z71" s="486">
        <v>1115</v>
      </c>
      <c r="AA71" s="262">
        <v>0</v>
      </c>
      <c r="AB71" s="198">
        <v>415</v>
      </c>
      <c r="AC71" s="198">
        <v>29</v>
      </c>
      <c r="AD71" s="215">
        <v>163</v>
      </c>
      <c r="AE71" s="215">
        <v>8</v>
      </c>
      <c r="AF71" s="215">
        <v>14</v>
      </c>
      <c r="AG71" s="215">
        <v>0</v>
      </c>
      <c r="AH71" s="215">
        <v>783</v>
      </c>
      <c r="AI71" s="344">
        <v>60333</v>
      </c>
      <c r="AJ71" s="356">
        <v>55982</v>
      </c>
      <c r="AK71" s="328">
        <v>2643</v>
      </c>
      <c r="AL71" s="483">
        <v>1708</v>
      </c>
    </row>
    <row r="72" spans="1:38" ht="15.75" customHeight="1">
      <c r="A72" s="76" t="s">
        <v>213</v>
      </c>
      <c r="B72" s="328">
        <v>74604</v>
      </c>
      <c r="C72" s="344">
        <v>6681</v>
      </c>
      <c r="D72" s="483">
        <v>40886</v>
      </c>
      <c r="E72" s="373">
        <v>104</v>
      </c>
      <c r="F72" s="373">
        <v>1314</v>
      </c>
      <c r="G72" s="484">
        <v>2184</v>
      </c>
      <c r="H72" s="328">
        <v>156</v>
      </c>
      <c r="I72" s="328">
        <v>6181</v>
      </c>
      <c r="J72" s="328">
        <v>15844</v>
      </c>
      <c r="K72" s="329">
        <v>354</v>
      </c>
      <c r="L72" s="328">
        <v>7167</v>
      </c>
      <c r="M72" s="485">
        <v>0</v>
      </c>
      <c r="N72" s="262">
        <v>379</v>
      </c>
      <c r="O72" s="215">
        <v>38</v>
      </c>
      <c r="P72" s="215">
        <v>782</v>
      </c>
      <c r="Q72" s="484">
        <v>224</v>
      </c>
      <c r="R72" s="344">
        <v>0</v>
      </c>
      <c r="S72" s="345">
        <v>0</v>
      </c>
      <c r="T72" s="306">
        <v>274</v>
      </c>
      <c r="U72" s="197">
        <v>2424</v>
      </c>
      <c r="V72" s="197">
        <v>2</v>
      </c>
      <c r="W72" s="197">
        <v>289</v>
      </c>
      <c r="X72" s="197">
        <v>4108</v>
      </c>
      <c r="Y72" s="197">
        <v>3638</v>
      </c>
      <c r="Z72" s="486">
        <v>856</v>
      </c>
      <c r="AA72" s="262">
        <v>0</v>
      </c>
      <c r="AB72" s="198">
        <v>314</v>
      </c>
      <c r="AC72" s="198">
        <v>18</v>
      </c>
      <c r="AD72" s="215">
        <v>212</v>
      </c>
      <c r="AE72" s="215">
        <v>11</v>
      </c>
      <c r="AF72" s="215">
        <v>7</v>
      </c>
      <c r="AG72" s="215">
        <v>3</v>
      </c>
      <c r="AH72" s="215">
        <v>684</v>
      </c>
      <c r="AI72" s="344">
        <v>27037</v>
      </c>
      <c r="AJ72" s="356">
        <v>23223</v>
      </c>
      <c r="AK72" s="328">
        <v>2242</v>
      </c>
      <c r="AL72" s="483">
        <v>1572</v>
      </c>
    </row>
    <row r="73" spans="1:38" ht="15.75" customHeight="1">
      <c r="A73" s="76" t="s">
        <v>212</v>
      </c>
      <c r="B73" s="328">
        <v>50828</v>
      </c>
      <c r="C73" s="344">
        <v>2366</v>
      </c>
      <c r="D73" s="483">
        <v>13193</v>
      </c>
      <c r="E73" s="373">
        <v>80</v>
      </c>
      <c r="F73" s="373">
        <v>606</v>
      </c>
      <c r="G73" s="484">
        <v>697</v>
      </c>
      <c r="H73" s="328">
        <v>35</v>
      </c>
      <c r="I73" s="328">
        <v>1730</v>
      </c>
      <c r="J73" s="328">
        <v>4610</v>
      </c>
      <c r="K73" s="329">
        <v>143</v>
      </c>
      <c r="L73" s="328">
        <v>2466</v>
      </c>
      <c r="M73" s="485">
        <v>0</v>
      </c>
      <c r="N73" s="262">
        <v>122</v>
      </c>
      <c r="O73" s="215">
        <v>13</v>
      </c>
      <c r="P73" s="215">
        <v>323</v>
      </c>
      <c r="Q73" s="484">
        <v>87</v>
      </c>
      <c r="R73" s="344">
        <v>0</v>
      </c>
      <c r="S73" s="345">
        <v>0</v>
      </c>
      <c r="T73" s="306">
        <v>59</v>
      </c>
      <c r="U73" s="197">
        <v>802</v>
      </c>
      <c r="V73" s="197">
        <v>0</v>
      </c>
      <c r="W73" s="197">
        <v>396</v>
      </c>
      <c r="X73" s="197">
        <v>1434</v>
      </c>
      <c r="Y73" s="197">
        <v>1301</v>
      </c>
      <c r="Z73" s="486">
        <v>294</v>
      </c>
      <c r="AA73" s="262">
        <v>0</v>
      </c>
      <c r="AB73" s="198">
        <v>115</v>
      </c>
      <c r="AC73" s="198">
        <v>5</v>
      </c>
      <c r="AD73" s="215">
        <v>20</v>
      </c>
      <c r="AE73" s="215">
        <v>0</v>
      </c>
      <c r="AF73" s="215">
        <v>10</v>
      </c>
      <c r="AG73" s="215">
        <v>0</v>
      </c>
      <c r="AH73" s="215">
        <v>211</v>
      </c>
      <c r="AI73" s="344">
        <v>35269</v>
      </c>
      <c r="AJ73" s="356">
        <v>34138</v>
      </c>
      <c r="AK73" s="328">
        <v>700</v>
      </c>
      <c r="AL73" s="483">
        <v>431</v>
      </c>
    </row>
    <row r="74" spans="1:38" ht="15.75" customHeight="1">
      <c r="A74" s="76" t="s">
        <v>211</v>
      </c>
      <c r="B74" s="328">
        <v>30131</v>
      </c>
      <c r="C74" s="344">
        <v>1525</v>
      </c>
      <c r="D74" s="483">
        <v>8443</v>
      </c>
      <c r="E74" s="373">
        <v>48</v>
      </c>
      <c r="F74" s="373">
        <v>435</v>
      </c>
      <c r="G74" s="484">
        <v>359</v>
      </c>
      <c r="H74" s="328">
        <v>20</v>
      </c>
      <c r="I74" s="328">
        <v>953</v>
      </c>
      <c r="J74" s="328">
        <v>2943</v>
      </c>
      <c r="K74" s="329">
        <v>102</v>
      </c>
      <c r="L74" s="328">
        <v>1661</v>
      </c>
      <c r="M74" s="485">
        <v>0</v>
      </c>
      <c r="N74" s="262">
        <v>97</v>
      </c>
      <c r="O74" s="215">
        <v>7</v>
      </c>
      <c r="P74" s="215">
        <v>292</v>
      </c>
      <c r="Q74" s="484">
        <v>58</v>
      </c>
      <c r="R74" s="344">
        <v>0</v>
      </c>
      <c r="S74" s="345">
        <v>0</v>
      </c>
      <c r="T74" s="306">
        <v>59</v>
      </c>
      <c r="U74" s="197">
        <v>524</v>
      </c>
      <c r="V74" s="197">
        <v>3</v>
      </c>
      <c r="W74" s="197">
        <v>65</v>
      </c>
      <c r="X74" s="197">
        <v>943</v>
      </c>
      <c r="Y74" s="197">
        <v>1063</v>
      </c>
      <c r="Z74" s="486">
        <v>100</v>
      </c>
      <c r="AA74" s="262">
        <v>0</v>
      </c>
      <c r="AB74" s="198">
        <v>45</v>
      </c>
      <c r="AC74" s="198">
        <v>6</v>
      </c>
      <c r="AD74" s="215">
        <v>18</v>
      </c>
      <c r="AE74" s="215">
        <v>0</v>
      </c>
      <c r="AF74" s="215">
        <v>1</v>
      </c>
      <c r="AG74" s="215">
        <v>0</v>
      </c>
      <c r="AH74" s="215">
        <v>166</v>
      </c>
      <c r="AI74" s="344">
        <v>20163</v>
      </c>
      <c r="AJ74" s="356">
        <v>18786</v>
      </c>
      <c r="AK74" s="328">
        <v>680</v>
      </c>
      <c r="AL74" s="483">
        <v>697</v>
      </c>
    </row>
    <row r="75" spans="1:38" ht="15.75" customHeight="1">
      <c r="A75" s="177" t="s">
        <v>201</v>
      </c>
      <c r="B75" s="326">
        <v>933765</v>
      </c>
      <c r="C75" s="342">
        <v>42097</v>
      </c>
      <c r="D75" s="481">
        <v>262247</v>
      </c>
      <c r="E75" s="370">
        <v>997</v>
      </c>
      <c r="F75" s="370">
        <v>9329</v>
      </c>
      <c r="G75" s="479">
        <v>14609</v>
      </c>
      <c r="H75" s="326">
        <v>2257</v>
      </c>
      <c r="I75" s="326">
        <v>41793</v>
      </c>
      <c r="J75" s="326">
        <v>82062</v>
      </c>
      <c r="K75" s="326">
        <v>3239</v>
      </c>
      <c r="L75" s="326">
        <v>43229</v>
      </c>
      <c r="M75" s="196">
        <v>12208</v>
      </c>
      <c r="N75" s="261">
        <v>2403</v>
      </c>
      <c r="O75" s="214">
        <v>237</v>
      </c>
      <c r="P75" s="214">
        <v>5283</v>
      </c>
      <c r="Q75" s="479">
        <v>1670</v>
      </c>
      <c r="R75" s="342">
        <v>901</v>
      </c>
      <c r="S75" s="343">
        <v>499</v>
      </c>
      <c r="T75" s="307">
        <v>1255</v>
      </c>
      <c r="U75" s="196">
        <v>12591</v>
      </c>
      <c r="V75" s="196">
        <v>12</v>
      </c>
      <c r="W75" s="196">
        <v>5040</v>
      </c>
      <c r="X75" s="196">
        <v>22185</v>
      </c>
      <c r="Y75" s="196">
        <v>26157</v>
      </c>
      <c r="Z75" s="204">
        <v>6009</v>
      </c>
      <c r="AA75" s="261">
        <v>3228</v>
      </c>
      <c r="AB75" s="196">
        <v>1775</v>
      </c>
      <c r="AC75" s="196">
        <v>150</v>
      </c>
      <c r="AD75" s="214">
        <v>855</v>
      </c>
      <c r="AE75" s="214">
        <v>47</v>
      </c>
      <c r="AF75" s="214">
        <v>112</v>
      </c>
      <c r="AG75" s="214">
        <v>5</v>
      </c>
      <c r="AH75" s="214">
        <v>4207</v>
      </c>
      <c r="AI75" s="342">
        <v>629421</v>
      </c>
      <c r="AJ75" s="326">
        <v>605061</v>
      </c>
      <c r="AK75" s="326">
        <v>15187</v>
      </c>
      <c r="AL75" s="481">
        <v>9173</v>
      </c>
    </row>
    <row r="76" spans="1:38" ht="15.75" customHeight="1">
      <c r="A76" s="76" t="s">
        <v>210</v>
      </c>
      <c r="B76" s="328">
        <v>651121</v>
      </c>
      <c r="C76" s="344">
        <v>28980</v>
      </c>
      <c r="D76" s="483">
        <v>151647</v>
      </c>
      <c r="E76" s="373">
        <v>870</v>
      </c>
      <c r="F76" s="373">
        <v>7041</v>
      </c>
      <c r="G76" s="484">
        <v>12121</v>
      </c>
      <c r="H76" s="328">
        <v>2273</v>
      </c>
      <c r="I76" s="328">
        <v>26748</v>
      </c>
      <c r="J76" s="328">
        <v>44798</v>
      </c>
      <c r="K76" s="329">
        <v>3192</v>
      </c>
      <c r="L76" s="328">
        <v>26480</v>
      </c>
      <c r="M76" s="485">
        <v>8639</v>
      </c>
      <c r="N76" s="262">
        <v>0</v>
      </c>
      <c r="O76" s="215">
        <v>0</v>
      </c>
      <c r="P76" s="215">
        <v>0</v>
      </c>
      <c r="Q76" s="484">
        <v>0</v>
      </c>
      <c r="R76" s="344">
        <v>971</v>
      </c>
      <c r="S76" s="345">
        <v>558</v>
      </c>
      <c r="T76" s="306">
        <v>920</v>
      </c>
      <c r="U76" s="197">
        <v>7049</v>
      </c>
      <c r="V76" s="197">
        <v>8</v>
      </c>
      <c r="W76" s="197">
        <v>3784</v>
      </c>
      <c r="X76" s="197">
        <v>14840</v>
      </c>
      <c r="Y76" s="197">
        <v>15768</v>
      </c>
      <c r="Z76" s="486">
        <v>2627</v>
      </c>
      <c r="AA76" s="262">
        <v>0</v>
      </c>
      <c r="AB76" s="198">
        <v>0</v>
      </c>
      <c r="AC76" s="198">
        <v>0</v>
      </c>
      <c r="AD76" s="215">
        <v>0</v>
      </c>
      <c r="AE76" s="215">
        <v>0</v>
      </c>
      <c r="AF76" s="215">
        <v>29</v>
      </c>
      <c r="AG76" s="215">
        <v>0</v>
      </c>
      <c r="AH76" s="215">
        <v>1911</v>
      </c>
      <c r="AI76" s="344">
        <v>470494</v>
      </c>
      <c r="AJ76" s="356">
        <v>462835</v>
      </c>
      <c r="AK76" s="370">
        <v>0</v>
      </c>
      <c r="AL76" s="483">
        <v>7659</v>
      </c>
    </row>
    <row r="77" spans="1:38" ht="15.75" customHeight="1">
      <c r="A77" s="76" t="s">
        <v>407</v>
      </c>
      <c r="B77" s="328">
        <v>21279</v>
      </c>
      <c r="C77" s="344">
        <v>1404</v>
      </c>
      <c r="D77" s="483">
        <v>11450</v>
      </c>
      <c r="E77" s="373">
        <v>0</v>
      </c>
      <c r="F77" s="373">
        <v>0</v>
      </c>
      <c r="G77" s="484">
        <v>0</v>
      </c>
      <c r="H77" s="328">
        <v>0</v>
      </c>
      <c r="I77" s="328">
        <v>0</v>
      </c>
      <c r="J77" s="328">
        <v>0</v>
      </c>
      <c r="K77" s="328">
        <v>0</v>
      </c>
      <c r="L77" s="328">
        <v>0</v>
      </c>
      <c r="M77" s="198">
        <v>0</v>
      </c>
      <c r="N77" s="262">
        <v>1404</v>
      </c>
      <c r="O77" s="215">
        <v>222</v>
      </c>
      <c r="P77" s="215">
        <v>3379</v>
      </c>
      <c r="Q77" s="484">
        <v>1012</v>
      </c>
      <c r="R77" s="344">
        <v>0</v>
      </c>
      <c r="S77" s="345">
        <v>0</v>
      </c>
      <c r="T77" s="308">
        <v>0</v>
      </c>
      <c r="U77" s="198">
        <v>0</v>
      </c>
      <c r="V77" s="198">
        <v>0</v>
      </c>
      <c r="W77" s="198">
        <v>0</v>
      </c>
      <c r="X77" s="198">
        <v>0</v>
      </c>
      <c r="Y77" s="198">
        <v>0</v>
      </c>
      <c r="Z77" s="485">
        <v>0</v>
      </c>
      <c r="AA77" s="262">
        <v>4451</v>
      </c>
      <c r="AB77" s="198">
        <v>1607</v>
      </c>
      <c r="AC77" s="198">
        <v>88</v>
      </c>
      <c r="AD77" s="215">
        <v>569</v>
      </c>
      <c r="AE77" s="215">
        <v>66</v>
      </c>
      <c r="AF77" s="215">
        <v>0</v>
      </c>
      <c r="AG77" s="215">
        <v>10</v>
      </c>
      <c r="AH77" s="215">
        <v>46</v>
      </c>
      <c r="AI77" s="344">
        <v>8425</v>
      </c>
      <c r="AJ77" s="356">
        <v>0</v>
      </c>
      <c r="AK77" s="328">
        <v>8425</v>
      </c>
      <c r="AL77" s="483">
        <v>0</v>
      </c>
    </row>
    <row r="78" spans="1:38" ht="15.75" customHeight="1">
      <c r="A78" s="76" t="s">
        <v>209</v>
      </c>
      <c r="B78" s="328">
        <v>98702</v>
      </c>
      <c r="C78" s="344">
        <v>6393</v>
      </c>
      <c r="D78" s="483">
        <v>39072</v>
      </c>
      <c r="E78" s="373">
        <v>122</v>
      </c>
      <c r="F78" s="373">
        <v>1394</v>
      </c>
      <c r="G78" s="484">
        <v>2191</v>
      </c>
      <c r="H78" s="328">
        <v>72</v>
      </c>
      <c r="I78" s="328">
        <v>5864</v>
      </c>
      <c r="J78" s="328">
        <v>12794</v>
      </c>
      <c r="K78" s="329">
        <v>814</v>
      </c>
      <c r="L78" s="328">
        <v>6848</v>
      </c>
      <c r="M78" s="485">
        <v>0</v>
      </c>
      <c r="N78" s="262">
        <v>458</v>
      </c>
      <c r="O78" s="215">
        <v>19</v>
      </c>
      <c r="P78" s="215">
        <v>898</v>
      </c>
      <c r="Q78" s="484">
        <v>276</v>
      </c>
      <c r="R78" s="344">
        <v>0</v>
      </c>
      <c r="S78" s="345">
        <v>0</v>
      </c>
      <c r="T78" s="306">
        <v>181</v>
      </c>
      <c r="U78" s="197">
        <v>2047</v>
      </c>
      <c r="V78" s="197">
        <v>0</v>
      </c>
      <c r="W78" s="197">
        <v>431</v>
      </c>
      <c r="X78" s="197">
        <v>4064</v>
      </c>
      <c r="Y78" s="197">
        <v>4790</v>
      </c>
      <c r="Z78" s="486">
        <v>796</v>
      </c>
      <c r="AA78" s="262">
        <v>0</v>
      </c>
      <c r="AB78" s="198">
        <v>432</v>
      </c>
      <c r="AC78" s="198">
        <v>41</v>
      </c>
      <c r="AD78" s="215">
        <v>181</v>
      </c>
      <c r="AE78" s="215">
        <v>24</v>
      </c>
      <c r="AF78" s="215">
        <v>1</v>
      </c>
      <c r="AG78" s="215">
        <v>1</v>
      </c>
      <c r="AH78" s="215">
        <v>726</v>
      </c>
      <c r="AI78" s="344">
        <v>53237</v>
      </c>
      <c r="AJ78" s="356">
        <v>48861</v>
      </c>
      <c r="AK78" s="328">
        <v>2174</v>
      </c>
      <c r="AL78" s="483">
        <v>2202</v>
      </c>
    </row>
    <row r="79" spans="1:38" ht="15.75" customHeight="1">
      <c r="A79" s="76" t="s">
        <v>208</v>
      </c>
      <c r="B79" s="328">
        <v>21464</v>
      </c>
      <c r="C79" s="344">
        <v>886</v>
      </c>
      <c r="D79" s="483">
        <v>4933</v>
      </c>
      <c r="E79" s="373">
        <v>28</v>
      </c>
      <c r="F79" s="373">
        <v>260</v>
      </c>
      <c r="G79" s="484">
        <v>230</v>
      </c>
      <c r="H79" s="328">
        <v>10</v>
      </c>
      <c r="I79" s="328">
        <v>659</v>
      </c>
      <c r="J79" s="328">
        <v>1625</v>
      </c>
      <c r="K79" s="329">
        <v>78</v>
      </c>
      <c r="L79" s="328">
        <v>947</v>
      </c>
      <c r="M79" s="485">
        <v>0</v>
      </c>
      <c r="N79" s="262">
        <v>54</v>
      </c>
      <c r="O79" s="215">
        <v>0</v>
      </c>
      <c r="P79" s="215">
        <v>163</v>
      </c>
      <c r="Q79" s="484">
        <v>44</v>
      </c>
      <c r="R79" s="344">
        <v>0</v>
      </c>
      <c r="S79" s="345">
        <v>0</v>
      </c>
      <c r="T79" s="306">
        <v>58</v>
      </c>
      <c r="U79" s="197">
        <v>255</v>
      </c>
      <c r="V79" s="197">
        <v>1</v>
      </c>
      <c r="W79" s="197">
        <v>221</v>
      </c>
      <c r="X79" s="197">
        <v>494</v>
      </c>
      <c r="Y79" s="197">
        <v>408</v>
      </c>
      <c r="Z79" s="486">
        <v>85</v>
      </c>
      <c r="AA79" s="262">
        <v>0</v>
      </c>
      <c r="AB79" s="198">
        <v>84</v>
      </c>
      <c r="AC79" s="198">
        <v>2</v>
      </c>
      <c r="AD79" s="215">
        <v>28</v>
      </c>
      <c r="AE79" s="215">
        <v>3</v>
      </c>
      <c r="AF79" s="215">
        <v>0</v>
      </c>
      <c r="AG79" s="215">
        <v>0</v>
      </c>
      <c r="AH79" s="215">
        <v>82</v>
      </c>
      <c r="AI79" s="344">
        <v>15645</v>
      </c>
      <c r="AJ79" s="356">
        <v>15071</v>
      </c>
      <c r="AK79" s="328">
        <v>269</v>
      </c>
      <c r="AL79" s="483">
        <v>305</v>
      </c>
    </row>
    <row r="80" spans="1:38" ht="15.75" customHeight="1">
      <c r="A80" s="76" t="s">
        <v>207</v>
      </c>
      <c r="B80" s="328">
        <v>278126</v>
      </c>
      <c r="C80" s="344">
        <v>10338</v>
      </c>
      <c r="D80" s="483">
        <v>64544</v>
      </c>
      <c r="E80" s="373">
        <v>246</v>
      </c>
      <c r="F80" s="373">
        <v>2557</v>
      </c>
      <c r="G80" s="484">
        <v>3361</v>
      </c>
      <c r="H80" s="328">
        <v>175</v>
      </c>
      <c r="I80" s="328">
        <v>10226</v>
      </c>
      <c r="J80" s="328">
        <v>21298</v>
      </c>
      <c r="K80" s="329">
        <v>828</v>
      </c>
      <c r="L80" s="328">
        <v>11300</v>
      </c>
      <c r="M80" s="485">
        <v>0</v>
      </c>
      <c r="N80" s="262">
        <v>684</v>
      </c>
      <c r="O80" s="215">
        <v>46</v>
      </c>
      <c r="P80" s="215">
        <v>1327</v>
      </c>
      <c r="Q80" s="484">
        <v>396</v>
      </c>
      <c r="R80" s="344">
        <v>0</v>
      </c>
      <c r="S80" s="345">
        <v>0</v>
      </c>
      <c r="T80" s="306">
        <v>372</v>
      </c>
      <c r="U80" s="197">
        <v>3118</v>
      </c>
      <c r="V80" s="197">
        <v>0</v>
      </c>
      <c r="W80" s="197">
        <v>1267</v>
      </c>
      <c r="X80" s="197">
        <v>7717</v>
      </c>
      <c r="Y80" s="197">
        <v>6136</v>
      </c>
      <c r="Z80" s="486">
        <v>1351</v>
      </c>
      <c r="AA80" s="262">
        <v>0</v>
      </c>
      <c r="AB80" s="198">
        <v>767</v>
      </c>
      <c r="AC80" s="198">
        <v>22</v>
      </c>
      <c r="AD80" s="215">
        <v>274</v>
      </c>
      <c r="AE80" s="215">
        <v>10</v>
      </c>
      <c r="AF80" s="215">
        <v>4</v>
      </c>
      <c r="AG80" s="215">
        <v>0</v>
      </c>
      <c r="AH80" s="215">
        <v>1400</v>
      </c>
      <c r="AI80" s="344">
        <v>203244</v>
      </c>
      <c r="AJ80" s="356">
        <v>196230</v>
      </c>
      <c r="AK80" s="328">
        <v>4299</v>
      </c>
      <c r="AL80" s="483">
        <v>2715</v>
      </c>
    </row>
    <row r="81" spans="1:38" ht="15.75" customHeight="1">
      <c r="A81" s="76" t="s">
        <v>206</v>
      </c>
      <c r="B81" s="328">
        <v>48035</v>
      </c>
      <c r="C81" s="344">
        <v>2156</v>
      </c>
      <c r="D81" s="483">
        <v>14164</v>
      </c>
      <c r="E81" s="373">
        <v>68</v>
      </c>
      <c r="F81" s="373">
        <v>660</v>
      </c>
      <c r="G81" s="484">
        <v>538</v>
      </c>
      <c r="H81" s="328">
        <v>20</v>
      </c>
      <c r="I81" s="328">
        <v>2253</v>
      </c>
      <c r="J81" s="328">
        <v>4533</v>
      </c>
      <c r="K81" s="329">
        <v>114</v>
      </c>
      <c r="L81" s="328">
        <v>3199</v>
      </c>
      <c r="M81" s="485">
        <v>0</v>
      </c>
      <c r="N81" s="262">
        <v>137</v>
      </c>
      <c r="O81" s="215">
        <v>7</v>
      </c>
      <c r="P81" s="215">
        <v>344</v>
      </c>
      <c r="Q81" s="484">
        <v>63</v>
      </c>
      <c r="R81" s="344">
        <v>0</v>
      </c>
      <c r="S81" s="345">
        <v>0</v>
      </c>
      <c r="T81" s="306">
        <v>70</v>
      </c>
      <c r="U81" s="197">
        <v>683</v>
      </c>
      <c r="V81" s="197">
        <v>0</v>
      </c>
      <c r="W81" s="197">
        <v>256</v>
      </c>
      <c r="X81" s="197">
        <v>1411</v>
      </c>
      <c r="Y81" s="197">
        <v>1077</v>
      </c>
      <c r="Z81" s="486">
        <v>277</v>
      </c>
      <c r="AA81" s="262">
        <v>0</v>
      </c>
      <c r="AB81" s="198">
        <v>265</v>
      </c>
      <c r="AC81" s="198">
        <v>1</v>
      </c>
      <c r="AD81" s="215">
        <v>82</v>
      </c>
      <c r="AE81" s="215">
        <v>10</v>
      </c>
      <c r="AF81" s="215">
        <v>4</v>
      </c>
      <c r="AG81" s="215">
        <v>0</v>
      </c>
      <c r="AH81" s="215">
        <v>248</v>
      </c>
      <c r="AI81" s="344">
        <v>31715</v>
      </c>
      <c r="AJ81" s="356">
        <v>30262</v>
      </c>
      <c r="AK81" s="328">
        <v>539</v>
      </c>
      <c r="AL81" s="483">
        <v>914</v>
      </c>
    </row>
    <row r="82" spans="1:38" ht="15.75" customHeight="1">
      <c r="A82" s="177" t="s">
        <v>201</v>
      </c>
      <c r="B82" s="326">
        <v>1118727</v>
      </c>
      <c r="C82" s="342">
        <v>50157</v>
      </c>
      <c r="D82" s="481">
        <v>285810</v>
      </c>
      <c r="E82" s="370">
        <v>1334</v>
      </c>
      <c r="F82" s="370">
        <v>11912</v>
      </c>
      <c r="G82" s="479">
        <v>18441</v>
      </c>
      <c r="H82" s="326">
        <v>2550</v>
      </c>
      <c r="I82" s="326">
        <v>45750</v>
      </c>
      <c r="J82" s="326">
        <v>85048</v>
      </c>
      <c r="K82" s="326">
        <v>5026</v>
      </c>
      <c r="L82" s="326">
        <v>48774</v>
      </c>
      <c r="M82" s="196">
        <v>8639</v>
      </c>
      <c r="N82" s="261">
        <v>2737</v>
      </c>
      <c r="O82" s="214">
        <v>294</v>
      </c>
      <c r="P82" s="214">
        <v>6111</v>
      </c>
      <c r="Q82" s="479">
        <v>1791</v>
      </c>
      <c r="R82" s="342">
        <v>971</v>
      </c>
      <c r="S82" s="343">
        <v>558</v>
      </c>
      <c r="T82" s="307">
        <v>1601</v>
      </c>
      <c r="U82" s="196">
        <v>13152</v>
      </c>
      <c r="V82" s="196">
        <v>9</v>
      </c>
      <c r="W82" s="196">
        <v>5959</v>
      </c>
      <c r="X82" s="196">
        <v>28526</v>
      </c>
      <c r="Y82" s="196">
        <v>28179</v>
      </c>
      <c r="Z82" s="204">
        <v>5136</v>
      </c>
      <c r="AA82" s="261">
        <v>4451</v>
      </c>
      <c r="AB82" s="196">
        <v>3155</v>
      </c>
      <c r="AC82" s="196">
        <v>154</v>
      </c>
      <c r="AD82" s="214">
        <v>1134</v>
      </c>
      <c r="AE82" s="214">
        <v>113</v>
      </c>
      <c r="AF82" s="214">
        <v>38</v>
      </c>
      <c r="AG82" s="214">
        <v>11</v>
      </c>
      <c r="AH82" s="214">
        <v>4413</v>
      </c>
      <c r="AI82" s="342">
        <v>782760</v>
      </c>
      <c r="AJ82" s="326">
        <v>753259</v>
      </c>
      <c r="AK82" s="326">
        <v>15706</v>
      </c>
      <c r="AL82" s="481">
        <v>13795</v>
      </c>
    </row>
    <row r="83" spans="1:38" ht="15.75" customHeight="1">
      <c r="A83" s="76" t="s">
        <v>205</v>
      </c>
      <c r="B83" s="328">
        <v>406394</v>
      </c>
      <c r="C83" s="344">
        <v>14795</v>
      </c>
      <c r="D83" s="483">
        <v>86738</v>
      </c>
      <c r="E83" s="373">
        <v>342</v>
      </c>
      <c r="F83" s="373">
        <v>3850</v>
      </c>
      <c r="G83" s="484">
        <v>5654</v>
      </c>
      <c r="H83" s="328">
        <v>1018</v>
      </c>
      <c r="I83" s="328">
        <v>15369</v>
      </c>
      <c r="J83" s="328">
        <v>23931</v>
      </c>
      <c r="K83" s="329">
        <v>1194</v>
      </c>
      <c r="L83" s="328">
        <v>14372</v>
      </c>
      <c r="M83" s="485">
        <v>5735</v>
      </c>
      <c r="N83" s="262">
        <v>724</v>
      </c>
      <c r="O83" s="215">
        <v>86</v>
      </c>
      <c r="P83" s="215">
        <v>1565</v>
      </c>
      <c r="Q83" s="484">
        <v>470</v>
      </c>
      <c r="R83" s="344">
        <v>405</v>
      </c>
      <c r="S83" s="345">
        <v>299</v>
      </c>
      <c r="T83" s="306">
        <v>386</v>
      </c>
      <c r="U83" s="197">
        <v>3432</v>
      </c>
      <c r="V83" s="197">
        <v>2</v>
      </c>
      <c r="W83" s="197">
        <v>1085</v>
      </c>
      <c r="X83" s="197">
        <v>7237</v>
      </c>
      <c r="Y83" s="197">
        <v>8553</v>
      </c>
      <c r="Z83" s="486">
        <v>1631</v>
      </c>
      <c r="AA83" s="262">
        <v>2347</v>
      </c>
      <c r="AB83" s="198">
        <v>461</v>
      </c>
      <c r="AC83" s="198">
        <v>37</v>
      </c>
      <c r="AD83" s="215">
        <v>364</v>
      </c>
      <c r="AE83" s="215">
        <v>10</v>
      </c>
      <c r="AF83" s="215">
        <v>24</v>
      </c>
      <c r="AG83" s="215">
        <v>1</v>
      </c>
      <c r="AH83" s="215">
        <v>949</v>
      </c>
      <c r="AI83" s="344">
        <v>304861</v>
      </c>
      <c r="AJ83" s="356">
        <v>297089</v>
      </c>
      <c r="AK83" s="328">
        <v>4144</v>
      </c>
      <c r="AL83" s="483">
        <v>3628</v>
      </c>
    </row>
    <row r="84" spans="1:38" ht="15.75" customHeight="1">
      <c r="A84" s="76" t="s">
        <v>204</v>
      </c>
      <c r="B84" s="328">
        <v>107275</v>
      </c>
      <c r="C84" s="344">
        <v>6977</v>
      </c>
      <c r="D84" s="483">
        <v>48017</v>
      </c>
      <c r="E84" s="373">
        <v>144</v>
      </c>
      <c r="F84" s="373">
        <v>1602</v>
      </c>
      <c r="G84" s="484">
        <v>2604</v>
      </c>
      <c r="H84" s="328">
        <v>54</v>
      </c>
      <c r="I84" s="328">
        <v>6782</v>
      </c>
      <c r="J84" s="328">
        <v>17504</v>
      </c>
      <c r="K84" s="329">
        <v>561</v>
      </c>
      <c r="L84" s="328">
        <v>8891</v>
      </c>
      <c r="M84" s="485">
        <v>0</v>
      </c>
      <c r="N84" s="262">
        <v>461</v>
      </c>
      <c r="O84" s="215">
        <v>31</v>
      </c>
      <c r="P84" s="215">
        <v>1051</v>
      </c>
      <c r="Q84" s="484">
        <v>303</v>
      </c>
      <c r="R84" s="344">
        <v>0</v>
      </c>
      <c r="S84" s="345">
        <v>1</v>
      </c>
      <c r="T84" s="306">
        <v>210</v>
      </c>
      <c r="U84" s="197">
        <v>1956</v>
      </c>
      <c r="V84" s="197">
        <v>0</v>
      </c>
      <c r="W84" s="197">
        <v>1429</v>
      </c>
      <c r="X84" s="197">
        <v>4489</v>
      </c>
      <c r="Y84" s="197">
        <v>4552</v>
      </c>
      <c r="Z84" s="486">
        <v>802</v>
      </c>
      <c r="AA84" s="262">
        <v>0</v>
      </c>
      <c r="AB84" s="198">
        <v>287</v>
      </c>
      <c r="AC84" s="198">
        <v>7</v>
      </c>
      <c r="AD84" s="215">
        <v>216</v>
      </c>
      <c r="AE84" s="215">
        <v>22</v>
      </c>
      <c r="AF84" s="215">
        <v>0</v>
      </c>
      <c r="AG84" s="215">
        <v>0</v>
      </c>
      <c r="AH84" s="215">
        <v>1035</v>
      </c>
      <c r="AI84" s="344">
        <v>52281</v>
      </c>
      <c r="AJ84" s="356">
        <v>48398</v>
      </c>
      <c r="AK84" s="328">
        <v>2605</v>
      </c>
      <c r="AL84" s="483">
        <v>1278</v>
      </c>
    </row>
    <row r="85" spans="1:38" ht="15.75" customHeight="1">
      <c r="A85" s="76" t="s">
        <v>203</v>
      </c>
      <c r="B85" s="328">
        <v>51132</v>
      </c>
      <c r="C85" s="344">
        <v>2512</v>
      </c>
      <c r="D85" s="483">
        <v>16772</v>
      </c>
      <c r="E85" s="373">
        <v>62</v>
      </c>
      <c r="F85" s="373">
        <v>708</v>
      </c>
      <c r="G85" s="484">
        <v>810</v>
      </c>
      <c r="H85" s="328">
        <v>15</v>
      </c>
      <c r="I85" s="328">
        <v>2278</v>
      </c>
      <c r="J85" s="328">
        <v>5947</v>
      </c>
      <c r="K85" s="329">
        <v>165</v>
      </c>
      <c r="L85" s="328">
        <v>3117</v>
      </c>
      <c r="M85" s="485">
        <v>0</v>
      </c>
      <c r="N85" s="262">
        <v>161</v>
      </c>
      <c r="O85" s="215">
        <v>15</v>
      </c>
      <c r="P85" s="215">
        <v>423</v>
      </c>
      <c r="Q85" s="484">
        <v>70</v>
      </c>
      <c r="R85" s="344">
        <v>0</v>
      </c>
      <c r="S85" s="345">
        <v>0</v>
      </c>
      <c r="T85" s="306">
        <v>95</v>
      </c>
      <c r="U85" s="197">
        <v>668</v>
      </c>
      <c r="V85" s="197">
        <v>8</v>
      </c>
      <c r="W85" s="197">
        <v>222</v>
      </c>
      <c r="X85" s="197">
        <v>2195</v>
      </c>
      <c r="Y85" s="197">
        <v>1480</v>
      </c>
      <c r="Z85" s="486">
        <v>282</v>
      </c>
      <c r="AA85" s="262">
        <v>0</v>
      </c>
      <c r="AB85" s="198">
        <v>142</v>
      </c>
      <c r="AC85" s="198">
        <v>0</v>
      </c>
      <c r="AD85" s="215">
        <v>57</v>
      </c>
      <c r="AE85" s="215">
        <v>2</v>
      </c>
      <c r="AF85" s="215">
        <v>0</v>
      </c>
      <c r="AG85" s="215">
        <v>0</v>
      </c>
      <c r="AH85" s="215">
        <v>362</v>
      </c>
      <c r="AI85" s="344">
        <v>31848</v>
      </c>
      <c r="AJ85" s="356">
        <v>29772</v>
      </c>
      <c r="AK85" s="328">
        <v>1015</v>
      </c>
      <c r="AL85" s="483">
        <v>1061</v>
      </c>
    </row>
    <row r="86" spans="1:38" ht="15.75" customHeight="1">
      <c r="A86" s="76" t="s">
        <v>202</v>
      </c>
      <c r="B86" s="328">
        <v>35588</v>
      </c>
      <c r="C86" s="344">
        <v>1392</v>
      </c>
      <c r="D86" s="483">
        <v>7486</v>
      </c>
      <c r="E86" s="373">
        <v>30</v>
      </c>
      <c r="F86" s="373">
        <v>406</v>
      </c>
      <c r="G86" s="484">
        <v>394</v>
      </c>
      <c r="H86" s="328">
        <v>11</v>
      </c>
      <c r="I86" s="328">
        <v>1029</v>
      </c>
      <c r="J86" s="328">
        <v>2562</v>
      </c>
      <c r="K86" s="329">
        <v>83</v>
      </c>
      <c r="L86" s="328">
        <v>1504</v>
      </c>
      <c r="M86" s="485">
        <v>0</v>
      </c>
      <c r="N86" s="262">
        <v>90</v>
      </c>
      <c r="O86" s="215">
        <v>9</v>
      </c>
      <c r="P86" s="215">
        <v>253</v>
      </c>
      <c r="Q86" s="484">
        <v>61</v>
      </c>
      <c r="R86" s="344">
        <v>0</v>
      </c>
      <c r="S86" s="345">
        <v>0</v>
      </c>
      <c r="T86" s="306">
        <v>94</v>
      </c>
      <c r="U86" s="197">
        <v>378</v>
      </c>
      <c r="V86" s="197">
        <v>0</v>
      </c>
      <c r="W86" s="197">
        <v>91</v>
      </c>
      <c r="X86" s="197">
        <v>758</v>
      </c>
      <c r="Y86" s="197">
        <v>732</v>
      </c>
      <c r="Z86" s="486">
        <v>120</v>
      </c>
      <c r="AA86" s="262">
        <v>0</v>
      </c>
      <c r="AB86" s="198">
        <v>122</v>
      </c>
      <c r="AC86" s="198">
        <v>1</v>
      </c>
      <c r="AD86" s="215">
        <v>42</v>
      </c>
      <c r="AE86" s="215">
        <v>2</v>
      </c>
      <c r="AF86" s="215">
        <v>0</v>
      </c>
      <c r="AG86" s="215">
        <v>0</v>
      </c>
      <c r="AH86" s="215">
        <v>106</v>
      </c>
      <c r="AI86" s="344">
        <v>26710</v>
      </c>
      <c r="AJ86" s="356">
        <v>25563</v>
      </c>
      <c r="AK86" s="328">
        <v>557</v>
      </c>
      <c r="AL86" s="483">
        <v>590</v>
      </c>
    </row>
    <row r="87" spans="1:38" ht="15.75" customHeight="1">
      <c r="A87" s="177" t="s">
        <v>201</v>
      </c>
      <c r="B87" s="326">
        <v>600389</v>
      </c>
      <c r="C87" s="342">
        <v>25676</v>
      </c>
      <c r="D87" s="481">
        <v>159013</v>
      </c>
      <c r="E87" s="370">
        <v>578</v>
      </c>
      <c r="F87" s="370">
        <v>6566</v>
      </c>
      <c r="G87" s="479">
        <v>9462</v>
      </c>
      <c r="H87" s="326">
        <v>1098</v>
      </c>
      <c r="I87" s="326">
        <v>25458</v>
      </c>
      <c r="J87" s="326">
        <v>49944</v>
      </c>
      <c r="K87" s="326">
        <v>2003</v>
      </c>
      <c r="L87" s="326">
        <v>27884</v>
      </c>
      <c r="M87" s="196">
        <v>5735</v>
      </c>
      <c r="N87" s="261">
        <v>1436</v>
      </c>
      <c r="O87" s="214">
        <v>141</v>
      </c>
      <c r="P87" s="214">
        <v>3292</v>
      </c>
      <c r="Q87" s="479">
        <v>904</v>
      </c>
      <c r="R87" s="342">
        <v>405</v>
      </c>
      <c r="S87" s="343">
        <v>300</v>
      </c>
      <c r="T87" s="307">
        <v>785</v>
      </c>
      <c r="U87" s="196">
        <v>6434</v>
      </c>
      <c r="V87" s="196">
        <v>10</v>
      </c>
      <c r="W87" s="196">
        <v>2827</v>
      </c>
      <c r="X87" s="196">
        <v>14679</v>
      </c>
      <c r="Y87" s="196">
        <v>15317</v>
      </c>
      <c r="Z87" s="204">
        <v>2835</v>
      </c>
      <c r="AA87" s="261">
        <v>2347</v>
      </c>
      <c r="AB87" s="196">
        <v>1012</v>
      </c>
      <c r="AC87" s="196">
        <v>45</v>
      </c>
      <c r="AD87" s="214">
        <v>679</v>
      </c>
      <c r="AE87" s="214">
        <v>36</v>
      </c>
      <c r="AF87" s="214">
        <v>24</v>
      </c>
      <c r="AG87" s="214">
        <v>1</v>
      </c>
      <c r="AH87" s="214">
        <v>2452</v>
      </c>
      <c r="AI87" s="342">
        <v>415700</v>
      </c>
      <c r="AJ87" s="326">
        <v>400822</v>
      </c>
      <c r="AK87" s="326">
        <v>8321</v>
      </c>
      <c r="AL87" s="481">
        <v>6557</v>
      </c>
    </row>
    <row r="88" spans="1:38" ht="15.75" customHeight="1">
      <c r="A88" s="77" t="s">
        <v>200</v>
      </c>
      <c r="B88" s="488">
        <v>263759</v>
      </c>
      <c r="C88" s="489">
        <v>12991</v>
      </c>
      <c r="D88" s="490">
        <v>72559</v>
      </c>
      <c r="E88" s="491">
        <v>302</v>
      </c>
      <c r="F88" s="491">
        <v>2910</v>
      </c>
      <c r="G88" s="492">
        <v>4304</v>
      </c>
      <c r="H88" s="493">
        <v>139</v>
      </c>
      <c r="I88" s="493">
        <v>9503</v>
      </c>
      <c r="J88" s="493">
        <v>20073</v>
      </c>
      <c r="K88" s="494">
        <v>1584</v>
      </c>
      <c r="L88" s="493">
        <v>11726</v>
      </c>
      <c r="M88" s="495">
        <v>2459</v>
      </c>
      <c r="N88" s="496">
        <v>669</v>
      </c>
      <c r="O88" s="497">
        <v>58</v>
      </c>
      <c r="P88" s="497">
        <v>1422</v>
      </c>
      <c r="Q88" s="492">
        <v>417</v>
      </c>
      <c r="R88" s="489">
        <v>180</v>
      </c>
      <c r="S88" s="498">
        <v>120</v>
      </c>
      <c r="T88" s="309">
        <v>1059</v>
      </c>
      <c r="U88" s="499">
        <v>3561</v>
      </c>
      <c r="V88" s="499">
        <v>6</v>
      </c>
      <c r="W88" s="499">
        <v>1953</v>
      </c>
      <c r="X88" s="499">
        <v>8409</v>
      </c>
      <c r="Y88" s="499">
        <v>9425</v>
      </c>
      <c r="Z88" s="500">
        <v>1975</v>
      </c>
      <c r="AA88" s="496">
        <v>771</v>
      </c>
      <c r="AB88" s="501">
        <v>1163</v>
      </c>
      <c r="AC88" s="501">
        <v>42</v>
      </c>
      <c r="AD88" s="497">
        <v>374</v>
      </c>
      <c r="AE88" s="497">
        <v>25</v>
      </c>
      <c r="AF88" s="497">
        <v>4</v>
      </c>
      <c r="AG88" s="497">
        <v>1</v>
      </c>
      <c r="AH88" s="497">
        <v>916</v>
      </c>
      <c r="AI88" s="489">
        <v>178209</v>
      </c>
      <c r="AJ88" s="502">
        <v>172420</v>
      </c>
      <c r="AK88" s="493">
        <v>3726</v>
      </c>
      <c r="AL88" s="490">
        <v>2063</v>
      </c>
    </row>
    <row r="89" spans="1:38" ht="15.75" customHeight="1">
      <c r="A89" s="106" t="s">
        <v>199</v>
      </c>
      <c r="B89" s="380"/>
      <c r="C89" s="380"/>
      <c r="D89" s="380"/>
      <c r="E89" s="380"/>
      <c r="F89" s="380"/>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100"/>
      <c r="AL89" s="99"/>
    </row>
    <row r="90" spans="1:38" ht="16.5" customHeight="1"/>
    <row r="91" spans="1:38" ht="16.5" hidden="1" customHeight="1">
      <c r="A91" s="95" t="s">
        <v>107</v>
      </c>
      <c r="B91" s="557" t="s">
        <v>198</v>
      </c>
      <c r="C91" s="557" t="s">
        <v>190</v>
      </c>
      <c r="D91" s="557"/>
      <c r="E91" s="557" t="s">
        <v>197</v>
      </c>
      <c r="F91" s="557"/>
      <c r="G91" s="557"/>
      <c r="H91" s="557"/>
      <c r="I91" s="557"/>
      <c r="J91" s="557"/>
      <c r="K91" s="557"/>
      <c r="L91" s="557"/>
      <c r="M91" s="557"/>
      <c r="N91" s="557" t="s">
        <v>125</v>
      </c>
      <c r="O91" s="557"/>
      <c r="P91" s="557"/>
      <c r="Q91" s="557"/>
      <c r="R91" s="568" t="s">
        <v>196</v>
      </c>
      <c r="S91" s="569"/>
      <c r="T91" s="557" t="s">
        <v>195</v>
      </c>
      <c r="U91" s="557"/>
      <c r="V91" s="557"/>
      <c r="W91" s="557"/>
      <c r="X91" s="557"/>
      <c r="Y91" s="557"/>
      <c r="Z91" s="557"/>
      <c r="AA91" s="557" t="s">
        <v>106</v>
      </c>
      <c r="AB91" s="557" t="s">
        <v>133</v>
      </c>
      <c r="AC91" s="572" t="s">
        <v>194</v>
      </c>
      <c r="AD91" s="572" t="s">
        <v>103</v>
      </c>
      <c r="AE91" s="572" t="s">
        <v>193</v>
      </c>
      <c r="AF91" s="572" t="s">
        <v>101</v>
      </c>
      <c r="AG91" s="572" t="s">
        <v>192</v>
      </c>
      <c r="AH91" s="573" t="s">
        <v>191</v>
      </c>
      <c r="AI91" s="557" t="s">
        <v>190</v>
      </c>
      <c r="AJ91" s="557" t="s">
        <v>174</v>
      </c>
      <c r="AK91" s="557" t="s">
        <v>189</v>
      </c>
      <c r="AL91" s="570" t="s">
        <v>188</v>
      </c>
    </row>
    <row r="92" spans="1:38" ht="22.5" hidden="1" customHeight="1">
      <c r="A92" s="96" t="s">
        <v>99</v>
      </c>
      <c r="B92" s="559"/>
      <c r="C92" s="142" t="s">
        <v>98</v>
      </c>
      <c r="D92" s="97" t="s">
        <v>187</v>
      </c>
      <c r="E92" s="142" t="s">
        <v>180</v>
      </c>
      <c r="F92" s="142" t="s">
        <v>179</v>
      </c>
      <c r="G92" s="142" t="s">
        <v>186</v>
      </c>
      <c r="H92" s="142" t="s">
        <v>182</v>
      </c>
      <c r="I92" s="142" t="s">
        <v>185</v>
      </c>
      <c r="J92" s="142" t="s">
        <v>184</v>
      </c>
      <c r="K92" s="142" t="s">
        <v>181</v>
      </c>
      <c r="L92" s="142" t="s">
        <v>175</v>
      </c>
      <c r="M92" s="142" t="s">
        <v>183</v>
      </c>
      <c r="N92" s="142" t="s">
        <v>98</v>
      </c>
      <c r="O92" s="142" t="s">
        <v>182</v>
      </c>
      <c r="P92" s="142" t="s">
        <v>181</v>
      </c>
      <c r="Q92" s="142" t="s">
        <v>175</v>
      </c>
      <c r="R92" s="180" t="s">
        <v>98</v>
      </c>
      <c r="S92" s="180" t="s">
        <v>97</v>
      </c>
      <c r="T92" s="142" t="s">
        <v>180</v>
      </c>
      <c r="U92" s="142" t="s">
        <v>179</v>
      </c>
      <c r="V92" s="142" t="s">
        <v>119</v>
      </c>
      <c r="W92" s="142" t="s">
        <v>178</v>
      </c>
      <c r="X92" s="142" t="s">
        <v>177</v>
      </c>
      <c r="Y92" s="193" t="s">
        <v>176</v>
      </c>
      <c r="Z92" s="142" t="s">
        <v>175</v>
      </c>
      <c r="AA92" s="559"/>
      <c r="AB92" s="559"/>
      <c r="AC92" s="567"/>
      <c r="AD92" s="567"/>
      <c r="AE92" s="567"/>
      <c r="AF92" s="558"/>
      <c r="AG92" s="567"/>
      <c r="AH92" s="559"/>
      <c r="AI92" s="559"/>
      <c r="AJ92" s="559"/>
      <c r="AK92" s="559"/>
      <c r="AL92" s="571"/>
    </row>
    <row r="93" spans="1:38" ht="16.5" hidden="1" customHeight="1">
      <c r="A93" s="108" t="s">
        <v>173</v>
      </c>
      <c r="B93" s="108">
        <v>15762614</v>
      </c>
      <c r="C93" s="108">
        <v>1028051</v>
      </c>
      <c r="D93" s="108">
        <v>4878023</v>
      </c>
      <c r="E93" s="108"/>
      <c r="F93" s="108"/>
      <c r="G93" s="108"/>
      <c r="H93" s="108"/>
      <c r="I93" s="108"/>
      <c r="J93" s="108"/>
      <c r="K93" s="108"/>
      <c r="L93" s="108"/>
      <c r="M93" s="108"/>
      <c r="N93" s="108"/>
      <c r="O93" s="108"/>
      <c r="P93" s="108"/>
      <c r="Q93" s="108"/>
      <c r="R93" s="108"/>
      <c r="S93" s="108"/>
      <c r="T93" s="108"/>
      <c r="U93" s="108"/>
      <c r="V93" s="108"/>
      <c r="W93" s="108"/>
      <c r="X93" s="108"/>
      <c r="Y93" s="201"/>
      <c r="Z93" s="108"/>
      <c r="AA93" s="108"/>
      <c r="AB93" s="108"/>
      <c r="AC93" s="108"/>
      <c r="AD93" s="108"/>
      <c r="AE93" s="108"/>
      <c r="AF93" s="108"/>
      <c r="AG93" s="108"/>
      <c r="AH93" s="108"/>
      <c r="AI93" s="108">
        <v>9856540</v>
      </c>
      <c r="AJ93" s="108"/>
      <c r="AK93" s="108"/>
      <c r="AL93" s="108"/>
    </row>
    <row r="94" spans="1:38" ht="16.5" hidden="1" customHeight="1">
      <c r="A94" s="108" t="s">
        <v>172</v>
      </c>
      <c r="B94" s="108">
        <v>1407326</v>
      </c>
      <c r="C94" s="108">
        <v>236071</v>
      </c>
      <c r="D94" s="108">
        <v>621821</v>
      </c>
      <c r="E94" s="108"/>
      <c r="F94" s="108"/>
      <c r="G94" s="108"/>
      <c r="H94" s="108"/>
      <c r="I94" s="108"/>
      <c r="J94" s="108"/>
      <c r="K94" s="108"/>
      <c r="L94" s="108"/>
      <c r="M94" s="108"/>
      <c r="N94" s="108"/>
      <c r="O94" s="108"/>
      <c r="P94" s="108"/>
      <c r="Q94" s="108"/>
      <c r="R94" s="108"/>
      <c r="S94" s="108"/>
      <c r="T94" s="108"/>
      <c r="U94" s="108"/>
      <c r="V94" s="108"/>
      <c r="W94" s="108"/>
      <c r="X94" s="108"/>
      <c r="Y94" s="201"/>
      <c r="Z94" s="108"/>
      <c r="AA94" s="108"/>
      <c r="AB94" s="108"/>
      <c r="AC94" s="108"/>
      <c r="AD94" s="108"/>
      <c r="AE94" s="108"/>
      <c r="AF94" s="108"/>
      <c r="AG94" s="108"/>
      <c r="AH94" s="108"/>
      <c r="AI94" s="108">
        <v>549434</v>
      </c>
      <c r="AJ94" s="108"/>
      <c r="AK94" s="108"/>
      <c r="AL94" s="108"/>
    </row>
    <row r="95" spans="1:38" ht="16.5" hidden="1" customHeight="1">
      <c r="A95" s="108" t="s">
        <v>171</v>
      </c>
      <c r="B95" s="108">
        <v>364910</v>
      </c>
      <c r="C95" s="108">
        <v>42063</v>
      </c>
      <c r="D95" s="108">
        <v>141495</v>
      </c>
      <c r="E95" s="108"/>
      <c r="F95" s="108"/>
      <c r="G95" s="108"/>
      <c r="H95" s="108"/>
      <c r="I95" s="108"/>
      <c r="J95" s="108"/>
      <c r="K95" s="108"/>
      <c r="L95" s="108"/>
      <c r="M95" s="108"/>
      <c r="N95" s="108"/>
      <c r="O95" s="108"/>
      <c r="P95" s="108"/>
      <c r="Q95" s="108"/>
      <c r="R95" s="108"/>
      <c r="S95" s="108"/>
      <c r="T95" s="108"/>
      <c r="U95" s="108"/>
      <c r="V95" s="108"/>
      <c r="W95" s="108"/>
      <c r="X95" s="108"/>
      <c r="Y95" s="201"/>
      <c r="Z95" s="108"/>
      <c r="AA95" s="108"/>
      <c r="AB95" s="108"/>
      <c r="AC95" s="108"/>
      <c r="AD95" s="108"/>
      <c r="AE95" s="108"/>
      <c r="AF95" s="108"/>
      <c r="AG95" s="108"/>
      <c r="AH95" s="108"/>
      <c r="AI95" s="108">
        <v>181352</v>
      </c>
      <c r="AJ95" s="108"/>
      <c r="AK95" s="108"/>
      <c r="AL95" s="108"/>
    </row>
    <row r="96" spans="1:38" ht="16.5" hidden="1" customHeight="1">
      <c r="A96" s="108" t="s">
        <v>170</v>
      </c>
      <c r="B96" s="108">
        <v>550984</v>
      </c>
      <c r="C96" s="108">
        <v>64991</v>
      </c>
      <c r="D96" s="108">
        <v>204513</v>
      </c>
      <c r="E96" s="108"/>
      <c r="F96" s="108"/>
      <c r="G96" s="108"/>
      <c r="H96" s="108"/>
      <c r="I96" s="108"/>
      <c r="J96" s="108"/>
      <c r="K96" s="108"/>
      <c r="L96" s="108"/>
      <c r="M96" s="108"/>
      <c r="N96" s="108"/>
      <c r="O96" s="108"/>
      <c r="P96" s="108"/>
      <c r="Q96" s="108"/>
      <c r="R96" s="108"/>
      <c r="S96" s="108"/>
      <c r="T96" s="108"/>
      <c r="U96" s="108"/>
      <c r="V96" s="108"/>
      <c r="W96" s="108"/>
      <c r="X96" s="108"/>
      <c r="Y96" s="201"/>
      <c r="Z96" s="108"/>
      <c r="AA96" s="108"/>
      <c r="AB96" s="108"/>
      <c r="AC96" s="108"/>
      <c r="AD96" s="108"/>
      <c r="AE96" s="108"/>
      <c r="AF96" s="108"/>
      <c r="AG96" s="108"/>
      <c r="AH96" s="108"/>
      <c r="AI96" s="108">
        <v>281480</v>
      </c>
      <c r="AJ96" s="108"/>
      <c r="AK96" s="108"/>
      <c r="AL96" s="108"/>
    </row>
    <row r="97" spans="1:38" ht="16.5" hidden="1" customHeight="1">
      <c r="A97" s="108" t="s">
        <v>169</v>
      </c>
      <c r="B97" s="108">
        <v>391525</v>
      </c>
      <c r="C97" s="108">
        <v>30368</v>
      </c>
      <c r="D97" s="108">
        <v>147796</v>
      </c>
      <c r="E97" s="108"/>
      <c r="F97" s="108"/>
      <c r="G97" s="108"/>
      <c r="H97" s="108"/>
      <c r="I97" s="108"/>
      <c r="J97" s="108"/>
      <c r="K97" s="108"/>
      <c r="L97" s="108"/>
      <c r="M97" s="108"/>
      <c r="N97" s="108"/>
      <c r="O97" s="108"/>
      <c r="P97" s="108"/>
      <c r="Q97" s="108"/>
      <c r="R97" s="108"/>
      <c r="S97" s="108"/>
      <c r="T97" s="108"/>
      <c r="U97" s="108"/>
      <c r="V97" s="108"/>
      <c r="W97" s="108"/>
      <c r="X97" s="108"/>
      <c r="Y97" s="201"/>
      <c r="Z97" s="108"/>
      <c r="AA97" s="108"/>
      <c r="AB97" s="108"/>
      <c r="AC97" s="108"/>
      <c r="AD97" s="108"/>
      <c r="AE97" s="108"/>
      <c r="AF97" s="108"/>
      <c r="AG97" s="108"/>
      <c r="AH97" s="108"/>
      <c r="AI97" s="108">
        <v>213361</v>
      </c>
      <c r="AJ97" s="108"/>
      <c r="AK97" s="108"/>
      <c r="AL97" s="108"/>
    </row>
    <row r="98" spans="1:38" ht="16.5" hidden="1" customHeight="1">
      <c r="A98" s="108" t="s">
        <v>168</v>
      </c>
      <c r="B98" s="108">
        <v>339126</v>
      </c>
      <c r="C98" s="108">
        <v>29736</v>
      </c>
      <c r="D98" s="108">
        <v>134830</v>
      </c>
      <c r="E98" s="108"/>
      <c r="F98" s="108"/>
      <c r="G98" s="108"/>
      <c r="H98" s="108"/>
      <c r="I98" s="108"/>
      <c r="J98" s="108"/>
      <c r="K98" s="108"/>
      <c r="L98" s="108"/>
      <c r="M98" s="108"/>
      <c r="N98" s="108"/>
      <c r="O98" s="108"/>
      <c r="P98" s="108"/>
      <c r="Q98" s="108"/>
      <c r="R98" s="108"/>
      <c r="S98" s="108"/>
      <c r="T98" s="108"/>
      <c r="U98" s="108"/>
      <c r="V98" s="108"/>
      <c r="W98" s="108"/>
      <c r="X98" s="108"/>
      <c r="Y98" s="201"/>
      <c r="Z98" s="108"/>
      <c r="AA98" s="108"/>
      <c r="AB98" s="108"/>
      <c r="AC98" s="108"/>
      <c r="AD98" s="108"/>
      <c r="AE98" s="108"/>
      <c r="AF98" s="108"/>
      <c r="AG98" s="108"/>
      <c r="AH98" s="108"/>
      <c r="AI98" s="108">
        <v>174560</v>
      </c>
      <c r="AJ98" s="108"/>
      <c r="AK98" s="108"/>
      <c r="AL98" s="108"/>
    </row>
    <row r="99" spans="1:38" ht="16.5" hidden="1" customHeight="1">
      <c r="A99" s="108" t="s">
        <v>167</v>
      </c>
      <c r="B99" s="108">
        <v>1065086</v>
      </c>
      <c r="C99" s="108">
        <v>48129</v>
      </c>
      <c r="D99" s="108">
        <v>292647</v>
      </c>
      <c r="E99" s="108"/>
      <c r="F99" s="108"/>
      <c r="G99" s="108"/>
      <c r="H99" s="108"/>
      <c r="I99" s="108"/>
      <c r="J99" s="108"/>
      <c r="K99" s="108"/>
      <c r="L99" s="108"/>
      <c r="M99" s="108"/>
      <c r="N99" s="108"/>
      <c r="O99" s="108"/>
      <c r="P99" s="108"/>
      <c r="Q99" s="108"/>
      <c r="R99" s="108"/>
      <c r="S99" s="108"/>
      <c r="T99" s="108"/>
      <c r="U99" s="108"/>
      <c r="V99" s="108"/>
      <c r="W99" s="108"/>
      <c r="X99" s="108"/>
      <c r="Y99" s="201"/>
      <c r="Z99" s="108"/>
      <c r="AA99" s="108"/>
      <c r="AB99" s="108"/>
      <c r="AC99" s="108"/>
      <c r="AD99" s="108"/>
      <c r="AE99" s="108"/>
      <c r="AF99" s="108"/>
      <c r="AG99" s="108"/>
      <c r="AH99" s="108"/>
      <c r="AI99" s="108">
        <v>724310</v>
      </c>
      <c r="AJ99" s="108"/>
      <c r="AK99" s="108"/>
      <c r="AL99" s="108"/>
    </row>
    <row r="100" spans="1:38" ht="16.5" hidden="1" customHeight="1">
      <c r="A100" s="108" t="s">
        <v>166</v>
      </c>
      <c r="B100" s="108">
        <v>1279533</v>
      </c>
      <c r="C100" s="108">
        <v>70191</v>
      </c>
      <c r="D100" s="108">
        <v>404099</v>
      </c>
      <c r="E100" s="108"/>
      <c r="F100" s="108"/>
      <c r="G100" s="108"/>
      <c r="H100" s="108"/>
      <c r="I100" s="108"/>
      <c r="J100" s="108"/>
      <c r="K100" s="108"/>
      <c r="L100" s="108"/>
      <c r="M100" s="108"/>
      <c r="N100" s="108"/>
      <c r="O100" s="108"/>
      <c r="P100" s="108"/>
      <c r="Q100" s="108"/>
      <c r="R100" s="108"/>
      <c r="S100" s="108"/>
      <c r="T100" s="108"/>
      <c r="U100" s="108"/>
      <c r="V100" s="108"/>
      <c r="W100" s="108"/>
      <c r="X100" s="108"/>
      <c r="Y100" s="201"/>
      <c r="Z100" s="108"/>
      <c r="AA100" s="108"/>
      <c r="AB100" s="108"/>
      <c r="AC100" s="108"/>
      <c r="AD100" s="108"/>
      <c r="AE100" s="108"/>
      <c r="AF100" s="108"/>
      <c r="AG100" s="108"/>
      <c r="AH100" s="108"/>
      <c r="AI100" s="108">
        <v>805243</v>
      </c>
      <c r="AJ100" s="108"/>
      <c r="AK100" s="108"/>
      <c r="AL100" s="108"/>
    </row>
    <row r="101" spans="1:38" ht="16.5" hidden="1" customHeight="1">
      <c r="A101" s="108" t="s">
        <v>165</v>
      </c>
      <c r="B101" s="108">
        <v>2491569</v>
      </c>
      <c r="C101" s="108">
        <v>124054</v>
      </c>
      <c r="D101" s="108">
        <v>679117</v>
      </c>
      <c r="E101" s="108"/>
      <c r="F101" s="108"/>
      <c r="G101" s="108"/>
      <c r="H101" s="108"/>
      <c r="I101" s="108"/>
      <c r="J101" s="108"/>
      <c r="K101" s="108"/>
      <c r="L101" s="108"/>
      <c r="M101" s="108"/>
      <c r="N101" s="108"/>
      <c r="O101" s="108"/>
      <c r="P101" s="108"/>
      <c r="Q101" s="108"/>
      <c r="R101" s="108"/>
      <c r="S101" s="108"/>
      <c r="T101" s="108"/>
      <c r="U101" s="108"/>
      <c r="V101" s="108"/>
      <c r="W101" s="108"/>
      <c r="X101" s="108"/>
      <c r="Y101" s="201"/>
      <c r="Z101" s="108"/>
      <c r="AA101" s="108"/>
      <c r="AB101" s="108"/>
      <c r="AC101" s="108"/>
      <c r="AD101" s="108"/>
      <c r="AE101" s="108"/>
      <c r="AF101" s="108"/>
      <c r="AG101" s="108"/>
      <c r="AH101" s="108"/>
      <c r="AI101" s="108">
        <v>1688398</v>
      </c>
      <c r="AJ101" s="108"/>
      <c r="AK101" s="108"/>
      <c r="AL101" s="108"/>
    </row>
    <row r="102" spans="1:38" ht="16.5" hidden="1" customHeight="1">
      <c r="A102" s="108" t="s">
        <v>164</v>
      </c>
      <c r="B102" s="108">
        <v>537293</v>
      </c>
      <c r="C102" s="108">
        <v>20486</v>
      </c>
      <c r="D102" s="108">
        <v>123318</v>
      </c>
      <c r="E102" s="108"/>
      <c r="F102" s="108"/>
      <c r="G102" s="108"/>
      <c r="H102" s="108"/>
      <c r="I102" s="108"/>
      <c r="J102" s="108"/>
      <c r="K102" s="108"/>
      <c r="L102" s="108"/>
      <c r="M102" s="108"/>
      <c r="N102" s="108"/>
      <c r="O102" s="108"/>
      <c r="P102" s="108"/>
      <c r="Q102" s="108"/>
      <c r="R102" s="108"/>
      <c r="S102" s="108"/>
      <c r="T102" s="108"/>
      <c r="U102" s="108"/>
      <c r="V102" s="108"/>
      <c r="W102" s="108"/>
      <c r="X102" s="108"/>
      <c r="Y102" s="201"/>
      <c r="Z102" s="108"/>
      <c r="AA102" s="108"/>
      <c r="AB102" s="108"/>
      <c r="AC102" s="108"/>
      <c r="AD102" s="108"/>
      <c r="AE102" s="108"/>
      <c r="AF102" s="108"/>
      <c r="AG102" s="108"/>
      <c r="AH102" s="108"/>
      <c r="AI102" s="108">
        <v>393489</v>
      </c>
      <c r="AJ102" s="108"/>
      <c r="AK102" s="108"/>
      <c r="AL102" s="108"/>
    </row>
    <row r="103" spans="1:38" ht="16.5" hidden="1" customHeight="1">
      <c r="A103" s="108" t="s">
        <v>163</v>
      </c>
      <c r="B103" s="108">
        <v>1250516</v>
      </c>
      <c r="C103" s="108">
        <v>56358</v>
      </c>
      <c r="D103" s="108">
        <v>342509</v>
      </c>
      <c r="E103" s="108"/>
      <c r="F103" s="108"/>
      <c r="G103" s="108"/>
      <c r="H103" s="108"/>
      <c r="I103" s="108"/>
      <c r="J103" s="108"/>
      <c r="K103" s="108"/>
      <c r="L103" s="108"/>
      <c r="M103" s="108"/>
      <c r="N103" s="108"/>
      <c r="O103" s="108"/>
      <c r="P103" s="108"/>
      <c r="Q103" s="108"/>
      <c r="R103" s="108"/>
      <c r="S103" s="108"/>
      <c r="T103" s="108"/>
      <c r="U103" s="108"/>
      <c r="V103" s="108"/>
      <c r="W103" s="108"/>
      <c r="X103" s="108"/>
      <c r="Y103" s="201"/>
      <c r="Z103" s="108"/>
      <c r="AA103" s="108"/>
      <c r="AB103" s="108"/>
      <c r="AC103" s="108"/>
      <c r="AD103" s="108"/>
      <c r="AE103" s="108"/>
      <c r="AF103" s="108"/>
      <c r="AG103" s="108"/>
      <c r="AH103" s="108"/>
      <c r="AI103" s="108">
        <v>851649</v>
      </c>
      <c r="AJ103" s="108"/>
      <c r="AK103" s="108"/>
      <c r="AL103" s="108"/>
    </row>
    <row r="104" spans="1:38" ht="16.5" hidden="1" customHeight="1">
      <c r="A104" s="108" t="s">
        <v>162</v>
      </c>
      <c r="B104" s="108">
        <v>537984</v>
      </c>
      <c r="C104" s="108">
        <v>21075</v>
      </c>
      <c r="D104" s="108">
        <v>133589</v>
      </c>
      <c r="E104" s="108"/>
      <c r="F104" s="108"/>
      <c r="G104" s="108"/>
      <c r="H104" s="108"/>
      <c r="I104" s="108"/>
      <c r="J104" s="108"/>
      <c r="K104" s="108"/>
      <c r="L104" s="108"/>
      <c r="M104" s="108"/>
      <c r="N104" s="108"/>
      <c r="O104" s="108"/>
      <c r="P104" s="108"/>
      <c r="Q104" s="108"/>
      <c r="R104" s="108"/>
      <c r="S104" s="108"/>
      <c r="T104" s="108"/>
      <c r="U104" s="108"/>
      <c r="V104" s="108"/>
      <c r="W104" s="108"/>
      <c r="X104" s="108"/>
      <c r="Y104" s="201"/>
      <c r="Z104" s="108"/>
      <c r="AA104" s="108"/>
      <c r="AB104" s="108"/>
      <c r="AC104" s="108"/>
      <c r="AD104" s="108"/>
      <c r="AE104" s="108"/>
      <c r="AF104" s="108"/>
      <c r="AG104" s="108"/>
      <c r="AH104" s="108"/>
      <c r="AI104" s="108">
        <v>383320</v>
      </c>
      <c r="AJ104" s="108"/>
      <c r="AK104" s="108"/>
      <c r="AL104" s="108"/>
    </row>
    <row r="105" spans="1:38" ht="16.5" hidden="1" customHeight="1">
      <c r="A105" s="108" t="s">
        <v>161</v>
      </c>
      <c r="B105" s="108">
        <v>1385542</v>
      </c>
      <c r="C105" s="108">
        <v>70981</v>
      </c>
      <c r="D105" s="108">
        <v>402313</v>
      </c>
      <c r="E105" s="108"/>
      <c r="F105" s="108"/>
      <c r="G105" s="108"/>
      <c r="H105" s="108"/>
      <c r="I105" s="108"/>
      <c r="J105" s="108"/>
      <c r="K105" s="108"/>
      <c r="L105" s="108"/>
      <c r="M105" s="108"/>
      <c r="N105" s="108"/>
      <c r="O105" s="108"/>
      <c r="P105" s="108"/>
      <c r="Q105" s="108"/>
      <c r="R105" s="108"/>
      <c r="S105" s="108"/>
      <c r="T105" s="108"/>
      <c r="U105" s="108"/>
      <c r="V105" s="108"/>
      <c r="W105" s="108"/>
      <c r="X105" s="108"/>
      <c r="Y105" s="201"/>
      <c r="Z105" s="108"/>
      <c r="AA105" s="108"/>
      <c r="AB105" s="108"/>
      <c r="AC105" s="108"/>
      <c r="AD105" s="108"/>
      <c r="AE105" s="108"/>
      <c r="AF105" s="108"/>
      <c r="AG105" s="108"/>
      <c r="AH105" s="108"/>
      <c r="AI105" s="108">
        <v>912248</v>
      </c>
      <c r="AJ105" s="108"/>
      <c r="AK105" s="108"/>
      <c r="AL105" s="108"/>
    </row>
    <row r="106" spans="1:38" ht="16.5" hidden="1" customHeight="1">
      <c r="A106" s="108" t="s">
        <v>160</v>
      </c>
      <c r="B106" s="108">
        <v>878256</v>
      </c>
      <c r="C106" s="108">
        <v>61627</v>
      </c>
      <c r="D106" s="108">
        <v>343794</v>
      </c>
      <c r="E106" s="108"/>
      <c r="F106" s="108"/>
      <c r="G106" s="108"/>
      <c r="H106" s="108"/>
      <c r="I106" s="108"/>
      <c r="J106" s="108"/>
      <c r="K106" s="108"/>
      <c r="L106" s="108"/>
      <c r="M106" s="108"/>
      <c r="N106" s="108"/>
      <c r="O106" s="108"/>
      <c r="P106" s="108"/>
      <c r="Q106" s="108"/>
      <c r="R106" s="108"/>
      <c r="S106" s="108"/>
      <c r="T106" s="108"/>
      <c r="U106" s="108"/>
      <c r="V106" s="108"/>
      <c r="W106" s="108"/>
      <c r="X106" s="108"/>
      <c r="Y106" s="201"/>
      <c r="Z106" s="108"/>
      <c r="AA106" s="108"/>
      <c r="AB106" s="108"/>
      <c r="AC106" s="108"/>
      <c r="AD106" s="108"/>
      <c r="AE106" s="108"/>
      <c r="AF106" s="108"/>
      <c r="AG106" s="108"/>
      <c r="AH106" s="108"/>
      <c r="AI106" s="108">
        <v>472835</v>
      </c>
      <c r="AJ106" s="108"/>
      <c r="AK106" s="108"/>
      <c r="AL106" s="108"/>
    </row>
    <row r="107" spans="1:38" ht="16.5" hidden="1" customHeight="1">
      <c r="A107" s="108" t="s">
        <v>159</v>
      </c>
      <c r="B107" s="108">
        <v>366324</v>
      </c>
      <c r="C107" s="108">
        <v>21000</v>
      </c>
      <c r="D107" s="108">
        <v>126553</v>
      </c>
      <c r="E107" s="108"/>
      <c r="F107" s="108"/>
      <c r="G107" s="108"/>
      <c r="H107" s="108"/>
      <c r="I107" s="108"/>
      <c r="J107" s="108"/>
      <c r="K107" s="108"/>
      <c r="L107" s="108"/>
      <c r="M107" s="108"/>
      <c r="N107" s="108"/>
      <c r="O107" s="108"/>
      <c r="P107" s="108"/>
      <c r="Q107" s="108"/>
      <c r="R107" s="108"/>
      <c r="S107" s="108"/>
      <c r="T107" s="108"/>
      <c r="U107" s="108"/>
      <c r="V107" s="108"/>
      <c r="W107" s="108"/>
      <c r="X107" s="108"/>
      <c r="Y107" s="201"/>
      <c r="Z107" s="108"/>
      <c r="AA107" s="108"/>
      <c r="AB107" s="108"/>
      <c r="AC107" s="108"/>
      <c r="AD107" s="108"/>
      <c r="AE107" s="108"/>
      <c r="AF107" s="108"/>
      <c r="AG107" s="108"/>
      <c r="AH107" s="108"/>
      <c r="AI107" s="108">
        <v>218771</v>
      </c>
      <c r="AJ107" s="108"/>
      <c r="AK107" s="108"/>
      <c r="AL107" s="108"/>
    </row>
    <row r="108" spans="1:38" ht="16.5" hidden="1" customHeight="1">
      <c r="A108" s="108" t="s">
        <v>158</v>
      </c>
      <c r="B108" s="108">
        <v>933765</v>
      </c>
      <c r="C108" s="108">
        <v>42097</v>
      </c>
      <c r="D108" s="108">
        <v>262247</v>
      </c>
      <c r="E108" s="108"/>
      <c r="F108" s="108"/>
      <c r="G108" s="108"/>
      <c r="H108" s="108"/>
      <c r="I108" s="108"/>
      <c r="J108" s="108"/>
      <c r="K108" s="108"/>
      <c r="L108" s="108"/>
      <c r="M108" s="108"/>
      <c r="N108" s="108"/>
      <c r="O108" s="108"/>
      <c r="P108" s="108"/>
      <c r="Q108" s="108"/>
      <c r="R108" s="108"/>
      <c r="S108" s="108"/>
      <c r="T108" s="108"/>
      <c r="U108" s="108"/>
      <c r="V108" s="108"/>
      <c r="W108" s="108"/>
      <c r="X108" s="108"/>
      <c r="Y108" s="201"/>
      <c r="Z108" s="108"/>
      <c r="AA108" s="108"/>
      <c r="AB108" s="108"/>
      <c r="AC108" s="108"/>
      <c r="AD108" s="108"/>
      <c r="AE108" s="108"/>
      <c r="AF108" s="108"/>
      <c r="AG108" s="108"/>
      <c r="AH108" s="108"/>
      <c r="AI108" s="108">
        <v>629421</v>
      </c>
      <c r="AJ108" s="108"/>
      <c r="AK108" s="108"/>
      <c r="AL108" s="108"/>
    </row>
    <row r="109" spans="1:38" ht="16.5" hidden="1" customHeight="1">
      <c r="A109" s="108" t="s">
        <v>157</v>
      </c>
      <c r="B109" s="108">
        <v>1118727</v>
      </c>
      <c r="C109" s="108">
        <v>50157</v>
      </c>
      <c r="D109" s="108">
        <v>285810</v>
      </c>
      <c r="E109" s="108"/>
      <c r="F109" s="108"/>
      <c r="G109" s="108"/>
      <c r="H109" s="108"/>
      <c r="I109" s="108"/>
      <c r="J109" s="108"/>
      <c r="K109" s="108"/>
      <c r="L109" s="108"/>
      <c r="M109" s="108"/>
      <c r="N109" s="108"/>
      <c r="O109" s="108"/>
      <c r="P109" s="108"/>
      <c r="Q109" s="108"/>
      <c r="R109" s="108"/>
      <c r="S109" s="108"/>
      <c r="T109" s="108"/>
      <c r="U109" s="108"/>
      <c r="V109" s="108"/>
      <c r="W109" s="108"/>
      <c r="X109" s="108"/>
      <c r="Y109" s="201"/>
      <c r="Z109" s="108"/>
      <c r="AA109" s="108"/>
      <c r="AB109" s="108"/>
      <c r="AC109" s="108"/>
      <c r="AD109" s="108"/>
      <c r="AE109" s="108"/>
      <c r="AF109" s="108"/>
      <c r="AG109" s="108"/>
      <c r="AH109" s="108"/>
      <c r="AI109" s="108">
        <v>782760</v>
      </c>
      <c r="AJ109" s="108"/>
      <c r="AK109" s="108"/>
      <c r="AL109" s="108"/>
    </row>
    <row r="110" spans="1:38" ht="16.5" hidden="1" customHeight="1">
      <c r="A110" s="108" t="s">
        <v>156</v>
      </c>
      <c r="B110" s="108">
        <v>600389</v>
      </c>
      <c r="C110" s="108">
        <v>25676</v>
      </c>
      <c r="D110" s="108">
        <v>159013</v>
      </c>
      <c r="E110" s="108"/>
      <c r="F110" s="108"/>
      <c r="G110" s="108"/>
      <c r="H110" s="108"/>
      <c r="I110" s="108"/>
      <c r="J110" s="108"/>
      <c r="K110" s="108"/>
      <c r="L110" s="108"/>
      <c r="M110" s="108"/>
      <c r="N110" s="108"/>
      <c r="O110" s="108"/>
      <c r="P110" s="108"/>
      <c r="Q110" s="108"/>
      <c r="R110" s="108"/>
      <c r="S110" s="108"/>
      <c r="T110" s="108"/>
      <c r="U110" s="108"/>
      <c r="V110" s="108"/>
      <c r="W110" s="108"/>
      <c r="X110" s="108"/>
      <c r="Y110" s="201"/>
      <c r="Z110" s="108"/>
      <c r="AA110" s="108"/>
      <c r="AB110" s="108"/>
      <c r="AC110" s="108"/>
      <c r="AD110" s="108"/>
      <c r="AE110" s="108"/>
      <c r="AF110" s="108"/>
      <c r="AG110" s="108"/>
      <c r="AH110" s="108"/>
      <c r="AI110" s="108">
        <v>415700</v>
      </c>
      <c r="AJ110" s="108"/>
      <c r="AK110" s="108"/>
      <c r="AL110" s="108"/>
    </row>
    <row r="111" spans="1:38" ht="16.5" hidden="1" customHeight="1">
      <c r="A111" s="108" t="s">
        <v>155</v>
      </c>
      <c r="B111" s="108">
        <v>263759</v>
      </c>
      <c r="C111" s="108">
        <v>12991</v>
      </c>
      <c r="D111" s="108">
        <v>72559</v>
      </c>
      <c r="E111" s="108"/>
      <c r="F111" s="108"/>
      <c r="G111" s="108"/>
      <c r="H111" s="108"/>
      <c r="I111" s="108"/>
      <c r="J111" s="108"/>
      <c r="K111" s="108"/>
      <c r="L111" s="108"/>
      <c r="M111" s="108"/>
      <c r="N111" s="108"/>
      <c r="O111" s="108"/>
      <c r="P111" s="108"/>
      <c r="Q111" s="108"/>
      <c r="R111" s="108"/>
      <c r="S111" s="108"/>
      <c r="T111" s="108"/>
      <c r="U111" s="108"/>
      <c r="V111" s="108"/>
      <c r="W111" s="108"/>
      <c r="X111" s="108"/>
      <c r="Y111" s="201"/>
      <c r="Z111" s="108"/>
      <c r="AA111" s="108"/>
      <c r="AB111" s="108"/>
      <c r="AC111" s="108"/>
      <c r="AD111" s="108"/>
      <c r="AE111" s="108"/>
      <c r="AF111" s="108"/>
      <c r="AG111" s="108"/>
      <c r="AH111" s="108"/>
      <c r="AI111" s="108">
        <v>178209</v>
      </c>
      <c r="AJ111" s="108"/>
      <c r="AK111" s="108"/>
      <c r="AL111" s="108"/>
    </row>
    <row r="112" spans="1:38" ht="16.5" customHeight="1"/>
  </sheetData>
  <sheetProtection algorithmName="SHA-512" hashValue="iqO+cx3nO2P73EBaK25oeSRbDZUY/ybzjMBcHHH6REccfjCUBaJNn5PtpeWRT8FSRo+ZglcolykYN+E0LTK7mw==" saltValue="1+/9ty7jDb9xfvFc39rdJA==" spinCount="100000" sheet="1" objects="1" scenarios="1"/>
  <mergeCells count="48">
    <mergeCell ref="O4:Q4"/>
    <mergeCell ref="N4:N5"/>
    <mergeCell ref="T4:V4"/>
    <mergeCell ref="T3:Z3"/>
    <mergeCell ref="C2:AH2"/>
    <mergeCell ref="AA3:AA5"/>
    <mergeCell ref="AB3:AB5"/>
    <mergeCell ref="AC3:AC5"/>
    <mergeCell ref="AD3:AD5"/>
    <mergeCell ref="AE3:AE5"/>
    <mergeCell ref="AF3:AF5"/>
    <mergeCell ref="AG3:AG5"/>
    <mergeCell ref="AH3:AH5"/>
    <mergeCell ref="R4:R5"/>
    <mergeCell ref="S4:S5"/>
    <mergeCell ref="AI2:AL2"/>
    <mergeCell ref="AI3:AI5"/>
    <mergeCell ref="AJ3:AJ5"/>
    <mergeCell ref="AK3:AK5"/>
    <mergeCell ref="AL3:AL5"/>
    <mergeCell ref="AL91:AL92"/>
    <mergeCell ref="AA91:AA92"/>
    <mergeCell ref="AB91:AB92"/>
    <mergeCell ref="AC91:AC92"/>
    <mergeCell ref="AD91:AD92"/>
    <mergeCell ref="AE91:AE92"/>
    <mergeCell ref="AF91:AF92"/>
    <mergeCell ref="AG91:AG92"/>
    <mergeCell ref="AH91:AH92"/>
    <mergeCell ref="AI91:AI92"/>
    <mergeCell ref="AJ91:AJ92"/>
    <mergeCell ref="AK91:AK92"/>
    <mergeCell ref="T91:Z91"/>
    <mergeCell ref="B2:B5"/>
    <mergeCell ref="C3:D3"/>
    <mergeCell ref="E3:M3"/>
    <mergeCell ref="N3:Q3"/>
    <mergeCell ref="R3:S3"/>
    <mergeCell ref="H4:M4"/>
    <mergeCell ref="E4:G4"/>
    <mergeCell ref="C4:C5"/>
    <mergeCell ref="D4:D5"/>
    <mergeCell ref="B91:B92"/>
    <mergeCell ref="C91:D91"/>
    <mergeCell ref="E91:M91"/>
    <mergeCell ref="N91:Q91"/>
    <mergeCell ref="R91:S91"/>
    <mergeCell ref="W4:Z4"/>
  </mergeCells>
  <phoneticPr fontId="96" type="noConversion"/>
  <pageMargins left="0.19685039370078741" right="0.19685039370078741" top="0.23622047244094491" bottom="0.19685039370078741" header="0.31496062992125984" footer="0.31496062992125984"/>
  <pageSetup paperSize="9" scale="53" orientation="portrait" verticalDpi="300" r:id="rId1"/>
  <colBreaks count="1" manualBreakCount="1">
    <brk id="1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36"/>
  <sheetViews>
    <sheetView showGridLines="0" zoomScaleNormal="100" zoomScaleSheetLayoutView="100" workbookViewId="0"/>
  </sheetViews>
  <sheetFormatPr defaultRowHeight="16.5"/>
  <cols>
    <col min="1" max="1" width="8.625" customWidth="1"/>
    <col min="2" max="2" width="10" customWidth="1"/>
    <col min="3" max="3" width="9.25" customWidth="1"/>
    <col min="4" max="4" width="10.75" customWidth="1"/>
    <col min="5" max="5" width="7.75" customWidth="1"/>
    <col min="6" max="6" width="8.875" customWidth="1"/>
    <col min="7" max="7" width="8.625" customWidth="1"/>
    <col min="8" max="8" width="9.375" customWidth="1"/>
    <col min="9" max="9" width="7.875" customWidth="1"/>
    <col min="10" max="10" width="11.125" customWidth="1"/>
    <col min="11" max="11" width="6.25" customWidth="1"/>
  </cols>
  <sheetData>
    <row r="1" spans="1:11" ht="23.25" customHeight="1">
      <c r="A1" s="9" t="s">
        <v>54</v>
      </c>
      <c r="B1" s="11"/>
      <c r="C1" s="11"/>
      <c r="D1" s="11"/>
      <c r="E1" s="11"/>
      <c r="F1" s="11"/>
      <c r="G1" s="11"/>
      <c r="H1" s="11"/>
      <c r="I1" s="11"/>
      <c r="J1" s="11"/>
      <c r="K1" s="11"/>
    </row>
    <row r="2" spans="1:11">
      <c r="A2" s="11"/>
      <c r="B2" s="11"/>
      <c r="C2" s="11"/>
      <c r="D2" s="11"/>
      <c r="E2" s="11"/>
      <c r="F2" s="11"/>
      <c r="G2" s="11"/>
      <c r="H2" s="11"/>
      <c r="I2" s="11"/>
      <c r="J2" s="11"/>
      <c r="K2" s="11"/>
    </row>
    <row r="3" spans="1:11">
      <c r="A3" s="10" t="s">
        <v>72</v>
      </c>
      <c r="B3" s="11"/>
      <c r="C3" s="11"/>
      <c r="D3" s="11"/>
      <c r="E3" s="11"/>
      <c r="F3" s="11"/>
      <c r="G3" s="11"/>
      <c r="H3" s="11"/>
      <c r="I3" s="11"/>
      <c r="J3" s="11"/>
      <c r="K3" s="11"/>
    </row>
    <row r="4" spans="1:11">
      <c r="A4" s="10"/>
      <c r="B4" s="11"/>
      <c r="C4" s="11"/>
      <c r="D4" s="11"/>
      <c r="E4" s="11"/>
      <c r="F4" s="11"/>
      <c r="G4" s="11"/>
      <c r="H4" s="11"/>
      <c r="I4" s="11"/>
      <c r="J4" s="11"/>
      <c r="K4" s="11"/>
    </row>
    <row r="5" spans="1:11" ht="16.5" customHeight="1">
      <c r="A5" s="591" t="s">
        <v>55</v>
      </c>
      <c r="B5" s="591"/>
      <c r="C5" s="591"/>
      <c r="D5" s="591"/>
      <c r="E5" s="591"/>
      <c r="F5" s="591"/>
      <c r="G5" s="591"/>
      <c r="H5" s="591"/>
      <c r="I5" s="591"/>
      <c r="J5" s="591"/>
      <c r="K5" s="591"/>
    </row>
    <row r="6" spans="1:11" ht="19.5" customHeight="1">
      <c r="A6" s="12" t="s">
        <v>0</v>
      </c>
      <c r="B6" s="589" t="s">
        <v>28</v>
      </c>
      <c r="C6" s="589"/>
      <c r="D6" s="589" t="s">
        <v>29</v>
      </c>
      <c r="E6" s="589"/>
      <c r="F6" s="589" t="s">
        <v>56</v>
      </c>
      <c r="G6" s="589"/>
      <c r="H6" s="589"/>
      <c r="I6" s="589"/>
      <c r="J6" s="592" t="s">
        <v>417</v>
      </c>
      <c r="K6" s="593"/>
    </row>
    <row r="7" spans="1:11" ht="19.5" customHeight="1">
      <c r="A7" s="13"/>
      <c r="B7" s="590"/>
      <c r="C7" s="590"/>
      <c r="D7" s="590"/>
      <c r="E7" s="590"/>
      <c r="F7" s="590" t="s">
        <v>19</v>
      </c>
      <c r="G7" s="590"/>
      <c r="H7" s="590" t="s">
        <v>20</v>
      </c>
      <c r="I7" s="590"/>
      <c r="J7" s="594"/>
      <c r="K7" s="595"/>
    </row>
    <row r="8" spans="1:11" ht="19.5" customHeight="1">
      <c r="A8" s="174" t="s">
        <v>399</v>
      </c>
      <c r="B8" s="175" t="s">
        <v>32</v>
      </c>
      <c r="C8" s="175" t="s">
        <v>400</v>
      </c>
      <c r="D8" s="175" t="s">
        <v>58</v>
      </c>
      <c r="E8" s="175" t="s">
        <v>400</v>
      </c>
      <c r="F8" s="175" t="s">
        <v>58</v>
      </c>
      <c r="G8" s="175" t="s">
        <v>400</v>
      </c>
      <c r="H8" s="175" t="s">
        <v>58</v>
      </c>
      <c r="I8" s="175" t="s">
        <v>400</v>
      </c>
      <c r="J8" s="175" t="s">
        <v>58</v>
      </c>
      <c r="K8" s="176" t="s">
        <v>400</v>
      </c>
    </row>
    <row r="9" spans="1:11" ht="20.25" customHeight="1">
      <c r="A9" s="406">
        <v>2013</v>
      </c>
      <c r="B9" s="407">
        <v>51141000</v>
      </c>
      <c r="C9" s="408">
        <v>100</v>
      </c>
      <c r="D9" s="407">
        <v>18466987</v>
      </c>
      <c r="E9" s="408">
        <v>100</v>
      </c>
      <c r="F9" s="407">
        <v>1605623</v>
      </c>
      <c r="G9" s="408">
        <v>100</v>
      </c>
      <c r="H9" s="407">
        <v>4985097</v>
      </c>
      <c r="I9" s="408">
        <v>100</v>
      </c>
      <c r="J9" s="407">
        <v>11876267</v>
      </c>
      <c r="K9" s="408">
        <v>100</v>
      </c>
    </row>
    <row r="10" spans="1:11" ht="20.25" customHeight="1">
      <c r="A10" s="406">
        <v>2014</v>
      </c>
      <c r="B10" s="407">
        <v>51327000</v>
      </c>
      <c r="C10" s="408">
        <v>100.36370035783422</v>
      </c>
      <c r="D10" s="407">
        <v>18986585</v>
      </c>
      <c r="E10" s="408">
        <v>102.81365877389744</v>
      </c>
      <c r="F10" s="407">
        <v>1657385</v>
      </c>
      <c r="G10" s="408">
        <v>103.22379537413204</v>
      </c>
      <c r="H10" s="407">
        <v>4843459</v>
      </c>
      <c r="I10" s="408">
        <v>97.158771434136582</v>
      </c>
      <c r="J10" s="407">
        <v>12485741</v>
      </c>
      <c r="K10" s="408">
        <v>105.13186508858381</v>
      </c>
    </row>
    <row r="11" spans="1:11" ht="20.25" customHeight="1">
      <c r="A11" s="406">
        <v>2015</v>
      </c>
      <c r="B11" s="407">
        <v>51529000</v>
      </c>
      <c r="C11" s="408">
        <v>100.75868676795525</v>
      </c>
      <c r="D11" s="407">
        <v>20609851</v>
      </c>
      <c r="E11" s="408">
        <v>111.60375539334056</v>
      </c>
      <c r="F11" s="407">
        <v>1525846</v>
      </c>
      <c r="G11" s="408">
        <v>95.03139902704433</v>
      </c>
      <c r="H11" s="407">
        <v>4835939</v>
      </c>
      <c r="I11" s="408">
        <v>97.007921811752112</v>
      </c>
      <c r="J11" s="407">
        <v>14248066</v>
      </c>
      <c r="K11" s="408">
        <v>119.97091341917456</v>
      </c>
    </row>
    <row r="12" spans="1:11" ht="20.25" customHeight="1">
      <c r="A12" s="406">
        <v>2016</v>
      </c>
      <c r="B12" s="407">
        <v>51696000</v>
      </c>
      <c r="C12" s="408">
        <v>101.08523493869889</v>
      </c>
      <c r="D12" s="407">
        <v>18978570</v>
      </c>
      <c r="E12" s="408">
        <v>102.77025699969356</v>
      </c>
      <c r="F12" s="407">
        <v>1523108</v>
      </c>
      <c r="G12" s="408">
        <v>94.860873318331883</v>
      </c>
      <c r="H12" s="407">
        <v>5224405</v>
      </c>
      <c r="I12" s="408">
        <v>104.80046827574267</v>
      </c>
      <c r="J12" s="407">
        <v>12231057</v>
      </c>
      <c r="K12" s="408">
        <v>102.9873865247388</v>
      </c>
    </row>
    <row r="13" spans="1:11" ht="20.25" customHeight="1">
      <c r="A13" s="406">
        <v>2017</v>
      </c>
      <c r="B13" s="407">
        <v>51778000</v>
      </c>
      <c r="C13" s="408">
        <v>101.24557595666882</v>
      </c>
      <c r="D13" s="407">
        <v>18069526</v>
      </c>
      <c r="E13" s="408">
        <v>97.847721450174845</v>
      </c>
      <c r="F13" s="407">
        <v>1555602</v>
      </c>
      <c r="G13" s="408">
        <v>96.884636057156627</v>
      </c>
      <c r="H13" s="407">
        <v>5187181</v>
      </c>
      <c r="I13" s="408">
        <v>104.05376264493951</v>
      </c>
      <c r="J13" s="407">
        <v>11326743</v>
      </c>
      <c r="K13" s="408">
        <v>95.372923158430169</v>
      </c>
    </row>
    <row r="14" spans="1:11" ht="20.25" customHeight="1">
      <c r="A14" s="406">
        <v>2018</v>
      </c>
      <c r="B14" s="407">
        <v>51826000</v>
      </c>
      <c r="C14" s="408">
        <v>101.33943411352926</v>
      </c>
      <c r="D14" s="407">
        <v>17651498</v>
      </c>
      <c r="E14" s="408">
        <v>95.584071186057585</v>
      </c>
      <c r="F14" s="409">
        <v>1462714</v>
      </c>
      <c r="G14" s="408">
        <v>91.09946730957391</v>
      </c>
      <c r="H14" s="407">
        <v>5122866</v>
      </c>
      <c r="I14" s="408">
        <v>102.76361723753821</v>
      </c>
      <c r="J14" s="409">
        <v>11065918</v>
      </c>
      <c r="K14" s="408">
        <v>93.17673642736392</v>
      </c>
    </row>
    <row r="15" spans="1:11" ht="20.25" customHeight="1">
      <c r="A15" s="410">
        <v>2019</v>
      </c>
      <c r="B15" s="409">
        <v>51849000</v>
      </c>
      <c r="C15" s="408">
        <v>101.38440781369155</v>
      </c>
      <c r="D15" s="407">
        <v>17720328</v>
      </c>
      <c r="E15" s="408">
        <v>95.956790352427277</v>
      </c>
      <c r="F15" s="409">
        <v>1461440</v>
      </c>
      <c r="G15" s="408">
        <v>91.020121161692373</v>
      </c>
      <c r="H15" s="407">
        <v>5172904</v>
      </c>
      <c r="I15" s="408">
        <v>103.76736902010131</v>
      </c>
      <c r="J15" s="409">
        <v>11085984</v>
      </c>
      <c r="K15" s="408">
        <v>93.345695242452862</v>
      </c>
    </row>
    <row r="16" spans="1:11" ht="20.25" customHeight="1">
      <c r="A16" s="410">
        <v>2020</v>
      </c>
      <c r="B16" s="409">
        <v>51829000</v>
      </c>
      <c r="C16" s="408">
        <v>101.34530024833305</v>
      </c>
      <c r="D16" s="407">
        <v>18838150</v>
      </c>
      <c r="E16" s="408">
        <v>102.00987307783343</v>
      </c>
      <c r="F16" s="409">
        <v>1448551</v>
      </c>
      <c r="G16" s="408">
        <v>90.21737979587985</v>
      </c>
      <c r="H16" s="407">
        <v>5230682</v>
      </c>
      <c r="I16" s="408">
        <v>104.92638357889525</v>
      </c>
      <c r="J16" s="409">
        <v>12158917</v>
      </c>
      <c r="K16" s="408">
        <v>102.37995659747293</v>
      </c>
    </row>
    <row r="17" spans="1:11" ht="20.25" customHeight="1">
      <c r="A17" s="410">
        <v>2021</v>
      </c>
      <c r="B17" s="409">
        <v>51638000</v>
      </c>
      <c r="C17" s="408">
        <v>100.97182299915919</v>
      </c>
      <c r="D17" s="407">
        <v>17884639</v>
      </c>
      <c r="E17" s="408">
        <v>96.846545676346665</v>
      </c>
      <c r="F17" s="409">
        <v>1297441</v>
      </c>
      <c r="G17" s="408">
        <v>80.806079633886654</v>
      </c>
      <c r="H17" s="407">
        <v>4994026</v>
      </c>
      <c r="I17" s="408">
        <v>100.17911386679135</v>
      </c>
      <c r="J17" s="409">
        <v>11593172</v>
      </c>
      <c r="K17" s="408">
        <v>97.616296433887854</v>
      </c>
    </row>
    <row r="18" spans="1:11" ht="20.25" customHeight="1">
      <c r="A18" s="411">
        <v>2022</v>
      </c>
      <c r="B18" s="412">
        <v>51439000</v>
      </c>
      <c r="C18" s="413">
        <v>100.58270272384193</v>
      </c>
      <c r="D18" s="414">
        <v>16023852</v>
      </c>
      <c r="E18" s="413">
        <v>86.770256566488086</v>
      </c>
      <c r="F18" s="414">
        <v>1221301</v>
      </c>
      <c r="G18" s="413">
        <v>76.063995097230176</v>
      </c>
      <c r="H18" s="415">
        <v>4946011</v>
      </c>
      <c r="I18" s="413">
        <v>99.215943039824495</v>
      </c>
      <c r="J18" s="414">
        <v>9856540</v>
      </c>
      <c r="K18" s="413">
        <v>82.993587126325139</v>
      </c>
    </row>
    <row r="19" spans="1:11" ht="20.25" customHeight="1">
      <c r="A19" s="10" t="s">
        <v>532</v>
      </c>
      <c r="B19" s="11"/>
      <c r="C19" s="11"/>
      <c r="D19" s="11"/>
      <c r="E19" s="11"/>
      <c r="F19" s="11"/>
      <c r="G19" s="11"/>
      <c r="H19" s="11"/>
      <c r="I19" s="11"/>
      <c r="J19" s="11"/>
      <c r="K19" s="11"/>
    </row>
    <row r="20" spans="1:11" ht="20.25" customHeight="1">
      <c r="A20" s="10" t="s">
        <v>414</v>
      </c>
      <c r="B20" s="11"/>
      <c r="C20" s="11"/>
      <c r="D20" s="11"/>
      <c r="E20" s="11"/>
      <c r="F20" s="11"/>
      <c r="G20" s="11"/>
      <c r="H20" s="11"/>
      <c r="I20" s="11"/>
      <c r="J20" s="16"/>
      <c r="K20" s="17"/>
    </row>
    <row r="21" spans="1:11">
      <c r="A21" s="11"/>
      <c r="B21" s="18"/>
      <c r="C21" s="11"/>
      <c r="D21" s="11"/>
      <c r="E21" s="11"/>
      <c r="F21" s="11"/>
      <c r="G21" s="11"/>
      <c r="H21" s="11"/>
      <c r="I21" s="11"/>
      <c r="J21" s="11"/>
      <c r="K21" s="11"/>
    </row>
    <row r="22" spans="1:11">
      <c r="A22" s="588" t="s">
        <v>59</v>
      </c>
      <c r="B22" s="588"/>
      <c r="C22" s="588"/>
      <c r="D22" s="588"/>
      <c r="E22" s="588"/>
      <c r="F22" s="588"/>
      <c r="G22" s="588"/>
      <c r="H22" s="588"/>
      <c r="I22" s="588"/>
      <c r="J22" s="11"/>
      <c r="K22" s="19"/>
    </row>
    <row r="23" spans="1:11" ht="18" customHeight="1">
      <c r="A23" s="20" t="s">
        <v>0</v>
      </c>
      <c r="B23" s="21"/>
      <c r="C23" s="589" t="s">
        <v>60</v>
      </c>
      <c r="D23" s="589"/>
      <c r="E23" s="589"/>
      <c r="F23" s="589"/>
      <c r="G23" s="589"/>
      <c r="H23" s="589"/>
      <c r="I23" s="503"/>
      <c r="J23" s="22"/>
      <c r="K23" s="23"/>
    </row>
    <row r="24" spans="1:11" ht="18" customHeight="1">
      <c r="A24" s="24"/>
      <c r="B24" s="25" t="s">
        <v>61</v>
      </c>
      <c r="C24" s="26" t="s">
        <v>56</v>
      </c>
      <c r="D24" s="590" t="s">
        <v>19</v>
      </c>
      <c r="E24" s="590"/>
      <c r="F24" s="590"/>
      <c r="G24" s="590"/>
      <c r="H24" s="26" t="s">
        <v>66</v>
      </c>
      <c r="I24" s="504" t="s">
        <v>30</v>
      </c>
      <c r="J24" s="22"/>
      <c r="K24" s="27"/>
    </row>
    <row r="25" spans="1:11" ht="18" customHeight="1">
      <c r="A25" s="28" t="s">
        <v>57</v>
      </c>
      <c r="B25" s="29" t="s">
        <v>62</v>
      </c>
      <c r="C25" s="29" t="s">
        <v>62</v>
      </c>
      <c r="D25" s="14" t="s">
        <v>63</v>
      </c>
      <c r="E25" s="14" t="s">
        <v>11</v>
      </c>
      <c r="F25" s="14" t="s">
        <v>12</v>
      </c>
      <c r="G25" s="14" t="s">
        <v>2</v>
      </c>
      <c r="H25" s="29" t="s">
        <v>62</v>
      </c>
      <c r="I25" s="505" t="s">
        <v>62</v>
      </c>
      <c r="J25" s="22"/>
      <c r="K25" s="23"/>
    </row>
    <row r="26" spans="1:11" ht="21" customHeight="1">
      <c r="A26" s="506">
        <v>2013</v>
      </c>
      <c r="B26" s="416">
        <v>0.35659999999999997</v>
      </c>
      <c r="C26" s="416">
        <v>0.1244</v>
      </c>
      <c r="D26" s="417">
        <v>2.81E-2</v>
      </c>
      <c r="E26" s="417">
        <v>2.1399999999999999E-2</v>
      </c>
      <c r="F26" s="417">
        <v>1E-3</v>
      </c>
      <c r="G26" s="417">
        <v>5.3E-3</v>
      </c>
      <c r="H26" s="507">
        <v>9.6299999999999997E-2</v>
      </c>
      <c r="I26" s="507">
        <v>0.23219999999999999</v>
      </c>
      <c r="J26" s="11"/>
      <c r="K26" s="11"/>
    </row>
    <row r="27" spans="1:11" ht="21" customHeight="1">
      <c r="A27" s="506">
        <v>2014</v>
      </c>
      <c r="B27" s="416">
        <v>0.36499999999999999</v>
      </c>
      <c r="C27" s="416">
        <v>0.12180000000000001</v>
      </c>
      <c r="D27" s="417">
        <v>2.87E-2</v>
      </c>
      <c r="E27" s="417">
        <v>2.2200000000000001E-2</v>
      </c>
      <c r="F27" s="417">
        <v>1E-3</v>
      </c>
      <c r="G27" s="417">
        <v>5.1999999999999998E-3</v>
      </c>
      <c r="H27" s="507">
        <v>9.2999999999999999E-2</v>
      </c>
      <c r="I27" s="507">
        <v>0.24329999999999999</v>
      </c>
      <c r="J27" s="11"/>
      <c r="K27" s="11"/>
    </row>
    <row r="28" spans="1:11" ht="21" customHeight="1">
      <c r="A28" s="506">
        <v>2015</v>
      </c>
      <c r="B28" s="416">
        <v>0.39489999999999997</v>
      </c>
      <c r="C28" s="416">
        <v>0.11840000000000001</v>
      </c>
      <c r="D28" s="417">
        <v>2.5899999999999999E-2</v>
      </c>
      <c r="E28" s="417">
        <v>1.95E-2</v>
      </c>
      <c r="F28" s="417">
        <v>1E-3</v>
      </c>
      <c r="G28" s="417">
        <v>5.0000000000000001E-3</v>
      </c>
      <c r="H28" s="507">
        <v>9.2499999999999999E-2</v>
      </c>
      <c r="I28" s="507">
        <v>0.27650000000000002</v>
      </c>
      <c r="J28" s="11"/>
      <c r="K28" s="11"/>
    </row>
    <row r="29" spans="1:11" ht="21" customHeight="1">
      <c r="A29" s="506">
        <v>2016</v>
      </c>
      <c r="B29" s="416">
        <v>0.36180000000000001</v>
      </c>
      <c r="C29" s="416">
        <v>0.12520000000000001</v>
      </c>
      <c r="D29" s="417">
        <v>2.5499999999999998E-2</v>
      </c>
      <c r="E29" s="417">
        <v>1.8800000000000001E-2</v>
      </c>
      <c r="F29" s="417">
        <v>1E-3</v>
      </c>
      <c r="G29" s="417">
        <v>5.3E-3</v>
      </c>
      <c r="H29" s="507">
        <v>9.9699999999999997E-2</v>
      </c>
      <c r="I29" s="507">
        <v>0.2366</v>
      </c>
      <c r="J29" s="11"/>
      <c r="K29" s="11"/>
    </row>
    <row r="30" spans="1:11" ht="21" customHeight="1">
      <c r="A30" s="508">
        <v>2017</v>
      </c>
      <c r="B30" s="416">
        <v>0.34360000000000002</v>
      </c>
      <c r="C30" s="417">
        <v>0.1249</v>
      </c>
      <c r="D30" s="418">
        <v>2.6100000000000002E-2</v>
      </c>
      <c r="E30" s="417">
        <v>1.9699999999999999E-2</v>
      </c>
      <c r="F30" s="417">
        <v>8.9999999999999998E-4</v>
      </c>
      <c r="G30" s="417">
        <v>5.1000000000000004E-3</v>
      </c>
      <c r="H30" s="507">
        <v>9.8799999999999999E-2</v>
      </c>
      <c r="I30" s="507">
        <v>0.21879999999999999</v>
      </c>
      <c r="J30" s="11"/>
      <c r="K30" s="11"/>
    </row>
    <row r="31" spans="1:11" ht="21" customHeight="1">
      <c r="A31" s="508">
        <v>2018</v>
      </c>
      <c r="B31" s="416">
        <v>0.33529999999999999</v>
      </c>
      <c r="C31" s="417">
        <v>0.12180000000000001</v>
      </c>
      <c r="D31" s="418">
        <v>2.4500000000000001E-2</v>
      </c>
      <c r="E31" s="417">
        <v>1.8499999999999999E-2</v>
      </c>
      <c r="F31" s="417">
        <v>8.9999999999999998E-4</v>
      </c>
      <c r="G31" s="417">
        <v>4.5999999999999999E-3</v>
      </c>
      <c r="H31" s="507">
        <v>9.7299999999999998E-2</v>
      </c>
      <c r="I31" s="507">
        <v>0.2135</v>
      </c>
      <c r="J31" s="11"/>
      <c r="K31" s="11"/>
    </row>
    <row r="32" spans="1:11" ht="21" customHeight="1">
      <c r="A32" s="508">
        <v>2019</v>
      </c>
      <c r="B32" s="416">
        <v>0.33628549168145311</v>
      </c>
      <c r="C32" s="417">
        <v>0.12247616247225812</v>
      </c>
      <c r="D32" s="418">
        <v>2.4424192766881285E-2</v>
      </c>
      <c r="E32" s="417">
        <v>1.8314475327137328E-2</v>
      </c>
      <c r="F32" s="417">
        <v>9.1753380013882781E-4</v>
      </c>
      <c r="G32" s="417">
        <v>4.7707938889170794E-3</v>
      </c>
      <c r="H32" s="507">
        <v>9.8051969705376843E-2</v>
      </c>
      <c r="I32" s="507">
        <v>0.21380932920919499</v>
      </c>
      <c r="J32" s="11"/>
      <c r="K32" s="11"/>
    </row>
    <row r="33" spans="1:11" ht="21" customHeight="1">
      <c r="A33" s="508">
        <v>2020</v>
      </c>
      <c r="B33" s="416">
        <v>0.35803952931931593</v>
      </c>
      <c r="C33" s="417">
        <v>0.12344284398337974</v>
      </c>
      <c r="D33" s="418">
        <v>2.4203523959924925E-2</v>
      </c>
      <c r="E33" s="417">
        <v>1.7874309535026351E-2</v>
      </c>
      <c r="F33" s="417">
        <v>8.7263848288245756E-4</v>
      </c>
      <c r="G33" s="417">
        <v>5.0222825925157798E-3</v>
      </c>
      <c r="H33" s="507">
        <v>9.9239320023454813E-2</v>
      </c>
      <c r="I33" s="507">
        <v>0.23459668533593619</v>
      </c>
      <c r="J33" s="11"/>
      <c r="K33" s="11"/>
    </row>
    <row r="34" spans="1:11" ht="21" customHeight="1">
      <c r="A34" s="508">
        <v>2021</v>
      </c>
      <c r="B34" s="416">
        <v>0.34139764919829968</v>
      </c>
      <c r="C34" s="417">
        <v>0.11689262624163156</v>
      </c>
      <c r="D34" s="418">
        <v>2.1485913821134024E-2</v>
      </c>
      <c r="E34" s="417">
        <v>1.5776196542410574E-2</v>
      </c>
      <c r="F34" s="417">
        <v>8.6212290449998565E-4</v>
      </c>
      <c r="G34" s="417">
        <v>4.3853838689424463E-3</v>
      </c>
      <c r="H34" s="507">
        <v>9.540671242049753E-2</v>
      </c>
      <c r="I34" s="507">
        <v>0.2245050229566681</v>
      </c>
      <c r="J34" s="11"/>
      <c r="K34" s="11"/>
    </row>
    <row r="35" spans="1:11" ht="21" customHeight="1">
      <c r="A35" s="509">
        <v>2022</v>
      </c>
      <c r="B35" s="419">
        <v>0.30643290801822537</v>
      </c>
      <c r="C35" s="510">
        <v>0.11481696061267709</v>
      </c>
      <c r="D35" s="511">
        <v>1.998581310949089E-2</v>
      </c>
      <c r="E35" s="510">
        <v>1.4466114237983999E-2</v>
      </c>
      <c r="F35" s="510">
        <v>8.1583951861619183E-4</v>
      </c>
      <c r="G35" s="510">
        <v>4.2779960231760167E-3</v>
      </c>
      <c r="H35" s="512">
        <v>9.4831147503186206E-2</v>
      </c>
      <c r="I35" s="512">
        <v>0.1916159474055483</v>
      </c>
      <c r="J35" s="11"/>
      <c r="K35" s="11"/>
    </row>
    <row r="36" spans="1:11" ht="17.25" customHeight="1">
      <c r="A36" s="10" t="s">
        <v>408</v>
      </c>
      <c r="B36" s="11"/>
      <c r="C36" s="11"/>
      <c r="D36" s="11"/>
      <c r="E36" s="11"/>
      <c r="F36" s="11"/>
      <c r="G36" s="11"/>
      <c r="H36" s="11"/>
      <c r="I36" s="11"/>
      <c r="J36" s="11"/>
      <c r="K36" s="11"/>
    </row>
  </sheetData>
  <sheetProtection algorithmName="SHA-512" hashValue="KaUrtQE/ONim6Ha4Vs9kYO6EVZv8b2Nn8abqBzG5+8xALpmMOtpLriSpKL40douqd0tZToBMyEu0LYf+bKQdRQ==" saltValue="sClZMCazum0T99VPLtVXxA==" spinCount="100000" sheet="1" objects="1" scenarios="1"/>
  <mergeCells count="10">
    <mergeCell ref="A22:I22"/>
    <mergeCell ref="C23:H23"/>
    <mergeCell ref="D24:G24"/>
    <mergeCell ref="H7:I7"/>
    <mergeCell ref="A5:K5"/>
    <mergeCell ref="B6:C7"/>
    <mergeCell ref="D6:E7"/>
    <mergeCell ref="F6:I6"/>
    <mergeCell ref="J6:K7"/>
    <mergeCell ref="F7:G7"/>
  </mergeCells>
  <phoneticPr fontId="14" type="noConversion"/>
  <pageMargins left="0.2" right="0.21" top="0.75" bottom="0.75" header="0.3" footer="0.3"/>
  <pageSetup paperSize="9" scale="93"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50"/>
  <sheetViews>
    <sheetView showGridLines="0" zoomScaleNormal="100" zoomScaleSheetLayoutView="100" workbookViewId="0"/>
  </sheetViews>
  <sheetFormatPr defaultRowHeight="16.5"/>
  <cols>
    <col min="1" max="1" width="16.75" customWidth="1"/>
    <col min="2" max="2" width="11" customWidth="1"/>
    <col min="3" max="3" width="6.375" customWidth="1"/>
    <col min="4" max="4" width="10.5" customWidth="1"/>
    <col min="5" max="5" width="6.75" customWidth="1"/>
    <col min="6" max="6" width="9.75" customWidth="1"/>
    <col min="7" max="7" width="6.75" customWidth="1"/>
    <col min="8" max="8" width="9.25" customWidth="1"/>
    <col min="9" max="9" width="7" customWidth="1"/>
    <col min="10" max="10" width="10.125" customWidth="1"/>
    <col min="11" max="11" width="9.5" customWidth="1"/>
    <col min="13" max="14" width="11.875" bestFit="1" customWidth="1"/>
    <col min="15" max="15" width="10.875" bestFit="1" customWidth="1"/>
    <col min="16" max="16" width="9.25" bestFit="1" customWidth="1"/>
    <col min="17" max="18" width="9.125" bestFit="1" customWidth="1"/>
  </cols>
  <sheetData>
    <row r="1" spans="1:21">
      <c r="A1" s="11"/>
      <c r="B1" s="11"/>
      <c r="C1" s="11"/>
      <c r="D1" s="11"/>
      <c r="E1" s="11"/>
      <c r="F1" s="11"/>
      <c r="G1" s="11"/>
      <c r="H1" s="11"/>
      <c r="I1" s="11"/>
      <c r="J1" s="11"/>
      <c r="K1" s="11"/>
      <c r="L1" s="34"/>
      <c r="M1" s="35"/>
      <c r="N1" s="36"/>
      <c r="O1" s="36"/>
      <c r="P1" s="36"/>
      <c r="Q1" s="36"/>
      <c r="R1" s="36"/>
      <c r="S1" s="36"/>
      <c r="T1" s="36"/>
      <c r="U1" s="36"/>
    </row>
    <row r="2" spans="1:21">
      <c r="A2" s="11"/>
      <c r="B2" s="11"/>
      <c r="C2" s="11"/>
      <c r="D2" s="11"/>
      <c r="E2" s="11"/>
      <c r="F2" s="11"/>
      <c r="G2" s="11"/>
      <c r="H2" s="11"/>
      <c r="I2" s="11"/>
      <c r="J2" s="11"/>
      <c r="K2" s="11"/>
      <c r="L2" s="37"/>
      <c r="M2" s="191"/>
      <c r="N2" s="36"/>
      <c r="O2" s="36"/>
      <c r="P2" s="36"/>
      <c r="Q2" s="36"/>
      <c r="R2" s="36"/>
      <c r="S2" s="36"/>
      <c r="T2" s="36"/>
      <c r="U2" s="36"/>
    </row>
    <row r="3" spans="1:21">
      <c r="A3" s="16"/>
      <c r="B3" s="37" t="s">
        <v>21</v>
      </c>
      <c r="C3" s="35"/>
      <c r="D3" s="36"/>
      <c r="E3" s="36"/>
      <c r="F3" s="36" t="s">
        <v>23</v>
      </c>
      <c r="G3" s="36"/>
      <c r="H3" s="36"/>
      <c r="I3" s="40"/>
      <c r="J3" s="11"/>
      <c r="K3" s="11"/>
      <c r="L3" s="37"/>
      <c r="M3" s="192"/>
      <c r="N3" s="36"/>
      <c r="O3" s="36"/>
      <c r="P3" s="36"/>
      <c r="Q3" s="36"/>
      <c r="R3" s="36"/>
      <c r="S3" s="36"/>
      <c r="T3" s="36"/>
      <c r="U3" s="36"/>
    </row>
    <row r="4" spans="1:21">
      <c r="A4" s="16"/>
      <c r="B4" s="37"/>
      <c r="C4" s="35" t="s">
        <v>24</v>
      </c>
      <c r="D4" s="36" t="s">
        <v>25</v>
      </c>
      <c r="E4" s="36" t="s">
        <v>26</v>
      </c>
      <c r="F4" s="36" t="s">
        <v>24</v>
      </c>
      <c r="G4" s="36" t="s">
        <v>25</v>
      </c>
      <c r="H4" s="36" t="s">
        <v>26</v>
      </c>
      <c r="I4" s="40"/>
      <c r="J4" s="11"/>
      <c r="K4" s="11"/>
      <c r="L4" s="37"/>
      <c r="M4" s="35"/>
      <c r="N4" s="38"/>
      <c r="O4" s="39"/>
      <c r="P4" s="39"/>
      <c r="Q4" s="39"/>
      <c r="R4" s="40"/>
      <c r="S4" s="40"/>
      <c r="T4" s="40"/>
      <c r="U4" s="36"/>
    </row>
    <row r="5" spans="1:21">
      <c r="A5" s="16"/>
      <c r="B5" s="11">
        <v>12</v>
      </c>
      <c r="C5" s="139">
        <v>50948000</v>
      </c>
      <c r="D5" s="139">
        <v>18020241</v>
      </c>
      <c r="E5" s="139">
        <v>1573652</v>
      </c>
      <c r="F5" s="140"/>
      <c r="G5" s="140"/>
      <c r="H5" s="140"/>
      <c r="I5" s="40"/>
      <c r="J5" s="11"/>
      <c r="K5" s="11"/>
      <c r="L5" s="37"/>
      <c r="M5" s="39"/>
      <c r="N5" s="39"/>
      <c r="O5" s="39"/>
      <c r="P5" s="40"/>
      <c r="Q5" s="40"/>
      <c r="R5" s="40"/>
      <c r="S5" s="40"/>
      <c r="T5" s="40"/>
      <c r="U5" s="36"/>
    </row>
    <row r="6" spans="1:21">
      <c r="A6" s="16"/>
      <c r="B6" s="11">
        <v>13</v>
      </c>
      <c r="C6" s="139">
        <v>51141000</v>
      </c>
      <c r="D6" s="139">
        <v>18466987</v>
      </c>
      <c r="E6" s="139">
        <v>1605623</v>
      </c>
      <c r="F6" s="140">
        <v>100</v>
      </c>
      <c r="G6" s="140">
        <v>100</v>
      </c>
      <c r="H6" s="140">
        <v>100</v>
      </c>
      <c r="I6" s="40" t="s">
        <v>525</v>
      </c>
      <c r="J6" s="11"/>
      <c r="K6" s="11"/>
      <c r="L6" s="37"/>
      <c r="M6" s="39"/>
      <c r="N6" s="39"/>
      <c r="O6" s="39"/>
      <c r="P6" s="40"/>
      <c r="Q6" s="40"/>
      <c r="R6" s="40"/>
      <c r="S6" s="40"/>
      <c r="T6" s="40"/>
      <c r="U6" s="36"/>
    </row>
    <row r="7" spans="1:21">
      <c r="A7" s="16"/>
      <c r="B7" s="11">
        <v>14</v>
      </c>
      <c r="C7" s="139">
        <v>51327000</v>
      </c>
      <c r="D7" s="139">
        <v>18986585</v>
      </c>
      <c r="E7" s="139">
        <v>1657385</v>
      </c>
      <c r="F7" s="140">
        <v>100.36370035783422</v>
      </c>
      <c r="G7" s="140">
        <v>102.81365877389743</v>
      </c>
      <c r="H7" s="140">
        <v>103.22379537413204</v>
      </c>
      <c r="I7" s="40"/>
      <c r="J7" s="11"/>
      <c r="K7" s="11"/>
      <c r="T7" s="40"/>
      <c r="U7" s="36"/>
    </row>
    <row r="8" spans="1:21">
      <c r="A8" s="172"/>
      <c r="B8" s="11">
        <v>15</v>
      </c>
      <c r="C8" s="139">
        <v>51529000</v>
      </c>
      <c r="D8" s="139">
        <v>20609851</v>
      </c>
      <c r="E8" s="139">
        <v>1525846</v>
      </c>
      <c r="F8" s="140">
        <v>100.75868676795525</v>
      </c>
      <c r="G8" s="140">
        <v>111.60375539334055</v>
      </c>
      <c r="H8" s="140">
        <v>95.03139902704433</v>
      </c>
      <c r="I8" s="40"/>
      <c r="J8" s="11"/>
      <c r="K8" s="11"/>
      <c r="T8" s="40"/>
      <c r="U8" s="36"/>
    </row>
    <row r="9" spans="1:21">
      <c r="A9" s="16"/>
      <c r="B9" s="11">
        <v>16</v>
      </c>
      <c r="C9" s="139">
        <v>51696000</v>
      </c>
      <c r="D9" s="139">
        <v>18978570</v>
      </c>
      <c r="E9" s="139">
        <v>1523108</v>
      </c>
      <c r="F9" s="140">
        <v>101.0852349386989</v>
      </c>
      <c r="G9" s="140">
        <v>102.77025699969356</v>
      </c>
      <c r="H9" s="140">
        <v>94.860873318331883</v>
      </c>
      <c r="I9" s="40"/>
      <c r="J9" s="11"/>
      <c r="K9" s="11"/>
      <c r="T9" s="40"/>
      <c r="U9" s="36"/>
    </row>
    <row r="10" spans="1:21">
      <c r="A10" s="16"/>
      <c r="B10" s="11">
        <v>17</v>
      </c>
      <c r="C10" s="139">
        <v>51778000</v>
      </c>
      <c r="D10" s="139">
        <v>18069526</v>
      </c>
      <c r="E10" s="139">
        <v>1555602</v>
      </c>
      <c r="F10" s="140">
        <v>101.24557595666882</v>
      </c>
      <c r="G10" s="140">
        <v>97.847721450174845</v>
      </c>
      <c r="H10" s="140">
        <v>96.884636057156627</v>
      </c>
      <c r="I10" s="40"/>
      <c r="J10" s="11"/>
      <c r="K10" s="11"/>
      <c r="T10" s="40"/>
      <c r="U10" s="36"/>
    </row>
    <row r="11" spans="1:21">
      <c r="A11" s="16"/>
      <c r="B11" s="11">
        <v>18</v>
      </c>
      <c r="C11" s="139">
        <v>51826000</v>
      </c>
      <c r="D11" s="141">
        <v>17651498</v>
      </c>
      <c r="E11" s="141">
        <v>1462714</v>
      </c>
      <c r="F11" s="140">
        <v>101.33943411352926</v>
      </c>
      <c r="G11" s="140">
        <v>95.584071186057585</v>
      </c>
      <c r="H11" s="140">
        <v>91.09946730957391</v>
      </c>
      <c r="I11" s="36"/>
      <c r="J11" s="11"/>
      <c r="K11" s="11"/>
      <c r="T11" s="40"/>
      <c r="U11" s="36"/>
    </row>
    <row r="12" spans="1:21">
      <c r="A12" s="16"/>
      <c r="B12" s="11">
        <v>19</v>
      </c>
      <c r="C12" s="39">
        <v>51849000</v>
      </c>
      <c r="D12" s="141">
        <v>17720328</v>
      </c>
      <c r="E12" s="141">
        <v>1461440</v>
      </c>
      <c r="F12" s="140">
        <v>101.38440781369155</v>
      </c>
      <c r="G12" s="140">
        <v>95.956790352427277</v>
      </c>
      <c r="H12" s="140">
        <v>91.020121161692373</v>
      </c>
      <c r="I12" s="114"/>
      <c r="J12" s="11"/>
      <c r="K12" s="11"/>
      <c r="M12" s="146"/>
      <c r="N12" s="146"/>
      <c r="O12" s="146"/>
      <c r="P12" s="146"/>
      <c r="Q12" s="146"/>
      <c r="R12" s="146"/>
      <c r="T12" s="40"/>
      <c r="U12" s="36"/>
    </row>
    <row r="13" spans="1:21">
      <c r="A13" s="16"/>
      <c r="B13" s="11">
        <v>20</v>
      </c>
      <c r="C13" s="39">
        <v>51829000</v>
      </c>
      <c r="D13" s="141">
        <v>18838150</v>
      </c>
      <c r="E13" s="141">
        <v>1448551</v>
      </c>
      <c r="F13" s="140">
        <v>101.34530024833303</v>
      </c>
      <c r="G13" s="140">
        <v>102.00987307783342</v>
      </c>
      <c r="H13" s="140">
        <v>90.217379795879864</v>
      </c>
      <c r="I13" s="36"/>
      <c r="J13" s="11"/>
      <c r="K13" s="11"/>
      <c r="M13" s="146"/>
      <c r="N13" s="146"/>
      <c r="O13" s="146"/>
      <c r="P13" s="146"/>
      <c r="Q13" s="146"/>
      <c r="R13" s="146"/>
      <c r="T13" s="40"/>
      <c r="U13" s="36"/>
    </row>
    <row r="14" spans="1:21">
      <c r="A14" s="16"/>
      <c r="B14" s="11">
        <v>21</v>
      </c>
      <c r="C14" s="39">
        <v>51638000</v>
      </c>
      <c r="D14" s="141">
        <v>17884639</v>
      </c>
      <c r="E14" s="141">
        <v>1297441</v>
      </c>
      <c r="F14" s="140">
        <v>100.97182299915919</v>
      </c>
      <c r="G14" s="140">
        <v>96.846545676346665</v>
      </c>
      <c r="H14" s="140">
        <v>80.806079633886668</v>
      </c>
      <c r="I14" s="36"/>
      <c r="J14" s="11"/>
      <c r="K14" s="11"/>
      <c r="M14" s="146"/>
      <c r="N14" s="146"/>
      <c r="O14" s="146"/>
      <c r="P14" s="146"/>
      <c r="Q14" s="146"/>
      <c r="R14" s="146"/>
      <c r="T14" s="40"/>
      <c r="U14" s="36"/>
    </row>
    <row r="15" spans="1:21">
      <c r="A15" s="16"/>
      <c r="B15" s="11">
        <v>22</v>
      </c>
      <c r="C15" s="39">
        <v>51439000</v>
      </c>
      <c r="D15" s="141">
        <v>16023852</v>
      </c>
      <c r="E15" s="141">
        <v>1221301</v>
      </c>
      <c r="F15" s="140">
        <v>100.58270272384193</v>
      </c>
      <c r="G15" s="140">
        <v>86.770256566488086</v>
      </c>
      <c r="H15" s="140">
        <v>76.063995097230176</v>
      </c>
      <c r="I15" s="36"/>
      <c r="J15" s="11"/>
      <c r="K15" s="11"/>
      <c r="M15" s="146"/>
      <c r="N15" s="146"/>
      <c r="O15" s="146"/>
      <c r="P15" s="146"/>
      <c r="Q15" s="146"/>
      <c r="R15" s="146"/>
      <c r="T15" s="36"/>
      <c r="U15" s="36"/>
    </row>
    <row r="16" spans="1:21">
      <c r="A16" s="16"/>
      <c r="B16" s="30"/>
      <c r="C16" s="16"/>
      <c r="D16" s="16"/>
      <c r="E16" s="16"/>
      <c r="F16" s="16"/>
      <c r="G16" s="16"/>
      <c r="H16" s="16"/>
      <c r="I16" s="16"/>
      <c r="J16" s="11"/>
      <c r="K16" s="11"/>
      <c r="M16" s="146"/>
      <c r="N16" s="146"/>
      <c r="O16" s="146"/>
      <c r="P16" s="146"/>
      <c r="Q16" s="146"/>
      <c r="R16" s="146"/>
      <c r="T16" s="36"/>
      <c r="U16" s="36"/>
    </row>
    <row r="17" spans="1:21">
      <c r="A17" s="16"/>
      <c r="B17" s="16"/>
      <c r="C17" s="16"/>
      <c r="D17" s="16"/>
      <c r="E17" s="16"/>
      <c r="F17" s="16"/>
      <c r="G17" s="16"/>
      <c r="H17" s="16"/>
      <c r="I17" s="16"/>
      <c r="J17" s="11"/>
      <c r="K17" s="11"/>
      <c r="M17" s="146"/>
      <c r="N17" s="146"/>
      <c r="O17" s="146"/>
      <c r="P17" s="146"/>
      <c r="Q17" s="146"/>
      <c r="R17" s="146"/>
      <c r="T17" s="36"/>
      <c r="U17" s="36"/>
    </row>
    <row r="18" spans="1:21">
      <c r="A18" s="11"/>
      <c r="B18" s="11"/>
      <c r="C18" s="11"/>
      <c r="D18" s="11"/>
      <c r="E18" s="11"/>
      <c r="F18" s="11"/>
      <c r="G18" s="11"/>
      <c r="H18" s="11"/>
      <c r="I18" s="11"/>
      <c r="J18" s="11"/>
      <c r="K18" s="11"/>
      <c r="M18" s="146"/>
      <c r="N18" s="146"/>
      <c r="O18" s="146"/>
      <c r="P18" s="146"/>
      <c r="Q18" s="146"/>
      <c r="R18" s="146"/>
      <c r="T18" s="36"/>
      <c r="U18" s="36"/>
    </row>
    <row r="19" spans="1:21">
      <c r="A19" s="11"/>
      <c r="B19" s="11"/>
      <c r="C19" s="11"/>
      <c r="D19" s="11"/>
      <c r="E19" s="11"/>
      <c r="F19" s="11"/>
      <c r="G19" s="11"/>
      <c r="H19" s="11"/>
      <c r="I19" s="11"/>
      <c r="J19" s="11"/>
      <c r="K19" s="11"/>
      <c r="M19" s="146"/>
      <c r="N19" s="146"/>
      <c r="O19" s="146"/>
      <c r="P19" s="146"/>
      <c r="Q19" s="146"/>
      <c r="R19" s="146"/>
      <c r="T19" s="36"/>
      <c r="U19" s="36"/>
    </row>
    <row r="20" spans="1:21">
      <c r="A20" s="11"/>
      <c r="B20" s="11"/>
      <c r="C20" s="11"/>
      <c r="D20" s="11"/>
      <c r="E20" s="11"/>
      <c r="F20" s="11"/>
      <c r="G20" s="11"/>
      <c r="H20" s="11"/>
      <c r="I20" s="11"/>
      <c r="J20" s="11"/>
      <c r="K20" s="11"/>
      <c r="L20" s="11"/>
      <c r="M20" s="420"/>
      <c r="N20" s="421"/>
      <c r="O20" s="421"/>
      <c r="P20" s="421"/>
      <c r="Q20" s="421"/>
      <c r="R20" s="421"/>
      <c r="S20" s="36"/>
      <c r="T20" s="36"/>
      <c r="U20" s="36"/>
    </row>
    <row r="21" spans="1:21">
      <c r="A21" s="11"/>
      <c r="B21" s="11"/>
      <c r="C21" s="11"/>
      <c r="D21" s="11"/>
      <c r="E21" s="11"/>
      <c r="F21" s="11"/>
      <c r="G21" s="11"/>
      <c r="H21" s="11"/>
      <c r="I21" s="11"/>
      <c r="J21" s="11"/>
      <c r="K21" s="11"/>
      <c r="L21" s="11"/>
      <c r="M21" s="420"/>
      <c r="N21" s="420"/>
      <c r="O21" s="420"/>
      <c r="P21" s="420"/>
      <c r="Q21" s="420"/>
      <c r="R21" s="420"/>
      <c r="S21" s="36"/>
      <c r="T21" s="36"/>
      <c r="U21" s="36"/>
    </row>
    <row r="22" spans="1:21">
      <c r="A22" s="11"/>
      <c r="B22" s="11"/>
      <c r="C22" s="11"/>
      <c r="D22" s="11"/>
      <c r="E22" s="11"/>
      <c r="F22" s="11"/>
      <c r="G22" s="11"/>
      <c r="H22" s="11"/>
      <c r="I22" s="11"/>
      <c r="J22" s="11"/>
      <c r="K22" s="11"/>
      <c r="L22" s="11"/>
      <c r="M22" s="420"/>
      <c r="N22" s="420"/>
      <c r="O22" s="420"/>
      <c r="P22" s="420"/>
      <c r="Q22" s="420"/>
      <c r="R22" s="420"/>
      <c r="S22" s="36"/>
      <c r="T22" s="36"/>
      <c r="U22" s="36"/>
    </row>
    <row r="23" spans="1:21" ht="66" customHeight="1">
      <c r="A23" s="596" t="s">
        <v>530</v>
      </c>
      <c r="B23" s="596"/>
      <c r="C23" s="596"/>
      <c r="D23" s="596"/>
      <c r="E23" s="596"/>
      <c r="F23" s="596"/>
      <c r="G23" s="596"/>
      <c r="H23" s="596"/>
      <c r="I23" s="596"/>
      <c r="J23" s="596"/>
      <c r="K23" s="596"/>
      <c r="L23" s="11"/>
      <c r="M23" s="420"/>
      <c r="N23" s="420"/>
      <c r="O23" s="420"/>
      <c r="P23" s="420"/>
      <c r="Q23" s="420"/>
      <c r="R23" s="420"/>
      <c r="S23" s="36"/>
      <c r="T23" s="36"/>
      <c r="U23" s="36"/>
    </row>
    <row r="24" spans="1:21">
      <c r="A24" s="11"/>
      <c r="B24" s="11"/>
      <c r="C24" s="11"/>
      <c r="D24" s="11"/>
      <c r="E24" s="11"/>
      <c r="F24" s="11"/>
      <c r="G24" s="11"/>
      <c r="H24" s="11"/>
      <c r="I24" s="11"/>
      <c r="J24" s="11"/>
      <c r="K24" s="11"/>
      <c r="L24" s="11"/>
      <c r="M24" s="36"/>
      <c r="N24" s="36"/>
      <c r="O24" s="36"/>
      <c r="P24" s="36"/>
      <c r="Q24" s="36"/>
      <c r="R24" s="36"/>
      <c r="S24" s="36"/>
      <c r="T24" s="36"/>
      <c r="U24" s="36"/>
    </row>
    <row r="25" spans="1:21">
      <c r="A25" s="591" t="s">
        <v>27</v>
      </c>
      <c r="B25" s="591"/>
      <c r="C25" s="591"/>
      <c r="D25" s="591"/>
      <c r="E25" s="591"/>
      <c r="F25" s="591"/>
      <c r="G25" s="591"/>
      <c r="H25" s="591"/>
      <c r="I25" s="591"/>
      <c r="J25" s="591"/>
      <c r="K25" s="591"/>
      <c r="L25" s="11"/>
      <c r="M25" s="191"/>
      <c r="N25" s="36"/>
      <c r="O25" s="36"/>
      <c r="P25" s="36"/>
      <c r="Q25" s="36"/>
      <c r="R25" s="36"/>
      <c r="S25" s="36"/>
      <c r="T25" s="36"/>
      <c r="U25" s="36"/>
    </row>
    <row r="26" spans="1:21" ht="19.5" customHeight="1">
      <c r="A26" s="20" t="s">
        <v>0</v>
      </c>
      <c r="B26" s="597" t="s">
        <v>28</v>
      </c>
      <c r="C26" s="598"/>
      <c r="D26" s="597" t="s">
        <v>29</v>
      </c>
      <c r="E26" s="598"/>
      <c r="F26" s="597" t="s">
        <v>19</v>
      </c>
      <c r="G26" s="598"/>
      <c r="H26" s="597" t="s">
        <v>20</v>
      </c>
      <c r="I26" s="598"/>
      <c r="J26" s="597" t="s">
        <v>30</v>
      </c>
      <c r="K26" s="599"/>
      <c r="L26" s="11"/>
      <c r="M26" s="192"/>
      <c r="N26" s="36"/>
      <c r="O26" s="36"/>
      <c r="P26" s="36"/>
      <c r="Q26" s="36"/>
      <c r="R26" s="36"/>
      <c r="S26" s="36"/>
      <c r="T26" s="36"/>
      <c r="U26" s="36"/>
    </row>
    <row r="27" spans="1:21" ht="19.5" customHeight="1">
      <c r="A27" s="31" t="s">
        <v>31</v>
      </c>
      <c r="B27" s="14" t="s">
        <v>32</v>
      </c>
      <c r="C27" s="14" t="s">
        <v>33</v>
      </c>
      <c r="D27" s="14" t="s">
        <v>34</v>
      </c>
      <c r="E27" s="14" t="s">
        <v>33</v>
      </c>
      <c r="F27" s="14" t="s">
        <v>34</v>
      </c>
      <c r="G27" s="14" t="s">
        <v>33</v>
      </c>
      <c r="H27" s="14" t="s">
        <v>34</v>
      </c>
      <c r="I27" s="14" t="s">
        <v>33</v>
      </c>
      <c r="J27" s="14" t="s">
        <v>34</v>
      </c>
      <c r="K27" s="15" t="s">
        <v>33</v>
      </c>
      <c r="L27" s="11"/>
      <c r="M27" s="36"/>
      <c r="N27" s="36"/>
      <c r="O27" s="36"/>
      <c r="P27" s="36"/>
      <c r="Q27" s="36"/>
      <c r="R27" s="36"/>
      <c r="S27" s="36"/>
      <c r="T27" s="16"/>
      <c r="U27" s="36"/>
    </row>
    <row r="28" spans="1:21" ht="19.5" customHeight="1">
      <c r="A28" s="388" t="s">
        <v>53</v>
      </c>
      <c r="B28" s="386">
        <v>51439038</v>
      </c>
      <c r="C28" s="387">
        <v>100</v>
      </c>
      <c r="D28" s="386">
        <v>15762614</v>
      </c>
      <c r="E28" s="387">
        <v>100</v>
      </c>
      <c r="F28" s="386">
        <v>1028051</v>
      </c>
      <c r="G28" s="387">
        <v>100</v>
      </c>
      <c r="H28" s="386">
        <v>4878023</v>
      </c>
      <c r="I28" s="387">
        <v>100</v>
      </c>
      <c r="J28" s="386">
        <v>9856540</v>
      </c>
      <c r="K28" s="387">
        <v>100</v>
      </c>
      <c r="L28" s="11"/>
      <c r="M28" s="36"/>
      <c r="N28" s="36"/>
      <c r="O28" s="36"/>
      <c r="P28" s="36"/>
      <c r="Q28" s="36"/>
      <c r="R28" s="36"/>
      <c r="S28" s="36"/>
      <c r="T28" s="16"/>
      <c r="U28" s="16"/>
    </row>
    <row r="29" spans="1:21" ht="19.5" customHeight="1">
      <c r="A29" s="389" t="s">
        <v>35</v>
      </c>
      <c r="B29" s="314">
        <v>2062591</v>
      </c>
      <c r="C29" s="513">
        <v>4.0097775545491343</v>
      </c>
      <c r="D29" s="314">
        <v>1407326</v>
      </c>
      <c r="E29" s="514">
        <v>8.9282526362695922</v>
      </c>
      <c r="F29" s="314">
        <v>236071</v>
      </c>
      <c r="G29" s="515">
        <v>22.962965845079669</v>
      </c>
      <c r="H29" s="314">
        <v>621821</v>
      </c>
      <c r="I29" s="514">
        <v>12.747397869997743</v>
      </c>
      <c r="J29" s="314">
        <v>549434</v>
      </c>
      <c r="K29" s="514">
        <v>5.5743090374512763</v>
      </c>
      <c r="L29" s="178"/>
      <c r="M29" s="183"/>
      <c r="N29" s="183"/>
      <c r="O29" s="183"/>
      <c r="P29" s="183"/>
      <c r="Q29" s="184"/>
      <c r="R29" s="384"/>
      <c r="S29" s="184"/>
      <c r="T29" s="16"/>
      <c r="U29" s="16"/>
    </row>
    <row r="30" spans="1:21" ht="19.5" customHeight="1">
      <c r="A30" s="389" t="s">
        <v>36</v>
      </c>
      <c r="B30" s="314">
        <v>1737284</v>
      </c>
      <c r="C30" s="513">
        <v>3.3773648721813188</v>
      </c>
      <c r="D30" s="314">
        <v>364910</v>
      </c>
      <c r="E30" s="514">
        <v>2.3150348032375851</v>
      </c>
      <c r="F30" s="314">
        <v>42063</v>
      </c>
      <c r="G30" s="515">
        <v>4.0915285331175202</v>
      </c>
      <c r="H30" s="314">
        <v>141495</v>
      </c>
      <c r="I30" s="514">
        <v>2.9006628300030566</v>
      </c>
      <c r="J30" s="314">
        <v>181352</v>
      </c>
      <c r="K30" s="514">
        <v>1.8399154267116045</v>
      </c>
      <c r="L30" s="178"/>
      <c r="M30" s="183"/>
      <c r="N30" s="183"/>
      <c r="O30" s="183"/>
      <c r="P30" s="183"/>
      <c r="Q30" s="184"/>
      <c r="R30" s="384"/>
      <c r="S30" s="184"/>
      <c r="T30" s="16"/>
      <c r="U30" s="16"/>
    </row>
    <row r="31" spans="1:21" ht="19.5" customHeight="1">
      <c r="A31" s="389" t="s">
        <v>37</v>
      </c>
      <c r="B31" s="314">
        <v>2010679</v>
      </c>
      <c r="C31" s="513">
        <v>3.9088580933414816</v>
      </c>
      <c r="D31" s="314">
        <v>550984</v>
      </c>
      <c r="E31" s="514">
        <v>3.4955115947139221</v>
      </c>
      <c r="F31" s="314">
        <v>64991</v>
      </c>
      <c r="G31" s="515">
        <v>6.3217680834900216</v>
      </c>
      <c r="H31" s="314">
        <v>204513</v>
      </c>
      <c r="I31" s="514">
        <v>4.1925386575668053</v>
      </c>
      <c r="J31" s="314">
        <v>281480</v>
      </c>
      <c r="K31" s="514">
        <v>2.8557688600665143</v>
      </c>
      <c r="L31" s="178"/>
      <c r="M31" s="183"/>
      <c r="N31" s="183"/>
      <c r="O31" s="183"/>
      <c r="P31" s="183"/>
      <c r="Q31" s="184"/>
      <c r="R31" s="384"/>
      <c r="S31" s="184"/>
      <c r="T31" s="16"/>
      <c r="U31" s="16"/>
    </row>
    <row r="32" spans="1:21" ht="19.5" customHeight="1">
      <c r="A32" s="389" t="s">
        <v>38</v>
      </c>
      <c r="B32" s="314">
        <v>2261447</v>
      </c>
      <c r="C32" s="513">
        <v>4.396363322346736</v>
      </c>
      <c r="D32" s="314">
        <v>391525</v>
      </c>
      <c r="E32" s="514">
        <v>2.4838837010155803</v>
      </c>
      <c r="F32" s="314">
        <v>30368</v>
      </c>
      <c r="G32" s="515">
        <v>2.9</v>
      </c>
      <c r="H32" s="314">
        <v>147796</v>
      </c>
      <c r="I32" s="514">
        <v>3.0298340126727568</v>
      </c>
      <c r="J32" s="314">
        <v>213361</v>
      </c>
      <c r="K32" s="514">
        <v>2.1646642736700707</v>
      </c>
      <c r="L32" s="178"/>
      <c r="M32" s="183"/>
      <c r="N32" s="383"/>
      <c r="O32" s="183"/>
      <c r="P32" s="183"/>
      <c r="Q32" s="184"/>
      <c r="R32" s="384"/>
      <c r="S32" s="184"/>
      <c r="T32" s="16"/>
      <c r="U32" s="16"/>
    </row>
    <row r="33" spans="1:21" ht="19.5" customHeight="1">
      <c r="A33" s="389" t="s">
        <v>39</v>
      </c>
      <c r="B33" s="314">
        <v>1356371</v>
      </c>
      <c r="C33" s="513">
        <v>2.6368514123456195</v>
      </c>
      <c r="D33" s="314">
        <v>339126</v>
      </c>
      <c r="E33" s="514">
        <v>2.1514578736750134</v>
      </c>
      <c r="F33" s="314">
        <v>29736</v>
      </c>
      <c r="G33" s="515">
        <v>2.8924635061879225</v>
      </c>
      <c r="H33" s="314">
        <v>134830</v>
      </c>
      <c r="I33" s="514">
        <v>2.7640296078964779</v>
      </c>
      <c r="J33" s="314">
        <v>174560</v>
      </c>
      <c r="K33" s="514">
        <v>1.7710068644777983</v>
      </c>
      <c r="L33" s="178"/>
      <c r="M33" s="183"/>
      <c r="N33" s="183"/>
      <c r="O33" s="183"/>
      <c r="P33" s="183"/>
      <c r="Q33" s="184"/>
      <c r="R33" s="384"/>
      <c r="S33" s="184"/>
      <c r="T33" s="16"/>
      <c r="U33" s="16"/>
    </row>
    <row r="34" spans="1:21" ht="19.5" customHeight="1">
      <c r="A34" s="389" t="s">
        <v>40</v>
      </c>
      <c r="B34" s="314">
        <v>3589775</v>
      </c>
      <c r="C34" s="513">
        <v>6.978697774246867</v>
      </c>
      <c r="D34" s="314">
        <v>1065086</v>
      </c>
      <c r="E34" s="514">
        <v>6.7570391560689114</v>
      </c>
      <c r="F34" s="314">
        <v>48129</v>
      </c>
      <c r="G34" s="515">
        <v>4.6815770812926596</v>
      </c>
      <c r="H34" s="314">
        <v>292647</v>
      </c>
      <c r="I34" s="514">
        <v>5.999295206275165</v>
      </c>
      <c r="J34" s="314">
        <v>724310</v>
      </c>
      <c r="K34" s="514">
        <v>7.3485218951072078</v>
      </c>
      <c r="L34" s="178"/>
      <c r="M34" s="183"/>
      <c r="N34" s="183"/>
      <c r="O34" s="183"/>
      <c r="P34" s="183"/>
      <c r="Q34" s="184"/>
      <c r="R34" s="384"/>
      <c r="S34" s="184"/>
      <c r="T34" s="16"/>
      <c r="U34" s="16"/>
    </row>
    <row r="35" spans="1:21" ht="19.5" customHeight="1">
      <c r="A35" s="389" t="s">
        <v>41</v>
      </c>
      <c r="B35" s="314">
        <v>4241709</v>
      </c>
      <c r="C35" s="513">
        <v>8.3000000000000007</v>
      </c>
      <c r="D35" s="314">
        <v>1279533</v>
      </c>
      <c r="E35" s="514">
        <v>8.11751781779342</v>
      </c>
      <c r="F35" s="314">
        <v>70191</v>
      </c>
      <c r="G35" s="515">
        <v>6.827579565605209</v>
      </c>
      <c r="H35" s="314">
        <v>404099</v>
      </c>
      <c r="I35" s="514">
        <v>8.2840732813272915</v>
      </c>
      <c r="J35" s="314">
        <v>805243</v>
      </c>
      <c r="K35" s="514">
        <v>8.1696315339865713</v>
      </c>
      <c r="L35" s="383"/>
      <c r="M35" s="183"/>
      <c r="N35" s="183"/>
      <c r="O35" s="183"/>
      <c r="P35" s="183"/>
      <c r="Q35" s="184"/>
      <c r="R35" s="384"/>
      <c r="S35" s="184"/>
      <c r="T35" s="16"/>
      <c r="U35" s="16"/>
    </row>
    <row r="36" spans="1:21" ht="19.5" customHeight="1">
      <c r="A36" s="389" t="s">
        <v>42</v>
      </c>
      <c r="B36" s="314">
        <v>8767518</v>
      </c>
      <c r="C36" s="513">
        <v>17.04448283033598</v>
      </c>
      <c r="D36" s="314">
        <v>2491569</v>
      </c>
      <c r="E36" s="514">
        <v>15.806826202811287</v>
      </c>
      <c r="F36" s="314">
        <v>124054</v>
      </c>
      <c r="G36" s="515">
        <v>12.066911077368729</v>
      </c>
      <c r="H36" s="314">
        <v>679117</v>
      </c>
      <c r="I36" s="514">
        <v>13.92197207762243</v>
      </c>
      <c r="J36" s="314">
        <v>1688398</v>
      </c>
      <c r="K36" s="514">
        <v>17.12972300624763</v>
      </c>
      <c r="L36" s="178"/>
      <c r="M36" s="183"/>
      <c r="N36" s="183"/>
      <c r="O36" s="183"/>
      <c r="P36" s="183"/>
      <c r="Q36" s="184"/>
      <c r="R36" s="384"/>
      <c r="S36" s="184"/>
      <c r="T36" s="16"/>
      <c r="U36" s="16"/>
    </row>
    <row r="37" spans="1:21" ht="19.5" customHeight="1">
      <c r="A37" s="389" t="s">
        <v>43</v>
      </c>
      <c r="B37" s="314">
        <v>1494242</v>
      </c>
      <c r="C37" s="513">
        <v>2.9048793641902866</v>
      </c>
      <c r="D37" s="314">
        <v>537293</v>
      </c>
      <c r="E37" s="514">
        <v>3.4086541737303215</v>
      </c>
      <c r="F37" s="314">
        <v>20486</v>
      </c>
      <c r="G37" s="515">
        <v>1.9927026966560999</v>
      </c>
      <c r="H37" s="314">
        <v>123318</v>
      </c>
      <c r="I37" s="514">
        <v>2.528032360651026</v>
      </c>
      <c r="J37" s="314">
        <v>393489</v>
      </c>
      <c r="K37" s="514">
        <v>3.9921615495904241</v>
      </c>
      <c r="L37" s="178"/>
      <c r="M37" s="183"/>
      <c r="N37" s="183"/>
      <c r="O37" s="183"/>
      <c r="P37" s="183"/>
      <c r="Q37" s="184"/>
      <c r="R37" s="384"/>
      <c r="S37" s="184"/>
      <c r="T37" s="16"/>
      <c r="U37" s="16"/>
    </row>
    <row r="38" spans="1:21" ht="19.5" customHeight="1">
      <c r="A38" s="389" t="s">
        <v>44</v>
      </c>
      <c r="B38" s="314">
        <v>3952700</v>
      </c>
      <c r="C38" s="513">
        <v>7.6842416843021049</v>
      </c>
      <c r="D38" s="314">
        <v>1250516</v>
      </c>
      <c r="E38" s="514">
        <v>7.9334303307814293</v>
      </c>
      <c r="F38" s="314">
        <v>56358</v>
      </c>
      <c r="G38" s="515">
        <v>5.4820237517399431</v>
      </c>
      <c r="H38" s="314">
        <v>342509</v>
      </c>
      <c r="I38" s="514">
        <v>7.0214716084774507</v>
      </c>
      <c r="J38" s="314">
        <v>851649</v>
      </c>
      <c r="K38" s="514">
        <v>8.640445835962721</v>
      </c>
      <c r="L38" s="178"/>
      <c r="M38" s="183"/>
      <c r="N38" s="183"/>
      <c r="O38" s="183"/>
      <c r="P38" s="183"/>
      <c r="Q38" s="184"/>
      <c r="R38" s="384"/>
      <c r="S38" s="184"/>
      <c r="T38" s="16"/>
      <c r="U38" s="16"/>
    </row>
    <row r="39" spans="1:21" ht="19.5" customHeight="1">
      <c r="A39" s="389" t="s">
        <v>45</v>
      </c>
      <c r="B39" s="314">
        <v>1595058</v>
      </c>
      <c r="C39" s="513">
        <v>3.1008705878208689</v>
      </c>
      <c r="D39" s="314">
        <v>537984</v>
      </c>
      <c r="E39" s="514">
        <v>3.4130379643883941</v>
      </c>
      <c r="F39" s="314">
        <v>21075</v>
      </c>
      <c r="G39" s="515">
        <v>2.0499955741495315</v>
      </c>
      <c r="H39" s="314">
        <v>133589</v>
      </c>
      <c r="I39" s="514">
        <v>2.7385889734427247</v>
      </c>
      <c r="J39" s="314">
        <v>383320</v>
      </c>
      <c r="K39" s="514">
        <v>3.8889914716523242</v>
      </c>
      <c r="L39" s="178"/>
      <c r="M39" s="183"/>
      <c r="N39" s="183"/>
      <c r="O39" s="183"/>
      <c r="P39" s="183"/>
      <c r="Q39" s="184"/>
      <c r="R39" s="384"/>
      <c r="S39" s="184"/>
      <c r="T39" s="16"/>
      <c r="U39" s="16"/>
    </row>
    <row r="40" spans="1:21" ht="19.5" customHeight="1">
      <c r="A40" s="389" t="s">
        <v>46</v>
      </c>
      <c r="B40" s="314">
        <v>4964183</v>
      </c>
      <c r="C40" s="513">
        <v>9.6506139947640541</v>
      </c>
      <c r="D40" s="314">
        <v>1385542</v>
      </c>
      <c r="E40" s="514">
        <v>8.7900522083456458</v>
      </c>
      <c r="F40" s="314">
        <v>70981</v>
      </c>
      <c r="G40" s="515">
        <v>6.9044240023111696</v>
      </c>
      <c r="H40" s="314">
        <v>402313</v>
      </c>
      <c r="I40" s="514">
        <v>8.247460087826564</v>
      </c>
      <c r="J40" s="314">
        <v>912248</v>
      </c>
      <c r="K40" s="514">
        <v>9.255255901158014</v>
      </c>
      <c r="L40" s="178"/>
      <c r="M40" s="183"/>
      <c r="N40" s="183"/>
      <c r="O40" s="183"/>
      <c r="P40" s="183"/>
      <c r="Q40" s="184"/>
      <c r="R40" s="384"/>
      <c r="S40" s="184"/>
      <c r="T40" s="16"/>
      <c r="U40" s="16"/>
    </row>
    <row r="41" spans="1:21" ht="19.5" customHeight="1">
      <c r="A41" s="389" t="s">
        <v>47</v>
      </c>
      <c r="B41" s="314">
        <v>3317812</v>
      </c>
      <c r="C41" s="513">
        <v>6.5</v>
      </c>
      <c r="D41" s="314">
        <v>878256</v>
      </c>
      <c r="E41" s="514">
        <v>5.5717662057828736</v>
      </c>
      <c r="F41" s="314">
        <v>61627</v>
      </c>
      <c r="G41" s="515">
        <v>5.9945469631370427</v>
      </c>
      <c r="H41" s="314">
        <v>343794</v>
      </c>
      <c r="I41" s="514">
        <v>7.1</v>
      </c>
      <c r="J41" s="314">
        <v>472835</v>
      </c>
      <c r="K41" s="514">
        <v>4.7971702037428958</v>
      </c>
      <c r="L41" s="383"/>
      <c r="M41" s="183"/>
      <c r="N41" s="183"/>
      <c r="O41" s="383"/>
      <c r="P41" s="183"/>
      <c r="Q41" s="184"/>
      <c r="R41" s="384"/>
      <c r="S41" s="184"/>
      <c r="T41" s="16"/>
      <c r="U41" s="16"/>
    </row>
    <row r="42" spans="1:21" ht="19.5" customHeight="1">
      <c r="A42" s="389" t="s">
        <v>48</v>
      </c>
      <c r="B42" s="314">
        <v>1464455</v>
      </c>
      <c r="C42" s="513">
        <v>2.8469719826408881</v>
      </c>
      <c r="D42" s="314">
        <v>366324</v>
      </c>
      <c r="E42" s="514">
        <v>2.3240053965668386</v>
      </c>
      <c r="F42" s="314">
        <v>21000</v>
      </c>
      <c r="G42" s="515">
        <v>2.0427002162344086</v>
      </c>
      <c r="H42" s="314">
        <v>126553</v>
      </c>
      <c r="I42" s="514">
        <v>2.5943502111408661</v>
      </c>
      <c r="J42" s="314">
        <v>218771</v>
      </c>
      <c r="K42" s="514">
        <v>2.2195516885235587</v>
      </c>
      <c r="L42" s="178"/>
      <c r="M42" s="183"/>
      <c r="N42" s="183"/>
      <c r="O42" s="183"/>
      <c r="P42" s="183"/>
      <c r="Q42" s="184"/>
      <c r="R42" s="184"/>
      <c r="S42" s="184"/>
      <c r="T42" s="16"/>
      <c r="U42" s="16"/>
    </row>
    <row r="43" spans="1:21" ht="19.5" customHeight="1">
      <c r="A43" s="389" t="s">
        <v>49</v>
      </c>
      <c r="B43" s="314">
        <v>2926701</v>
      </c>
      <c r="C43" s="513">
        <v>5.6896495614867444</v>
      </c>
      <c r="D43" s="314">
        <v>933765</v>
      </c>
      <c r="E43" s="514">
        <v>5.9239222631474702</v>
      </c>
      <c r="F43" s="314">
        <v>42097</v>
      </c>
      <c r="G43" s="515">
        <v>4.0948357620390432</v>
      </c>
      <c r="H43" s="314">
        <v>262247</v>
      </c>
      <c r="I43" s="514">
        <v>5.3760919126457587</v>
      </c>
      <c r="J43" s="314">
        <v>629421</v>
      </c>
      <c r="K43" s="514">
        <v>6.3858209878923029</v>
      </c>
      <c r="L43" s="178"/>
      <c r="M43" s="183"/>
      <c r="N43" s="183"/>
      <c r="O43" s="183"/>
      <c r="P43" s="183"/>
      <c r="Q43" s="184"/>
      <c r="R43" s="184"/>
      <c r="S43" s="184"/>
      <c r="T43" s="16"/>
      <c r="U43" s="16"/>
    </row>
    <row r="44" spans="1:21" ht="19.5" customHeight="1">
      <c r="A44" s="389" t="s">
        <v>50</v>
      </c>
      <c r="B44" s="314">
        <v>3248747</v>
      </c>
      <c r="C44" s="513">
        <v>6.3157227007239136</v>
      </c>
      <c r="D44" s="314">
        <v>1118727</v>
      </c>
      <c r="E44" s="514">
        <v>7.0973443871682713</v>
      </c>
      <c r="F44" s="314">
        <v>50157</v>
      </c>
      <c r="G44" s="515">
        <v>4.8788435593175823</v>
      </c>
      <c r="H44" s="314">
        <v>285810</v>
      </c>
      <c r="I44" s="514">
        <v>5.8591359655335777</v>
      </c>
      <c r="J44" s="314">
        <v>782760</v>
      </c>
      <c r="K44" s="514">
        <v>7.9415291775815859</v>
      </c>
      <c r="L44" s="178"/>
      <c r="M44" s="183"/>
      <c r="N44" s="183"/>
      <c r="O44" s="183"/>
      <c r="P44" s="183"/>
      <c r="Q44" s="184"/>
      <c r="R44" s="184"/>
      <c r="S44" s="184"/>
      <c r="T44" s="16"/>
      <c r="U44" s="16"/>
    </row>
    <row r="45" spans="1:21" ht="19.5" customHeight="1">
      <c r="A45" s="389" t="s">
        <v>51</v>
      </c>
      <c r="B45" s="314">
        <v>1769607</v>
      </c>
      <c r="C45" s="513">
        <v>3.4402023614827324</v>
      </c>
      <c r="D45" s="314">
        <v>600389</v>
      </c>
      <c r="E45" s="514">
        <v>3.808943110577979</v>
      </c>
      <c r="F45" s="314">
        <v>25676</v>
      </c>
      <c r="G45" s="515">
        <v>2.4975414643826035</v>
      </c>
      <c r="H45" s="314">
        <v>159013</v>
      </c>
      <c r="I45" s="514">
        <v>3.2597837279570023</v>
      </c>
      <c r="J45" s="314">
        <v>415700</v>
      </c>
      <c r="K45" s="514">
        <v>4.2175043169306878</v>
      </c>
      <c r="L45" s="178"/>
      <c r="M45" s="183"/>
      <c r="N45" s="183"/>
      <c r="O45" s="183"/>
      <c r="P45" s="183"/>
      <c r="Q45" s="184"/>
      <c r="R45" s="184"/>
      <c r="S45" s="184"/>
      <c r="T45" s="16"/>
      <c r="U45" s="16"/>
    </row>
    <row r="46" spans="1:21" ht="19.5" customHeight="1">
      <c r="A46" s="390" t="s">
        <v>52</v>
      </c>
      <c r="B46" s="516">
        <v>678159</v>
      </c>
      <c r="C46" s="517">
        <v>1.3183741888796598</v>
      </c>
      <c r="D46" s="516">
        <v>263759</v>
      </c>
      <c r="E46" s="518">
        <v>1.6733201739254671</v>
      </c>
      <c r="F46" s="519">
        <v>12991</v>
      </c>
      <c r="G46" s="520">
        <v>1.2636532623381524</v>
      </c>
      <c r="H46" s="519">
        <v>72559</v>
      </c>
      <c r="I46" s="518">
        <v>1.4874673612650042</v>
      </c>
      <c r="J46" s="519">
        <v>178209</v>
      </c>
      <c r="K46" s="518">
        <v>1.8080279692468146</v>
      </c>
      <c r="L46" s="178"/>
      <c r="M46" s="183"/>
      <c r="N46" s="183"/>
      <c r="O46" s="183"/>
      <c r="P46" s="183"/>
      <c r="Q46" s="184"/>
      <c r="R46" s="184"/>
      <c r="S46" s="184"/>
      <c r="T46" s="16"/>
      <c r="U46" s="16"/>
    </row>
    <row r="47" spans="1:21" ht="12.75" customHeight="1">
      <c r="A47" s="32" t="s">
        <v>415</v>
      </c>
      <c r="B47" s="11"/>
      <c r="C47" s="11"/>
      <c r="D47" s="11"/>
      <c r="E47" s="11"/>
      <c r="F47" s="11"/>
      <c r="G47" s="11"/>
      <c r="H47" s="11"/>
      <c r="I47" s="11"/>
      <c r="J47" s="11"/>
      <c r="K47" s="107"/>
      <c r="L47" s="178"/>
      <c r="M47" s="178"/>
      <c r="N47" s="178"/>
      <c r="O47" s="178"/>
      <c r="P47" s="178"/>
      <c r="Q47" s="112"/>
      <c r="R47" s="36"/>
      <c r="S47" s="36"/>
      <c r="T47" s="36"/>
      <c r="U47" s="16"/>
    </row>
    <row r="48" spans="1:21" ht="12.75" customHeight="1">
      <c r="A48" s="32" t="s">
        <v>531</v>
      </c>
      <c r="B48" s="11"/>
      <c r="C48" s="11"/>
      <c r="D48" s="11"/>
      <c r="E48" s="11"/>
      <c r="F48" s="11"/>
      <c r="G48" s="11"/>
      <c r="H48" s="11"/>
      <c r="I48" s="11"/>
      <c r="J48" s="11"/>
      <c r="K48" s="11"/>
      <c r="L48" s="11"/>
      <c r="M48" s="36"/>
      <c r="N48" s="41"/>
      <c r="O48" s="41"/>
      <c r="P48" s="41"/>
      <c r="Q48" s="41"/>
      <c r="R48" s="41"/>
      <c r="S48" s="41"/>
      <c r="T48" s="41"/>
      <c r="U48" s="36"/>
    </row>
    <row r="49" spans="1:21" ht="12.75" customHeight="1">
      <c r="A49" s="10" t="s">
        <v>520</v>
      </c>
      <c r="B49" s="11"/>
      <c r="C49" s="11"/>
      <c r="D49" s="33"/>
      <c r="E49" s="33"/>
      <c r="F49" s="33"/>
      <c r="G49" s="11"/>
      <c r="H49" s="11"/>
      <c r="I49" s="11"/>
      <c r="J49" s="11"/>
      <c r="K49" s="11"/>
      <c r="L49" s="11"/>
      <c r="M49" s="36"/>
      <c r="N49" s="41"/>
      <c r="O49" s="41"/>
      <c r="P49" s="41"/>
      <c r="Q49" s="41"/>
      <c r="R49" s="41"/>
      <c r="S49" s="41"/>
      <c r="T49" s="41"/>
      <c r="U49" s="36"/>
    </row>
    <row r="50" spans="1:21">
      <c r="A50" s="8"/>
      <c r="B50" s="8"/>
      <c r="C50" s="8"/>
      <c r="D50" s="8"/>
      <c r="E50" s="8"/>
      <c r="F50" s="8"/>
      <c r="G50" s="8"/>
      <c r="H50" s="8"/>
      <c r="I50" s="8"/>
      <c r="J50" s="8"/>
      <c r="K50" s="8"/>
      <c r="L50" s="8"/>
      <c r="M50" s="41"/>
      <c r="N50" s="41"/>
      <c r="O50" s="41"/>
      <c r="P50" s="41"/>
      <c r="Q50" s="41"/>
      <c r="R50" s="41"/>
      <c r="S50" s="41"/>
      <c r="T50" s="41"/>
      <c r="U50" s="41"/>
    </row>
  </sheetData>
  <sheetProtection algorithmName="SHA-512" hashValue="l/kN0zdTAklFubaNmBn+u/ZvfvwBMEw6XZKr4gXTuYr79fi/cEwjz5zzGFevuixo3EXIOXKEGjKdX0kK1nk3kA==" saltValue="dd6xq22siStaT5he9qF3Nw==" spinCount="100000" sheet="1" objects="1" scenarios="1"/>
  <mergeCells count="7">
    <mergeCell ref="A23:K23"/>
    <mergeCell ref="A25:K25"/>
    <mergeCell ref="B26:C26"/>
    <mergeCell ref="D26:E26"/>
    <mergeCell ref="F26:G26"/>
    <mergeCell ref="H26:I26"/>
    <mergeCell ref="J26:K26"/>
  </mergeCells>
  <phoneticPr fontId="10" type="noConversion"/>
  <pageMargins left="0.16" right="0.17" top="0.48" bottom="0.26" header="0.3" footer="0.3"/>
  <pageSetup paperSize="9" scale="84" orientation="portrait" verticalDpi="300" r:id="rId1"/>
  <rowBreaks count="1" manualBreakCount="1">
    <brk id="49" max="10"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P48"/>
  <sheetViews>
    <sheetView showGridLines="0" zoomScaleNormal="100" zoomScaleSheetLayoutView="100" workbookViewId="0"/>
  </sheetViews>
  <sheetFormatPr defaultRowHeight="16.5" customHeight="1"/>
  <cols>
    <col min="1" max="10" width="9.375" style="422" customWidth="1"/>
    <col min="11" max="14" width="9.375" style="424" customWidth="1"/>
    <col min="15" max="15" width="18.125" style="423" customWidth="1"/>
    <col min="16" max="16" width="4.875" style="422" customWidth="1"/>
    <col min="17" max="17" width="1.875" style="422" customWidth="1"/>
    <col min="18" max="16384" width="9" style="422"/>
  </cols>
  <sheetData>
    <row r="1" spans="1:16" s="451" customFormat="1" ht="16.5" customHeight="1">
      <c r="A1" s="459"/>
      <c r="B1" s="454" t="s">
        <v>546</v>
      </c>
      <c r="C1" s="459"/>
      <c r="D1" s="459"/>
      <c r="E1" s="459"/>
      <c r="F1" s="431"/>
      <c r="G1" s="431"/>
      <c r="H1" s="459"/>
      <c r="I1" s="459"/>
      <c r="J1" s="459"/>
      <c r="K1" s="458"/>
      <c r="L1" s="458"/>
      <c r="M1" s="457"/>
      <c r="N1" s="457"/>
      <c r="O1" s="456"/>
      <c r="P1" s="455"/>
    </row>
    <row r="2" spans="1:16" s="451" customFormat="1" ht="16.5" customHeight="1">
      <c r="A2" s="437"/>
      <c r="B2" s="454"/>
      <c r="C2" s="437"/>
      <c r="D2" s="437"/>
      <c r="E2" s="437"/>
      <c r="F2" s="435"/>
      <c r="G2" s="435"/>
      <c r="H2" s="437"/>
      <c r="I2" s="437"/>
      <c r="J2" s="437"/>
      <c r="K2" s="453"/>
      <c r="L2" s="453"/>
      <c r="M2" s="453"/>
      <c r="N2" s="453"/>
      <c r="O2" s="452"/>
    </row>
    <row r="3" spans="1:16" ht="16.5" customHeight="1">
      <c r="A3" s="435"/>
      <c r="B3" s="435"/>
      <c r="C3" s="435"/>
      <c r="D3" s="435"/>
      <c r="E3" s="435"/>
      <c r="F3" s="435"/>
      <c r="G3" s="435"/>
      <c r="H3" s="435"/>
      <c r="I3" s="435"/>
      <c r="J3" s="435"/>
      <c r="K3" s="432"/>
      <c r="L3" s="432"/>
      <c r="M3" s="432"/>
      <c r="N3" s="432"/>
      <c r="O3" s="450"/>
    </row>
    <row r="4" spans="1:16" ht="16.5" customHeight="1">
      <c r="A4" s="435"/>
      <c r="B4" s="435"/>
      <c r="C4" s="435"/>
      <c r="D4" s="435"/>
      <c r="E4" s="435"/>
      <c r="F4" s="435"/>
      <c r="G4" s="435"/>
      <c r="H4" s="435"/>
      <c r="I4" s="435"/>
      <c r="J4" s="435"/>
      <c r="K4" s="432"/>
      <c r="L4" s="432"/>
      <c r="M4" s="432"/>
      <c r="N4" s="432"/>
      <c r="O4" s="450"/>
    </row>
    <row r="5" spans="1:16" ht="16.5" customHeight="1">
      <c r="A5" s="435"/>
      <c r="B5" s="435"/>
      <c r="C5" s="435"/>
      <c r="D5" s="435"/>
      <c r="E5" s="435"/>
      <c r="F5" s="435"/>
      <c r="G5" s="435"/>
      <c r="H5" s="435"/>
      <c r="I5" s="435"/>
      <c r="J5" s="435"/>
      <c r="K5" s="434"/>
      <c r="L5" s="433"/>
      <c r="M5" s="432"/>
      <c r="N5" s="432"/>
    </row>
    <row r="6" spans="1:16" ht="16.5" customHeight="1">
      <c r="A6" s="435"/>
      <c r="B6" s="435"/>
      <c r="C6" s="437"/>
      <c r="D6" s="435"/>
      <c r="E6" s="435"/>
      <c r="F6" s="435"/>
      <c r="G6" s="435"/>
      <c r="H6" s="435"/>
      <c r="I6" s="435"/>
      <c r="J6" s="435"/>
      <c r="K6" s="434"/>
      <c r="L6" s="433"/>
      <c r="M6" s="432"/>
      <c r="N6" s="432"/>
    </row>
    <row r="7" spans="1:16" ht="16.5" customHeight="1">
      <c r="A7" s="435"/>
      <c r="B7" s="442" t="s">
        <v>545</v>
      </c>
      <c r="C7" s="449"/>
      <c r="D7" s="435"/>
      <c r="E7" s="435"/>
      <c r="F7" s="435"/>
      <c r="G7" s="435"/>
      <c r="H7" s="435"/>
      <c r="I7" s="435"/>
      <c r="J7" s="435"/>
      <c r="K7" s="434"/>
      <c r="L7" s="433"/>
      <c r="M7" s="432"/>
      <c r="N7" s="432"/>
      <c r="O7" s="422"/>
    </row>
    <row r="8" spans="1:16" ht="16.5" customHeight="1">
      <c r="A8" s="435"/>
      <c r="B8" s="428" t="s">
        <v>535</v>
      </c>
      <c r="C8" s="438">
        <v>0.21584748236789664</v>
      </c>
      <c r="D8" s="435"/>
      <c r="E8" s="435"/>
      <c r="F8" s="435"/>
      <c r="G8" s="435"/>
      <c r="H8" s="435"/>
      <c r="I8" s="442" t="s">
        <v>544</v>
      </c>
      <c r="J8" s="441"/>
      <c r="K8" s="434"/>
      <c r="L8" s="433"/>
      <c r="M8" s="432"/>
      <c r="N8" s="432"/>
      <c r="O8" s="422"/>
    </row>
    <row r="9" spans="1:16" ht="16.5" customHeight="1">
      <c r="A9" s="435"/>
      <c r="B9" s="428" t="s">
        <v>540</v>
      </c>
      <c r="C9" s="438">
        <v>0.22514510071294377</v>
      </c>
      <c r="D9" s="435"/>
      <c r="E9" s="435"/>
      <c r="F9" s="435"/>
      <c r="G9" s="435"/>
      <c r="H9" s="435"/>
      <c r="I9" s="428" t="s">
        <v>537</v>
      </c>
      <c r="J9" s="427">
        <v>0.39513992956804062</v>
      </c>
      <c r="K9" s="434"/>
      <c r="L9" s="433"/>
      <c r="M9" s="432"/>
      <c r="N9" s="432"/>
      <c r="O9" s="422"/>
    </row>
    <row r="10" spans="1:16" ht="16.5" customHeight="1">
      <c r="A10" s="435"/>
      <c r="B10" s="428" t="s">
        <v>543</v>
      </c>
      <c r="C10" s="438">
        <v>0.22697415619791142</v>
      </c>
      <c r="D10" s="435"/>
      <c r="E10" s="435"/>
      <c r="F10" s="435"/>
      <c r="G10" s="435"/>
      <c r="H10" s="435"/>
      <c r="I10" s="428" t="s">
        <v>542</v>
      </c>
      <c r="J10" s="427">
        <v>0.40845878326469159</v>
      </c>
      <c r="K10" s="434"/>
      <c r="L10" s="433"/>
      <c r="M10" s="432"/>
      <c r="N10" s="432"/>
      <c r="O10" s="422"/>
    </row>
    <row r="11" spans="1:16" ht="16.5" customHeight="1">
      <c r="A11" s="435"/>
      <c r="B11" s="428" t="s">
        <v>534</v>
      </c>
      <c r="C11" s="438">
        <v>0.22966883940679819</v>
      </c>
      <c r="D11" s="435"/>
      <c r="E11" s="435"/>
      <c r="F11" s="435"/>
      <c r="G11" s="435"/>
      <c r="H11" s="435"/>
      <c r="I11" s="428" t="s">
        <v>534</v>
      </c>
      <c r="J11" s="427">
        <v>0.43919128939194746</v>
      </c>
      <c r="K11" s="434"/>
      <c r="L11" s="433"/>
      <c r="M11" s="432"/>
      <c r="N11" s="432"/>
      <c r="O11" s="422"/>
    </row>
    <row r="12" spans="1:16" ht="16.5" customHeight="1">
      <c r="A12" s="435"/>
      <c r="B12" s="428" t="s">
        <v>533</v>
      </c>
      <c r="C12" s="438">
        <v>0.37040789957873371</v>
      </c>
      <c r="D12" s="435"/>
      <c r="E12" s="435"/>
      <c r="F12" s="435"/>
      <c r="G12" s="435"/>
      <c r="H12" s="435"/>
      <c r="I12" s="428" t="s">
        <v>535</v>
      </c>
      <c r="J12" s="427">
        <v>0.66196543555684417</v>
      </c>
      <c r="K12" s="434"/>
      <c r="L12" s="433"/>
      <c r="M12" s="432"/>
      <c r="N12" s="432"/>
      <c r="O12" s="422"/>
    </row>
    <row r="13" spans="1:16" ht="16.5" customHeight="1">
      <c r="A13" s="435"/>
      <c r="B13" s="435"/>
      <c r="C13" s="435"/>
      <c r="D13" s="435"/>
      <c r="E13" s="435"/>
      <c r="F13" s="435"/>
      <c r="G13" s="435"/>
      <c r="H13" s="435"/>
      <c r="I13" s="428" t="s">
        <v>533</v>
      </c>
      <c r="J13" s="427">
        <v>1.5373867140892208</v>
      </c>
      <c r="K13" s="434"/>
      <c r="L13" s="433"/>
      <c r="M13" s="432"/>
      <c r="N13" s="432"/>
      <c r="O13" s="448"/>
      <c r="P13" s="447"/>
    </row>
    <row r="14" spans="1:16" ht="16.5" customHeight="1">
      <c r="A14" s="435"/>
      <c r="B14" s="435"/>
      <c r="C14" s="435"/>
      <c r="D14" s="435"/>
      <c r="E14" s="435"/>
      <c r="F14" s="435"/>
      <c r="G14" s="435"/>
      <c r="H14" s="435"/>
      <c r="I14" s="435"/>
      <c r="J14" s="435"/>
      <c r="K14" s="434"/>
      <c r="L14" s="433"/>
      <c r="M14" s="432"/>
      <c r="N14" s="432"/>
      <c r="O14" s="443"/>
      <c r="P14" s="441"/>
    </row>
    <row r="15" spans="1:16" ht="16.5" customHeight="1">
      <c r="A15" s="435"/>
      <c r="B15" s="435"/>
      <c r="C15" s="435"/>
      <c r="D15" s="435"/>
      <c r="E15" s="435"/>
      <c r="F15" s="435"/>
      <c r="G15" s="435"/>
      <c r="H15" s="435"/>
      <c r="I15" s="435"/>
      <c r="J15" s="435"/>
      <c r="K15" s="434"/>
      <c r="L15" s="433"/>
      <c r="M15" s="432"/>
      <c r="N15" s="432"/>
      <c r="O15" s="422"/>
    </row>
    <row r="16" spans="1:16" ht="16.5" customHeight="1">
      <c r="A16" s="435"/>
      <c r="B16" s="435"/>
      <c r="C16" s="435"/>
      <c r="D16" s="435"/>
      <c r="E16" s="435"/>
      <c r="F16" s="435"/>
      <c r="G16" s="435"/>
      <c r="H16" s="435"/>
      <c r="I16" s="435"/>
      <c r="J16" s="435"/>
      <c r="K16" s="434"/>
      <c r="L16" s="433"/>
      <c r="M16" s="432"/>
      <c r="N16" s="432"/>
      <c r="O16" s="422"/>
    </row>
    <row r="17" spans="1:16" ht="16.5" customHeight="1">
      <c r="A17" s="435"/>
      <c r="B17" s="435"/>
      <c r="C17" s="435"/>
      <c r="D17" s="435"/>
      <c r="E17" s="435"/>
      <c r="F17" s="435"/>
      <c r="G17" s="435"/>
      <c r="H17" s="435"/>
      <c r="I17" s="435"/>
      <c r="J17" s="435"/>
      <c r="K17" s="434"/>
      <c r="L17" s="433"/>
      <c r="M17" s="432"/>
      <c r="N17" s="432"/>
      <c r="O17" s="422"/>
    </row>
    <row r="18" spans="1:16" ht="16.5" customHeight="1">
      <c r="A18" s="435"/>
      <c r="B18" s="435"/>
      <c r="C18" s="435"/>
      <c r="D18" s="435"/>
      <c r="E18" s="435"/>
      <c r="F18" s="435"/>
      <c r="G18" s="435"/>
      <c r="H18" s="435"/>
      <c r="I18" s="435"/>
      <c r="J18" s="435"/>
      <c r="K18" s="434"/>
      <c r="L18" s="433"/>
      <c r="M18" s="432"/>
      <c r="N18" s="432"/>
      <c r="O18" s="422"/>
    </row>
    <row r="19" spans="1:16" ht="16.5" customHeight="1">
      <c r="A19" s="435"/>
      <c r="B19" s="435"/>
      <c r="C19" s="435"/>
      <c r="D19" s="435"/>
      <c r="E19" s="435"/>
      <c r="F19" s="435"/>
      <c r="G19" s="435"/>
      <c r="H19" s="435"/>
      <c r="I19" s="435"/>
      <c r="J19" s="435"/>
      <c r="K19" s="434"/>
      <c r="L19" s="433"/>
      <c r="M19" s="432"/>
      <c r="N19" s="432"/>
      <c r="O19" s="422"/>
    </row>
    <row r="20" spans="1:16" ht="16.5" customHeight="1">
      <c r="A20" s="435"/>
      <c r="B20" s="435"/>
      <c r="C20" s="435"/>
      <c r="D20" s="435"/>
      <c r="E20" s="435"/>
      <c r="F20" s="435"/>
      <c r="G20" s="435"/>
      <c r="H20" s="435"/>
      <c r="I20" s="435"/>
      <c r="J20" s="435"/>
      <c r="K20" s="434"/>
      <c r="L20" s="433"/>
      <c r="M20" s="432"/>
      <c r="N20" s="432"/>
      <c r="O20" s="422"/>
    </row>
    <row r="21" spans="1:16" ht="16.5" customHeight="1">
      <c r="A21" s="435"/>
      <c r="B21" s="435"/>
      <c r="C21" s="446"/>
      <c r="D21" s="435"/>
      <c r="E21" s="600"/>
      <c r="F21" s="600"/>
      <c r="G21" s="600"/>
      <c r="H21" s="600"/>
      <c r="I21" s="600"/>
      <c r="J21" s="435"/>
      <c r="K21" s="434"/>
      <c r="L21" s="433"/>
      <c r="M21" s="432"/>
      <c r="N21" s="432"/>
      <c r="O21" s="443"/>
      <c r="P21" s="441"/>
    </row>
    <row r="22" spans="1:16" ht="16.5" customHeight="1">
      <c r="A22" s="435"/>
      <c r="B22" s="435"/>
      <c r="C22" s="435"/>
      <c r="D22" s="435"/>
      <c r="E22" s="435"/>
      <c r="F22" s="435"/>
      <c r="G22" s="435"/>
      <c r="H22" s="435"/>
      <c r="I22" s="435"/>
      <c r="J22" s="435"/>
      <c r="K22" s="434"/>
      <c r="L22" s="433"/>
      <c r="M22" s="432"/>
      <c r="N22" s="432"/>
      <c r="O22" s="445"/>
      <c r="P22" s="444"/>
    </row>
    <row r="23" spans="1:16" ht="16.5" customHeight="1">
      <c r="A23" s="435"/>
      <c r="B23" s="435"/>
      <c r="C23" s="435"/>
      <c r="D23" s="435"/>
      <c r="E23" s="435"/>
      <c r="F23" s="435"/>
      <c r="G23" s="435"/>
      <c r="H23" s="435"/>
      <c r="I23" s="435"/>
      <c r="J23" s="435"/>
      <c r="K23" s="434"/>
      <c r="L23" s="433"/>
      <c r="M23" s="432"/>
      <c r="N23" s="432"/>
      <c r="O23" s="443"/>
      <c r="P23" s="441"/>
    </row>
    <row r="24" spans="1:16" ht="16.5" customHeight="1">
      <c r="A24" s="435"/>
      <c r="B24" s="435"/>
      <c r="C24" s="435"/>
      <c r="D24" s="435"/>
      <c r="E24" s="435"/>
      <c r="F24" s="435"/>
      <c r="G24" s="435"/>
      <c r="H24" s="435"/>
      <c r="I24" s="435"/>
      <c r="J24" s="435"/>
      <c r="K24" s="432"/>
      <c r="L24" s="432"/>
      <c r="M24" s="432"/>
      <c r="N24" s="432"/>
      <c r="O24" s="443"/>
      <c r="P24" s="441"/>
    </row>
    <row r="25" spans="1:16" ht="16.5" customHeight="1">
      <c r="A25" s="435"/>
      <c r="B25" s="435"/>
      <c r="C25" s="437"/>
      <c r="D25" s="435"/>
      <c r="E25" s="435"/>
      <c r="F25" s="435"/>
      <c r="G25" s="435"/>
      <c r="H25" s="435"/>
      <c r="I25" s="435"/>
      <c r="J25" s="435"/>
      <c r="K25" s="432"/>
      <c r="L25" s="432"/>
      <c r="M25" s="432"/>
      <c r="N25" s="432"/>
      <c r="O25" s="443"/>
      <c r="P25" s="441"/>
    </row>
    <row r="26" spans="1:16" ht="16.5" customHeight="1">
      <c r="A26" s="435"/>
      <c r="B26" s="435"/>
      <c r="C26" s="437"/>
      <c r="D26" s="435"/>
      <c r="E26" s="435"/>
      <c r="F26" s="435"/>
      <c r="G26" s="435"/>
      <c r="H26" s="435"/>
      <c r="I26" s="435"/>
      <c r="J26" s="435"/>
      <c r="K26" s="432"/>
      <c r="L26" s="432"/>
      <c r="M26" s="432"/>
      <c r="N26" s="432"/>
      <c r="O26" s="443"/>
      <c r="P26" s="441"/>
    </row>
    <row r="27" spans="1:16" ht="16.5" customHeight="1">
      <c r="A27" s="435"/>
      <c r="B27" s="435"/>
      <c r="C27" s="437"/>
      <c r="D27" s="435"/>
      <c r="E27" s="435"/>
      <c r="F27" s="435"/>
      <c r="G27" s="435"/>
      <c r="H27" s="435"/>
      <c r="I27" s="435"/>
      <c r="J27" s="435"/>
      <c r="K27" s="432"/>
      <c r="L27" s="432"/>
      <c r="M27" s="432"/>
      <c r="N27" s="432"/>
      <c r="O27" s="422"/>
    </row>
    <row r="28" spans="1:16" ht="16.5" customHeight="1">
      <c r="A28" s="435"/>
      <c r="B28" s="442" t="s">
        <v>541</v>
      </c>
      <c r="C28" s="441"/>
      <c r="D28" s="435"/>
      <c r="E28" s="435"/>
      <c r="F28" s="435"/>
      <c r="G28" s="435"/>
      <c r="H28" s="435"/>
      <c r="I28" s="435"/>
      <c r="J28" s="435"/>
      <c r="K28" s="432"/>
      <c r="L28" s="432"/>
      <c r="M28" s="432"/>
      <c r="N28" s="432"/>
      <c r="O28" s="422"/>
    </row>
    <row r="29" spans="1:16" ht="16.5" customHeight="1">
      <c r="A29" s="435"/>
      <c r="B29" s="423"/>
      <c r="D29" s="435"/>
      <c r="E29" s="435"/>
      <c r="F29" s="435"/>
      <c r="G29" s="435"/>
      <c r="H29" s="435"/>
      <c r="I29" s="435"/>
      <c r="J29" s="440" t="s">
        <v>538</v>
      </c>
      <c r="K29" s="439"/>
      <c r="L29" s="433"/>
      <c r="M29" s="432"/>
      <c r="N29" s="432"/>
      <c r="O29" s="422"/>
    </row>
    <row r="30" spans="1:16" ht="16.5" customHeight="1">
      <c r="A30" s="435"/>
      <c r="B30" s="428" t="s">
        <v>540</v>
      </c>
      <c r="C30" s="427">
        <v>0.10349602011830608</v>
      </c>
      <c r="D30" s="435"/>
      <c r="E30" s="435"/>
      <c r="F30" s="435"/>
      <c r="G30" s="435"/>
      <c r="H30" s="435"/>
      <c r="I30" s="435"/>
      <c r="J30" s="428" t="s">
        <v>537</v>
      </c>
      <c r="K30" s="436">
        <v>0.5431290259966508</v>
      </c>
      <c r="L30" s="433"/>
      <c r="M30" s="432"/>
      <c r="N30" s="432"/>
      <c r="O30" s="422"/>
    </row>
    <row r="31" spans="1:16" ht="16.5" customHeight="1">
      <c r="A31" s="435"/>
      <c r="B31" s="428" t="s">
        <v>537</v>
      </c>
      <c r="C31" s="427">
        <v>0.12357541656971523</v>
      </c>
      <c r="D31" s="435"/>
      <c r="E31" s="435"/>
      <c r="F31" s="435"/>
      <c r="G31" s="435"/>
      <c r="H31" s="435"/>
      <c r="I31" s="435"/>
      <c r="J31" s="428" t="s">
        <v>536</v>
      </c>
      <c r="K31" s="436">
        <v>0.62593493962934921</v>
      </c>
      <c r="L31" s="433"/>
      <c r="M31" s="432"/>
      <c r="N31" s="432"/>
      <c r="O31" s="422"/>
    </row>
    <row r="32" spans="1:16" ht="16.5" customHeight="1">
      <c r="A32" s="435"/>
      <c r="B32" s="428" t="s">
        <v>539</v>
      </c>
      <c r="C32" s="427">
        <v>0.13451339855027183</v>
      </c>
      <c r="D32" s="435"/>
      <c r="E32" s="435"/>
      <c r="F32" s="435"/>
      <c r="G32" s="435"/>
      <c r="H32" s="435"/>
      <c r="I32" s="435"/>
      <c r="J32" s="428" t="s">
        <v>535</v>
      </c>
      <c r="K32" s="436">
        <v>0.6684309131392927</v>
      </c>
      <c r="L32" s="433"/>
      <c r="M32" s="432"/>
      <c r="N32" s="432"/>
      <c r="O32" s="422"/>
    </row>
    <row r="33" spans="1:16" ht="16.5" customHeight="1">
      <c r="A33" s="435"/>
      <c r="B33" s="428" t="s">
        <v>535</v>
      </c>
      <c r="C33" s="427">
        <v>0.16859976157308054</v>
      </c>
      <c r="D33" s="435"/>
      <c r="E33" s="435"/>
      <c r="F33" s="435"/>
      <c r="G33" s="435"/>
      <c r="H33" s="435"/>
      <c r="I33" s="435"/>
      <c r="J33" s="428" t="s">
        <v>534</v>
      </c>
      <c r="K33" s="436">
        <v>0.68555285146239764</v>
      </c>
      <c r="L33" s="433"/>
      <c r="M33" s="432"/>
      <c r="N33" s="432"/>
      <c r="O33" s="422"/>
    </row>
    <row r="34" spans="1:16" ht="16.5" customHeight="1">
      <c r="A34" s="435"/>
      <c r="B34" s="428" t="s">
        <v>533</v>
      </c>
      <c r="C34" s="427">
        <v>2.0382131018704146</v>
      </c>
      <c r="D34" s="435"/>
      <c r="E34" s="435"/>
      <c r="F34" s="435"/>
      <c r="G34" s="435"/>
      <c r="H34" s="435"/>
      <c r="I34" s="435"/>
      <c r="J34" s="428" t="s">
        <v>533</v>
      </c>
      <c r="K34" s="436">
        <v>2.9579300985992858</v>
      </c>
      <c r="L34" s="433"/>
      <c r="M34" s="432"/>
      <c r="N34" s="432"/>
      <c r="O34" s="442"/>
      <c r="P34" s="441"/>
    </row>
    <row r="35" spans="1:16" ht="16.5" customHeight="1">
      <c r="A35" s="435"/>
      <c r="B35" s="435"/>
      <c r="C35" s="437"/>
      <c r="D35" s="435"/>
      <c r="E35" s="435"/>
      <c r="F35" s="435"/>
      <c r="G35" s="435"/>
      <c r="H35" s="435"/>
      <c r="I35" s="435"/>
      <c r="J35" s="435"/>
      <c r="K35" s="434"/>
      <c r="L35" s="433"/>
      <c r="M35" s="432"/>
      <c r="N35" s="432"/>
      <c r="O35" s="422"/>
    </row>
    <row r="36" spans="1:16" ht="16.5" customHeight="1">
      <c r="A36" s="435"/>
      <c r="B36" s="435"/>
      <c r="C36" s="437"/>
      <c r="D36" s="435"/>
      <c r="E36" s="435"/>
      <c r="F36" s="435"/>
      <c r="G36" s="435"/>
      <c r="H36" s="435"/>
      <c r="I36" s="435"/>
      <c r="J36" s="435"/>
      <c r="K36" s="434"/>
      <c r="L36" s="433"/>
      <c r="M36" s="432"/>
      <c r="N36" s="432"/>
      <c r="O36" s="422"/>
    </row>
    <row r="37" spans="1:16" ht="16.5" customHeight="1">
      <c r="A37" s="435"/>
      <c r="B37" s="435"/>
      <c r="C37" s="437"/>
      <c r="D37" s="435"/>
      <c r="E37" s="435"/>
      <c r="F37" s="435"/>
      <c r="G37" s="435"/>
      <c r="H37" s="435"/>
      <c r="I37" s="435"/>
      <c r="J37" s="435"/>
      <c r="K37" s="434"/>
      <c r="L37" s="433"/>
      <c r="M37" s="432"/>
      <c r="N37" s="432"/>
      <c r="O37" s="422"/>
    </row>
    <row r="38" spans="1:16" ht="16.5" customHeight="1">
      <c r="A38" s="435"/>
      <c r="B38" s="435"/>
      <c r="C38" s="437"/>
      <c r="D38" s="435"/>
      <c r="E38" s="435"/>
      <c r="F38" s="435"/>
      <c r="G38" s="435"/>
      <c r="H38" s="435"/>
      <c r="I38" s="435"/>
      <c r="J38" s="435"/>
      <c r="K38" s="434"/>
      <c r="L38" s="433"/>
      <c r="M38" s="432"/>
      <c r="N38" s="432"/>
      <c r="O38" s="422"/>
    </row>
    <row r="39" spans="1:16" ht="16.5" customHeight="1">
      <c r="A39" s="435"/>
      <c r="B39" s="435"/>
      <c r="C39" s="435"/>
      <c r="D39" s="435"/>
      <c r="E39" s="435"/>
      <c r="F39" s="435"/>
      <c r="G39" s="435"/>
      <c r="H39" s="435"/>
      <c r="I39" s="435"/>
      <c r="J39" s="435"/>
      <c r="K39" s="434"/>
      <c r="L39" s="433"/>
      <c r="M39" s="432"/>
      <c r="N39" s="432"/>
      <c r="O39" s="422"/>
    </row>
    <row r="40" spans="1:16" ht="16.5" customHeight="1">
      <c r="A40" s="435"/>
      <c r="B40" s="435"/>
      <c r="C40" s="435"/>
      <c r="D40" s="435"/>
      <c r="E40" s="435"/>
      <c r="F40" s="435"/>
      <c r="G40" s="435"/>
      <c r="H40" s="435"/>
      <c r="I40" s="435"/>
      <c r="J40" s="435"/>
      <c r="K40" s="434"/>
      <c r="L40" s="433"/>
      <c r="M40" s="432"/>
      <c r="N40" s="432"/>
      <c r="O40" s="422"/>
    </row>
    <row r="41" spans="1:16" ht="16.5" customHeight="1">
      <c r="A41" s="435"/>
      <c r="B41" s="435"/>
      <c r="C41" s="435"/>
      <c r="D41" s="435"/>
      <c r="E41" s="435"/>
      <c r="F41" s="435"/>
      <c r="G41" s="435"/>
      <c r="H41" s="435"/>
      <c r="I41" s="435"/>
      <c r="J41" s="435"/>
      <c r="K41" s="434"/>
      <c r="L41" s="433"/>
      <c r="M41" s="432"/>
      <c r="N41" s="432"/>
    </row>
    <row r="42" spans="1:16" ht="16.5" customHeight="1">
      <c r="A42" s="435"/>
      <c r="B42" s="435"/>
      <c r="C42" s="435"/>
      <c r="D42" s="435"/>
      <c r="E42" s="435"/>
      <c r="F42" s="435"/>
      <c r="G42" s="435"/>
      <c r="H42" s="435"/>
      <c r="I42" s="435"/>
      <c r="J42" s="435"/>
      <c r="K42" s="434"/>
      <c r="L42" s="433"/>
      <c r="M42" s="432"/>
      <c r="N42" s="432"/>
    </row>
    <row r="43" spans="1:16" ht="16.5" customHeight="1">
      <c r="A43" s="435"/>
      <c r="B43" s="435"/>
      <c r="C43" s="435"/>
      <c r="D43" s="435"/>
      <c r="E43" s="435"/>
      <c r="F43" s="435"/>
      <c r="G43" s="435"/>
      <c r="H43" s="435"/>
      <c r="I43" s="435"/>
      <c r="J43" s="435"/>
      <c r="K43" s="434"/>
      <c r="L43" s="433"/>
      <c r="M43" s="432"/>
      <c r="N43" s="432"/>
    </row>
    <row r="44" spans="1:16" ht="16.5" customHeight="1">
      <c r="A44" s="435"/>
      <c r="B44" s="435"/>
      <c r="C44" s="435"/>
      <c r="D44" s="435"/>
      <c r="E44" s="435"/>
      <c r="F44" s="435"/>
      <c r="G44" s="435"/>
      <c r="H44" s="435"/>
      <c r="I44" s="435"/>
      <c r="J44" s="435"/>
      <c r="K44" s="434"/>
      <c r="L44" s="433"/>
      <c r="M44" s="432"/>
      <c r="N44" s="432"/>
    </row>
    <row r="45" spans="1:16" ht="16.5" customHeight="1">
      <c r="A45" s="435"/>
      <c r="B45" s="435"/>
      <c r="C45" s="435"/>
      <c r="D45" s="435"/>
      <c r="E45" s="435"/>
      <c r="F45" s="435"/>
      <c r="G45" s="435"/>
      <c r="H45" s="435"/>
      <c r="I45" s="435"/>
      <c r="J45" s="435"/>
      <c r="K45" s="434"/>
      <c r="L45" s="433"/>
      <c r="M45" s="432"/>
      <c r="N45" s="432"/>
    </row>
    <row r="46" spans="1:16" ht="16.5" customHeight="1">
      <c r="A46" s="426"/>
      <c r="B46" s="426"/>
      <c r="C46" s="426"/>
      <c r="D46" s="426"/>
      <c r="E46" s="426"/>
      <c r="F46" s="426"/>
      <c r="G46" s="426"/>
      <c r="H46" s="426"/>
      <c r="I46" s="431"/>
      <c r="J46" s="431"/>
      <c r="K46" s="430"/>
      <c r="L46" s="429"/>
    </row>
    <row r="47" spans="1:16" ht="16.5" customHeight="1">
      <c r="A47" s="426"/>
      <c r="B47" s="426"/>
      <c r="C47" s="426"/>
      <c r="D47" s="426"/>
      <c r="E47" s="426"/>
      <c r="F47" s="426"/>
      <c r="G47" s="426"/>
      <c r="H47" s="426"/>
      <c r="I47" s="426"/>
      <c r="J47" s="426"/>
      <c r="K47" s="425"/>
      <c r="L47" s="425"/>
    </row>
    <row r="48" spans="1:16" ht="16.5" customHeight="1">
      <c r="A48" s="426"/>
      <c r="B48" s="426"/>
      <c r="C48" s="426"/>
      <c r="D48" s="426"/>
      <c r="E48" s="426"/>
      <c r="F48" s="426"/>
      <c r="G48" s="426"/>
      <c r="H48" s="426"/>
      <c r="I48" s="426"/>
      <c r="J48" s="426"/>
      <c r="K48" s="425"/>
      <c r="L48" s="425"/>
    </row>
  </sheetData>
  <sheetProtection algorithmName="SHA-512" hashValue="ZLzTEW+QkUVfzu/BTUCKN+hEHoCvZJ5yTB8Q7uGzf7lbSbVkTJc30wQAjaSasJXMGm/vFw2Nybf6fhnFVbs3rQ==" saltValue="UV0GKwG1rdh/EkpJSq+XFw==" spinCount="100000" sheet="1" objects="1" scenarios="1"/>
  <mergeCells count="1">
    <mergeCell ref="E21:I21"/>
  </mergeCells>
  <phoneticPr fontId="96" type="noConversion"/>
  <pageMargins left="0.15748031496062992" right="0.15748031496062992" top="0.51181102362204722" bottom="0.43307086614173229" header="0.31496062992125984" footer="0.31496062992125984"/>
  <pageSetup paperSize="9" scale="61" orientation="portrait" horizontalDpi="4294967292"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T48"/>
  <sheetViews>
    <sheetView showGridLines="0" zoomScaleNormal="100" zoomScaleSheetLayoutView="100" workbookViewId="0"/>
  </sheetViews>
  <sheetFormatPr defaultRowHeight="16.5" customHeight="1"/>
  <cols>
    <col min="1" max="10" width="9.375" style="462" customWidth="1"/>
    <col min="11" max="14" width="9.375" style="461" customWidth="1"/>
    <col min="15" max="16" width="9" style="422"/>
    <col min="17" max="17" width="5.625" style="461" customWidth="1"/>
    <col min="18" max="18" width="18.375" style="422" bestFit="1" customWidth="1"/>
    <col min="19" max="19" width="8" style="460" customWidth="1"/>
    <col min="20" max="23" width="8" style="422" customWidth="1"/>
    <col min="24" max="16384" width="9" style="422"/>
  </cols>
  <sheetData>
    <row r="1" spans="1:20" s="451" customFormat="1" ht="16.5" customHeight="1">
      <c r="A1" s="459"/>
      <c r="B1" s="476" t="s">
        <v>553</v>
      </c>
      <c r="C1" s="459"/>
      <c r="D1" s="459"/>
      <c r="E1" s="459"/>
      <c r="F1" s="459"/>
      <c r="G1" s="459"/>
      <c r="H1" s="459"/>
      <c r="I1" s="459"/>
      <c r="J1" s="459"/>
      <c r="K1" s="458"/>
      <c r="L1" s="458"/>
      <c r="M1" s="457"/>
      <c r="N1" s="457"/>
      <c r="Q1" s="457"/>
      <c r="R1" s="475"/>
      <c r="S1" s="474"/>
      <c r="T1" s="455"/>
    </row>
    <row r="2" spans="1:20" s="451" customFormat="1" ht="16.5" customHeight="1">
      <c r="A2" s="437"/>
      <c r="B2" s="454"/>
      <c r="C2" s="437"/>
      <c r="D2" s="437"/>
      <c r="E2" s="437"/>
      <c r="F2" s="437"/>
      <c r="G2" s="437"/>
      <c r="H2" s="437"/>
      <c r="I2" s="437"/>
      <c r="J2" s="437"/>
      <c r="K2" s="453"/>
      <c r="L2" s="453"/>
      <c r="M2" s="453"/>
      <c r="N2" s="453"/>
      <c r="P2" s="422"/>
      <c r="Q2" s="453"/>
      <c r="S2" s="473"/>
    </row>
    <row r="3" spans="1:20" ht="16.5" customHeight="1">
      <c r="A3" s="437"/>
      <c r="B3" s="437"/>
      <c r="C3" s="437"/>
      <c r="D3" s="437"/>
      <c r="E3" s="437"/>
      <c r="F3" s="437"/>
      <c r="G3" s="437"/>
      <c r="H3" s="437"/>
      <c r="I3" s="437"/>
      <c r="J3" s="437"/>
      <c r="K3" s="453"/>
      <c r="L3" s="453"/>
      <c r="M3" s="453"/>
      <c r="N3" s="453"/>
      <c r="Q3" s="453"/>
    </row>
    <row r="4" spans="1:20" ht="16.5" customHeight="1">
      <c r="A4" s="437"/>
      <c r="B4" s="437"/>
      <c r="C4" s="437"/>
      <c r="D4" s="437"/>
      <c r="E4" s="437"/>
      <c r="F4" s="437"/>
      <c r="G4" s="437"/>
      <c r="H4" s="437"/>
      <c r="I4" s="437"/>
      <c r="J4" s="437"/>
      <c r="K4" s="453"/>
      <c r="L4" s="453"/>
      <c r="M4" s="453"/>
      <c r="N4" s="453"/>
      <c r="Q4" s="453"/>
    </row>
    <row r="5" spans="1:20" ht="16.5" customHeight="1">
      <c r="A5" s="437"/>
      <c r="B5" s="437"/>
      <c r="C5" s="437"/>
      <c r="D5" s="437"/>
      <c r="E5" s="437"/>
      <c r="F5" s="437"/>
      <c r="G5" s="437"/>
      <c r="H5" s="437"/>
      <c r="I5" s="437"/>
      <c r="J5" s="437"/>
      <c r="K5" s="467"/>
      <c r="L5" s="466"/>
      <c r="M5" s="453"/>
      <c r="N5" s="453"/>
      <c r="Q5" s="453"/>
    </row>
    <row r="6" spans="1:20" ht="16.5" customHeight="1">
      <c r="A6" s="437"/>
      <c r="B6" s="437"/>
      <c r="C6" s="437"/>
      <c r="D6" s="437"/>
      <c r="E6" s="437"/>
      <c r="F6" s="437"/>
      <c r="G6" s="437"/>
      <c r="H6" s="437"/>
      <c r="I6" s="437"/>
      <c r="J6" s="437"/>
      <c r="K6" s="467"/>
      <c r="L6" s="466"/>
      <c r="M6" s="453"/>
      <c r="N6" s="453"/>
      <c r="Q6" s="453"/>
    </row>
    <row r="7" spans="1:20" ht="16.5" customHeight="1">
      <c r="A7" s="437"/>
      <c r="B7" s="453"/>
      <c r="C7" s="470" t="s">
        <v>552</v>
      </c>
      <c r="D7" s="472"/>
      <c r="E7" s="437"/>
      <c r="F7" s="437"/>
      <c r="G7" s="437"/>
      <c r="H7" s="437"/>
      <c r="I7" s="437"/>
      <c r="J7" s="437"/>
      <c r="K7" s="467"/>
      <c r="L7" s="466"/>
      <c r="M7" s="453"/>
      <c r="N7" s="453"/>
      <c r="Q7" s="422"/>
      <c r="S7" s="422"/>
      <c r="T7" s="449"/>
    </row>
    <row r="8" spans="1:20" ht="16.5" customHeight="1">
      <c r="A8" s="437"/>
      <c r="B8" s="453">
        <v>5</v>
      </c>
      <c r="C8" s="439" t="s">
        <v>487</v>
      </c>
      <c r="D8" s="468">
        <v>0.55669218147381472</v>
      </c>
      <c r="E8" s="437"/>
      <c r="F8" s="437"/>
      <c r="G8" s="437"/>
      <c r="H8" s="437"/>
      <c r="I8" s="453"/>
      <c r="J8" s="470" t="s">
        <v>551</v>
      </c>
      <c r="K8" s="469"/>
      <c r="L8" s="466"/>
      <c r="M8" s="453"/>
      <c r="N8" s="453"/>
      <c r="Q8" s="422"/>
      <c r="S8" s="422"/>
      <c r="T8" s="439"/>
    </row>
    <row r="9" spans="1:20" ht="16.5" customHeight="1">
      <c r="A9" s="437"/>
      <c r="B9" s="453">
        <v>4</v>
      </c>
      <c r="C9" s="439" t="s">
        <v>489</v>
      </c>
      <c r="D9" s="468">
        <v>0.55720387447890163</v>
      </c>
      <c r="E9" s="437"/>
      <c r="F9" s="437"/>
      <c r="G9" s="437"/>
      <c r="H9" s="437"/>
      <c r="I9" s="453">
        <v>5</v>
      </c>
      <c r="J9" s="439" t="s">
        <v>489</v>
      </c>
      <c r="K9" s="468">
        <v>1.2359546725573678</v>
      </c>
      <c r="L9" s="466"/>
      <c r="M9" s="453"/>
      <c r="N9" s="453"/>
      <c r="Q9" s="422"/>
      <c r="S9" s="422"/>
      <c r="T9" s="439"/>
    </row>
    <row r="10" spans="1:20" ht="16.5" customHeight="1">
      <c r="A10" s="437"/>
      <c r="B10" s="453">
        <v>3</v>
      </c>
      <c r="C10" s="439" t="s">
        <v>490</v>
      </c>
      <c r="D10" s="468">
        <v>0.57197506680730281</v>
      </c>
      <c r="E10" s="437"/>
      <c r="F10" s="437"/>
      <c r="G10" s="437"/>
      <c r="H10" s="437"/>
      <c r="I10" s="453">
        <v>4</v>
      </c>
      <c r="J10" s="439" t="s">
        <v>455</v>
      </c>
      <c r="K10" s="468">
        <v>1.2638773664105671</v>
      </c>
      <c r="L10" s="466"/>
      <c r="M10" s="453"/>
      <c r="N10" s="453"/>
      <c r="Q10" s="422"/>
      <c r="S10" s="422"/>
      <c r="T10" s="439"/>
    </row>
    <row r="11" spans="1:20" ht="16.5" customHeight="1">
      <c r="A11" s="437"/>
      <c r="B11" s="453">
        <v>2</v>
      </c>
      <c r="C11" s="439" t="s">
        <v>447</v>
      </c>
      <c r="D11" s="468">
        <v>0.59391318976956653</v>
      </c>
      <c r="E11" s="437"/>
      <c r="F11" s="437"/>
      <c r="G11" s="437"/>
      <c r="H11" s="437"/>
      <c r="I11" s="453">
        <v>3</v>
      </c>
      <c r="J11" s="439" t="s">
        <v>505</v>
      </c>
      <c r="K11" s="468">
        <v>1.2666646022540438</v>
      </c>
      <c r="L11" s="466"/>
      <c r="M11" s="453"/>
      <c r="N11" s="453"/>
      <c r="Q11" s="422"/>
      <c r="S11" s="422"/>
      <c r="T11" s="439"/>
    </row>
    <row r="12" spans="1:20" ht="16.5" customHeight="1">
      <c r="A12" s="437"/>
      <c r="B12" s="453">
        <v>1</v>
      </c>
      <c r="C12" s="439" t="s">
        <v>505</v>
      </c>
      <c r="D12" s="468">
        <v>0.70927319404446443</v>
      </c>
      <c r="E12" s="437"/>
      <c r="F12" s="437"/>
      <c r="G12" s="437"/>
      <c r="H12" s="437"/>
      <c r="I12" s="453">
        <v>2</v>
      </c>
      <c r="J12" s="439" t="s">
        <v>487</v>
      </c>
      <c r="K12" s="468">
        <v>1.43136500802336</v>
      </c>
      <c r="L12" s="466"/>
      <c r="M12" s="453"/>
      <c r="N12" s="453"/>
      <c r="Q12" s="422"/>
      <c r="S12" s="422"/>
      <c r="T12" s="439"/>
    </row>
    <row r="13" spans="1:20" ht="16.5" customHeight="1">
      <c r="A13" s="437"/>
      <c r="B13" s="437"/>
      <c r="C13" s="437"/>
      <c r="D13" s="437"/>
      <c r="E13" s="437"/>
      <c r="F13" s="437"/>
      <c r="G13" s="437"/>
      <c r="H13" s="437"/>
      <c r="I13" s="453">
        <v>1</v>
      </c>
      <c r="J13" s="439" t="s">
        <v>447</v>
      </c>
      <c r="K13" s="468">
        <v>1.7022279259436313</v>
      </c>
      <c r="L13" s="466"/>
      <c r="M13" s="453"/>
      <c r="N13" s="453"/>
      <c r="Q13" s="453"/>
      <c r="R13" s="435"/>
      <c r="S13" s="469"/>
      <c r="T13" s="447"/>
    </row>
    <row r="14" spans="1:20" ht="16.5" customHeight="1">
      <c r="A14" s="437"/>
      <c r="B14" s="437"/>
      <c r="C14" s="437"/>
      <c r="D14" s="437"/>
      <c r="E14" s="437"/>
      <c r="F14" s="437"/>
      <c r="G14" s="437"/>
      <c r="H14" s="437"/>
      <c r="I14" s="437"/>
      <c r="J14" s="437"/>
      <c r="K14" s="467"/>
      <c r="L14" s="466"/>
      <c r="M14" s="453"/>
      <c r="N14" s="453"/>
      <c r="Q14" s="453"/>
      <c r="R14" s="437"/>
      <c r="S14" s="469"/>
      <c r="T14" s="441"/>
    </row>
    <row r="15" spans="1:20" ht="16.5" customHeight="1">
      <c r="A15" s="437"/>
      <c r="B15" s="437"/>
      <c r="C15" s="437"/>
      <c r="D15" s="437"/>
      <c r="E15" s="437"/>
      <c r="F15" s="437"/>
      <c r="G15" s="437"/>
      <c r="H15" s="437"/>
      <c r="I15" s="437"/>
      <c r="J15" s="437"/>
      <c r="K15" s="467"/>
      <c r="L15" s="466"/>
      <c r="M15" s="453"/>
      <c r="N15" s="453"/>
      <c r="Q15" s="422"/>
      <c r="S15" s="422"/>
      <c r="T15" s="441"/>
    </row>
    <row r="16" spans="1:20" ht="16.5" customHeight="1">
      <c r="A16" s="437"/>
      <c r="B16" s="437"/>
      <c r="C16" s="437"/>
      <c r="D16" s="437"/>
      <c r="E16" s="437"/>
      <c r="F16" s="437"/>
      <c r="G16" s="437"/>
      <c r="H16" s="437"/>
      <c r="I16" s="437"/>
      <c r="J16" s="437"/>
      <c r="K16" s="467"/>
      <c r="L16" s="466"/>
      <c r="M16" s="453"/>
      <c r="N16" s="453"/>
      <c r="Q16" s="422"/>
      <c r="S16" s="422"/>
      <c r="T16" s="439"/>
    </row>
    <row r="17" spans="1:20" ht="16.5" customHeight="1">
      <c r="A17" s="437"/>
      <c r="B17" s="437"/>
      <c r="C17" s="437"/>
      <c r="D17" s="437"/>
      <c r="E17" s="437"/>
      <c r="F17" s="437"/>
      <c r="G17" s="437"/>
      <c r="H17" s="437"/>
      <c r="I17" s="437"/>
      <c r="J17" s="437"/>
      <c r="K17" s="467"/>
      <c r="L17" s="466"/>
      <c r="M17" s="453"/>
      <c r="N17" s="453"/>
      <c r="Q17" s="422"/>
      <c r="S17" s="422"/>
      <c r="T17" s="439"/>
    </row>
    <row r="18" spans="1:20" ht="16.5" customHeight="1">
      <c r="A18" s="437"/>
      <c r="B18" s="437"/>
      <c r="C18" s="437"/>
      <c r="D18" s="437"/>
      <c r="E18" s="437"/>
      <c r="F18" s="437"/>
      <c r="G18" s="437"/>
      <c r="H18" s="437"/>
      <c r="I18" s="437"/>
      <c r="J18" s="437"/>
      <c r="K18" s="467"/>
      <c r="L18" s="466"/>
      <c r="M18" s="453"/>
      <c r="N18" s="453"/>
      <c r="Q18" s="422"/>
      <c r="S18" s="422"/>
      <c r="T18" s="439"/>
    </row>
    <row r="19" spans="1:20" ht="16.5" customHeight="1">
      <c r="A19" s="437"/>
      <c r="B19" s="437"/>
      <c r="C19" s="437"/>
      <c r="D19" s="437"/>
      <c r="E19" s="437"/>
      <c r="F19" s="437"/>
      <c r="G19" s="437"/>
      <c r="H19" s="437"/>
      <c r="I19" s="437"/>
      <c r="J19" s="437"/>
      <c r="K19" s="467"/>
      <c r="L19" s="466"/>
      <c r="M19" s="453"/>
      <c r="N19" s="453"/>
      <c r="Q19" s="422"/>
      <c r="S19" s="422"/>
      <c r="T19" s="439"/>
    </row>
    <row r="20" spans="1:20" ht="16.5" customHeight="1">
      <c r="A20" s="437"/>
      <c r="B20" s="437"/>
      <c r="C20" s="437"/>
      <c r="D20" s="437"/>
      <c r="E20" s="437"/>
      <c r="F20" s="437"/>
      <c r="G20" s="437"/>
      <c r="H20" s="437"/>
      <c r="I20" s="437"/>
      <c r="J20" s="437"/>
      <c r="K20" s="467"/>
      <c r="L20" s="466"/>
      <c r="M20" s="453"/>
      <c r="N20" s="453"/>
      <c r="Q20" s="422"/>
      <c r="S20" s="422"/>
      <c r="T20" s="439"/>
    </row>
    <row r="21" spans="1:20" ht="16.5" customHeight="1">
      <c r="A21" s="437"/>
      <c r="B21" s="437"/>
      <c r="C21" s="446"/>
      <c r="D21" s="437"/>
      <c r="E21" s="604"/>
      <c r="F21" s="604"/>
      <c r="G21" s="604"/>
      <c r="H21" s="604"/>
      <c r="I21" s="604"/>
      <c r="J21" s="437"/>
      <c r="K21" s="467"/>
      <c r="L21" s="466"/>
      <c r="M21" s="453"/>
      <c r="N21" s="453"/>
      <c r="Q21" s="453"/>
      <c r="R21" s="437"/>
      <c r="S21" s="469"/>
      <c r="T21" s="441"/>
    </row>
    <row r="22" spans="1:20" ht="16.5" customHeight="1">
      <c r="A22" s="605" t="s">
        <v>555</v>
      </c>
      <c r="B22" s="605"/>
      <c r="C22" s="605"/>
      <c r="D22" s="605"/>
      <c r="E22" s="605"/>
      <c r="F22" s="605"/>
      <c r="G22" s="605"/>
      <c r="H22" s="605" t="s">
        <v>550</v>
      </c>
      <c r="I22" s="606"/>
      <c r="J22" s="606"/>
      <c r="K22" s="606"/>
      <c r="L22" s="606"/>
      <c r="M22" s="606"/>
      <c r="N22" s="606"/>
      <c r="Q22" s="464"/>
      <c r="R22" s="446"/>
      <c r="S22" s="471"/>
      <c r="T22" s="444"/>
    </row>
    <row r="23" spans="1:20" ht="16.5" customHeight="1">
      <c r="A23" s="605"/>
      <c r="B23" s="605"/>
      <c r="C23" s="605"/>
      <c r="D23" s="605"/>
      <c r="E23" s="605"/>
      <c r="F23" s="605"/>
      <c r="G23" s="605"/>
      <c r="H23" s="606"/>
      <c r="I23" s="606"/>
      <c r="J23" s="606"/>
      <c r="K23" s="606"/>
      <c r="L23" s="606"/>
      <c r="M23" s="606"/>
      <c r="N23" s="606"/>
      <c r="Q23" s="464"/>
      <c r="R23" s="437"/>
      <c r="S23" s="469"/>
      <c r="T23" s="441"/>
    </row>
    <row r="24" spans="1:20" ht="16.5" customHeight="1">
      <c r="A24" s="437"/>
      <c r="B24" s="437"/>
      <c r="C24" s="437"/>
      <c r="D24" s="437"/>
      <c r="E24" s="437"/>
      <c r="F24" s="437"/>
      <c r="G24" s="437"/>
      <c r="H24" s="437"/>
      <c r="I24" s="437"/>
      <c r="J24" s="437"/>
      <c r="K24" s="453"/>
      <c r="L24" s="453"/>
      <c r="M24" s="453"/>
      <c r="N24" s="453"/>
      <c r="Q24" s="453"/>
      <c r="R24" s="437"/>
      <c r="S24" s="469"/>
      <c r="T24" s="441"/>
    </row>
    <row r="25" spans="1:20" ht="16.5" customHeight="1">
      <c r="A25" s="437"/>
      <c r="B25" s="437"/>
      <c r="C25" s="437"/>
      <c r="D25" s="437"/>
      <c r="E25" s="437"/>
      <c r="F25" s="437"/>
      <c r="G25" s="437"/>
      <c r="H25" s="437"/>
      <c r="I25" s="437"/>
      <c r="J25" s="437"/>
      <c r="K25" s="453"/>
      <c r="L25" s="453"/>
      <c r="M25" s="453"/>
      <c r="N25" s="453"/>
      <c r="Q25" s="453"/>
      <c r="R25" s="437"/>
      <c r="S25" s="469"/>
      <c r="T25" s="441"/>
    </row>
    <row r="26" spans="1:20" ht="16.5" customHeight="1">
      <c r="A26" s="437"/>
      <c r="B26" s="437"/>
      <c r="C26" s="437"/>
      <c r="D26" s="437"/>
      <c r="E26" s="437"/>
      <c r="F26" s="437"/>
      <c r="G26" s="437"/>
      <c r="H26" s="437"/>
      <c r="I26" s="437"/>
      <c r="J26" s="437"/>
      <c r="K26" s="453"/>
      <c r="L26" s="453"/>
      <c r="M26" s="453"/>
      <c r="N26" s="453"/>
      <c r="Q26" s="453"/>
      <c r="R26" s="437"/>
      <c r="S26" s="469"/>
      <c r="T26" s="441"/>
    </row>
    <row r="27" spans="1:20" ht="16.5" customHeight="1">
      <c r="A27" s="437"/>
      <c r="B27" s="437"/>
      <c r="C27" s="437"/>
      <c r="D27" s="437"/>
      <c r="E27" s="437"/>
      <c r="F27" s="437"/>
      <c r="G27" s="437"/>
      <c r="H27" s="437"/>
      <c r="I27" s="437"/>
      <c r="J27" s="437"/>
      <c r="K27" s="453"/>
      <c r="L27" s="453"/>
      <c r="M27" s="453"/>
      <c r="N27" s="453"/>
      <c r="Q27" s="422"/>
      <c r="S27" s="422"/>
      <c r="T27" s="441"/>
    </row>
    <row r="28" spans="1:20" ht="16.5" customHeight="1">
      <c r="A28" s="437"/>
      <c r="B28" s="437"/>
      <c r="C28" s="437"/>
      <c r="D28" s="437"/>
      <c r="E28" s="437"/>
      <c r="F28" s="437"/>
      <c r="G28" s="437"/>
      <c r="H28" s="437"/>
      <c r="I28" s="437"/>
      <c r="J28" s="437"/>
      <c r="K28" s="453"/>
      <c r="L28" s="453"/>
      <c r="M28" s="453"/>
      <c r="N28" s="453"/>
      <c r="Q28" s="422"/>
      <c r="S28" s="422"/>
      <c r="T28" s="439"/>
    </row>
    <row r="29" spans="1:20" ht="16.5" customHeight="1">
      <c r="A29" s="437"/>
      <c r="B29" s="437"/>
      <c r="C29" s="453"/>
      <c r="D29" s="470" t="s">
        <v>549</v>
      </c>
      <c r="E29" s="469"/>
      <c r="F29" s="437"/>
      <c r="G29" s="437"/>
      <c r="H29" s="437"/>
      <c r="I29" s="437"/>
      <c r="J29" s="437"/>
      <c r="K29" s="467"/>
      <c r="L29" s="466"/>
      <c r="M29" s="453"/>
      <c r="N29" s="453"/>
      <c r="Q29" s="422"/>
      <c r="S29" s="422"/>
      <c r="T29" s="439"/>
    </row>
    <row r="30" spans="1:20" ht="16.5" customHeight="1">
      <c r="A30" s="437"/>
      <c r="B30" s="437"/>
      <c r="C30" s="453">
        <v>5</v>
      </c>
      <c r="D30" s="439" t="s">
        <v>496</v>
      </c>
      <c r="E30" s="468">
        <v>1.2509438254194618</v>
      </c>
      <c r="F30" s="437"/>
      <c r="G30" s="437"/>
      <c r="H30" s="437"/>
      <c r="I30" s="437"/>
      <c r="J30" s="437"/>
      <c r="K30" s="467"/>
      <c r="L30" s="466"/>
      <c r="M30" s="453"/>
      <c r="N30" s="453"/>
      <c r="Q30" s="422"/>
      <c r="S30" s="422"/>
      <c r="T30" s="439"/>
    </row>
    <row r="31" spans="1:20" ht="16.5" customHeight="1">
      <c r="A31" s="437"/>
      <c r="B31" s="437"/>
      <c r="C31" s="453">
        <v>4</v>
      </c>
      <c r="D31" s="439" t="s">
        <v>474</v>
      </c>
      <c r="E31" s="468">
        <v>1.2513651541197874</v>
      </c>
      <c r="F31" s="437"/>
      <c r="G31" s="437"/>
      <c r="H31" s="437"/>
      <c r="I31" s="437"/>
      <c r="J31" s="453"/>
      <c r="K31" s="470" t="s">
        <v>548</v>
      </c>
      <c r="L31" s="469"/>
      <c r="M31" s="453"/>
      <c r="N31" s="453"/>
      <c r="Q31" s="422"/>
      <c r="S31" s="422"/>
      <c r="T31" s="439"/>
    </row>
    <row r="32" spans="1:20" ht="16.5" customHeight="1">
      <c r="A32" s="437"/>
      <c r="B32" s="437"/>
      <c r="C32" s="453">
        <v>3</v>
      </c>
      <c r="D32" s="439" t="s">
        <v>490</v>
      </c>
      <c r="E32" s="468">
        <v>1.2594385282268328</v>
      </c>
      <c r="F32" s="437"/>
      <c r="G32" s="437"/>
      <c r="H32" s="437"/>
      <c r="I32" s="437"/>
      <c r="J32" s="453">
        <v>5</v>
      </c>
      <c r="K32" s="439" t="s">
        <v>455</v>
      </c>
      <c r="L32" s="468">
        <v>0.34090033050357765</v>
      </c>
      <c r="M32" s="453"/>
      <c r="N32" s="453"/>
      <c r="Q32" s="422"/>
      <c r="S32" s="422"/>
      <c r="T32" s="439"/>
    </row>
    <row r="33" spans="1:20" ht="16.5" customHeight="1">
      <c r="A33" s="437"/>
      <c r="B33" s="437"/>
      <c r="C33" s="453">
        <v>2</v>
      </c>
      <c r="D33" s="439" t="s">
        <v>505</v>
      </c>
      <c r="E33" s="468">
        <v>1.3949531009689466</v>
      </c>
      <c r="F33" s="437"/>
      <c r="G33" s="437"/>
      <c r="H33" s="437"/>
      <c r="I33" s="437"/>
      <c r="J33" s="453">
        <v>4</v>
      </c>
      <c r="K33" s="439" t="s">
        <v>487</v>
      </c>
      <c r="L33" s="468">
        <v>0.35806730459712605</v>
      </c>
      <c r="M33" s="453"/>
      <c r="N33" s="453"/>
      <c r="Q33" s="453"/>
      <c r="R33" s="437"/>
      <c r="S33" s="469"/>
      <c r="T33" s="441"/>
    </row>
    <row r="34" spans="1:20" ht="16.5" customHeight="1">
      <c r="A34" s="437"/>
      <c r="B34" s="437"/>
      <c r="C34" s="453">
        <v>1</v>
      </c>
      <c r="D34" s="439" t="s">
        <v>463</v>
      </c>
      <c r="E34" s="468">
        <v>1.6449812011708946</v>
      </c>
      <c r="F34" s="437"/>
      <c r="G34" s="437"/>
      <c r="H34" s="437"/>
      <c r="I34" s="437"/>
      <c r="J34" s="453">
        <v>3</v>
      </c>
      <c r="K34" s="439" t="s">
        <v>449</v>
      </c>
      <c r="L34" s="468">
        <v>0.36355877790537428</v>
      </c>
      <c r="M34" s="453"/>
      <c r="N34" s="453"/>
      <c r="Q34" s="422"/>
      <c r="S34" s="422"/>
      <c r="T34" s="441"/>
    </row>
    <row r="35" spans="1:20" ht="16.5" customHeight="1">
      <c r="A35" s="437"/>
      <c r="B35" s="437"/>
      <c r="C35" s="437"/>
      <c r="D35" s="437"/>
      <c r="E35" s="437"/>
      <c r="F35" s="437"/>
      <c r="G35" s="437"/>
      <c r="H35" s="437"/>
      <c r="I35" s="437"/>
      <c r="J35" s="453">
        <v>2</v>
      </c>
      <c r="K35" s="439" t="s">
        <v>505</v>
      </c>
      <c r="L35" s="468">
        <v>0.36717053080472278</v>
      </c>
      <c r="M35" s="453"/>
      <c r="N35" s="453"/>
      <c r="Q35" s="422"/>
      <c r="S35" s="422"/>
      <c r="T35" s="439"/>
    </row>
    <row r="36" spans="1:20" ht="16.5" customHeight="1">
      <c r="A36" s="437"/>
      <c r="B36" s="437"/>
      <c r="C36" s="437"/>
      <c r="D36" s="437"/>
      <c r="E36" s="437"/>
      <c r="F36" s="437"/>
      <c r="G36" s="437"/>
      <c r="H36" s="437"/>
      <c r="I36" s="437"/>
      <c r="J36" s="453">
        <v>1</v>
      </c>
      <c r="K36" s="439" t="s">
        <v>447</v>
      </c>
      <c r="L36" s="468">
        <v>0.61427592770452311</v>
      </c>
      <c r="M36" s="453"/>
      <c r="N36" s="453"/>
      <c r="Q36" s="422"/>
      <c r="S36" s="422"/>
      <c r="T36" s="439"/>
    </row>
    <row r="37" spans="1:20" ht="16.5" customHeight="1">
      <c r="A37" s="437"/>
      <c r="B37" s="437"/>
      <c r="C37" s="437"/>
      <c r="D37" s="437"/>
      <c r="E37" s="437"/>
      <c r="F37" s="437"/>
      <c r="G37" s="437"/>
      <c r="H37" s="437"/>
      <c r="I37" s="437"/>
      <c r="J37" s="437"/>
      <c r="K37" s="467"/>
      <c r="L37" s="466"/>
      <c r="M37" s="453"/>
      <c r="N37" s="453"/>
      <c r="Q37" s="422"/>
      <c r="S37" s="422"/>
      <c r="T37" s="439"/>
    </row>
    <row r="38" spans="1:20" ht="16.5" customHeight="1">
      <c r="A38" s="437"/>
      <c r="B38" s="437"/>
      <c r="C38" s="437"/>
      <c r="D38" s="437"/>
      <c r="E38" s="437"/>
      <c r="F38" s="437"/>
      <c r="G38" s="437"/>
      <c r="H38" s="437"/>
      <c r="I38" s="437"/>
      <c r="J38" s="437"/>
      <c r="K38" s="467"/>
      <c r="L38" s="466"/>
      <c r="M38" s="453"/>
      <c r="N38" s="453"/>
      <c r="Q38" s="422"/>
      <c r="S38" s="422"/>
      <c r="T38" s="439"/>
    </row>
    <row r="39" spans="1:20" ht="16.5" customHeight="1">
      <c r="A39" s="437"/>
      <c r="B39" s="437"/>
      <c r="C39" s="437"/>
      <c r="D39" s="437"/>
      <c r="E39" s="437"/>
      <c r="F39" s="437"/>
      <c r="G39" s="437"/>
      <c r="H39" s="437"/>
      <c r="I39" s="437"/>
      <c r="J39" s="437"/>
      <c r="K39" s="467"/>
      <c r="L39" s="466"/>
      <c r="M39" s="453"/>
      <c r="N39" s="453"/>
      <c r="Q39" s="422"/>
      <c r="S39" s="422"/>
      <c r="T39" s="439"/>
    </row>
    <row r="40" spans="1:20" ht="16.5" customHeight="1">
      <c r="A40" s="437"/>
      <c r="B40" s="437"/>
      <c r="C40" s="437"/>
      <c r="D40" s="437"/>
      <c r="E40" s="437"/>
      <c r="F40" s="437"/>
      <c r="G40" s="437"/>
      <c r="H40" s="437"/>
      <c r="I40" s="437"/>
      <c r="J40" s="437"/>
      <c r="K40" s="467"/>
      <c r="L40" s="466"/>
      <c r="M40" s="453"/>
      <c r="N40" s="453"/>
      <c r="Q40" s="453"/>
    </row>
    <row r="41" spans="1:20" ht="16.5" customHeight="1">
      <c r="A41" s="437"/>
      <c r="B41" s="437"/>
      <c r="C41" s="437"/>
      <c r="D41" s="437"/>
      <c r="E41" s="437"/>
      <c r="F41" s="437"/>
      <c r="G41" s="437"/>
      <c r="H41" s="437"/>
      <c r="I41" s="437"/>
      <c r="J41" s="437"/>
      <c r="K41" s="467"/>
      <c r="L41" s="466"/>
      <c r="M41" s="453"/>
      <c r="N41" s="453"/>
      <c r="Q41" s="453"/>
    </row>
    <row r="42" spans="1:20" ht="16.5" customHeight="1">
      <c r="B42" s="465"/>
      <c r="C42" s="465"/>
      <c r="D42" s="465"/>
      <c r="E42" s="465"/>
      <c r="F42" s="465"/>
      <c r="G42" s="437"/>
      <c r="I42" s="465"/>
      <c r="J42" s="465"/>
      <c r="K42" s="465"/>
      <c r="L42" s="465"/>
      <c r="M42" s="453"/>
      <c r="N42" s="453"/>
      <c r="Q42" s="453"/>
    </row>
    <row r="43" spans="1:20" ht="16.5" customHeight="1">
      <c r="A43" s="601" t="s">
        <v>554</v>
      </c>
      <c r="B43" s="601"/>
      <c r="C43" s="601"/>
      <c r="D43" s="601"/>
      <c r="E43" s="601"/>
      <c r="F43" s="601"/>
      <c r="G43" s="601"/>
      <c r="H43" s="602" t="s">
        <v>547</v>
      </c>
      <c r="I43" s="603"/>
      <c r="J43" s="603"/>
      <c r="K43" s="603"/>
      <c r="L43" s="603"/>
      <c r="M43" s="603"/>
      <c r="N43" s="603"/>
      <c r="Q43" s="464"/>
    </row>
    <row r="44" spans="1:20" ht="16.5" customHeight="1">
      <c r="A44" s="601"/>
      <c r="B44" s="601"/>
      <c r="C44" s="601"/>
      <c r="D44" s="601"/>
      <c r="E44" s="601"/>
      <c r="F44" s="601"/>
      <c r="G44" s="601"/>
      <c r="H44" s="603"/>
      <c r="I44" s="603"/>
      <c r="J44" s="603"/>
      <c r="K44" s="603"/>
      <c r="L44" s="603"/>
      <c r="M44" s="603"/>
      <c r="N44" s="603"/>
      <c r="Q44" s="464"/>
    </row>
    <row r="45" spans="1:20" ht="16.5" customHeight="1">
      <c r="A45" s="601"/>
      <c r="B45" s="601"/>
      <c r="C45" s="601"/>
      <c r="D45" s="601"/>
      <c r="E45" s="601"/>
      <c r="F45" s="601"/>
      <c r="G45" s="601"/>
      <c r="H45" s="603"/>
      <c r="I45" s="603"/>
      <c r="J45" s="603"/>
      <c r="K45" s="603"/>
      <c r="L45" s="603"/>
      <c r="M45" s="603"/>
      <c r="N45" s="603"/>
      <c r="Q45" s="464"/>
    </row>
    <row r="46" spans="1:20" ht="16.5" customHeight="1">
      <c r="A46" s="601"/>
      <c r="B46" s="601"/>
      <c r="C46" s="601"/>
      <c r="D46" s="601"/>
      <c r="E46" s="601"/>
      <c r="F46" s="601"/>
      <c r="G46" s="601"/>
      <c r="H46" s="603"/>
      <c r="I46" s="603"/>
      <c r="J46" s="603"/>
      <c r="K46" s="603"/>
      <c r="L46" s="603"/>
      <c r="M46" s="603"/>
      <c r="N46" s="603"/>
      <c r="Q46" s="464"/>
    </row>
    <row r="47" spans="1:20" ht="16.5" customHeight="1">
      <c r="A47" s="455"/>
      <c r="B47" s="455"/>
      <c r="C47" s="455"/>
      <c r="D47" s="455"/>
      <c r="E47" s="455"/>
      <c r="F47" s="455"/>
      <c r="G47" s="455"/>
      <c r="H47" s="455"/>
      <c r="I47" s="455"/>
      <c r="J47" s="455"/>
      <c r="K47" s="463"/>
      <c r="L47" s="463"/>
    </row>
    <row r="48" spans="1:20" ht="16.5" customHeight="1">
      <c r="A48" s="455"/>
      <c r="B48" s="455"/>
      <c r="C48" s="455"/>
      <c r="D48" s="455"/>
      <c r="E48" s="455"/>
      <c r="F48" s="455"/>
      <c r="G48" s="455"/>
      <c r="H48" s="455"/>
      <c r="I48" s="455"/>
      <c r="J48" s="455"/>
      <c r="K48" s="463"/>
      <c r="L48" s="463"/>
    </row>
  </sheetData>
  <sheetProtection algorithmName="SHA-512" hashValue="63RPy9E5pHfPCBcrtkHOcuIwY6aA3LpyMxN7+YotogOuCjwvGyvIXuWBKWYFLEP+0/Kai8jao7iSW/A6LK6TSQ==" saltValue="wclkvzK3kaaldVd8ZgF49A==" spinCount="100000" sheet="1" objects="1" scenarios="1"/>
  <mergeCells count="5">
    <mergeCell ref="A43:G46"/>
    <mergeCell ref="H43:N46"/>
    <mergeCell ref="E21:I21"/>
    <mergeCell ref="A22:G23"/>
    <mergeCell ref="H22:N23"/>
  </mergeCells>
  <phoneticPr fontId="96" type="noConversion"/>
  <pageMargins left="0.15748031496062992" right="0.15748031496062992" top="0.51181102362204722" bottom="0.43307086614173229" header="0.31496062992125984" footer="0.31496062992125984"/>
  <pageSetup paperSize="9" scale="70" orientation="portrait"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J10"/>
  <sheetViews>
    <sheetView showGridLines="0" workbookViewId="0"/>
  </sheetViews>
  <sheetFormatPr defaultRowHeight="16.5"/>
  <cols>
    <col min="1" max="1" width="14.625" customWidth="1"/>
    <col min="2" max="7" width="10.375" customWidth="1"/>
  </cols>
  <sheetData>
    <row r="1" spans="1:10">
      <c r="A1" s="103" t="s">
        <v>421</v>
      </c>
      <c r="G1" s="188"/>
    </row>
    <row r="3" spans="1:10">
      <c r="A3" s="115" t="s">
        <v>426</v>
      </c>
    </row>
    <row r="5" spans="1:10">
      <c r="A5" s="607" t="s">
        <v>424</v>
      </c>
      <c r="B5" s="607"/>
      <c r="C5" s="607"/>
      <c r="D5" s="607"/>
      <c r="E5" s="607"/>
      <c r="F5" s="607"/>
      <c r="G5" s="607"/>
    </row>
    <row r="6" spans="1:10" ht="30" customHeight="1">
      <c r="A6" s="20" t="s">
        <v>7</v>
      </c>
      <c r="B6" s="597" t="s">
        <v>9</v>
      </c>
      <c r="C6" s="598"/>
      <c r="D6" s="597" t="s">
        <v>422</v>
      </c>
      <c r="E6" s="598"/>
      <c r="F6" s="597" t="s">
        <v>423</v>
      </c>
      <c r="G6" s="598"/>
    </row>
    <row r="7" spans="1:10" ht="30" customHeight="1">
      <c r="A7" s="31" t="s">
        <v>0</v>
      </c>
      <c r="B7" s="14" t="s">
        <v>428</v>
      </c>
      <c r="C7" s="186" t="s">
        <v>425</v>
      </c>
      <c r="D7" s="14" t="s">
        <v>428</v>
      </c>
      <c r="E7" s="186" t="s">
        <v>425</v>
      </c>
      <c r="F7" s="14" t="s">
        <v>428</v>
      </c>
      <c r="G7" s="186" t="s">
        <v>425</v>
      </c>
    </row>
    <row r="8" spans="1:10" ht="30" customHeight="1">
      <c r="A8" s="391" t="s">
        <v>19</v>
      </c>
      <c r="B8" s="392">
        <v>12</v>
      </c>
      <c r="C8" s="393">
        <v>4038.3</v>
      </c>
      <c r="D8" s="392">
        <v>341</v>
      </c>
      <c r="E8" s="394">
        <v>95.7</v>
      </c>
      <c r="F8" s="392">
        <v>2313</v>
      </c>
      <c r="G8" s="393">
        <v>503.4</v>
      </c>
      <c r="H8" s="382"/>
      <c r="I8" s="382"/>
      <c r="J8" s="382"/>
    </row>
    <row r="9" spans="1:10">
      <c r="A9" s="101" t="s">
        <v>519</v>
      </c>
    </row>
    <row r="10" spans="1:10">
      <c r="A10" s="101" t="s">
        <v>427</v>
      </c>
    </row>
  </sheetData>
  <sheetProtection algorithmName="SHA-512" hashValue="6kFNTPuq0CIGzAnyIxBbbFRFVt75ead+TVrUnhwMyoIxntCl6XKj5wiMs7fMw/FhcQU9xrTaz83J160X0iiEmA==" saltValue="12QsW3xHX/zmZmvaY/gHYw==" spinCount="100000" sheet="1" objects="1" scenarios="1"/>
  <mergeCells count="4">
    <mergeCell ref="A5:G5"/>
    <mergeCell ref="B6:C6"/>
    <mergeCell ref="D6:E6"/>
    <mergeCell ref="F6:G6"/>
  </mergeCells>
  <phoneticPr fontId="96" type="noConversion"/>
  <pageMargins left="0.7" right="0.7" top="0.75" bottom="0.75" header="0.3" footer="0.3"/>
  <pageSetup paperSize="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I53"/>
  <sheetViews>
    <sheetView showGridLines="0" view="pageBreakPreview" zoomScaleSheetLayoutView="100" workbookViewId="0">
      <selection activeCell="A10" sqref="A10:N10"/>
    </sheetView>
  </sheetViews>
  <sheetFormatPr defaultRowHeight="16.5"/>
  <cols>
    <col min="1" max="1" width="15.5" style="146" customWidth="1"/>
    <col min="2" max="2" width="9.5" style="146" customWidth="1"/>
    <col min="3" max="10" width="9" style="146" customWidth="1"/>
    <col min="11" max="12" width="11.25" style="146" customWidth="1"/>
    <col min="13" max="13" width="12.875" style="146" customWidth="1"/>
    <col min="14" max="14" width="9.25" style="146" customWidth="1"/>
    <col min="15" max="15" width="8.25" style="146" customWidth="1"/>
    <col min="16" max="16" width="6.875" style="146" customWidth="1"/>
    <col min="17" max="17" width="8.25" style="146" customWidth="1"/>
    <col min="18" max="24" width="7.5" style="146" customWidth="1"/>
    <col min="25" max="25" width="8" style="146" customWidth="1"/>
    <col min="26" max="26" width="12.875" style="146" customWidth="1"/>
    <col min="27" max="16384" width="9" style="146"/>
  </cols>
  <sheetData>
    <row r="1" spans="1:35">
      <c r="A1" s="158"/>
      <c r="B1" s="158"/>
      <c r="C1" s="158"/>
      <c r="D1" s="158"/>
      <c r="E1" s="158"/>
      <c r="F1" s="158"/>
      <c r="G1" s="158"/>
      <c r="H1" s="158"/>
      <c r="I1" s="159"/>
      <c r="J1" s="158"/>
      <c r="K1" s="158"/>
      <c r="L1" s="158"/>
      <c r="M1" s="158"/>
      <c r="N1" s="158"/>
      <c r="O1" s="158"/>
      <c r="P1" s="42"/>
      <c r="Q1" s="42"/>
      <c r="R1" s="42"/>
      <c r="S1" s="42"/>
      <c r="T1" s="42"/>
      <c r="U1" s="42"/>
      <c r="V1" s="42"/>
      <c r="W1" s="42"/>
      <c r="X1" s="42"/>
    </row>
    <row r="2" spans="1:35">
      <c r="A2" s="160" t="s">
        <v>379</v>
      </c>
      <c r="B2" s="610" t="s">
        <v>380</v>
      </c>
      <c r="C2" s="612" t="s">
        <v>381</v>
      </c>
      <c r="D2" s="613"/>
      <c r="E2" s="613"/>
      <c r="F2" s="613"/>
      <c r="G2" s="613"/>
      <c r="H2" s="613"/>
      <c r="I2" s="613"/>
      <c r="J2" s="614"/>
      <c r="K2" s="612" t="s">
        <v>382</v>
      </c>
      <c r="L2" s="613"/>
      <c r="M2" s="613"/>
      <c r="N2" s="614"/>
      <c r="O2" s="161"/>
      <c r="P2" s="44"/>
      <c r="Q2" s="44"/>
      <c r="R2" s="44"/>
      <c r="S2" s="42"/>
      <c r="T2" s="42"/>
      <c r="U2" s="42"/>
      <c r="V2" s="42"/>
      <c r="W2" s="42"/>
      <c r="X2" s="42"/>
      <c r="Y2" s="191"/>
    </row>
    <row r="3" spans="1:35">
      <c r="A3" s="162" t="s">
        <v>383</v>
      </c>
      <c r="B3" s="611"/>
      <c r="C3" s="163" t="s">
        <v>384</v>
      </c>
      <c r="D3" s="164" t="s">
        <v>385</v>
      </c>
      <c r="E3" s="164" t="s">
        <v>386</v>
      </c>
      <c r="F3" s="164" t="s">
        <v>387</v>
      </c>
      <c r="G3" s="164" t="s">
        <v>388</v>
      </c>
      <c r="H3" s="164" t="s">
        <v>389</v>
      </c>
      <c r="I3" s="164" t="s">
        <v>390</v>
      </c>
      <c r="J3" s="165" t="s">
        <v>391</v>
      </c>
      <c r="K3" s="166" t="s">
        <v>384</v>
      </c>
      <c r="L3" s="164" t="s">
        <v>392</v>
      </c>
      <c r="M3" s="164" t="s">
        <v>393</v>
      </c>
      <c r="N3" s="165" t="s">
        <v>394</v>
      </c>
      <c r="O3" s="161"/>
      <c r="P3" s="44"/>
      <c r="Q3" s="44"/>
      <c r="R3" s="44"/>
      <c r="S3" s="42"/>
      <c r="T3" s="42"/>
      <c r="U3" s="42"/>
      <c r="V3" s="42"/>
      <c r="W3" s="42"/>
      <c r="X3" s="42"/>
      <c r="Y3" s="192"/>
    </row>
    <row r="4" spans="1:35">
      <c r="A4" s="167" t="s">
        <v>380</v>
      </c>
      <c r="B4" s="122">
        <f t="shared" ref="B4:N4" si="0">SUM(B5,B6,B7)</f>
        <v>16040439</v>
      </c>
      <c r="C4" s="123">
        <f t="shared" si="0"/>
        <v>6194011</v>
      </c>
      <c r="D4" s="124">
        <f>SUM(D5,D6,D7)</f>
        <v>4274201</v>
      </c>
      <c r="E4" s="124">
        <f t="shared" si="0"/>
        <v>176439</v>
      </c>
      <c r="F4" s="124">
        <f t="shared" si="0"/>
        <v>49613</v>
      </c>
      <c r="G4" s="124">
        <f t="shared" si="0"/>
        <v>1275</v>
      </c>
      <c r="H4" s="124">
        <f t="shared" si="0"/>
        <v>171</v>
      </c>
      <c r="I4" s="124">
        <f t="shared" si="0"/>
        <v>1563150</v>
      </c>
      <c r="J4" s="125">
        <f t="shared" si="0"/>
        <v>129162</v>
      </c>
      <c r="K4" s="363">
        <f t="shared" si="0"/>
        <v>9846428</v>
      </c>
      <c r="L4" s="124">
        <f t="shared" si="0"/>
        <v>9433210</v>
      </c>
      <c r="M4" s="124">
        <f t="shared" si="0"/>
        <v>240292</v>
      </c>
      <c r="N4" s="125">
        <f t="shared" si="0"/>
        <v>172926</v>
      </c>
      <c r="O4" s="161"/>
      <c r="P4" s="44"/>
      <c r="Q4" s="44"/>
      <c r="R4" s="44"/>
      <c r="S4" s="42"/>
      <c r="T4" s="42"/>
      <c r="U4" s="42"/>
      <c r="V4" s="42"/>
      <c r="W4" s="42"/>
      <c r="X4" s="42"/>
    </row>
    <row r="5" spans="1:35">
      <c r="A5" s="168" t="s">
        <v>395</v>
      </c>
      <c r="B5" s="127">
        <f>SUM(C5,K5)</f>
        <v>64394</v>
      </c>
      <c r="C5" s="128">
        <f>SUM(D5:J5)</f>
        <v>64394</v>
      </c>
      <c r="D5" s="118">
        <f>SUM(D15:E15)</f>
        <v>30953</v>
      </c>
      <c r="E5" s="118">
        <f>SUM(F15:G15)</f>
        <v>1184</v>
      </c>
      <c r="F5" s="118">
        <f>SUM(H15:I15)</f>
        <v>5988</v>
      </c>
      <c r="G5" s="118">
        <f>SUM(J15:K15)</f>
        <v>181</v>
      </c>
      <c r="H5" s="118">
        <f>SUM(L15:M15)</f>
        <v>153</v>
      </c>
      <c r="I5" s="118">
        <f>SUM(N15:P15,V15,W15,X15)</f>
        <v>25753</v>
      </c>
      <c r="J5" s="129">
        <f>SUM(Q15:U15)</f>
        <v>182</v>
      </c>
      <c r="K5" s="360">
        <v>0</v>
      </c>
      <c r="L5" s="118">
        <v>0</v>
      </c>
      <c r="M5" s="118">
        <v>0</v>
      </c>
      <c r="N5" s="129">
        <v>0</v>
      </c>
      <c r="O5" s="161"/>
      <c r="P5" s="44"/>
      <c r="Q5" s="44"/>
      <c r="R5" s="44"/>
      <c r="S5" s="42"/>
      <c r="T5" s="42"/>
      <c r="U5" s="42"/>
      <c r="V5" s="42"/>
      <c r="W5" s="42"/>
      <c r="X5" s="42"/>
    </row>
    <row r="6" spans="1:35">
      <c r="A6" s="168" t="s">
        <v>396</v>
      </c>
      <c r="B6" s="130">
        <f>SUM(C6,K6)</f>
        <v>58984</v>
      </c>
      <c r="C6" s="131">
        <f>SUM(D6:J6)</f>
        <v>58984</v>
      </c>
      <c r="D6" s="132">
        <f>SUM(D20:E20)</f>
        <v>21236</v>
      </c>
      <c r="E6" s="132">
        <f>SUM(F20:G20)</f>
        <v>1933</v>
      </c>
      <c r="F6" s="132">
        <f>SUM(H20:I20)</f>
        <v>9836</v>
      </c>
      <c r="G6" s="132">
        <f>SUM(J20:K20)</f>
        <v>1094</v>
      </c>
      <c r="H6" s="132">
        <f>SUM(L20:M20)</f>
        <v>3</v>
      </c>
      <c r="I6" s="132">
        <f>SUM(N20:P20)</f>
        <v>24879</v>
      </c>
      <c r="J6" s="116">
        <f>SUM(Q20:R20)</f>
        <v>3</v>
      </c>
      <c r="K6" s="324">
        <v>0</v>
      </c>
      <c r="L6" s="132">
        <v>0</v>
      </c>
      <c r="M6" s="132">
        <v>0</v>
      </c>
      <c r="N6" s="116">
        <v>0</v>
      </c>
      <c r="O6" s="161"/>
      <c r="P6" s="44"/>
      <c r="Q6" s="44"/>
      <c r="R6" s="44"/>
      <c r="S6" s="42"/>
      <c r="T6" s="42"/>
      <c r="U6" s="42"/>
      <c r="V6" s="42"/>
      <c r="W6" s="42"/>
      <c r="X6" s="42"/>
    </row>
    <row r="7" spans="1:35">
      <c r="A7" s="168" t="s">
        <v>397</v>
      </c>
      <c r="B7" s="130">
        <f t="shared" ref="B7:J7" si="1">SUM(B8:B9)</f>
        <v>15917061</v>
      </c>
      <c r="C7" s="131">
        <f t="shared" si="1"/>
        <v>6070633</v>
      </c>
      <c r="D7" s="132">
        <f>SUM(D32:E32,'제1심 처리'!E6:M6)</f>
        <v>4222012</v>
      </c>
      <c r="E7" s="132">
        <f t="shared" si="1"/>
        <v>173322</v>
      </c>
      <c r="F7" s="132">
        <f t="shared" si="1"/>
        <v>33789</v>
      </c>
      <c r="G7" s="132">
        <f t="shared" si="1"/>
        <v>0</v>
      </c>
      <c r="H7" s="132">
        <f t="shared" si="1"/>
        <v>15</v>
      </c>
      <c r="I7" s="132">
        <f t="shared" si="1"/>
        <v>1512518</v>
      </c>
      <c r="J7" s="116">
        <f t="shared" si="1"/>
        <v>128977</v>
      </c>
      <c r="K7" s="324">
        <f>SUM(L7:N7)</f>
        <v>9846428</v>
      </c>
      <c r="L7" s="132">
        <f>SUM(L8:L9)</f>
        <v>9433210</v>
      </c>
      <c r="M7" s="132">
        <f>SUM(M8:M9)</f>
        <v>240292</v>
      </c>
      <c r="N7" s="116">
        <f>SUM(N8:N9)</f>
        <v>172926</v>
      </c>
      <c r="O7" s="161"/>
      <c r="P7" s="44"/>
      <c r="Q7" s="44"/>
      <c r="R7" s="44"/>
      <c r="S7" s="42"/>
      <c r="T7" s="42"/>
      <c r="U7" s="42"/>
      <c r="V7" s="42"/>
      <c r="W7" s="42"/>
      <c r="X7" s="42"/>
    </row>
    <row r="8" spans="1:35">
      <c r="A8" s="169" t="s">
        <v>15</v>
      </c>
      <c r="B8" s="127">
        <f>SUM(C8,K8)</f>
        <v>127167</v>
      </c>
      <c r="C8" s="128">
        <f>SUM(D8:J8)</f>
        <v>127167</v>
      </c>
      <c r="D8" s="118">
        <f>SUM(D32:E32)</f>
        <v>57499</v>
      </c>
      <c r="E8" s="118">
        <f>SUM(F32:G32)</f>
        <v>4119</v>
      </c>
      <c r="F8" s="118">
        <v>0</v>
      </c>
      <c r="G8" s="118">
        <v>0</v>
      </c>
      <c r="H8" s="118">
        <v>0</v>
      </c>
      <c r="I8" s="118">
        <f>SUM(H32:I32,O32,P32,Q32)</f>
        <v>63375</v>
      </c>
      <c r="J8" s="129">
        <f>SUM(J32:N32)</f>
        <v>2174</v>
      </c>
      <c r="K8" s="360">
        <f>SUM(L8:N8)</f>
        <v>0</v>
      </c>
      <c r="L8" s="118">
        <v>0</v>
      </c>
      <c r="M8" s="118">
        <v>0</v>
      </c>
      <c r="N8" s="129">
        <v>0</v>
      </c>
      <c r="O8" s="161"/>
      <c r="P8" s="44"/>
      <c r="Q8" s="44"/>
      <c r="R8" s="44"/>
      <c r="S8" s="42"/>
      <c r="T8" s="42"/>
      <c r="U8" s="42"/>
      <c r="V8" s="42"/>
      <c r="W8" s="42"/>
      <c r="X8" s="42"/>
    </row>
    <row r="9" spans="1:35">
      <c r="A9" s="170" t="s">
        <v>398</v>
      </c>
      <c r="B9" s="133">
        <f>SUM(C9,K9)</f>
        <v>15789894</v>
      </c>
      <c r="C9" s="134">
        <f>SUM(D9:J9)</f>
        <v>5943466</v>
      </c>
      <c r="D9" s="119">
        <f>SUM('제1심 처리'!E6:M6)</f>
        <v>4164513</v>
      </c>
      <c r="E9" s="119">
        <f>SUM('제1심 처리'!N6:Q6)</f>
        <v>169203</v>
      </c>
      <c r="F9" s="119">
        <f>SUM('제1심 처리'!R6:S6)-H9</f>
        <v>33789</v>
      </c>
      <c r="G9" s="119">
        <v>0</v>
      </c>
      <c r="H9" s="119">
        <v>15</v>
      </c>
      <c r="I9" s="119">
        <f>SUM('제1심 처리'!T6:Z6,'제1심 처리'!AF6:AH6)</f>
        <v>1449143</v>
      </c>
      <c r="J9" s="117">
        <f>SUM('제1심 처리'!AA6:AE6)</f>
        <v>126803</v>
      </c>
      <c r="K9" s="362">
        <f>SUM(L9:N9)</f>
        <v>9846428</v>
      </c>
      <c r="L9" s="119">
        <f>'제1심 처리'!AJ6</f>
        <v>9433210</v>
      </c>
      <c r="M9" s="119">
        <f>'제1심 처리'!AK1</f>
        <v>240292</v>
      </c>
      <c r="N9" s="117">
        <f>'제1심 처리'!AL6</f>
        <v>172926</v>
      </c>
      <c r="O9" s="161"/>
      <c r="P9" s="44"/>
      <c r="Q9" s="44"/>
      <c r="R9" s="44"/>
      <c r="S9" s="42"/>
      <c r="T9" s="42"/>
      <c r="U9" s="42"/>
      <c r="V9" s="42"/>
      <c r="W9" s="42"/>
      <c r="X9" s="42"/>
    </row>
    <row r="10" spans="1:35" ht="49.5" customHeight="1">
      <c r="A10" s="534" t="s">
        <v>521</v>
      </c>
      <c r="B10" s="534"/>
      <c r="C10" s="534"/>
      <c r="D10" s="534"/>
      <c r="E10" s="534"/>
      <c r="F10" s="534"/>
      <c r="G10" s="534"/>
      <c r="H10" s="534"/>
      <c r="I10" s="534"/>
      <c r="J10" s="534"/>
      <c r="K10" s="534"/>
      <c r="L10" s="534"/>
      <c r="M10" s="534"/>
      <c r="N10" s="534"/>
      <c r="O10" s="158"/>
      <c r="P10" s="42"/>
      <c r="Q10" s="42"/>
      <c r="R10" s="42"/>
      <c r="S10" s="42"/>
      <c r="T10" s="42"/>
      <c r="U10" s="42"/>
      <c r="V10" s="42"/>
      <c r="W10" s="42"/>
      <c r="X10" s="42"/>
    </row>
    <row r="11" spans="1:35">
      <c r="A11" s="44"/>
      <c r="B11" s="44"/>
      <c r="C11" s="44"/>
      <c r="D11" s="44"/>
      <c r="E11" s="44"/>
      <c r="F11" s="44"/>
      <c r="G11" s="44"/>
      <c r="H11" s="44"/>
      <c r="I11" s="44"/>
      <c r="J11" s="44"/>
      <c r="K11" s="44"/>
      <c r="L11" s="44"/>
      <c r="M11" s="44"/>
      <c r="N11" s="44"/>
      <c r="O11" s="44"/>
      <c r="P11" s="44"/>
      <c r="Q11" s="44"/>
      <c r="R11" s="44"/>
      <c r="S11" s="42"/>
      <c r="T11" s="42"/>
      <c r="U11" s="42"/>
      <c r="V11" s="42"/>
      <c r="W11" s="42"/>
      <c r="X11" s="42"/>
    </row>
    <row r="12" spans="1:35">
      <c r="A12" s="51" t="s">
        <v>378</v>
      </c>
      <c r="B12" s="44"/>
      <c r="C12" s="44"/>
      <c r="D12" s="44"/>
      <c r="E12" s="44"/>
      <c r="F12" s="44"/>
      <c r="G12" s="44"/>
      <c r="H12" s="44"/>
      <c r="I12" s="44"/>
      <c r="J12" s="44"/>
      <c r="K12" s="44"/>
      <c r="L12" s="44"/>
      <c r="M12" s="44"/>
      <c r="N12" s="88"/>
      <c r="O12" s="44"/>
      <c r="P12" s="44"/>
      <c r="Q12" s="44"/>
      <c r="R12" s="44"/>
      <c r="S12" s="44"/>
      <c r="T12" s="44"/>
      <c r="U12" s="44"/>
      <c r="V12" s="42"/>
      <c r="W12" s="42"/>
      <c r="X12" s="42"/>
    </row>
    <row r="13" spans="1:35" ht="16.5" customHeight="1">
      <c r="A13" s="43" t="s">
        <v>352</v>
      </c>
      <c r="B13" s="615" t="s">
        <v>369</v>
      </c>
      <c r="C13" s="616"/>
      <c r="D13" s="617" t="s">
        <v>368</v>
      </c>
      <c r="E13" s="618"/>
      <c r="F13" s="618" t="s">
        <v>367</v>
      </c>
      <c r="G13" s="618"/>
      <c r="H13" s="619" t="s">
        <v>366</v>
      </c>
      <c r="I13" s="617"/>
      <c r="J13" s="619" t="s">
        <v>365</v>
      </c>
      <c r="K13" s="617"/>
      <c r="L13" s="619" t="s">
        <v>364</v>
      </c>
      <c r="M13" s="617"/>
      <c r="N13" s="619" t="s">
        <v>363</v>
      </c>
      <c r="O13" s="624"/>
      <c r="P13" s="617"/>
      <c r="Q13" s="627" t="s">
        <v>351</v>
      </c>
      <c r="R13" s="627" t="s">
        <v>377</v>
      </c>
      <c r="S13" s="620" t="s">
        <v>376</v>
      </c>
      <c r="T13" s="620" t="s">
        <v>375</v>
      </c>
      <c r="U13" s="620" t="s">
        <v>374</v>
      </c>
      <c r="V13" s="620" t="s">
        <v>373</v>
      </c>
      <c r="W13" s="622" t="s">
        <v>372</v>
      </c>
      <c r="X13" s="542"/>
    </row>
    <row r="14" spans="1:35">
      <c r="A14" s="45" t="s">
        <v>344</v>
      </c>
      <c r="B14" s="52" t="s">
        <v>343</v>
      </c>
      <c r="C14" s="53" t="s">
        <v>251</v>
      </c>
      <c r="D14" s="54" t="s">
        <v>343</v>
      </c>
      <c r="E14" s="55" t="s">
        <v>251</v>
      </c>
      <c r="F14" s="54" t="s">
        <v>343</v>
      </c>
      <c r="G14" s="55" t="s">
        <v>251</v>
      </c>
      <c r="H14" s="54" t="s">
        <v>343</v>
      </c>
      <c r="I14" s="55" t="s">
        <v>251</v>
      </c>
      <c r="J14" s="54" t="s">
        <v>343</v>
      </c>
      <c r="K14" s="55" t="s">
        <v>251</v>
      </c>
      <c r="L14" s="54" t="s">
        <v>343</v>
      </c>
      <c r="M14" s="56" t="s">
        <v>251</v>
      </c>
      <c r="N14" s="56" t="s">
        <v>362</v>
      </c>
      <c r="O14" s="56" t="s">
        <v>361</v>
      </c>
      <c r="P14" s="55" t="s">
        <v>251</v>
      </c>
      <c r="Q14" s="628"/>
      <c r="R14" s="628"/>
      <c r="S14" s="621"/>
      <c r="T14" s="621"/>
      <c r="U14" s="621"/>
      <c r="V14" s="621"/>
      <c r="W14" s="623"/>
      <c r="X14" s="542"/>
      <c r="Z14" s="219" t="s">
        <v>7</v>
      </c>
      <c r="AA14" s="219" t="s">
        <v>514</v>
      </c>
      <c r="AB14" s="219" t="s">
        <v>507</v>
      </c>
      <c r="AC14" s="219" t="s">
        <v>516</v>
      </c>
      <c r="AD14" s="219" t="s">
        <v>508</v>
      </c>
      <c r="AE14" s="219" t="s">
        <v>509</v>
      </c>
      <c r="AF14" s="219" t="s">
        <v>510</v>
      </c>
      <c r="AG14" s="219" t="s">
        <v>511</v>
      </c>
      <c r="AH14" s="219" t="s">
        <v>513</v>
      </c>
    </row>
    <row r="15" spans="1:35">
      <c r="A15" s="144" t="s">
        <v>371</v>
      </c>
      <c r="B15" s="334">
        <f>D15+F15+H15+J15+L15+N15+O15</f>
        <v>48460</v>
      </c>
      <c r="C15" s="335">
        <f>SUM(E15,G15,I15,K15,M15,P15:W15)</f>
        <v>15934</v>
      </c>
      <c r="D15" s="157">
        <v>23924</v>
      </c>
      <c r="E15" s="333">
        <v>7029</v>
      </c>
      <c r="F15" s="157">
        <v>706</v>
      </c>
      <c r="G15" s="157">
        <v>478</v>
      </c>
      <c r="H15" s="293">
        <v>4172</v>
      </c>
      <c r="I15" s="293">
        <v>1816</v>
      </c>
      <c r="J15" s="293">
        <v>138</v>
      </c>
      <c r="K15" s="293">
        <v>43</v>
      </c>
      <c r="L15" s="293">
        <v>71</v>
      </c>
      <c r="M15" s="293">
        <v>82</v>
      </c>
      <c r="N15" s="157">
        <v>19432</v>
      </c>
      <c r="O15" s="157">
        <v>17</v>
      </c>
      <c r="P15" s="293">
        <v>6291</v>
      </c>
      <c r="Q15" s="157">
        <v>14</v>
      </c>
      <c r="R15" s="91">
        <v>79</v>
      </c>
      <c r="S15" s="91">
        <v>19</v>
      </c>
      <c r="T15" s="91">
        <v>48</v>
      </c>
      <c r="U15" s="91">
        <v>22</v>
      </c>
      <c r="V15" s="91">
        <v>13</v>
      </c>
      <c r="W15" s="254">
        <v>0</v>
      </c>
      <c r="X15" s="136"/>
      <c r="Z15" s="218" t="s">
        <v>9</v>
      </c>
      <c r="AA15" s="223">
        <f>SUM(AB15:AH15)</f>
        <v>6291</v>
      </c>
      <c r="AB15" s="224">
        <v>1059</v>
      </c>
      <c r="AC15" s="231">
        <v>13</v>
      </c>
      <c r="AD15" s="229">
        <v>188</v>
      </c>
      <c r="AE15" s="229">
        <v>76</v>
      </c>
      <c r="AF15" s="230">
        <v>1</v>
      </c>
      <c r="AG15" s="295">
        <v>4946</v>
      </c>
      <c r="AH15" s="224">
        <v>8</v>
      </c>
    </row>
    <row r="16" spans="1:35">
      <c r="A16" s="44"/>
      <c r="B16" s="44"/>
      <c r="C16" s="44"/>
      <c r="D16" s="44"/>
      <c r="E16" s="44"/>
      <c r="F16" s="44"/>
      <c r="G16" s="44"/>
      <c r="H16" s="44"/>
      <c r="I16" s="44"/>
      <c r="J16" s="44"/>
      <c r="K16" s="44"/>
      <c r="L16" s="44"/>
      <c r="M16" s="44"/>
      <c r="N16" s="44"/>
      <c r="O16" s="44"/>
      <c r="P16" s="44"/>
      <c r="Q16" s="44"/>
      <c r="R16" s="44"/>
      <c r="S16" s="42"/>
      <c r="T16" s="42"/>
      <c r="U16" s="42"/>
      <c r="V16" s="42"/>
      <c r="W16" s="42"/>
      <c r="X16" s="42"/>
      <c r="Z16" s="220"/>
      <c r="AA16" s="225"/>
      <c r="AB16" s="225"/>
      <c r="AC16" s="225"/>
      <c r="AD16" s="225"/>
      <c r="AE16" s="225"/>
      <c r="AF16" s="225"/>
      <c r="AG16" s="225"/>
      <c r="AH16" s="225"/>
      <c r="AI16" s="225"/>
    </row>
    <row r="17" spans="1:35">
      <c r="A17" s="51" t="s">
        <v>370</v>
      </c>
      <c r="B17" s="44"/>
      <c r="C17" s="44"/>
      <c r="D17" s="44"/>
      <c r="E17" s="44"/>
      <c r="F17" s="44"/>
      <c r="G17" s="44"/>
      <c r="H17" s="44"/>
      <c r="I17" s="44"/>
      <c r="J17" s="44"/>
      <c r="K17" s="44"/>
      <c r="L17" s="44"/>
      <c r="M17" s="44"/>
      <c r="N17" s="88"/>
      <c r="O17" s="44"/>
      <c r="P17" s="44"/>
      <c r="Q17" s="44"/>
      <c r="R17" s="42"/>
      <c r="S17" s="42"/>
      <c r="T17" s="42"/>
      <c r="U17" s="42"/>
      <c r="V17" s="42"/>
      <c r="W17" s="42"/>
      <c r="Z17" s="220"/>
      <c r="AA17" s="225"/>
      <c r="AB17" s="225"/>
      <c r="AC17" s="225"/>
      <c r="AD17" s="225"/>
      <c r="AE17" s="225"/>
      <c r="AF17" s="225"/>
      <c r="AG17" s="225"/>
      <c r="AH17" s="225"/>
      <c r="AI17" s="225"/>
    </row>
    <row r="18" spans="1:35">
      <c r="A18" s="43" t="s">
        <v>352</v>
      </c>
      <c r="B18" s="615" t="s">
        <v>369</v>
      </c>
      <c r="C18" s="616"/>
      <c r="D18" s="615" t="s">
        <v>368</v>
      </c>
      <c r="E18" s="618"/>
      <c r="F18" s="618" t="s">
        <v>367</v>
      </c>
      <c r="G18" s="618"/>
      <c r="H18" s="624" t="s">
        <v>124</v>
      </c>
      <c r="I18" s="617"/>
      <c r="J18" s="624" t="s">
        <v>123</v>
      </c>
      <c r="K18" s="617"/>
      <c r="L18" s="625" t="s">
        <v>122</v>
      </c>
      <c r="M18" s="626"/>
      <c r="N18" s="624" t="s">
        <v>363</v>
      </c>
      <c r="O18" s="624"/>
      <c r="P18" s="617"/>
      <c r="Q18" s="629" t="s">
        <v>418</v>
      </c>
      <c r="R18" s="608" t="s">
        <v>419</v>
      </c>
      <c r="U18" s="42"/>
      <c r="V18" s="42"/>
      <c r="W18" s="42"/>
      <c r="Z18" s="220"/>
    </row>
    <row r="19" spans="1:35">
      <c r="A19" s="45" t="s">
        <v>344</v>
      </c>
      <c r="B19" s="58" t="s">
        <v>343</v>
      </c>
      <c r="C19" s="59" t="s">
        <v>251</v>
      </c>
      <c r="D19" s="58" t="s">
        <v>343</v>
      </c>
      <c r="E19" s="55" t="s">
        <v>251</v>
      </c>
      <c r="F19" s="55" t="s">
        <v>343</v>
      </c>
      <c r="G19" s="55" t="s">
        <v>251</v>
      </c>
      <c r="H19" s="60" t="s">
        <v>98</v>
      </c>
      <c r="I19" s="55" t="s">
        <v>97</v>
      </c>
      <c r="J19" s="60" t="s">
        <v>98</v>
      </c>
      <c r="K19" s="55" t="s">
        <v>97</v>
      </c>
      <c r="L19" s="60" t="s">
        <v>98</v>
      </c>
      <c r="M19" s="55" t="s">
        <v>97</v>
      </c>
      <c r="N19" s="60" t="s">
        <v>362</v>
      </c>
      <c r="O19" s="55" t="s">
        <v>361</v>
      </c>
      <c r="P19" s="185" t="s">
        <v>251</v>
      </c>
      <c r="Q19" s="630"/>
      <c r="R19" s="609"/>
      <c r="U19" s="42"/>
      <c r="V19" s="42"/>
      <c r="W19" s="42"/>
      <c r="Z19" s="217" t="s">
        <v>7</v>
      </c>
      <c r="AA19" s="223" t="s">
        <v>514</v>
      </c>
      <c r="AB19" s="223" t="s">
        <v>507</v>
      </c>
      <c r="AC19" s="219" t="s">
        <v>516</v>
      </c>
      <c r="AD19" s="223" t="s">
        <v>508</v>
      </c>
      <c r="AE19" s="223" t="s">
        <v>509</v>
      </c>
      <c r="AF19" s="223" t="s">
        <v>510</v>
      </c>
      <c r="AG19" s="223" t="s">
        <v>515</v>
      </c>
      <c r="AH19" s="223" t="s">
        <v>512</v>
      </c>
      <c r="AI19" s="223" t="s">
        <v>513</v>
      </c>
    </row>
    <row r="20" spans="1:35" ht="14.25" customHeight="1">
      <c r="A20" s="47" t="s">
        <v>143</v>
      </c>
      <c r="B20" s="131">
        <f t="shared" ref="B20:R20" si="2">SUM(B21:B27)</f>
        <v>32633</v>
      </c>
      <c r="C20" s="116">
        <f t="shared" si="2"/>
        <v>26351</v>
      </c>
      <c r="D20" s="269">
        <f t="shared" si="2"/>
        <v>14015</v>
      </c>
      <c r="E20" s="132">
        <f t="shared" si="2"/>
        <v>7221</v>
      </c>
      <c r="F20" s="269">
        <f t="shared" si="2"/>
        <v>1163</v>
      </c>
      <c r="G20" s="269">
        <f t="shared" si="2"/>
        <v>770</v>
      </c>
      <c r="H20" s="132">
        <f t="shared" si="2"/>
        <v>7559</v>
      </c>
      <c r="I20" s="132">
        <f t="shared" si="2"/>
        <v>2277</v>
      </c>
      <c r="J20" s="132">
        <f t="shared" si="2"/>
        <v>613</v>
      </c>
      <c r="K20" s="132">
        <f t="shared" si="2"/>
        <v>481</v>
      </c>
      <c r="L20" s="132">
        <f t="shared" si="2"/>
        <v>2</v>
      </c>
      <c r="M20" s="132">
        <f t="shared" si="2"/>
        <v>1</v>
      </c>
      <c r="N20" s="311">
        <f t="shared" si="2"/>
        <v>9201</v>
      </c>
      <c r="O20" s="312">
        <f t="shared" si="2"/>
        <v>80</v>
      </c>
      <c r="P20" s="294">
        <f t="shared" si="2"/>
        <v>15598</v>
      </c>
      <c r="Q20" s="289">
        <f t="shared" si="2"/>
        <v>2</v>
      </c>
      <c r="R20" s="276">
        <f t="shared" si="2"/>
        <v>1</v>
      </c>
      <c r="U20" s="42"/>
      <c r="V20" s="42"/>
      <c r="W20" s="42"/>
      <c r="Z20" s="221" t="s">
        <v>1</v>
      </c>
      <c r="AA20" s="223">
        <f t="shared" ref="AA20:AA26" si="3">SUM(AB20:AI20)</f>
        <v>15598</v>
      </c>
      <c r="AB20" s="226">
        <f>SUM(AB21:AB26)</f>
        <v>14068</v>
      </c>
      <c r="AC20" s="226">
        <f t="shared" ref="AC20:AI20" si="4">SUM(AC21:AC26)</f>
        <v>317</v>
      </c>
      <c r="AD20" s="226">
        <f t="shared" si="4"/>
        <v>534</v>
      </c>
      <c r="AE20" s="226">
        <f t="shared" si="4"/>
        <v>285</v>
      </c>
      <c r="AF20" s="226">
        <f t="shared" si="4"/>
        <v>3</v>
      </c>
      <c r="AG20" s="226">
        <f t="shared" si="4"/>
        <v>388</v>
      </c>
      <c r="AH20" s="226">
        <f t="shared" si="4"/>
        <v>1</v>
      </c>
      <c r="AI20" s="226">
        <f t="shared" si="4"/>
        <v>2</v>
      </c>
    </row>
    <row r="21" spans="1:35" ht="14.25" customHeight="1">
      <c r="A21" s="48" t="s">
        <v>360</v>
      </c>
      <c r="B21" s="128">
        <f t="shared" ref="B21:B27" si="5">SUM(D21,F21,H21,L21,N21,O21,J21)</f>
        <v>17594</v>
      </c>
      <c r="C21" s="129">
        <f>SUM(E21,G21,I21,K21,M21,P21:R21)</f>
        <v>10854</v>
      </c>
      <c r="D21" s="232">
        <v>8233</v>
      </c>
      <c r="E21" s="118">
        <v>3896</v>
      </c>
      <c r="F21" s="232">
        <v>492</v>
      </c>
      <c r="G21" s="232">
        <v>403</v>
      </c>
      <c r="H21" s="360">
        <v>4903</v>
      </c>
      <c r="I21" s="118">
        <v>1258</v>
      </c>
      <c r="J21" s="360">
        <v>0</v>
      </c>
      <c r="K21" s="118">
        <v>0</v>
      </c>
      <c r="L21" s="360">
        <v>1</v>
      </c>
      <c r="M21" s="118">
        <v>0</v>
      </c>
      <c r="N21" s="290">
        <v>3929</v>
      </c>
      <c r="O21" s="232">
        <v>36</v>
      </c>
      <c r="P21" s="232">
        <v>5297</v>
      </c>
      <c r="Q21" s="290">
        <v>0</v>
      </c>
      <c r="R21" s="277">
        <v>0</v>
      </c>
      <c r="U21" s="42"/>
      <c r="V21" s="42"/>
      <c r="W21" s="42"/>
      <c r="Z21" s="219" t="s">
        <v>115</v>
      </c>
      <c r="AA21" s="223">
        <f t="shared" si="3"/>
        <v>5297</v>
      </c>
      <c r="AB21" s="226">
        <v>4705</v>
      </c>
      <c r="AC21" s="226">
        <v>137</v>
      </c>
      <c r="AD21" s="227">
        <v>185</v>
      </c>
      <c r="AE21" s="227">
        <v>96</v>
      </c>
      <c r="AF21" s="227">
        <v>1</v>
      </c>
      <c r="AG21" s="228">
        <v>172</v>
      </c>
      <c r="AH21" s="228">
        <v>1</v>
      </c>
      <c r="AI21" s="226">
        <v>0</v>
      </c>
    </row>
    <row r="22" spans="1:35" ht="14.25" customHeight="1">
      <c r="A22" s="48" t="s">
        <v>359</v>
      </c>
      <c r="B22" s="128">
        <f t="shared" si="5"/>
        <v>2439</v>
      </c>
      <c r="C22" s="129">
        <f t="shared" ref="C22:C27" si="6">SUM(E22,G22,I22,K22,M22,P22:R22)</f>
        <v>2058</v>
      </c>
      <c r="D22" s="232">
        <v>879</v>
      </c>
      <c r="E22" s="118">
        <v>431</v>
      </c>
      <c r="F22" s="232">
        <v>108</v>
      </c>
      <c r="G22" s="232">
        <v>57</v>
      </c>
      <c r="H22" s="360">
        <v>540</v>
      </c>
      <c r="I22" s="118">
        <v>263</v>
      </c>
      <c r="J22" s="360">
        <v>0</v>
      </c>
      <c r="K22" s="118">
        <v>0</v>
      </c>
      <c r="L22" s="360">
        <v>0</v>
      </c>
      <c r="M22" s="118">
        <v>0</v>
      </c>
      <c r="N22" s="290">
        <v>899</v>
      </c>
      <c r="O22" s="232">
        <v>13</v>
      </c>
      <c r="P22" s="232">
        <v>1307</v>
      </c>
      <c r="Q22" s="290">
        <v>0</v>
      </c>
      <c r="R22" s="277">
        <v>0</v>
      </c>
      <c r="U22" s="42"/>
      <c r="V22" s="42"/>
      <c r="W22" s="42"/>
      <c r="Z22" s="219" t="s">
        <v>114</v>
      </c>
      <c r="AA22" s="223">
        <f t="shared" si="3"/>
        <v>1307</v>
      </c>
      <c r="AB22" s="226">
        <v>1116</v>
      </c>
      <c r="AC22" s="226">
        <v>55</v>
      </c>
      <c r="AD22" s="227">
        <v>73</v>
      </c>
      <c r="AE22" s="227">
        <v>23</v>
      </c>
      <c r="AF22" s="227">
        <v>2</v>
      </c>
      <c r="AG22" s="228">
        <v>37</v>
      </c>
      <c r="AH22" s="228">
        <v>0</v>
      </c>
      <c r="AI22" s="226">
        <v>1</v>
      </c>
    </row>
    <row r="23" spans="1:35" ht="14.25" customHeight="1">
      <c r="A23" s="48" t="s">
        <v>358</v>
      </c>
      <c r="B23" s="128">
        <f t="shared" si="5"/>
        <v>1963</v>
      </c>
      <c r="C23" s="129">
        <f t="shared" si="6"/>
        <v>2181</v>
      </c>
      <c r="D23" s="232">
        <v>813</v>
      </c>
      <c r="E23" s="118">
        <v>421</v>
      </c>
      <c r="F23" s="232">
        <v>64</v>
      </c>
      <c r="G23" s="232">
        <v>41</v>
      </c>
      <c r="H23" s="360">
        <v>378</v>
      </c>
      <c r="I23" s="118">
        <v>108</v>
      </c>
      <c r="J23" s="360">
        <v>0</v>
      </c>
      <c r="K23" s="118">
        <v>0</v>
      </c>
      <c r="L23" s="360">
        <v>0</v>
      </c>
      <c r="M23" s="118">
        <v>0</v>
      </c>
      <c r="N23" s="290">
        <v>699</v>
      </c>
      <c r="O23" s="232">
        <v>9</v>
      </c>
      <c r="P23" s="232">
        <v>1611</v>
      </c>
      <c r="Q23" s="290">
        <v>0</v>
      </c>
      <c r="R23" s="277">
        <v>0</v>
      </c>
      <c r="U23" s="42"/>
      <c r="V23" s="42"/>
      <c r="W23" s="42"/>
      <c r="Z23" s="219" t="s">
        <v>113</v>
      </c>
      <c r="AA23" s="223">
        <f t="shared" si="3"/>
        <v>1611</v>
      </c>
      <c r="AB23" s="226">
        <v>1486</v>
      </c>
      <c r="AC23" s="226">
        <v>27</v>
      </c>
      <c r="AD23" s="227">
        <v>37</v>
      </c>
      <c r="AE23" s="227">
        <v>37</v>
      </c>
      <c r="AF23" s="227">
        <v>0</v>
      </c>
      <c r="AG23" s="228">
        <v>24</v>
      </c>
      <c r="AH23" s="228">
        <v>0</v>
      </c>
      <c r="AI23" s="226">
        <v>0</v>
      </c>
    </row>
    <row r="24" spans="1:35" ht="14.25" customHeight="1">
      <c r="A24" s="48" t="s">
        <v>357</v>
      </c>
      <c r="B24" s="128">
        <f t="shared" si="5"/>
        <v>3446</v>
      </c>
      <c r="C24" s="129">
        <f t="shared" si="6"/>
        <v>5113</v>
      </c>
      <c r="D24" s="232">
        <v>1401</v>
      </c>
      <c r="E24" s="118">
        <v>715</v>
      </c>
      <c r="F24" s="232">
        <v>169</v>
      </c>
      <c r="G24" s="232">
        <v>106</v>
      </c>
      <c r="H24" s="360">
        <v>609</v>
      </c>
      <c r="I24" s="118">
        <v>279</v>
      </c>
      <c r="J24" s="360">
        <v>0</v>
      </c>
      <c r="K24" s="118">
        <v>0</v>
      </c>
      <c r="L24" s="360">
        <v>1</v>
      </c>
      <c r="M24" s="118">
        <v>1</v>
      </c>
      <c r="N24" s="290">
        <v>1261</v>
      </c>
      <c r="O24" s="232">
        <v>5</v>
      </c>
      <c r="P24" s="232">
        <v>4012</v>
      </c>
      <c r="Q24" s="290">
        <v>0</v>
      </c>
      <c r="R24" s="277">
        <v>0</v>
      </c>
      <c r="U24" s="42"/>
      <c r="V24" s="42"/>
      <c r="W24" s="42"/>
      <c r="Z24" s="219" t="s">
        <v>112</v>
      </c>
      <c r="AA24" s="223">
        <f t="shared" si="3"/>
        <v>4012</v>
      </c>
      <c r="AB24" s="226">
        <v>3710</v>
      </c>
      <c r="AC24" s="226">
        <v>46</v>
      </c>
      <c r="AD24" s="227">
        <v>103</v>
      </c>
      <c r="AE24" s="227">
        <v>91</v>
      </c>
      <c r="AF24" s="227">
        <v>0</v>
      </c>
      <c r="AG24" s="228">
        <v>61</v>
      </c>
      <c r="AH24" s="228">
        <v>0</v>
      </c>
      <c r="AI24" s="226">
        <v>1</v>
      </c>
    </row>
    <row r="25" spans="1:35" ht="14.25" customHeight="1">
      <c r="A25" s="48" t="s">
        <v>356</v>
      </c>
      <c r="B25" s="128">
        <f t="shared" si="5"/>
        <v>2663</v>
      </c>
      <c r="C25" s="129">
        <f t="shared" si="6"/>
        <v>2303</v>
      </c>
      <c r="D25" s="232">
        <v>939</v>
      </c>
      <c r="E25" s="118">
        <v>594</v>
      </c>
      <c r="F25" s="232">
        <v>87</v>
      </c>
      <c r="G25" s="232">
        <v>51</v>
      </c>
      <c r="H25" s="360">
        <v>633</v>
      </c>
      <c r="I25" s="118">
        <v>191</v>
      </c>
      <c r="J25" s="360">
        <v>0</v>
      </c>
      <c r="K25" s="118">
        <v>0</v>
      </c>
      <c r="L25" s="360">
        <v>0</v>
      </c>
      <c r="M25" s="118">
        <v>0</v>
      </c>
      <c r="N25" s="290">
        <v>994</v>
      </c>
      <c r="O25" s="232">
        <v>10</v>
      </c>
      <c r="P25" s="232">
        <v>1467</v>
      </c>
      <c r="Q25" s="290">
        <v>0</v>
      </c>
      <c r="R25" s="277">
        <v>0</v>
      </c>
      <c r="U25" s="42"/>
      <c r="V25" s="42"/>
      <c r="W25" s="42"/>
      <c r="Z25" s="219" t="s">
        <v>111</v>
      </c>
      <c r="AA25" s="223">
        <f t="shared" si="3"/>
        <v>1467</v>
      </c>
      <c r="AB25" s="226">
        <v>1308</v>
      </c>
      <c r="AC25" s="226">
        <v>31</v>
      </c>
      <c r="AD25" s="227">
        <v>70</v>
      </c>
      <c r="AE25" s="227">
        <v>20</v>
      </c>
      <c r="AF25" s="227">
        <v>0</v>
      </c>
      <c r="AG25" s="228">
        <v>38</v>
      </c>
      <c r="AH25" s="228">
        <v>0</v>
      </c>
      <c r="AI25" s="226">
        <v>0</v>
      </c>
    </row>
    <row r="26" spans="1:35" ht="14.25" customHeight="1">
      <c r="A26" s="120" t="s">
        <v>355</v>
      </c>
      <c r="B26" s="128">
        <f t="shared" si="5"/>
        <v>3809</v>
      </c>
      <c r="C26" s="129">
        <f t="shared" si="6"/>
        <v>3293</v>
      </c>
      <c r="D26" s="232">
        <v>1644</v>
      </c>
      <c r="E26" s="118">
        <v>1096</v>
      </c>
      <c r="F26" s="232">
        <v>243</v>
      </c>
      <c r="G26" s="232">
        <v>112</v>
      </c>
      <c r="H26" s="361">
        <v>496</v>
      </c>
      <c r="I26" s="325">
        <v>178</v>
      </c>
      <c r="J26" s="361">
        <v>0</v>
      </c>
      <c r="K26" s="325">
        <v>0</v>
      </c>
      <c r="L26" s="361">
        <v>0</v>
      </c>
      <c r="M26" s="325">
        <v>0</v>
      </c>
      <c r="N26" s="313">
        <v>1419</v>
      </c>
      <c r="O26" s="265">
        <v>7</v>
      </c>
      <c r="P26" s="232">
        <v>1904</v>
      </c>
      <c r="Q26" s="290">
        <v>2</v>
      </c>
      <c r="R26" s="277">
        <v>1</v>
      </c>
      <c r="U26" s="42"/>
      <c r="V26" s="42"/>
      <c r="W26" s="42"/>
      <c r="Z26" s="219" t="s">
        <v>110</v>
      </c>
      <c r="AA26" s="223">
        <f t="shared" si="3"/>
        <v>1904</v>
      </c>
      <c r="AB26" s="226">
        <v>1743</v>
      </c>
      <c r="AC26" s="226">
        <v>21</v>
      </c>
      <c r="AD26" s="227">
        <v>66</v>
      </c>
      <c r="AE26" s="227">
        <v>18</v>
      </c>
      <c r="AF26" s="227">
        <v>0</v>
      </c>
      <c r="AG26" s="228">
        <v>56</v>
      </c>
      <c r="AH26" s="228">
        <v>0</v>
      </c>
      <c r="AI26" s="226">
        <v>0</v>
      </c>
    </row>
    <row r="27" spans="1:35" ht="14.25" customHeight="1">
      <c r="A27" s="104" t="s">
        <v>354</v>
      </c>
      <c r="B27" s="128">
        <f t="shared" si="5"/>
        <v>719</v>
      </c>
      <c r="C27" s="129">
        <f t="shared" si="6"/>
        <v>549</v>
      </c>
      <c r="D27" s="266">
        <v>106</v>
      </c>
      <c r="E27" s="119">
        <v>68</v>
      </c>
      <c r="F27" s="266">
        <v>0</v>
      </c>
      <c r="G27" s="266">
        <v>0</v>
      </c>
      <c r="H27" s="362">
        <v>0</v>
      </c>
      <c r="I27" s="119">
        <v>0</v>
      </c>
      <c r="J27" s="362">
        <v>613</v>
      </c>
      <c r="K27" s="119">
        <v>481</v>
      </c>
      <c r="L27" s="362">
        <v>0</v>
      </c>
      <c r="M27" s="119">
        <v>0</v>
      </c>
      <c r="N27" s="291">
        <v>0</v>
      </c>
      <c r="O27" s="266">
        <v>0</v>
      </c>
      <c r="P27" s="266">
        <v>0</v>
      </c>
      <c r="Q27" s="291">
        <v>0</v>
      </c>
      <c r="R27" s="292">
        <v>0</v>
      </c>
      <c r="U27" s="42"/>
      <c r="V27" s="42"/>
      <c r="W27" s="42"/>
      <c r="Z27" s="220"/>
      <c r="AA27" s="225"/>
      <c r="AB27" s="225"/>
      <c r="AC27" s="225"/>
      <c r="AD27" s="225"/>
      <c r="AE27" s="225"/>
      <c r="AF27" s="225"/>
      <c r="AG27" s="225"/>
      <c r="AH27" s="225"/>
      <c r="AI27" s="225"/>
    </row>
    <row r="28" spans="1:35">
      <c r="A28" s="61"/>
      <c r="B28" s="62"/>
      <c r="C28" s="62"/>
      <c r="D28" s="62"/>
      <c r="E28" s="62"/>
      <c r="F28" s="62"/>
      <c r="G28" s="62"/>
      <c r="H28" s="62"/>
      <c r="I28" s="62"/>
      <c r="J28" s="62"/>
      <c r="K28" s="62"/>
      <c r="L28" s="62"/>
      <c r="M28" s="62"/>
      <c r="N28" s="62"/>
      <c r="O28" s="62"/>
      <c r="P28" s="62"/>
      <c r="Q28" s="72"/>
      <c r="R28" s="42"/>
      <c r="S28" s="42"/>
      <c r="T28" s="42"/>
      <c r="U28" s="42"/>
      <c r="V28" s="42"/>
      <c r="W28" s="42"/>
      <c r="Z28" s="220"/>
      <c r="AA28" s="225"/>
      <c r="AB28" s="225"/>
      <c r="AC28" s="225"/>
      <c r="AD28" s="225"/>
      <c r="AE28" s="225"/>
      <c r="AF28" s="225"/>
      <c r="AG28" s="225"/>
      <c r="AH28" s="225"/>
      <c r="AI28" s="225"/>
    </row>
    <row r="29" spans="1:35">
      <c r="A29" s="63" t="s">
        <v>353</v>
      </c>
      <c r="B29" s="64"/>
      <c r="C29" s="64"/>
      <c r="D29" s="121"/>
      <c r="E29" s="121"/>
      <c r="F29" s="64"/>
      <c r="G29" s="64"/>
      <c r="H29" s="88"/>
      <c r="I29" s="64"/>
      <c r="J29" s="64"/>
      <c r="K29" s="64"/>
      <c r="L29" s="64"/>
      <c r="M29" s="64"/>
      <c r="N29" s="64"/>
      <c r="O29" s="64"/>
      <c r="P29" s="64"/>
      <c r="Q29" s="74"/>
      <c r="R29" s="74"/>
      <c r="S29" s="44"/>
      <c r="T29" s="42"/>
      <c r="U29" s="42"/>
      <c r="V29" s="42"/>
      <c r="W29" s="42"/>
      <c r="X29" s="42"/>
      <c r="Z29" s="220"/>
    </row>
    <row r="30" spans="1:35" ht="16.5" customHeight="1">
      <c r="A30" s="65" t="s">
        <v>352</v>
      </c>
      <c r="B30" s="631" t="s">
        <v>21</v>
      </c>
      <c r="C30" s="632"/>
      <c r="D30" s="633" t="s">
        <v>73</v>
      </c>
      <c r="E30" s="634"/>
      <c r="F30" s="634" t="s">
        <v>74</v>
      </c>
      <c r="G30" s="634"/>
      <c r="H30" s="635" t="s">
        <v>75</v>
      </c>
      <c r="I30" s="633"/>
      <c r="J30" s="634" t="s">
        <v>351</v>
      </c>
      <c r="K30" s="637" t="s">
        <v>350</v>
      </c>
      <c r="L30" s="637" t="s">
        <v>349</v>
      </c>
      <c r="M30" s="639" t="s">
        <v>348</v>
      </c>
      <c r="N30" s="639" t="s">
        <v>347</v>
      </c>
      <c r="O30" s="637" t="s">
        <v>346</v>
      </c>
      <c r="P30" s="641" t="s">
        <v>345</v>
      </c>
      <c r="Q30" s="556"/>
      <c r="R30" s="74"/>
      <c r="S30" s="74"/>
      <c r="T30" s="74"/>
      <c r="U30" s="42"/>
      <c r="V30" s="42"/>
      <c r="W30" s="42"/>
      <c r="X30" s="42"/>
      <c r="Z30" s="222" t="s">
        <v>7</v>
      </c>
      <c r="AA30" s="223" t="s">
        <v>514</v>
      </c>
      <c r="AB30" s="223" t="s">
        <v>515</v>
      </c>
      <c r="AC30" s="223" t="s">
        <v>512</v>
      </c>
      <c r="AD30" s="223" t="s">
        <v>513</v>
      </c>
    </row>
    <row r="31" spans="1:35">
      <c r="A31" s="66" t="s">
        <v>344</v>
      </c>
      <c r="B31" s="67" t="s">
        <v>343</v>
      </c>
      <c r="C31" s="68" t="s">
        <v>251</v>
      </c>
      <c r="D31" s="69" t="s">
        <v>343</v>
      </c>
      <c r="E31" s="145" t="s">
        <v>251</v>
      </c>
      <c r="F31" s="145" t="s">
        <v>343</v>
      </c>
      <c r="G31" s="145" t="s">
        <v>251</v>
      </c>
      <c r="H31" s="145" t="s">
        <v>343</v>
      </c>
      <c r="I31" s="145" t="s">
        <v>251</v>
      </c>
      <c r="J31" s="636"/>
      <c r="K31" s="638"/>
      <c r="L31" s="638"/>
      <c r="M31" s="640"/>
      <c r="N31" s="640"/>
      <c r="O31" s="636"/>
      <c r="P31" s="642"/>
      <c r="Q31" s="556"/>
      <c r="R31" s="42"/>
      <c r="S31" s="151"/>
      <c r="T31" s="151"/>
      <c r="U31" s="153"/>
      <c r="V31" s="153"/>
      <c r="W31" s="42"/>
      <c r="X31" s="42"/>
      <c r="Z31" s="221" t="s">
        <v>1</v>
      </c>
      <c r="AA31" s="223">
        <f t="shared" ref="AA31:AA51" si="7">SUM(AB31:AD31)</f>
        <v>2475</v>
      </c>
      <c r="AB31" s="226">
        <f t="shared" ref="AB31:AC31" si="8">SUM(AB32:AB51)</f>
        <v>2278</v>
      </c>
      <c r="AC31" s="226">
        <f t="shared" si="8"/>
        <v>162</v>
      </c>
      <c r="AD31" s="226">
        <f>SUM(AD32:AD51)</f>
        <v>35</v>
      </c>
    </row>
    <row r="32" spans="1:35">
      <c r="A32" s="70" t="s">
        <v>143</v>
      </c>
      <c r="B32" s="318">
        <f t="shared" ref="B32:P32" si="9">SUM(B33:B52)</f>
        <v>108441</v>
      </c>
      <c r="C32" s="319">
        <f t="shared" si="9"/>
        <v>18726</v>
      </c>
      <c r="D32" s="270">
        <f t="shared" si="9"/>
        <v>44862</v>
      </c>
      <c r="E32" s="319">
        <f t="shared" si="9"/>
        <v>12637</v>
      </c>
      <c r="F32" s="270">
        <f t="shared" si="9"/>
        <v>2744</v>
      </c>
      <c r="G32" s="271">
        <f t="shared" si="9"/>
        <v>1375</v>
      </c>
      <c r="H32" s="233">
        <f t="shared" si="9"/>
        <v>60835</v>
      </c>
      <c r="I32" s="233">
        <f t="shared" si="9"/>
        <v>2475</v>
      </c>
      <c r="J32" s="233">
        <f t="shared" si="9"/>
        <v>221</v>
      </c>
      <c r="K32" s="286">
        <f t="shared" si="9"/>
        <v>1032</v>
      </c>
      <c r="L32" s="287">
        <f t="shared" si="9"/>
        <v>234</v>
      </c>
      <c r="M32" s="287">
        <f t="shared" si="9"/>
        <v>557</v>
      </c>
      <c r="N32" s="287">
        <f t="shared" si="9"/>
        <v>130</v>
      </c>
      <c r="O32" s="287">
        <f t="shared" si="9"/>
        <v>64</v>
      </c>
      <c r="P32" s="281">
        <f t="shared" si="9"/>
        <v>1</v>
      </c>
      <c r="Q32" s="135"/>
      <c r="R32" s="42"/>
      <c r="S32" s="151"/>
      <c r="T32" s="151"/>
      <c r="U32" s="153"/>
      <c r="V32" s="153"/>
      <c r="W32" s="42"/>
      <c r="X32" s="42"/>
      <c r="Z32" s="218" t="s">
        <v>96</v>
      </c>
      <c r="AA32" s="223">
        <f t="shared" si="7"/>
        <v>185</v>
      </c>
      <c r="AB32" s="228">
        <v>180</v>
      </c>
      <c r="AC32" s="228">
        <v>4</v>
      </c>
      <c r="AD32" s="296">
        <v>1</v>
      </c>
    </row>
    <row r="33" spans="1:30">
      <c r="A33" s="71" t="s">
        <v>342</v>
      </c>
      <c r="B33" s="320">
        <f t="shared" ref="B33:B52" si="10">SUM(H33,F33,D33)</f>
        <v>12714</v>
      </c>
      <c r="C33" s="321">
        <f>SUM(E33,G33,I33,J33:P33)</f>
        <v>807</v>
      </c>
      <c r="D33" s="272">
        <v>8646</v>
      </c>
      <c r="E33" s="321">
        <v>622</v>
      </c>
      <c r="F33" s="272">
        <v>0</v>
      </c>
      <c r="G33" s="273">
        <v>0</v>
      </c>
      <c r="H33" s="267">
        <v>4068</v>
      </c>
      <c r="I33" s="267">
        <v>185</v>
      </c>
      <c r="J33" s="234">
        <v>0</v>
      </c>
      <c r="K33" s="282">
        <v>0</v>
      </c>
      <c r="L33" s="267">
        <v>0</v>
      </c>
      <c r="M33" s="267">
        <v>0</v>
      </c>
      <c r="N33" s="267">
        <v>0</v>
      </c>
      <c r="O33" s="267">
        <v>0</v>
      </c>
      <c r="P33" s="282">
        <v>0</v>
      </c>
      <c r="Q33" s="138"/>
      <c r="R33" s="42"/>
      <c r="S33" s="64"/>
      <c r="T33" s="151"/>
      <c r="U33" s="153"/>
      <c r="V33" s="153"/>
      <c r="W33" s="42"/>
      <c r="X33" s="42"/>
      <c r="Z33" s="218" t="s">
        <v>95</v>
      </c>
      <c r="AA33" s="223">
        <f t="shared" si="7"/>
        <v>6</v>
      </c>
      <c r="AB33" s="226">
        <v>0</v>
      </c>
      <c r="AC33" s="226">
        <v>0</v>
      </c>
      <c r="AD33" s="296">
        <v>6</v>
      </c>
    </row>
    <row r="34" spans="1:30">
      <c r="A34" s="71" t="s">
        <v>341</v>
      </c>
      <c r="B34" s="320">
        <f t="shared" si="10"/>
        <v>417</v>
      </c>
      <c r="C34" s="321">
        <f t="shared" ref="C34:C52" si="11">SUM(E34,G34,I34,J34:P34)</f>
        <v>655</v>
      </c>
      <c r="D34" s="272">
        <v>0</v>
      </c>
      <c r="E34" s="321">
        <v>0</v>
      </c>
      <c r="F34" s="272">
        <v>417</v>
      </c>
      <c r="G34" s="273">
        <v>160</v>
      </c>
      <c r="H34" s="267">
        <v>0</v>
      </c>
      <c r="I34" s="267">
        <v>6</v>
      </c>
      <c r="J34" s="234">
        <v>35</v>
      </c>
      <c r="K34" s="282">
        <v>261</v>
      </c>
      <c r="L34" s="267">
        <v>68</v>
      </c>
      <c r="M34" s="267">
        <v>97</v>
      </c>
      <c r="N34" s="267">
        <v>28</v>
      </c>
      <c r="O34" s="288">
        <v>0</v>
      </c>
      <c r="P34" s="282">
        <v>0</v>
      </c>
      <c r="Q34" s="138"/>
      <c r="R34" s="42"/>
      <c r="S34" s="64"/>
      <c r="T34" s="151"/>
      <c r="U34" s="153"/>
      <c r="V34" s="153"/>
      <c r="W34" s="42"/>
      <c r="X34" s="42"/>
      <c r="Z34" s="218" t="s">
        <v>94</v>
      </c>
      <c r="AA34" s="223">
        <f t="shared" si="7"/>
        <v>0</v>
      </c>
      <c r="AB34" s="226">
        <v>0</v>
      </c>
      <c r="AC34" s="226">
        <v>0</v>
      </c>
      <c r="AD34" s="296">
        <v>0</v>
      </c>
    </row>
    <row r="35" spans="1:30">
      <c r="A35" s="71" t="s">
        <v>340</v>
      </c>
      <c r="B35" s="320">
        <f t="shared" si="10"/>
        <v>1</v>
      </c>
      <c r="C35" s="321">
        <f t="shared" si="11"/>
        <v>564</v>
      </c>
      <c r="D35" s="272">
        <v>1</v>
      </c>
      <c r="E35" s="321">
        <v>564</v>
      </c>
      <c r="F35" s="272">
        <v>0</v>
      </c>
      <c r="G35" s="273">
        <v>0</v>
      </c>
      <c r="H35" s="267">
        <v>0</v>
      </c>
      <c r="I35" s="267">
        <v>0</v>
      </c>
      <c r="J35" s="234">
        <v>0</v>
      </c>
      <c r="K35" s="282">
        <v>0</v>
      </c>
      <c r="L35" s="267">
        <v>0</v>
      </c>
      <c r="M35" s="267">
        <v>0</v>
      </c>
      <c r="N35" s="267">
        <v>0</v>
      </c>
      <c r="O35" s="267">
        <v>0</v>
      </c>
      <c r="P35" s="282">
        <v>0</v>
      </c>
      <c r="Q35" s="138"/>
      <c r="R35" s="42"/>
      <c r="S35" s="64"/>
      <c r="T35" s="151"/>
      <c r="U35" s="153"/>
      <c r="V35" s="153"/>
      <c r="W35" s="42"/>
      <c r="X35" s="42"/>
      <c r="Z35" s="218" t="s">
        <v>93</v>
      </c>
      <c r="AA35" s="223">
        <f t="shared" si="7"/>
        <v>71</v>
      </c>
      <c r="AB35" s="228">
        <v>62</v>
      </c>
      <c r="AC35" s="228">
        <v>8</v>
      </c>
      <c r="AD35" s="296">
        <v>1</v>
      </c>
    </row>
    <row r="36" spans="1:30">
      <c r="A36" s="71" t="s">
        <v>339</v>
      </c>
      <c r="B36" s="320">
        <f t="shared" si="10"/>
        <v>3217</v>
      </c>
      <c r="C36" s="321">
        <f t="shared" si="11"/>
        <v>359</v>
      </c>
      <c r="D36" s="272">
        <v>1440</v>
      </c>
      <c r="E36" s="321">
        <v>277</v>
      </c>
      <c r="F36" s="272">
        <v>0</v>
      </c>
      <c r="G36" s="273">
        <v>9</v>
      </c>
      <c r="H36" s="267">
        <v>1777</v>
      </c>
      <c r="I36" s="267">
        <v>71</v>
      </c>
      <c r="J36" s="234">
        <v>0</v>
      </c>
      <c r="K36" s="282">
        <v>0</v>
      </c>
      <c r="L36" s="267">
        <v>0</v>
      </c>
      <c r="M36" s="267">
        <v>0</v>
      </c>
      <c r="N36" s="267">
        <v>0</v>
      </c>
      <c r="O36" s="267">
        <v>2</v>
      </c>
      <c r="P36" s="282">
        <v>0</v>
      </c>
      <c r="Q36" s="138"/>
      <c r="R36" s="42"/>
      <c r="S36" s="64"/>
      <c r="T36" s="151"/>
      <c r="U36" s="153"/>
      <c r="V36" s="153"/>
      <c r="W36" s="42"/>
      <c r="X36" s="42"/>
      <c r="Z36" s="218" t="s">
        <v>92</v>
      </c>
      <c r="AA36" s="223">
        <f t="shared" si="7"/>
        <v>111</v>
      </c>
      <c r="AB36" s="228">
        <v>106</v>
      </c>
      <c r="AC36" s="228">
        <v>5</v>
      </c>
      <c r="AD36" s="296">
        <v>0</v>
      </c>
    </row>
    <row r="37" spans="1:30">
      <c r="A37" s="71" t="s">
        <v>338</v>
      </c>
      <c r="B37" s="320">
        <f t="shared" si="10"/>
        <v>4770</v>
      </c>
      <c r="C37" s="321">
        <f t="shared" si="11"/>
        <v>440</v>
      </c>
      <c r="D37" s="272">
        <v>2213</v>
      </c>
      <c r="E37" s="321">
        <v>322</v>
      </c>
      <c r="F37" s="272">
        <v>0</v>
      </c>
      <c r="G37" s="273">
        <v>5</v>
      </c>
      <c r="H37" s="267">
        <v>2557</v>
      </c>
      <c r="I37" s="267">
        <v>111</v>
      </c>
      <c r="J37" s="234">
        <v>0</v>
      </c>
      <c r="K37" s="282">
        <v>0</v>
      </c>
      <c r="L37" s="267">
        <v>0</v>
      </c>
      <c r="M37" s="267">
        <v>0</v>
      </c>
      <c r="N37" s="267">
        <v>0</v>
      </c>
      <c r="O37" s="267">
        <v>2</v>
      </c>
      <c r="P37" s="282">
        <v>0</v>
      </c>
      <c r="Q37" s="138"/>
      <c r="R37" s="42"/>
      <c r="S37" s="64"/>
      <c r="T37" s="151"/>
      <c r="U37" s="153"/>
      <c r="V37" s="153"/>
      <c r="W37" s="42"/>
      <c r="X37" s="42"/>
      <c r="Z37" s="218" t="s">
        <v>91</v>
      </c>
      <c r="AA37" s="223">
        <f t="shared" si="7"/>
        <v>119</v>
      </c>
      <c r="AB37" s="228">
        <v>112</v>
      </c>
      <c r="AC37" s="228">
        <v>6</v>
      </c>
      <c r="AD37" s="296">
        <v>1</v>
      </c>
    </row>
    <row r="38" spans="1:30">
      <c r="A38" s="71" t="s">
        <v>337</v>
      </c>
      <c r="B38" s="320">
        <f t="shared" si="10"/>
        <v>3418</v>
      </c>
      <c r="C38" s="321">
        <f t="shared" si="11"/>
        <v>412</v>
      </c>
      <c r="D38" s="272">
        <v>1373</v>
      </c>
      <c r="E38" s="321">
        <v>282</v>
      </c>
      <c r="F38" s="272">
        <v>0</v>
      </c>
      <c r="G38" s="273">
        <v>8</v>
      </c>
      <c r="H38" s="267">
        <v>2045</v>
      </c>
      <c r="I38" s="267">
        <v>119</v>
      </c>
      <c r="J38" s="234">
        <v>0</v>
      </c>
      <c r="K38" s="282">
        <v>0</v>
      </c>
      <c r="L38" s="267">
        <v>0</v>
      </c>
      <c r="M38" s="267">
        <v>0</v>
      </c>
      <c r="N38" s="267">
        <v>0</v>
      </c>
      <c r="O38" s="267">
        <v>3</v>
      </c>
      <c r="P38" s="282">
        <v>0</v>
      </c>
      <c r="Q38" s="138"/>
      <c r="R38" s="42"/>
      <c r="S38" s="64"/>
      <c r="T38" s="151"/>
      <c r="U38" s="153"/>
      <c r="V38" s="153"/>
      <c r="W38" s="42"/>
      <c r="X38" s="42"/>
      <c r="Z38" s="218" t="s">
        <v>90</v>
      </c>
      <c r="AA38" s="223">
        <f t="shared" si="7"/>
        <v>81</v>
      </c>
      <c r="AB38" s="228">
        <v>77</v>
      </c>
      <c r="AC38" s="228">
        <v>4</v>
      </c>
      <c r="AD38" s="296">
        <v>0</v>
      </c>
    </row>
    <row r="39" spans="1:30">
      <c r="A39" s="71" t="s">
        <v>336</v>
      </c>
      <c r="B39" s="320">
        <f t="shared" si="10"/>
        <v>2459</v>
      </c>
      <c r="C39" s="321">
        <f t="shared" si="11"/>
        <v>342</v>
      </c>
      <c r="D39" s="272">
        <v>1153</v>
      </c>
      <c r="E39" s="321">
        <v>253</v>
      </c>
      <c r="F39" s="272">
        <v>0</v>
      </c>
      <c r="G39" s="273">
        <v>7</v>
      </c>
      <c r="H39" s="267">
        <v>1306</v>
      </c>
      <c r="I39" s="267">
        <v>81</v>
      </c>
      <c r="J39" s="234">
        <v>0</v>
      </c>
      <c r="K39" s="282">
        <v>0</v>
      </c>
      <c r="L39" s="267">
        <v>0</v>
      </c>
      <c r="M39" s="267">
        <v>0</v>
      </c>
      <c r="N39" s="267">
        <v>0</v>
      </c>
      <c r="O39" s="267">
        <v>1</v>
      </c>
      <c r="P39" s="282">
        <v>0</v>
      </c>
      <c r="Q39" s="138"/>
      <c r="R39" s="80"/>
      <c r="S39" s="64"/>
      <c r="T39" s="151"/>
      <c r="U39" s="153"/>
      <c r="V39" s="153"/>
      <c r="W39" s="42"/>
      <c r="X39" s="42"/>
      <c r="Z39" s="218" t="s">
        <v>89</v>
      </c>
      <c r="AA39" s="223">
        <f t="shared" si="7"/>
        <v>126</v>
      </c>
      <c r="AB39" s="228">
        <v>122</v>
      </c>
      <c r="AC39" s="228">
        <v>3</v>
      </c>
      <c r="AD39" s="296">
        <v>1</v>
      </c>
    </row>
    <row r="40" spans="1:30">
      <c r="A40" s="71" t="s">
        <v>335</v>
      </c>
      <c r="B40" s="320">
        <f t="shared" si="10"/>
        <v>6764</v>
      </c>
      <c r="C40" s="321">
        <f t="shared" si="11"/>
        <v>1327</v>
      </c>
      <c r="D40" s="272">
        <v>2847</v>
      </c>
      <c r="E40" s="321">
        <v>1032</v>
      </c>
      <c r="F40" s="272">
        <v>160</v>
      </c>
      <c r="G40" s="273">
        <v>64</v>
      </c>
      <c r="H40" s="267">
        <v>3757</v>
      </c>
      <c r="I40" s="267">
        <v>126</v>
      </c>
      <c r="J40" s="234">
        <v>16</v>
      </c>
      <c r="K40" s="282">
        <v>46</v>
      </c>
      <c r="L40" s="267">
        <v>16</v>
      </c>
      <c r="M40" s="267">
        <v>19</v>
      </c>
      <c r="N40" s="267">
        <v>5</v>
      </c>
      <c r="O40" s="267">
        <v>3</v>
      </c>
      <c r="P40" s="282">
        <v>0</v>
      </c>
      <c r="Q40" s="138"/>
      <c r="R40" s="80"/>
      <c r="S40" s="64"/>
      <c r="T40" s="151"/>
      <c r="U40" s="153"/>
      <c r="V40" s="153"/>
      <c r="W40" s="42"/>
      <c r="X40" s="42"/>
      <c r="Z40" s="218" t="s">
        <v>88</v>
      </c>
      <c r="AA40" s="223">
        <f t="shared" si="7"/>
        <v>248</v>
      </c>
      <c r="AB40" s="228">
        <v>225</v>
      </c>
      <c r="AC40" s="228">
        <v>19</v>
      </c>
      <c r="AD40" s="226">
        <v>4</v>
      </c>
    </row>
    <row r="41" spans="1:30">
      <c r="A41" s="71" t="s">
        <v>334</v>
      </c>
      <c r="B41" s="320">
        <f t="shared" si="10"/>
        <v>8210</v>
      </c>
      <c r="C41" s="321">
        <f t="shared" si="11"/>
        <v>1781</v>
      </c>
      <c r="D41" s="272">
        <v>2716</v>
      </c>
      <c r="E41" s="321">
        <v>1183</v>
      </c>
      <c r="F41" s="272">
        <v>244</v>
      </c>
      <c r="G41" s="273">
        <v>128</v>
      </c>
      <c r="H41" s="267">
        <v>5250</v>
      </c>
      <c r="I41" s="267">
        <v>248</v>
      </c>
      <c r="J41" s="234">
        <v>12</v>
      </c>
      <c r="K41" s="282">
        <v>99</v>
      </c>
      <c r="L41" s="267">
        <v>21</v>
      </c>
      <c r="M41" s="267">
        <v>75</v>
      </c>
      <c r="N41" s="267">
        <v>9</v>
      </c>
      <c r="O41" s="267">
        <v>6</v>
      </c>
      <c r="P41" s="282">
        <v>0</v>
      </c>
      <c r="Q41" s="138"/>
      <c r="R41" s="80"/>
      <c r="S41" s="64"/>
      <c r="T41" s="151"/>
      <c r="U41" s="153"/>
      <c r="V41" s="153"/>
      <c r="W41" s="42"/>
      <c r="X41" s="42"/>
      <c r="Z41" s="218" t="s">
        <v>87</v>
      </c>
      <c r="AA41" s="223">
        <f t="shared" si="7"/>
        <v>324</v>
      </c>
      <c r="AB41" s="228">
        <v>280</v>
      </c>
      <c r="AC41" s="228">
        <v>35</v>
      </c>
      <c r="AD41" s="226">
        <v>9</v>
      </c>
    </row>
    <row r="42" spans="1:30">
      <c r="A42" s="71" t="s">
        <v>333</v>
      </c>
      <c r="B42" s="320">
        <f t="shared" si="10"/>
        <v>15573</v>
      </c>
      <c r="C42" s="321">
        <f t="shared" si="11"/>
        <v>2994</v>
      </c>
      <c r="D42" s="272">
        <v>5783</v>
      </c>
      <c r="E42" s="321">
        <v>1964</v>
      </c>
      <c r="F42" s="272">
        <v>523</v>
      </c>
      <c r="G42" s="273">
        <v>248</v>
      </c>
      <c r="H42" s="267">
        <v>9267</v>
      </c>
      <c r="I42" s="267">
        <v>324</v>
      </c>
      <c r="J42" s="234">
        <v>31</v>
      </c>
      <c r="K42" s="282">
        <v>209</v>
      </c>
      <c r="L42" s="267">
        <v>42</v>
      </c>
      <c r="M42" s="267">
        <v>140</v>
      </c>
      <c r="N42" s="267">
        <v>26</v>
      </c>
      <c r="O42" s="267">
        <v>10</v>
      </c>
      <c r="P42" s="282">
        <v>0</v>
      </c>
      <c r="Q42" s="138"/>
      <c r="R42" s="80"/>
      <c r="S42" s="64"/>
      <c r="T42" s="151"/>
      <c r="U42" s="153"/>
      <c r="V42" s="153"/>
      <c r="W42" s="42"/>
      <c r="X42" s="42"/>
      <c r="Z42" s="218" t="s">
        <v>86</v>
      </c>
      <c r="AA42" s="223">
        <f t="shared" si="7"/>
        <v>53</v>
      </c>
      <c r="AB42" s="228">
        <v>43</v>
      </c>
      <c r="AC42" s="228">
        <v>7</v>
      </c>
      <c r="AD42" s="226">
        <v>3</v>
      </c>
    </row>
    <row r="43" spans="1:30">
      <c r="A43" s="71" t="s">
        <v>332</v>
      </c>
      <c r="B43" s="320">
        <f t="shared" si="10"/>
        <v>3905</v>
      </c>
      <c r="C43" s="321">
        <f t="shared" si="11"/>
        <v>632</v>
      </c>
      <c r="D43" s="272">
        <v>1415</v>
      </c>
      <c r="E43" s="321">
        <v>494</v>
      </c>
      <c r="F43" s="272">
        <v>95</v>
      </c>
      <c r="G43" s="273">
        <v>43</v>
      </c>
      <c r="H43" s="267">
        <v>2395</v>
      </c>
      <c r="I43" s="267">
        <v>53</v>
      </c>
      <c r="J43" s="234">
        <v>7</v>
      </c>
      <c r="K43" s="282">
        <v>20</v>
      </c>
      <c r="L43" s="267">
        <v>6</v>
      </c>
      <c r="M43" s="267">
        <v>7</v>
      </c>
      <c r="N43" s="267">
        <v>1</v>
      </c>
      <c r="O43" s="267">
        <v>1</v>
      </c>
      <c r="P43" s="282">
        <v>0</v>
      </c>
      <c r="Q43" s="138"/>
      <c r="R43" s="80"/>
      <c r="S43" s="64"/>
      <c r="T43" s="154"/>
      <c r="U43" s="156"/>
      <c r="V43" s="156"/>
      <c r="W43" s="42"/>
      <c r="X43" s="42"/>
      <c r="Z43" s="218" t="s">
        <v>85</v>
      </c>
      <c r="AA43" s="223">
        <f t="shared" si="7"/>
        <v>159</v>
      </c>
      <c r="AB43" s="228">
        <v>146</v>
      </c>
      <c r="AC43" s="228">
        <v>11</v>
      </c>
      <c r="AD43" s="226">
        <v>2</v>
      </c>
    </row>
    <row r="44" spans="1:30">
      <c r="A44" s="71" t="s">
        <v>331</v>
      </c>
      <c r="B44" s="320">
        <f t="shared" si="10"/>
        <v>6863</v>
      </c>
      <c r="C44" s="321">
        <f t="shared" si="11"/>
        <v>1310</v>
      </c>
      <c r="D44" s="272">
        <v>2640</v>
      </c>
      <c r="E44" s="321">
        <v>890</v>
      </c>
      <c r="F44" s="272">
        <v>160</v>
      </c>
      <c r="G44" s="273">
        <v>112</v>
      </c>
      <c r="H44" s="267">
        <v>4063</v>
      </c>
      <c r="I44" s="267">
        <v>159</v>
      </c>
      <c r="J44" s="234">
        <v>28</v>
      </c>
      <c r="K44" s="282">
        <v>46</v>
      </c>
      <c r="L44" s="267">
        <v>19</v>
      </c>
      <c r="M44" s="267">
        <v>33</v>
      </c>
      <c r="N44" s="267">
        <v>17</v>
      </c>
      <c r="O44" s="267">
        <v>6</v>
      </c>
      <c r="P44" s="282">
        <v>0</v>
      </c>
      <c r="Q44" s="138"/>
      <c r="R44" s="80"/>
      <c r="S44" s="64"/>
      <c r="T44" s="72"/>
      <c r="U44" s="72"/>
      <c r="V44" s="72"/>
      <c r="W44" s="42"/>
      <c r="X44" s="42"/>
      <c r="Z44" s="218" t="s">
        <v>84</v>
      </c>
      <c r="AA44" s="223">
        <f t="shared" si="7"/>
        <v>73</v>
      </c>
      <c r="AB44" s="228">
        <v>69</v>
      </c>
      <c r="AC44" s="228">
        <v>4</v>
      </c>
      <c r="AD44" s="226">
        <v>0</v>
      </c>
    </row>
    <row r="45" spans="1:30">
      <c r="A45" s="71" t="s">
        <v>330</v>
      </c>
      <c r="B45" s="320">
        <f t="shared" si="10"/>
        <v>3018</v>
      </c>
      <c r="C45" s="321">
        <f t="shared" si="11"/>
        <v>539</v>
      </c>
      <c r="D45" s="272">
        <v>1000</v>
      </c>
      <c r="E45" s="321">
        <v>386</v>
      </c>
      <c r="F45" s="272">
        <v>59</v>
      </c>
      <c r="G45" s="273">
        <v>35</v>
      </c>
      <c r="H45" s="267">
        <v>1959</v>
      </c>
      <c r="I45" s="267">
        <v>73</v>
      </c>
      <c r="J45" s="234">
        <v>5</v>
      </c>
      <c r="K45" s="282">
        <v>21</v>
      </c>
      <c r="L45" s="267">
        <v>6</v>
      </c>
      <c r="M45" s="267">
        <v>12</v>
      </c>
      <c r="N45" s="267">
        <v>0</v>
      </c>
      <c r="O45" s="267">
        <v>1</v>
      </c>
      <c r="P45" s="282">
        <v>0</v>
      </c>
      <c r="Q45" s="138"/>
      <c r="R45" s="80"/>
      <c r="S45" s="64"/>
      <c r="T45" s="42"/>
      <c r="U45" s="42"/>
      <c r="V45" s="42"/>
      <c r="W45" s="42"/>
      <c r="X45" s="42"/>
      <c r="Z45" s="218" t="s">
        <v>83</v>
      </c>
      <c r="AA45" s="223">
        <f t="shared" si="7"/>
        <v>258</v>
      </c>
      <c r="AB45" s="228">
        <v>240</v>
      </c>
      <c r="AC45" s="228">
        <v>17</v>
      </c>
      <c r="AD45" s="226">
        <v>1</v>
      </c>
    </row>
    <row r="46" spans="1:30">
      <c r="A46" s="71" t="s">
        <v>329</v>
      </c>
      <c r="B46" s="320">
        <f t="shared" si="10"/>
        <v>9320</v>
      </c>
      <c r="C46" s="321">
        <f t="shared" si="11"/>
        <v>1981</v>
      </c>
      <c r="D46" s="272">
        <v>3620</v>
      </c>
      <c r="E46" s="321">
        <v>1352</v>
      </c>
      <c r="F46" s="272">
        <v>208</v>
      </c>
      <c r="G46" s="273">
        <v>178</v>
      </c>
      <c r="H46" s="267">
        <v>5492</v>
      </c>
      <c r="I46" s="267">
        <v>258</v>
      </c>
      <c r="J46" s="234">
        <v>26</v>
      </c>
      <c r="K46" s="282">
        <v>82</v>
      </c>
      <c r="L46" s="267">
        <v>20</v>
      </c>
      <c r="M46" s="267">
        <v>54</v>
      </c>
      <c r="N46" s="267">
        <v>4</v>
      </c>
      <c r="O46" s="267">
        <v>7</v>
      </c>
      <c r="P46" s="282">
        <v>0</v>
      </c>
      <c r="Q46" s="138"/>
      <c r="R46" s="80"/>
      <c r="S46" s="64"/>
      <c r="T46" s="42"/>
      <c r="U46" s="42"/>
      <c r="V46" s="42"/>
      <c r="W46" s="42"/>
      <c r="X46" s="42"/>
      <c r="Z46" s="218" t="s">
        <v>82</v>
      </c>
      <c r="AA46" s="223">
        <f t="shared" si="7"/>
        <v>217</v>
      </c>
      <c r="AB46" s="228">
        <v>205</v>
      </c>
      <c r="AC46" s="228">
        <v>9</v>
      </c>
      <c r="AD46" s="226">
        <v>3</v>
      </c>
    </row>
    <row r="47" spans="1:30">
      <c r="A47" s="71" t="s">
        <v>328</v>
      </c>
      <c r="B47" s="320">
        <f t="shared" si="10"/>
        <v>7935</v>
      </c>
      <c r="C47" s="321">
        <f t="shared" si="11"/>
        <v>1203</v>
      </c>
      <c r="D47" s="272">
        <v>3210</v>
      </c>
      <c r="E47" s="321">
        <v>742</v>
      </c>
      <c r="F47" s="272">
        <v>166</v>
      </c>
      <c r="G47" s="273">
        <v>86</v>
      </c>
      <c r="H47" s="267">
        <v>4559</v>
      </c>
      <c r="I47" s="267">
        <v>217</v>
      </c>
      <c r="J47" s="234">
        <v>13</v>
      </c>
      <c r="K47" s="282">
        <v>83</v>
      </c>
      <c r="L47" s="267">
        <v>11</v>
      </c>
      <c r="M47" s="267">
        <v>37</v>
      </c>
      <c r="N47" s="267">
        <v>12</v>
      </c>
      <c r="O47" s="267">
        <v>1</v>
      </c>
      <c r="P47" s="282">
        <v>1</v>
      </c>
      <c r="Q47" s="138"/>
      <c r="R47" s="80"/>
      <c r="S47" s="64"/>
      <c r="T47" s="42"/>
      <c r="U47" s="42"/>
      <c r="V47" s="42"/>
      <c r="W47" s="42"/>
      <c r="X47" s="42"/>
      <c r="Z47" s="218" t="s">
        <v>81</v>
      </c>
      <c r="AA47" s="223">
        <f t="shared" si="7"/>
        <v>61</v>
      </c>
      <c r="AB47" s="228">
        <v>60</v>
      </c>
      <c r="AC47" s="228">
        <v>1</v>
      </c>
      <c r="AD47" s="226">
        <v>0</v>
      </c>
    </row>
    <row r="48" spans="1:30">
      <c r="A48" s="71" t="s">
        <v>327</v>
      </c>
      <c r="B48" s="320">
        <f t="shared" si="10"/>
        <v>2615</v>
      </c>
      <c r="C48" s="321">
        <f t="shared" si="11"/>
        <v>461</v>
      </c>
      <c r="D48" s="272">
        <v>860</v>
      </c>
      <c r="E48" s="321">
        <v>322</v>
      </c>
      <c r="F48" s="272">
        <v>114</v>
      </c>
      <c r="G48" s="273">
        <v>38</v>
      </c>
      <c r="H48" s="267">
        <v>1641</v>
      </c>
      <c r="I48" s="267">
        <v>61</v>
      </c>
      <c r="J48" s="234">
        <v>4</v>
      </c>
      <c r="K48" s="282">
        <v>15</v>
      </c>
      <c r="L48" s="267">
        <v>1</v>
      </c>
      <c r="M48" s="267">
        <v>7</v>
      </c>
      <c r="N48" s="267">
        <v>10</v>
      </c>
      <c r="O48" s="267">
        <v>3</v>
      </c>
      <c r="P48" s="282">
        <v>0</v>
      </c>
      <c r="Q48" s="138"/>
      <c r="R48" s="80"/>
      <c r="S48" s="64"/>
      <c r="T48" s="42"/>
      <c r="U48" s="42"/>
      <c r="V48" s="42"/>
      <c r="W48" s="42"/>
      <c r="X48" s="42"/>
      <c r="Z48" s="218" t="s">
        <v>80</v>
      </c>
      <c r="AA48" s="223">
        <f t="shared" si="7"/>
        <v>146</v>
      </c>
      <c r="AB48" s="228">
        <v>136</v>
      </c>
      <c r="AC48" s="228">
        <v>7</v>
      </c>
      <c r="AD48" s="226">
        <v>3</v>
      </c>
    </row>
    <row r="49" spans="1:30">
      <c r="A49" s="71" t="s">
        <v>326</v>
      </c>
      <c r="B49" s="320">
        <f t="shared" si="10"/>
        <v>5914</v>
      </c>
      <c r="C49" s="321">
        <f t="shared" si="11"/>
        <v>1066</v>
      </c>
      <c r="D49" s="272">
        <v>1954</v>
      </c>
      <c r="E49" s="321">
        <v>736</v>
      </c>
      <c r="F49" s="272">
        <v>212</v>
      </c>
      <c r="G49" s="273">
        <v>105</v>
      </c>
      <c r="H49" s="267">
        <v>3748</v>
      </c>
      <c r="I49" s="267">
        <v>146</v>
      </c>
      <c r="J49" s="234">
        <v>6</v>
      </c>
      <c r="K49" s="282">
        <v>27</v>
      </c>
      <c r="L49" s="267">
        <v>9</v>
      </c>
      <c r="M49" s="267">
        <v>17</v>
      </c>
      <c r="N49" s="267">
        <v>5</v>
      </c>
      <c r="O49" s="267">
        <v>15</v>
      </c>
      <c r="P49" s="282">
        <v>0</v>
      </c>
      <c r="Q49" s="138"/>
      <c r="R49" s="80"/>
      <c r="S49" s="64"/>
      <c r="T49" s="42"/>
      <c r="U49" s="42"/>
      <c r="V49" s="42"/>
      <c r="W49" s="42"/>
      <c r="X49" s="42"/>
      <c r="Z49" s="218" t="s">
        <v>79</v>
      </c>
      <c r="AA49" s="223">
        <f t="shared" si="7"/>
        <v>126</v>
      </c>
      <c r="AB49" s="228">
        <v>114</v>
      </c>
      <c r="AC49" s="228">
        <v>12</v>
      </c>
      <c r="AD49" s="226">
        <v>0</v>
      </c>
    </row>
    <row r="50" spans="1:30">
      <c r="A50" s="71" t="s">
        <v>325</v>
      </c>
      <c r="B50" s="320">
        <f t="shared" si="10"/>
        <v>6062</v>
      </c>
      <c r="C50" s="321">
        <f t="shared" si="11"/>
        <v>988</v>
      </c>
      <c r="D50" s="272">
        <v>2192</v>
      </c>
      <c r="E50" s="321">
        <v>685</v>
      </c>
      <c r="F50" s="272">
        <v>225</v>
      </c>
      <c r="G50" s="273">
        <v>78</v>
      </c>
      <c r="H50" s="267">
        <v>3645</v>
      </c>
      <c r="I50" s="267">
        <v>126</v>
      </c>
      <c r="J50" s="234">
        <v>11</v>
      </c>
      <c r="K50" s="282">
        <v>44</v>
      </c>
      <c r="L50" s="267">
        <v>9</v>
      </c>
      <c r="M50" s="267">
        <v>29</v>
      </c>
      <c r="N50" s="267">
        <v>5</v>
      </c>
      <c r="O50" s="267">
        <v>1</v>
      </c>
      <c r="P50" s="282">
        <v>0</v>
      </c>
      <c r="Q50" s="138"/>
      <c r="R50" s="80"/>
      <c r="S50" s="64"/>
      <c r="T50" s="42"/>
      <c r="U50" s="42"/>
      <c r="V50" s="42"/>
      <c r="W50" s="42"/>
      <c r="X50" s="42"/>
      <c r="Z50" s="218" t="s">
        <v>78</v>
      </c>
      <c r="AA50" s="223">
        <f t="shared" si="7"/>
        <v>64</v>
      </c>
      <c r="AB50" s="228">
        <v>58</v>
      </c>
      <c r="AC50" s="228">
        <v>6</v>
      </c>
      <c r="AD50" s="226">
        <v>0</v>
      </c>
    </row>
    <row r="51" spans="1:30">
      <c r="A51" s="71" t="s">
        <v>324</v>
      </c>
      <c r="B51" s="320">
        <f t="shared" si="10"/>
        <v>3197</v>
      </c>
      <c r="C51" s="321">
        <f t="shared" si="11"/>
        <v>623</v>
      </c>
      <c r="D51" s="272">
        <v>1052</v>
      </c>
      <c r="E51" s="321">
        <v>420</v>
      </c>
      <c r="F51" s="272">
        <v>113</v>
      </c>
      <c r="G51" s="273">
        <v>48</v>
      </c>
      <c r="H51" s="267">
        <v>2032</v>
      </c>
      <c r="I51" s="267">
        <v>64</v>
      </c>
      <c r="J51" s="234">
        <v>22</v>
      </c>
      <c r="K51" s="282">
        <v>42</v>
      </c>
      <c r="L51" s="267">
        <v>2</v>
      </c>
      <c r="M51" s="267">
        <v>16</v>
      </c>
      <c r="N51" s="267">
        <v>7</v>
      </c>
      <c r="O51" s="267">
        <v>2</v>
      </c>
      <c r="P51" s="282">
        <v>0</v>
      </c>
      <c r="Q51" s="138"/>
      <c r="R51" s="81"/>
      <c r="S51" s="64"/>
      <c r="T51" s="42"/>
      <c r="U51" s="42"/>
      <c r="V51" s="42"/>
      <c r="W51" s="42"/>
      <c r="X51" s="42"/>
      <c r="Z51" s="218" t="s">
        <v>77</v>
      </c>
      <c r="AA51" s="223">
        <f t="shared" si="7"/>
        <v>47</v>
      </c>
      <c r="AB51" s="228">
        <v>43</v>
      </c>
      <c r="AC51" s="228">
        <v>4</v>
      </c>
      <c r="AD51" s="226">
        <v>0</v>
      </c>
    </row>
    <row r="52" spans="1:30">
      <c r="A52" s="73" t="s">
        <v>323</v>
      </c>
      <c r="B52" s="322">
        <f t="shared" si="10"/>
        <v>2069</v>
      </c>
      <c r="C52" s="323">
        <f t="shared" si="11"/>
        <v>242</v>
      </c>
      <c r="D52" s="274">
        <v>747</v>
      </c>
      <c r="E52" s="323">
        <v>111</v>
      </c>
      <c r="F52" s="274">
        <v>48</v>
      </c>
      <c r="G52" s="275">
        <v>23</v>
      </c>
      <c r="H52" s="268">
        <v>1274</v>
      </c>
      <c r="I52" s="268">
        <v>47</v>
      </c>
      <c r="J52" s="268">
        <v>5</v>
      </c>
      <c r="K52" s="285">
        <v>37</v>
      </c>
      <c r="L52" s="268">
        <v>4</v>
      </c>
      <c r="M52" s="268">
        <v>14</v>
      </c>
      <c r="N52" s="268">
        <v>1</v>
      </c>
      <c r="O52" s="268">
        <v>0</v>
      </c>
      <c r="P52" s="285">
        <v>0</v>
      </c>
      <c r="Q52" s="138"/>
      <c r="R52" s="42"/>
      <c r="S52" s="64"/>
      <c r="T52" s="42"/>
      <c r="U52" s="42"/>
      <c r="V52" s="42"/>
      <c r="W52" s="42"/>
      <c r="X52" s="42"/>
    </row>
    <row r="53" spans="1:30">
      <c r="A53" s="155" t="s">
        <v>322</v>
      </c>
    </row>
  </sheetData>
  <sheetProtection algorithmName="SHA-512" hashValue="aX1Cwi8UZAXnzqRX4Uy8KAZF8ZR4Tj+WqQHsC9gWn88eH55oKlVB+BdTjfZAgrTlGGJnkr8ePogoZNHr+MjOBA==" saltValue="DoRYbHOY05xpWi9m8csvJQ==" spinCount="100000" sheet="1" objects="1" scenarios="1"/>
  <mergeCells count="40">
    <mergeCell ref="Q30:Q31"/>
    <mergeCell ref="Q18:Q19"/>
    <mergeCell ref="B30:C30"/>
    <mergeCell ref="D30:E30"/>
    <mergeCell ref="F30:G30"/>
    <mergeCell ref="H30:I30"/>
    <mergeCell ref="J30:J31"/>
    <mergeCell ref="K30:K31"/>
    <mergeCell ref="L30:L31"/>
    <mergeCell ref="M30:M31"/>
    <mergeCell ref="N30:N31"/>
    <mergeCell ref="O30:O31"/>
    <mergeCell ref="P30:P31"/>
    <mergeCell ref="U13:U14"/>
    <mergeCell ref="V13:V14"/>
    <mergeCell ref="W13:W14"/>
    <mergeCell ref="X13:X14"/>
    <mergeCell ref="B18:C18"/>
    <mergeCell ref="D18:E18"/>
    <mergeCell ref="F18:G18"/>
    <mergeCell ref="H18:I18"/>
    <mergeCell ref="J18:K18"/>
    <mergeCell ref="L18:M18"/>
    <mergeCell ref="N18:P18"/>
    <mergeCell ref="N13:P13"/>
    <mergeCell ref="Q13:Q14"/>
    <mergeCell ref="R13:R14"/>
    <mergeCell ref="S13:S14"/>
    <mergeCell ref="T13:T14"/>
    <mergeCell ref="R18:R19"/>
    <mergeCell ref="B2:B3"/>
    <mergeCell ref="C2:J2"/>
    <mergeCell ref="K2:N2"/>
    <mergeCell ref="A10:N10"/>
    <mergeCell ref="B13:C13"/>
    <mergeCell ref="D13:E13"/>
    <mergeCell ref="F13:G13"/>
    <mergeCell ref="H13:I13"/>
    <mergeCell ref="J13:K13"/>
    <mergeCell ref="L13:M13"/>
  </mergeCells>
  <phoneticPr fontId="96" type="noConversion"/>
  <conditionalFormatting sqref="AD21:AD26">
    <cfRule type="cellIs" dxfId="6" priority="6" operator="lessThan">
      <formula>0</formula>
    </cfRule>
  </conditionalFormatting>
  <conditionalFormatting sqref="AD15">
    <cfRule type="cellIs" dxfId="5" priority="5" operator="lessThan">
      <formula>0</formula>
    </cfRule>
  </conditionalFormatting>
  <conditionalFormatting sqref="AE21:AE26">
    <cfRule type="cellIs" dxfId="4" priority="4" operator="lessThan">
      <formula>0</formula>
    </cfRule>
  </conditionalFormatting>
  <conditionalFormatting sqref="AE15">
    <cfRule type="cellIs" dxfId="3" priority="3" operator="lessThan">
      <formula>0</formula>
    </cfRule>
  </conditionalFormatting>
  <conditionalFormatting sqref="AF21:AF26">
    <cfRule type="cellIs" dxfId="2" priority="2" operator="lessThan">
      <formula>0</formula>
    </cfRule>
  </conditionalFormatting>
  <conditionalFormatting sqref="AF15">
    <cfRule type="cellIs" dxfId="1" priority="1" operator="lessThan">
      <formula>0</formula>
    </cfRule>
  </conditionalFormatting>
  <pageMargins left="0.2" right="0.2" top="0.2" bottom="0.2" header="0.31496062992125984" footer="0.31496062992125984"/>
  <pageSetup paperSize="9" scale="60" orientation="landscape"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S89"/>
  <sheetViews>
    <sheetView view="pageBreakPreview" zoomScaleSheetLayoutView="100" workbookViewId="0">
      <pane xSplit="1" ySplit="6" topLeftCell="S7" activePane="bottomRight" state="frozen"/>
      <selection activeCell="A10" sqref="A10:N10"/>
      <selection pane="topRight" activeCell="A10" sqref="A10:N10"/>
      <selection pane="bottomLeft" activeCell="A10" sqref="A10:N10"/>
      <selection pane="bottomRight" activeCell="A10" sqref="A10:N10"/>
    </sheetView>
  </sheetViews>
  <sheetFormatPr defaultRowHeight="16.5"/>
  <cols>
    <col min="1" max="1" width="13.625" style="115" customWidth="1"/>
    <col min="2" max="2" width="9.5" style="379" customWidth="1"/>
    <col min="3" max="4" width="8.75" style="379" customWidth="1"/>
    <col min="5" max="5" width="8.125" style="379" customWidth="1"/>
    <col min="6" max="6" width="9.375" style="379" customWidth="1"/>
    <col min="7" max="7" width="8.75" style="115" customWidth="1"/>
    <col min="8" max="8" width="8.125" style="115" customWidth="1"/>
    <col min="9" max="9" width="8.75" style="115" customWidth="1"/>
    <col min="10" max="10" width="7.875" style="115" customWidth="1"/>
    <col min="11" max="12" width="8" style="115" customWidth="1"/>
    <col min="13" max="13" width="7.875" style="115" customWidth="1"/>
    <col min="14" max="14" width="7.375" style="115" customWidth="1"/>
    <col min="15" max="15" width="6.25" style="115" customWidth="1"/>
    <col min="16" max="16" width="7.375" style="115" customWidth="1"/>
    <col min="17" max="18" width="7.25" style="115" customWidth="1"/>
    <col min="19" max="19" width="8.25" style="115" customWidth="1"/>
    <col min="20" max="20" width="6.875" style="115" customWidth="1"/>
    <col min="21" max="21" width="7.625" style="115" customWidth="1"/>
    <col min="22" max="22" width="8.25" style="115" customWidth="1"/>
    <col min="23" max="23" width="6.875" style="115" customWidth="1"/>
    <col min="24" max="25" width="7.625" style="115" customWidth="1"/>
    <col min="26" max="26" width="6.875" style="115" customWidth="1"/>
    <col min="27" max="27" width="7.625" style="115" customWidth="1"/>
    <col min="28" max="28" width="8.25" style="115" customWidth="1"/>
    <col min="29" max="29" width="9.125" style="115" customWidth="1"/>
    <col min="30" max="30" width="9" style="115" customWidth="1"/>
    <col min="31" max="31" width="7" style="115" customWidth="1"/>
    <col min="32" max="32" width="5.5" style="115" customWidth="1"/>
    <col min="33" max="33" width="7" style="115" customWidth="1"/>
    <col min="34" max="34" width="6.875" style="115" customWidth="1"/>
    <col min="35" max="35" width="9.5" style="115" customWidth="1"/>
    <col min="36" max="36" width="11.25" style="115" customWidth="1"/>
    <col min="37" max="37" width="13.375" style="115" customWidth="1"/>
    <col min="38" max="39" width="9" style="115" customWidth="1"/>
    <col min="40" max="40" width="16" style="115" customWidth="1"/>
    <col min="41" max="16384" width="9" style="115"/>
  </cols>
  <sheetData>
    <row r="1" spans="1:45">
      <c r="A1" s="75" t="s">
        <v>259</v>
      </c>
      <c r="B1" s="365">
        <f t="shared" ref="B1:AL1" si="0">SUM(B7:B17,B19:B21,B23:B29,B31:B35,B37:B43,B45:B48,B50:B59,B61:B64,B66:B67,B69:B74,B76:B81,B83:B86,B88)</f>
        <v>15789894</v>
      </c>
      <c r="C1" s="365">
        <f t="shared" si="0"/>
        <v>1055902</v>
      </c>
      <c r="D1" s="365">
        <f t="shared" si="0"/>
        <v>4887564</v>
      </c>
      <c r="E1" s="365">
        <f t="shared" si="0"/>
        <v>37595</v>
      </c>
      <c r="F1" s="365">
        <f t="shared" si="0"/>
        <v>215273</v>
      </c>
      <c r="G1" s="94">
        <f t="shared" si="0"/>
        <v>515031</v>
      </c>
      <c r="H1" s="94">
        <f t="shared" si="0"/>
        <v>67260</v>
      </c>
      <c r="I1" s="94">
        <f t="shared" si="0"/>
        <v>1039860</v>
      </c>
      <c r="J1" s="94">
        <f t="shared" si="0"/>
        <v>1226421</v>
      </c>
      <c r="K1" s="94">
        <f t="shared" si="0"/>
        <v>84096</v>
      </c>
      <c r="L1" s="94">
        <f t="shared" si="0"/>
        <v>791927</v>
      </c>
      <c r="M1" s="94">
        <f t="shared" si="0"/>
        <v>187050</v>
      </c>
      <c r="N1" s="94">
        <f t="shared" si="0"/>
        <v>42326</v>
      </c>
      <c r="O1" s="94">
        <f t="shared" si="0"/>
        <v>7910</v>
      </c>
      <c r="P1" s="94">
        <f t="shared" si="0"/>
        <v>91991</v>
      </c>
      <c r="Q1" s="94">
        <f t="shared" si="0"/>
        <v>26976</v>
      </c>
      <c r="R1" s="94">
        <f t="shared" si="0"/>
        <v>22020</v>
      </c>
      <c r="S1" s="94">
        <f t="shared" si="0"/>
        <v>11784</v>
      </c>
      <c r="T1" s="94">
        <f t="shared" si="0"/>
        <v>19800</v>
      </c>
      <c r="U1" s="94">
        <f t="shared" si="0"/>
        <v>203704</v>
      </c>
      <c r="V1" s="94">
        <f t="shared" si="0"/>
        <v>153</v>
      </c>
      <c r="W1" s="94">
        <f t="shared" si="0"/>
        <v>135327</v>
      </c>
      <c r="X1" s="94">
        <f t="shared" si="0"/>
        <v>407119</v>
      </c>
      <c r="Y1" s="94">
        <f t="shared" si="0"/>
        <v>526424</v>
      </c>
      <c r="Z1" s="94">
        <f t="shared" si="0"/>
        <v>95548</v>
      </c>
      <c r="AA1" s="94">
        <f t="shared" si="0"/>
        <v>56561</v>
      </c>
      <c r="AB1" s="94">
        <f t="shared" si="0"/>
        <v>46509</v>
      </c>
      <c r="AC1" s="94">
        <f t="shared" si="0"/>
        <v>2834</v>
      </c>
      <c r="AD1" s="94">
        <f>SUM(AD7:AD17,AD19:AD21,AD23:AD29,AD31:AD35,AD37:AD43,AD45:AD48,AD50:AD59,AD61:AD64,AD66:AD67,AD69:AD74,AD77:AD81,AD83:AD86,AD88)</f>
        <v>19339</v>
      </c>
      <c r="AE1" s="94">
        <f t="shared" si="0"/>
        <v>1560</v>
      </c>
      <c r="AF1" s="94">
        <f t="shared" si="0"/>
        <v>1081</v>
      </c>
      <c r="AG1" s="94">
        <f t="shared" si="0"/>
        <v>166</v>
      </c>
      <c r="AH1" s="94">
        <f t="shared" si="0"/>
        <v>59821</v>
      </c>
      <c r="AI1" s="94">
        <f t="shared" si="0"/>
        <v>9846428</v>
      </c>
      <c r="AJ1" s="94">
        <f t="shared" si="0"/>
        <v>9433210</v>
      </c>
      <c r="AK1" s="94">
        <f t="shared" si="0"/>
        <v>240292</v>
      </c>
      <c r="AL1" s="94">
        <f t="shared" si="0"/>
        <v>172926</v>
      </c>
    </row>
    <row r="2" spans="1:45">
      <c r="A2" s="95" t="s">
        <v>0</v>
      </c>
      <c r="B2" s="557" t="s">
        <v>10</v>
      </c>
      <c r="C2" s="574" t="s">
        <v>429</v>
      </c>
      <c r="D2" s="575"/>
      <c r="E2" s="575"/>
      <c r="F2" s="575"/>
      <c r="G2" s="575"/>
      <c r="H2" s="575"/>
      <c r="I2" s="575"/>
      <c r="J2" s="575"/>
      <c r="K2" s="575"/>
      <c r="L2" s="575"/>
      <c r="M2" s="575"/>
      <c r="N2" s="575"/>
      <c r="O2" s="575"/>
      <c r="P2" s="575"/>
      <c r="Q2" s="575"/>
      <c r="R2" s="575"/>
      <c r="S2" s="575"/>
      <c r="T2" s="575"/>
      <c r="U2" s="575"/>
      <c r="V2" s="575"/>
      <c r="W2" s="575"/>
      <c r="X2" s="575"/>
      <c r="Y2" s="575"/>
      <c r="Z2" s="575"/>
      <c r="AA2" s="575"/>
      <c r="AB2" s="575"/>
      <c r="AC2" s="575"/>
      <c r="AD2" s="575"/>
      <c r="AE2" s="575"/>
      <c r="AF2" s="575"/>
      <c r="AG2" s="575"/>
      <c r="AH2" s="579"/>
      <c r="AI2" s="574" t="s">
        <v>22</v>
      </c>
      <c r="AJ2" s="575"/>
      <c r="AK2" s="575"/>
      <c r="AL2" s="576"/>
    </row>
    <row r="3" spans="1:45" ht="17.25" customHeight="1">
      <c r="A3" s="189"/>
      <c r="B3" s="644"/>
      <c r="C3" s="559" t="s">
        <v>127</v>
      </c>
      <c r="D3" s="559"/>
      <c r="E3" s="559" t="s">
        <v>197</v>
      </c>
      <c r="F3" s="559"/>
      <c r="G3" s="559"/>
      <c r="H3" s="559"/>
      <c r="I3" s="559"/>
      <c r="J3" s="559"/>
      <c r="K3" s="559"/>
      <c r="L3" s="559"/>
      <c r="M3" s="559"/>
      <c r="N3" s="559" t="s">
        <v>125</v>
      </c>
      <c r="O3" s="559"/>
      <c r="P3" s="559"/>
      <c r="Q3" s="559"/>
      <c r="R3" s="560" t="s">
        <v>416</v>
      </c>
      <c r="S3" s="561"/>
      <c r="T3" s="559" t="s">
        <v>435</v>
      </c>
      <c r="U3" s="559"/>
      <c r="V3" s="559"/>
      <c r="W3" s="559"/>
      <c r="X3" s="559"/>
      <c r="Y3" s="559"/>
      <c r="Z3" s="559"/>
      <c r="AA3" s="580" t="s">
        <v>3</v>
      </c>
      <c r="AB3" s="580" t="s">
        <v>133</v>
      </c>
      <c r="AC3" s="583" t="s">
        <v>104</v>
      </c>
      <c r="AD3" s="583" t="s">
        <v>103</v>
      </c>
      <c r="AE3" s="583" t="s">
        <v>193</v>
      </c>
      <c r="AF3" s="583" t="s">
        <v>101</v>
      </c>
      <c r="AG3" s="583" t="s">
        <v>100</v>
      </c>
      <c r="AH3" s="583" t="s">
        <v>191</v>
      </c>
      <c r="AI3" s="559" t="s">
        <v>431</v>
      </c>
      <c r="AJ3" s="559" t="s">
        <v>432</v>
      </c>
      <c r="AK3" s="577" t="s">
        <v>430</v>
      </c>
      <c r="AL3" s="559" t="s">
        <v>433</v>
      </c>
    </row>
    <row r="4" spans="1:45" ht="17.25" customHeight="1">
      <c r="A4" s="189"/>
      <c r="B4" s="644"/>
      <c r="C4" s="565" t="s">
        <v>98</v>
      </c>
      <c r="D4" s="566" t="s">
        <v>187</v>
      </c>
      <c r="E4" s="562" t="s">
        <v>436</v>
      </c>
      <c r="F4" s="563"/>
      <c r="G4" s="564"/>
      <c r="H4" s="562" t="s">
        <v>437</v>
      </c>
      <c r="I4" s="563"/>
      <c r="J4" s="563"/>
      <c r="K4" s="563"/>
      <c r="L4" s="563"/>
      <c r="M4" s="564"/>
      <c r="N4" s="565" t="s">
        <v>98</v>
      </c>
      <c r="O4" s="562" t="s">
        <v>434</v>
      </c>
      <c r="P4" s="563"/>
      <c r="Q4" s="564"/>
      <c r="R4" s="586" t="s">
        <v>98</v>
      </c>
      <c r="S4" s="565" t="s">
        <v>97</v>
      </c>
      <c r="T4" s="562" t="s">
        <v>436</v>
      </c>
      <c r="U4" s="563"/>
      <c r="V4" s="564"/>
      <c r="W4" s="563" t="s">
        <v>437</v>
      </c>
      <c r="X4" s="563"/>
      <c r="Y4" s="563"/>
      <c r="Z4" s="564"/>
      <c r="AA4" s="581"/>
      <c r="AB4" s="581"/>
      <c r="AC4" s="584"/>
      <c r="AD4" s="584"/>
      <c r="AE4" s="584"/>
      <c r="AF4" s="584"/>
      <c r="AG4" s="584"/>
      <c r="AH4" s="584"/>
      <c r="AI4" s="559"/>
      <c r="AJ4" s="559"/>
      <c r="AK4" s="578"/>
      <c r="AL4" s="559"/>
    </row>
    <row r="5" spans="1:45">
      <c r="A5" s="96" t="s">
        <v>7</v>
      </c>
      <c r="B5" s="559"/>
      <c r="C5" s="644"/>
      <c r="D5" s="643"/>
      <c r="E5" s="364" t="s">
        <v>180</v>
      </c>
      <c r="F5" s="364" t="s">
        <v>179</v>
      </c>
      <c r="G5" s="364" t="s">
        <v>186</v>
      </c>
      <c r="H5" s="364" t="s">
        <v>118</v>
      </c>
      <c r="I5" s="364" t="s">
        <v>185</v>
      </c>
      <c r="J5" s="364" t="s">
        <v>184</v>
      </c>
      <c r="K5" s="364" t="s">
        <v>181</v>
      </c>
      <c r="L5" s="364" t="s">
        <v>8</v>
      </c>
      <c r="M5" s="364" t="s">
        <v>183</v>
      </c>
      <c r="N5" s="644"/>
      <c r="O5" s="364" t="s">
        <v>118</v>
      </c>
      <c r="P5" s="364" t="s">
        <v>181</v>
      </c>
      <c r="Q5" s="364" t="s">
        <v>8</v>
      </c>
      <c r="R5" s="645"/>
      <c r="S5" s="644"/>
      <c r="T5" s="364" t="s">
        <v>180</v>
      </c>
      <c r="U5" s="364" t="s">
        <v>179</v>
      </c>
      <c r="V5" s="364" t="s">
        <v>117</v>
      </c>
      <c r="W5" s="364" t="s">
        <v>178</v>
      </c>
      <c r="X5" s="364" t="s">
        <v>177</v>
      </c>
      <c r="Y5" s="202" t="s">
        <v>116</v>
      </c>
      <c r="Z5" s="364" t="s">
        <v>8</v>
      </c>
      <c r="AA5" s="646"/>
      <c r="AB5" s="646"/>
      <c r="AC5" s="647"/>
      <c r="AD5" s="647"/>
      <c r="AE5" s="647"/>
      <c r="AF5" s="647"/>
      <c r="AG5" s="647"/>
      <c r="AH5" s="647"/>
      <c r="AI5" s="559"/>
      <c r="AJ5" s="559"/>
      <c r="AK5" s="578"/>
      <c r="AL5" s="559"/>
      <c r="AN5" s="191" t="s">
        <v>518</v>
      </c>
      <c r="AO5" s="89"/>
      <c r="AP5" s="89"/>
      <c r="AQ5" s="89"/>
      <c r="AR5" s="89"/>
      <c r="AS5" s="89"/>
    </row>
    <row r="6" spans="1:45" s="93" customFormat="1" ht="15.95" customHeight="1">
      <c r="A6" s="92" t="s">
        <v>321</v>
      </c>
      <c r="B6" s="366">
        <f t="shared" ref="B6:B23" si="1">SUM(AI6+D6+C6)</f>
        <v>15789894</v>
      </c>
      <c r="C6" s="340">
        <f t="shared" ref="C6:AI6" si="2">SUM(C7:C14,C18,C22,C30,C36,C44,C49,C60,C65,C68,C75,C82,C87:C88)</f>
        <v>1055902</v>
      </c>
      <c r="D6" s="367">
        <f t="shared" si="2"/>
        <v>4887564</v>
      </c>
      <c r="E6" s="332">
        <f t="shared" si="2"/>
        <v>37595</v>
      </c>
      <c r="F6" s="332">
        <f t="shared" si="2"/>
        <v>215273</v>
      </c>
      <c r="G6" s="206">
        <f t="shared" si="2"/>
        <v>515031</v>
      </c>
      <c r="H6" s="332">
        <f t="shared" si="2"/>
        <v>67260</v>
      </c>
      <c r="I6" s="332">
        <f t="shared" si="2"/>
        <v>1039860</v>
      </c>
      <c r="J6" s="332">
        <f t="shared" si="2"/>
        <v>1226421</v>
      </c>
      <c r="K6" s="332">
        <f t="shared" si="2"/>
        <v>84096</v>
      </c>
      <c r="L6" s="332">
        <f t="shared" si="2"/>
        <v>791927</v>
      </c>
      <c r="M6" s="206">
        <f t="shared" si="2"/>
        <v>187050</v>
      </c>
      <c r="N6" s="194">
        <f t="shared" si="2"/>
        <v>42326</v>
      </c>
      <c r="O6" s="194">
        <f t="shared" si="2"/>
        <v>7910</v>
      </c>
      <c r="P6" s="194">
        <f t="shared" si="2"/>
        <v>91991</v>
      </c>
      <c r="Q6" s="206">
        <f t="shared" si="2"/>
        <v>26976</v>
      </c>
      <c r="R6" s="340">
        <f t="shared" si="2"/>
        <v>22020</v>
      </c>
      <c r="S6" s="341">
        <f t="shared" si="2"/>
        <v>11784</v>
      </c>
      <c r="T6" s="310">
        <f t="shared" si="2"/>
        <v>19800</v>
      </c>
      <c r="U6" s="194">
        <f t="shared" si="2"/>
        <v>203704</v>
      </c>
      <c r="V6" s="194">
        <f t="shared" si="2"/>
        <v>153</v>
      </c>
      <c r="W6" s="194">
        <f t="shared" si="2"/>
        <v>135327</v>
      </c>
      <c r="X6" s="194">
        <f t="shared" si="2"/>
        <v>407119</v>
      </c>
      <c r="Y6" s="194">
        <f t="shared" si="2"/>
        <v>526424</v>
      </c>
      <c r="Z6" s="206">
        <f t="shared" si="2"/>
        <v>95548</v>
      </c>
      <c r="AA6" s="194">
        <f t="shared" si="2"/>
        <v>56561</v>
      </c>
      <c r="AB6" s="194">
        <f t="shared" si="2"/>
        <v>46509</v>
      </c>
      <c r="AC6" s="194">
        <f t="shared" si="2"/>
        <v>2834</v>
      </c>
      <c r="AD6" s="194">
        <f t="shared" si="2"/>
        <v>19339</v>
      </c>
      <c r="AE6" s="194">
        <f t="shared" si="2"/>
        <v>1560</v>
      </c>
      <c r="AF6" s="194">
        <f t="shared" si="2"/>
        <v>1081</v>
      </c>
      <c r="AG6" s="194">
        <f t="shared" si="2"/>
        <v>166</v>
      </c>
      <c r="AH6" s="194">
        <f t="shared" si="2"/>
        <v>59821</v>
      </c>
      <c r="AI6" s="340">
        <f t="shared" si="2"/>
        <v>9846428</v>
      </c>
      <c r="AJ6" s="332">
        <v>9433210</v>
      </c>
      <c r="AK6" s="332">
        <v>240292</v>
      </c>
      <c r="AL6" s="332">
        <f>SUM(AL7:AL14,AL18,AL22,AL30,AL36,AL44,AL49,AL60,AL65,AL68,AL75,AL82,AL87:AL88)</f>
        <v>172926</v>
      </c>
      <c r="AN6" s="192" t="s">
        <v>438</v>
      </c>
      <c r="AO6" s="89"/>
      <c r="AP6" s="89"/>
      <c r="AQ6" s="89"/>
      <c r="AR6" s="89"/>
      <c r="AS6" s="89"/>
    </row>
    <row r="7" spans="1:45" ht="15.95" customHeight="1">
      <c r="A7" s="76" t="s">
        <v>320</v>
      </c>
      <c r="B7" s="368">
        <f t="shared" si="1"/>
        <v>1296721</v>
      </c>
      <c r="C7" s="342">
        <f t="shared" ref="C7:C17" si="3">SUM(E7:G7,N7,R7,T7:V7)</f>
        <v>226630</v>
      </c>
      <c r="D7" s="369">
        <f t="shared" ref="D7:D23" si="4">SUM(H7:M7,O7:Q7,S7,W7:AH7)</f>
        <v>533619</v>
      </c>
      <c r="E7" s="370">
        <v>9428</v>
      </c>
      <c r="F7" s="370">
        <v>41905</v>
      </c>
      <c r="G7" s="256">
        <v>162217</v>
      </c>
      <c r="H7" s="326">
        <v>12818</v>
      </c>
      <c r="I7" s="326">
        <v>309222</v>
      </c>
      <c r="J7" s="326">
        <v>46760</v>
      </c>
      <c r="K7" s="326">
        <v>6853</v>
      </c>
      <c r="L7" s="326">
        <v>81583</v>
      </c>
      <c r="M7" s="252">
        <v>0</v>
      </c>
      <c r="N7" s="255">
        <v>0</v>
      </c>
      <c r="O7" s="214">
        <v>0</v>
      </c>
      <c r="P7" s="214">
        <v>0</v>
      </c>
      <c r="Q7" s="256">
        <v>0</v>
      </c>
      <c r="R7" s="342">
        <v>0</v>
      </c>
      <c r="S7" s="343">
        <v>2</v>
      </c>
      <c r="T7" s="304">
        <v>1455</v>
      </c>
      <c r="U7" s="195">
        <v>11607</v>
      </c>
      <c r="V7" s="195">
        <v>18</v>
      </c>
      <c r="W7" s="195">
        <v>5532</v>
      </c>
      <c r="X7" s="195">
        <v>21651</v>
      </c>
      <c r="Y7" s="195">
        <v>40045</v>
      </c>
      <c r="Z7" s="298">
        <v>7588</v>
      </c>
      <c r="AA7" s="255">
        <v>0</v>
      </c>
      <c r="AB7" s="213">
        <v>0</v>
      </c>
      <c r="AC7" s="213">
        <v>0</v>
      </c>
      <c r="AD7" s="213">
        <v>0</v>
      </c>
      <c r="AE7" s="213">
        <v>0</v>
      </c>
      <c r="AF7" s="213">
        <v>16</v>
      </c>
      <c r="AG7" s="213">
        <v>0</v>
      </c>
      <c r="AH7" s="213">
        <v>1549</v>
      </c>
      <c r="AI7" s="342">
        <f t="shared" ref="AI7:AI70" si="5">SUM(AJ7:AL7)</f>
        <v>536472</v>
      </c>
      <c r="AJ7" s="351">
        <v>517072</v>
      </c>
      <c r="AK7" s="352">
        <v>0</v>
      </c>
      <c r="AL7" s="348">
        <v>19400</v>
      </c>
      <c r="AN7" s="89"/>
      <c r="AO7" s="89"/>
      <c r="AP7" s="89"/>
      <c r="AQ7" s="89"/>
      <c r="AR7" s="89"/>
      <c r="AS7" s="89"/>
    </row>
    <row r="8" spans="1:45" ht="15.95" customHeight="1">
      <c r="A8" s="76" t="s">
        <v>319</v>
      </c>
      <c r="B8" s="368">
        <f t="shared" si="1"/>
        <v>59696</v>
      </c>
      <c r="C8" s="342">
        <f t="shared" si="3"/>
        <v>7917</v>
      </c>
      <c r="D8" s="369">
        <f t="shared" si="4"/>
        <v>42769</v>
      </c>
      <c r="E8" s="370">
        <v>0</v>
      </c>
      <c r="F8" s="370">
        <v>0</v>
      </c>
      <c r="G8" s="256">
        <v>0</v>
      </c>
      <c r="H8" s="326">
        <v>0</v>
      </c>
      <c r="I8" s="326">
        <v>0</v>
      </c>
      <c r="J8" s="326">
        <v>0</v>
      </c>
      <c r="K8" s="326">
        <v>0</v>
      </c>
      <c r="L8" s="326">
        <v>0</v>
      </c>
      <c r="M8" s="196">
        <v>0</v>
      </c>
      <c r="N8" s="255">
        <v>7917</v>
      </c>
      <c r="O8" s="214">
        <v>2815</v>
      </c>
      <c r="P8" s="214">
        <v>17693</v>
      </c>
      <c r="Q8" s="256">
        <v>4660</v>
      </c>
      <c r="R8" s="342">
        <v>0</v>
      </c>
      <c r="S8" s="343">
        <v>0</v>
      </c>
      <c r="T8" s="305">
        <v>0</v>
      </c>
      <c r="U8" s="196">
        <v>0</v>
      </c>
      <c r="V8" s="196">
        <v>0</v>
      </c>
      <c r="W8" s="196">
        <v>0</v>
      </c>
      <c r="X8" s="196">
        <v>0</v>
      </c>
      <c r="Y8" s="196">
        <v>0</v>
      </c>
      <c r="Z8" s="299">
        <v>0</v>
      </c>
      <c r="AA8" s="255">
        <v>7549</v>
      </c>
      <c r="AB8" s="213">
        <v>6664</v>
      </c>
      <c r="AC8" s="213">
        <v>440</v>
      </c>
      <c r="AD8" s="213">
        <v>2426</v>
      </c>
      <c r="AE8" s="213">
        <v>266</v>
      </c>
      <c r="AF8" s="213">
        <v>0</v>
      </c>
      <c r="AG8" s="213">
        <v>54</v>
      </c>
      <c r="AH8" s="213">
        <v>202</v>
      </c>
      <c r="AI8" s="342">
        <f t="shared" si="5"/>
        <v>9010</v>
      </c>
      <c r="AJ8" s="326">
        <v>0</v>
      </c>
      <c r="AK8" s="326">
        <v>9010</v>
      </c>
      <c r="AL8" s="348">
        <v>0</v>
      </c>
      <c r="AN8" s="212" t="s">
        <v>506</v>
      </c>
      <c r="AO8" s="98"/>
      <c r="AP8" s="98"/>
      <c r="AQ8" s="98"/>
      <c r="AR8" s="98"/>
      <c r="AS8" s="98"/>
    </row>
    <row r="9" spans="1:45" ht="15.95" customHeight="1">
      <c r="A9" s="76" t="s">
        <v>318</v>
      </c>
      <c r="B9" s="368">
        <f t="shared" si="1"/>
        <v>13084</v>
      </c>
      <c r="C9" s="342">
        <f t="shared" si="3"/>
        <v>8246</v>
      </c>
      <c r="D9" s="369">
        <f t="shared" si="4"/>
        <v>4838</v>
      </c>
      <c r="E9" s="370">
        <v>0</v>
      </c>
      <c r="F9" s="370">
        <v>0</v>
      </c>
      <c r="G9" s="256">
        <v>0</v>
      </c>
      <c r="H9" s="326">
        <v>0</v>
      </c>
      <c r="I9" s="326">
        <v>0</v>
      </c>
      <c r="J9" s="326">
        <v>0</v>
      </c>
      <c r="K9" s="326">
        <v>0</v>
      </c>
      <c r="L9" s="326">
        <v>0</v>
      </c>
      <c r="M9" s="196">
        <v>0</v>
      </c>
      <c r="N9" s="255">
        <v>0</v>
      </c>
      <c r="O9" s="214">
        <v>0</v>
      </c>
      <c r="P9" s="214">
        <v>0</v>
      </c>
      <c r="Q9" s="256">
        <v>0</v>
      </c>
      <c r="R9" s="342">
        <v>8246</v>
      </c>
      <c r="S9" s="343">
        <v>4838</v>
      </c>
      <c r="T9" s="305">
        <v>0</v>
      </c>
      <c r="U9" s="196">
        <v>0</v>
      </c>
      <c r="V9" s="196">
        <v>0</v>
      </c>
      <c r="W9" s="196">
        <v>0</v>
      </c>
      <c r="X9" s="196">
        <v>0</v>
      </c>
      <c r="Y9" s="196">
        <v>0</v>
      </c>
      <c r="Z9" s="299">
        <v>0</v>
      </c>
      <c r="AA9" s="255">
        <v>0</v>
      </c>
      <c r="AB9" s="213">
        <v>0</v>
      </c>
      <c r="AC9" s="213">
        <v>0</v>
      </c>
      <c r="AD9" s="213">
        <v>0</v>
      </c>
      <c r="AE9" s="213">
        <v>0</v>
      </c>
      <c r="AF9" s="213">
        <v>0</v>
      </c>
      <c r="AG9" s="213">
        <v>0</v>
      </c>
      <c r="AH9" s="213">
        <v>0</v>
      </c>
      <c r="AI9" s="342">
        <f t="shared" si="5"/>
        <v>0</v>
      </c>
      <c r="AJ9" s="353">
        <v>0</v>
      </c>
      <c r="AK9" s="352">
        <v>0</v>
      </c>
      <c r="AL9" s="348">
        <v>0</v>
      </c>
      <c r="AN9" s="207" t="s">
        <v>441</v>
      </c>
      <c r="AO9" s="207" t="s">
        <v>442</v>
      </c>
      <c r="AP9" s="207" t="s">
        <v>443</v>
      </c>
      <c r="AQ9" s="208" t="s">
        <v>444</v>
      </c>
      <c r="AR9" s="208" t="s">
        <v>445</v>
      </c>
      <c r="AS9" s="208" t="s">
        <v>446</v>
      </c>
    </row>
    <row r="10" spans="1:45" ht="15.95" customHeight="1">
      <c r="A10" s="171" t="s">
        <v>244</v>
      </c>
      <c r="B10" s="368">
        <f t="shared" si="1"/>
        <v>39995</v>
      </c>
      <c r="C10" s="342">
        <f t="shared" si="3"/>
        <v>218</v>
      </c>
      <c r="D10" s="369">
        <f t="shared" si="4"/>
        <v>39777</v>
      </c>
      <c r="E10" s="370">
        <v>218</v>
      </c>
      <c r="F10" s="370">
        <v>0</v>
      </c>
      <c r="G10" s="256">
        <v>0</v>
      </c>
      <c r="H10" s="326">
        <v>0</v>
      </c>
      <c r="I10" s="326"/>
      <c r="J10" s="326"/>
      <c r="K10" s="326">
        <v>0</v>
      </c>
      <c r="L10" s="326">
        <v>129</v>
      </c>
      <c r="M10" s="203">
        <v>39648</v>
      </c>
      <c r="N10" s="255">
        <v>0</v>
      </c>
      <c r="O10" s="214">
        <v>0</v>
      </c>
      <c r="P10" s="214">
        <v>0</v>
      </c>
      <c r="Q10" s="256">
        <v>0</v>
      </c>
      <c r="R10" s="342">
        <v>0</v>
      </c>
      <c r="S10" s="343">
        <v>0</v>
      </c>
      <c r="T10" s="305">
        <v>0</v>
      </c>
      <c r="U10" s="196">
        <v>0</v>
      </c>
      <c r="V10" s="196">
        <v>0</v>
      </c>
      <c r="W10" s="196">
        <v>0</v>
      </c>
      <c r="X10" s="196">
        <v>0</v>
      </c>
      <c r="Y10" s="196">
        <v>0</v>
      </c>
      <c r="Z10" s="299">
        <v>0</v>
      </c>
      <c r="AA10" s="255">
        <v>0</v>
      </c>
      <c r="AB10" s="213">
        <v>0</v>
      </c>
      <c r="AC10" s="213">
        <v>0</v>
      </c>
      <c r="AD10" s="213">
        <v>0</v>
      </c>
      <c r="AE10" s="213">
        <v>0</v>
      </c>
      <c r="AF10" s="213">
        <v>0</v>
      </c>
      <c r="AG10" s="213">
        <v>0</v>
      </c>
      <c r="AH10" s="213">
        <v>0</v>
      </c>
      <c r="AI10" s="342">
        <f t="shared" si="5"/>
        <v>0</v>
      </c>
      <c r="AJ10" s="353">
        <v>0</v>
      </c>
      <c r="AK10" s="352">
        <v>0</v>
      </c>
      <c r="AL10" s="348">
        <v>0</v>
      </c>
      <c r="AN10" s="209" t="s">
        <v>21</v>
      </c>
      <c r="AO10" s="210">
        <f t="shared" ref="AO10:AO73" si="6">SUM(AP10,AQ10,AR10,AS10)</f>
        <v>95548</v>
      </c>
      <c r="AP10" s="209">
        <f>SUM(AP11:AP15,AP19,AP22,AP29,AP35,AP42,AP47,AP57,AP61,AP62,AP69,AP75,AP80,AP81)</f>
        <v>94293</v>
      </c>
      <c r="AQ10" s="209">
        <f>SUM(AQ11,AQ12,AQ13,AQ14,AQ15,AQ19,AQ22,AQ29,AQ35,AQ42,AQ47,AQ57,AQ61,AQ62,AQ69,AQ75,AQ80,AQ81)</f>
        <v>764</v>
      </c>
      <c r="AR10" s="209">
        <f>SUM(AR11,AR12,AR13,AR14,AR15,AR19,AR22,AR29,AR35,AR42,AR47,AR57,AR61,AR62,AR69,AR75,AR80,AR81)</f>
        <v>487</v>
      </c>
      <c r="AS10" s="209">
        <f>SUM(AS11,AS12,AS13,AS14,AS15,AS19,AS22,AS29,AS35,AS42,AS47,AS57,AS61,AS62,AS69,AS75,AS80,AS81)</f>
        <v>4</v>
      </c>
    </row>
    <row r="11" spans="1:45" ht="15.95" customHeight="1">
      <c r="A11" s="76" t="s">
        <v>317</v>
      </c>
      <c r="B11" s="368">
        <f t="shared" si="1"/>
        <v>365681</v>
      </c>
      <c r="C11" s="342">
        <f t="shared" si="3"/>
        <v>44362</v>
      </c>
      <c r="D11" s="369">
        <f t="shared" si="4"/>
        <v>140401</v>
      </c>
      <c r="E11" s="370">
        <v>1379</v>
      </c>
      <c r="F11" s="370">
        <v>7252</v>
      </c>
      <c r="G11" s="256">
        <v>30024</v>
      </c>
      <c r="H11" s="326">
        <v>3753</v>
      </c>
      <c r="I11" s="326">
        <v>40710</v>
      </c>
      <c r="J11" s="326">
        <v>31319</v>
      </c>
      <c r="K11" s="327">
        <v>4075</v>
      </c>
      <c r="L11" s="326">
        <v>21598</v>
      </c>
      <c r="M11" s="203">
        <v>0</v>
      </c>
      <c r="N11" s="255">
        <v>0</v>
      </c>
      <c r="O11" s="214">
        <v>0</v>
      </c>
      <c r="P11" s="214">
        <v>0</v>
      </c>
      <c r="Q11" s="256">
        <v>0</v>
      </c>
      <c r="R11" s="342">
        <v>0</v>
      </c>
      <c r="S11" s="343">
        <v>1</v>
      </c>
      <c r="T11" s="304">
        <v>535</v>
      </c>
      <c r="U11" s="195">
        <v>5171</v>
      </c>
      <c r="V11" s="195">
        <v>1</v>
      </c>
      <c r="W11" s="195">
        <v>4927</v>
      </c>
      <c r="X11" s="195">
        <v>10558</v>
      </c>
      <c r="Y11" s="195">
        <v>18826</v>
      </c>
      <c r="Z11" s="298">
        <v>2983</v>
      </c>
      <c r="AA11" s="255">
        <v>0</v>
      </c>
      <c r="AB11" s="213">
        <v>361</v>
      </c>
      <c r="AC11" s="213">
        <v>0</v>
      </c>
      <c r="AD11" s="213">
        <v>161</v>
      </c>
      <c r="AE11" s="213">
        <v>0</v>
      </c>
      <c r="AF11" s="213">
        <v>13</v>
      </c>
      <c r="AG11" s="213">
        <v>0</v>
      </c>
      <c r="AH11" s="213">
        <v>1116</v>
      </c>
      <c r="AI11" s="342">
        <f t="shared" si="5"/>
        <v>180918</v>
      </c>
      <c r="AJ11" s="354">
        <v>171664</v>
      </c>
      <c r="AK11" s="326">
        <v>6072</v>
      </c>
      <c r="AL11" s="348">
        <v>3182</v>
      </c>
      <c r="AN11" s="211" t="s">
        <v>447</v>
      </c>
      <c r="AO11" s="210">
        <f t="shared" si="6"/>
        <v>7588</v>
      </c>
      <c r="AP11" s="209">
        <v>7533</v>
      </c>
      <c r="AQ11" s="209">
        <v>35</v>
      </c>
      <c r="AR11" s="209">
        <v>20</v>
      </c>
      <c r="AS11" s="209">
        <v>0</v>
      </c>
    </row>
    <row r="12" spans="1:45" ht="15.95" customHeight="1">
      <c r="A12" s="76" t="s">
        <v>316</v>
      </c>
      <c r="B12" s="368">
        <f t="shared" si="1"/>
        <v>557068</v>
      </c>
      <c r="C12" s="342">
        <f t="shared" si="3"/>
        <v>67585</v>
      </c>
      <c r="D12" s="369">
        <f t="shared" si="4"/>
        <v>207282</v>
      </c>
      <c r="E12" s="370">
        <v>1667</v>
      </c>
      <c r="F12" s="370">
        <v>11660</v>
      </c>
      <c r="G12" s="256">
        <v>46311</v>
      </c>
      <c r="H12" s="326">
        <v>5663</v>
      </c>
      <c r="I12" s="326">
        <v>75507</v>
      </c>
      <c r="J12" s="326">
        <v>38990</v>
      </c>
      <c r="K12" s="327">
        <v>6033</v>
      </c>
      <c r="L12" s="326">
        <v>29615</v>
      </c>
      <c r="M12" s="203">
        <v>0</v>
      </c>
      <c r="N12" s="255">
        <v>0</v>
      </c>
      <c r="O12" s="214">
        <v>0</v>
      </c>
      <c r="P12" s="214">
        <v>0</v>
      </c>
      <c r="Q12" s="256">
        <v>0</v>
      </c>
      <c r="R12" s="342">
        <v>0</v>
      </c>
      <c r="S12" s="343">
        <v>0</v>
      </c>
      <c r="T12" s="304">
        <v>683</v>
      </c>
      <c r="U12" s="195">
        <v>7257</v>
      </c>
      <c r="V12" s="195">
        <v>7</v>
      </c>
      <c r="W12" s="195">
        <v>8193</v>
      </c>
      <c r="X12" s="195">
        <v>13405</v>
      </c>
      <c r="Y12" s="195">
        <v>22726</v>
      </c>
      <c r="Z12" s="298">
        <v>4445</v>
      </c>
      <c r="AA12" s="255">
        <v>0</v>
      </c>
      <c r="AB12" s="214">
        <v>673</v>
      </c>
      <c r="AC12" s="214">
        <v>0</v>
      </c>
      <c r="AD12" s="214">
        <v>346</v>
      </c>
      <c r="AE12" s="214">
        <v>0</v>
      </c>
      <c r="AF12" s="214">
        <v>41</v>
      </c>
      <c r="AG12" s="214">
        <v>0</v>
      </c>
      <c r="AH12" s="214">
        <v>1645</v>
      </c>
      <c r="AI12" s="342">
        <f t="shared" si="5"/>
        <v>282201</v>
      </c>
      <c r="AJ12" s="354">
        <v>269085</v>
      </c>
      <c r="AK12" s="326">
        <v>8141</v>
      </c>
      <c r="AL12" s="348">
        <v>4975</v>
      </c>
      <c r="AN12" s="211" t="s">
        <v>448</v>
      </c>
      <c r="AO12" s="210">
        <f t="shared" si="6"/>
        <v>2983</v>
      </c>
      <c r="AP12" s="209">
        <v>2976</v>
      </c>
      <c r="AQ12" s="209">
        <v>5</v>
      </c>
      <c r="AR12" s="209">
        <v>2</v>
      </c>
      <c r="AS12" s="209">
        <v>0</v>
      </c>
    </row>
    <row r="13" spans="1:45" ht="15.95" customHeight="1">
      <c r="A13" s="76" t="s">
        <v>315</v>
      </c>
      <c r="B13" s="368">
        <f t="shared" si="1"/>
        <v>389155</v>
      </c>
      <c r="C13" s="342">
        <f t="shared" si="3"/>
        <v>30453</v>
      </c>
      <c r="D13" s="369">
        <f t="shared" si="4"/>
        <v>145859</v>
      </c>
      <c r="E13" s="370">
        <v>766</v>
      </c>
      <c r="F13" s="370">
        <v>7303</v>
      </c>
      <c r="G13" s="256">
        <v>14750</v>
      </c>
      <c r="H13" s="326">
        <v>2532</v>
      </c>
      <c r="I13" s="326">
        <v>24362</v>
      </c>
      <c r="J13" s="326">
        <v>43290</v>
      </c>
      <c r="K13" s="327">
        <v>1678</v>
      </c>
      <c r="L13" s="326">
        <v>22864</v>
      </c>
      <c r="M13" s="203">
        <v>0</v>
      </c>
      <c r="N13" s="255">
        <v>0</v>
      </c>
      <c r="O13" s="214">
        <v>0</v>
      </c>
      <c r="P13" s="214">
        <v>0</v>
      </c>
      <c r="Q13" s="256">
        <v>0</v>
      </c>
      <c r="R13" s="342">
        <v>0</v>
      </c>
      <c r="S13" s="343">
        <v>1</v>
      </c>
      <c r="T13" s="304">
        <v>543</v>
      </c>
      <c r="U13" s="195">
        <v>7087</v>
      </c>
      <c r="V13" s="195">
        <v>4</v>
      </c>
      <c r="W13" s="195">
        <v>10460</v>
      </c>
      <c r="X13" s="195">
        <v>14059</v>
      </c>
      <c r="Y13" s="195">
        <v>20608</v>
      </c>
      <c r="Z13" s="298">
        <v>3329</v>
      </c>
      <c r="AA13" s="255">
        <v>0</v>
      </c>
      <c r="AB13" s="214">
        <v>451</v>
      </c>
      <c r="AC13" s="214">
        <v>0</v>
      </c>
      <c r="AD13" s="214">
        <v>200</v>
      </c>
      <c r="AE13" s="214">
        <v>0</v>
      </c>
      <c r="AF13" s="214">
        <v>58</v>
      </c>
      <c r="AG13" s="214">
        <v>0</v>
      </c>
      <c r="AH13" s="214">
        <v>1967</v>
      </c>
      <c r="AI13" s="342">
        <f t="shared" si="5"/>
        <v>212843</v>
      </c>
      <c r="AJ13" s="354">
        <v>197288</v>
      </c>
      <c r="AK13" s="326">
        <v>9017</v>
      </c>
      <c r="AL13" s="348">
        <v>6538</v>
      </c>
      <c r="AN13" s="211" t="s">
        <v>449</v>
      </c>
      <c r="AO13" s="210">
        <f t="shared" si="6"/>
        <v>4445</v>
      </c>
      <c r="AP13" s="209">
        <v>4408</v>
      </c>
      <c r="AQ13" s="209">
        <v>19</v>
      </c>
      <c r="AR13" s="209">
        <v>18</v>
      </c>
      <c r="AS13" s="209">
        <v>0</v>
      </c>
    </row>
    <row r="14" spans="1:45" ht="15.95" customHeight="1">
      <c r="A14" s="76" t="s">
        <v>314</v>
      </c>
      <c r="B14" s="368">
        <f t="shared" si="1"/>
        <v>342059</v>
      </c>
      <c r="C14" s="342">
        <f t="shared" si="3"/>
        <v>30970</v>
      </c>
      <c r="D14" s="369">
        <f t="shared" si="4"/>
        <v>136422</v>
      </c>
      <c r="E14" s="370">
        <v>1314</v>
      </c>
      <c r="F14" s="370">
        <v>9453</v>
      </c>
      <c r="G14" s="256">
        <v>15359</v>
      </c>
      <c r="H14" s="326">
        <v>2731</v>
      </c>
      <c r="I14" s="326">
        <v>53558</v>
      </c>
      <c r="J14" s="326">
        <v>23813</v>
      </c>
      <c r="K14" s="327">
        <v>3571</v>
      </c>
      <c r="L14" s="326">
        <v>18312</v>
      </c>
      <c r="M14" s="203">
        <v>0</v>
      </c>
      <c r="N14" s="255">
        <v>0</v>
      </c>
      <c r="O14" s="214">
        <v>0</v>
      </c>
      <c r="P14" s="214">
        <v>0</v>
      </c>
      <c r="Q14" s="256">
        <v>0</v>
      </c>
      <c r="R14" s="342">
        <v>0</v>
      </c>
      <c r="S14" s="343">
        <v>1</v>
      </c>
      <c r="T14" s="304">
        <v>447</v>
      </c>
      <c r="U14" s="195">
        <v>4396</v>
      </c>
      <c r="V14" s="195">
        <v>1</v>
      </c>
      <c r="W14" s="195">
        <v>4130</v>
      </c>
      <c r="X14" s="195">
        <v>8093</v>
      </c>
      <c r="Y14" s="195">
        <v>18029</v>
      </c>
      <c r="Z14" s="298">
        <v>2353</v>
      </c>
      <c r="AA14" s="255">
        <v>0</v>
      </c>
      <c r="AB14" s="214">
        <v>384</v>
      </c>
      <c r="AC14" s="214">
        <v>0</v>
      </c>
      <c r="AD14" s="214">
        <v>187</v>
      </c>
      <c r="AE14" s="214">
        <v>0</v>
      </c>
      <c r="AF14" s="214">
        <v>6</v>
      </c>
      <c r="AG14" s="214">
        <v>0</v>
      </c>
      <c r="AH14" s="214">
        <v>1254</v>
      </c>
      <c r="AI14" s="342">
        <f t="shared" si="5"/>
        <v>174667</v>
      </c>
      <c r="AJ14" s="354">
        <v>165642</v>
      </c>
      <c r="AK14" s="326">
        <v>5480</v>
      </c>
      <c r="AL14" s="348">
        <v>3545</v>
      </c>
      <c r="AN14" s="211" t="s">
        <v>450</v>
      </c>
      <c r="AO14" s="210">
        <f t="shared" si="6"/>
        <v>3329</v>
      </c>
      <c r="AP14" s="209">
        <v>3297</v>
      </c>
      <c r="AQ14" s="209">
        <v>26</v>
      </c>
      <c r="AR14" s="209">
        <v>6</v>
      </c>
      <c r="AS14" s="209">
        <v>0</v>
      </c>
    </row>
    <row r="15" spans="1:45" ht="15.95" customHeight="1">
      <c r="A15" s="76" t="s">
        <v>313</v>
      </c>
      <c r="B15" s="371">
        <f t="shared" si="1"/>
        <v>387636</v>
      </c>
      <c r="C15" s="344">
        <f t="shared" si="3"/>
        <v>22821</v>
      </c>
      <c r="D15" s="372">
        <f t="shared" si="4"/>
        <v>133237</v>
      </c>
      <c r="E15" s="373">
        <v>1083</v>
      </c>
      <c r="F15" s="373">
        <v>5229</v>
      </c>
      <c r="G15" s="258">
        <v>5897</v>
      </c>
      <c r="H15" s="328">
        <v>1669</v>
      </c>
      <c r="I15" s="328">
        <v>12865</v>
      </c>
      <c r="J15" s="328">
        <v>34483</v>
      </c>
      <c r="K15" s="329">
        <v>2310</v>
      </c>
      <c r="L15" s="328">
        <v>23760</v>
      </c>
      <c r="M15" s="205">
        <v>12595</v>
      </c>
      <c r="N15" s="257">
        <v>1509</v>
      </c>
      <c r="O15" s="215">
        <v>215</v>
      </c>
      <c r="P15" s="215">
        <v>2869</v>
      </c>
      <c r="Q15" s="258">
        <v>944</v>
      </c>
      <c r="R15" s="344">
        <v>1123</v>
      </c>
      <c r="S15" s="345">
        <v>634</v>
      </c>
      <c r="T15" s="306">
        <v>632</v>
      </c>
      <c r="U15" s="197">
        <v>7345</v>
      </c>
      <c r="V15" s="197">
        <v>3</v>
      </c>
      <c r="W15" s="197">
        <v>4632</v>
      </c>
      <c r="X15" s="197">
        <v>10752</v>
      </c>
      <c r="Y15" s="197">
        <v>13801</v>
      </c>
      <c r="Z15" s="300">
        <v>3413</v>
      </c>
      <c r="AA15" s="257">
        <v>4245</v>
      </c>
      <c r="AB15" s="215">
        <v>677</v>
      </c>
      <c r="AC15" s="215">
        <v>110</v>
      </c>
      <c r="AD15" s="215">
        <v>598</v>
      </c>
      <c r="AE15" s="215">
        <v>47</v>
      </c>
      <c r="AF15" s="215">
        <v>63</v>
      </c>
      <c r="AG15" s="215">
        <v>5</v>
      </c>
      <c r="AH15" s="215">
        <v>2550</v>
      </c>
      <c r="AI15" s="344">
        <f t="shared" si="5"/>
        <v>231578</v>
      </c>
      <c r="AJ15" s="355">
        <v>217551</v>
      </c>
      <c r="AK15" s="328">
        <v>6442</v>
      </c>
      <c r="AL15" s="349">
        <v>7585</v>
      </c>
      <c r="AN15" s="211" t="s">
        <v>451</v>
      </c>
      <c r="AO15" s="210">
        <f t="shared" si="6"/>
        <v>2353</v>
      </c>
      <c r="AP15" s="209">
        <v>2330</v>
      </c>
      <c r="AQ15" s="209">
        <v>16</v>
      </c>
      <c r="AR15" s="209">
        <v>7</v>
      </c>
      <c r="AS15" s="209">
        <v>0</v>
      </c>
    </row>
    <row r="16" spans="1:45" ht="15.95" customHeight="1">
      <c r="A16" s="76" t="s">
        <v>243</v>
      </c>
      <c r="B16" s="371">
        <f t="shared" ref="B16" si="7">SUM(AI16+D16+C16)</f>
        <v>421996</v>
      </c>
      <c r="C16" s="344">
        <f t="shared" ref="C16" si="8">SUM(E16:G16,N16,R16,T16:V16)</f>
        <v>18811</v>
      </c>
      <c r="D16" s="372">
        <f t="shared" ref="D16" si="9">SUM(H16:M16,O16:Q16,S16,W16:AH16)</f>
        <v>110359</v>
      </c>
      <c r="E16" s="373">
        <v>855</v>
      </c>
      <c r="F16" s="373">
        <v>4920</v>
      </c>
      <c r="G16" s="258">
        <v>6786</v>
      </c>
      <c r="H16" s="328">
        <v>1171</v>
      </c>
      <c r="I16" s="328">
        <v>14432</v>
      </c>
      <c r="J16" s="328">
        <v>34592</v>
      </c>
      <c r="K16" s="329">
        <v>3396</v>
      </c>
      <c r="L16" s="328">
        <v>22001</v>
      </c>
      <c r="M16" s="205">
        <v>0</v>
      </c>
      <c r="N16" s="257">
        <v>1129</v>
      </c>
      <c r="O16" s="215">
        <v>172</v>
      </c>
      <c r="P16" s="215">
        <v>2751</v>
      </c>
      <c r="Q16" s="258">
        <v>865</v>
      </c>
      <c r="R16" s="344">
        <v>0</v>
      </c>
      <c r="S16" s="345">
        <v>0</v>
      </c>
      <c r="T16" s="306">
        <v>412</v>
      </c>
      <c r="U16" s="197">
        <v>4707</v>
      </c>
      <c r="V16" s="197">
        <v>2</v>
      </c>
      <c r="W16" s="197">
        <v>2670</v>
      </c>
      <c r="X16" s="197">
        <v>9926</v>
      </c>
      <c r="Y16" s="197">
        <v>13746</v>
      </c>
      <c r="Z16" s="300">
        <v>2204</v>
      </c>
      <c r="AA16" s="257">
        <v>0</v>
      </c>
      <c r="AB16" s="215">
        <v>1015</v>
      </c>
      <c r="AC16" s="215">
        <v>86</v>
      </c>
      <c r="AD16" s="215">
        <v>419</v>
      </c>
      <c r="AE16" s="215">
        <v>16</v>
      </c>
      <c r="AF16" s="215">
        <v>29</v>
      </c>
      <c r="AG16" s="215">
        <v>4</v>
      </c>
      <c r="AH16" s="215">
        <v>864</v>
      </c>
      <c r="AI16" s="344">
        <f t="shared" si="5"/>
        <v>292826</v>
      </c>
      <c r="AJ16" s="355">
        <v>281800</v>
      </c>
      <c r="AK16" s="328">
        <v>6806</v>
      </c>
      <c r="AL16" s="349">
        <v>4220</v>
      </c>
      <c r="AN16" s="211" t="s">
        <v>452</v>
      </c>
      <c r="AO16" s="210">
        <f t="shared" si="6"/>
        <v>3413</v>
      </c>
      <c r="AP16" s="211">
        <v>3382</v>
      </c>
      <c r="AQ16" s="211">
        <v>27</v>
      </c>
      <c r="AR16" s="211">
        <v>4</v>
      </c>
      <c r="AS16" s="211">
        <v>0</v>
      </c>
    </row>
    <row r="17" spans="1:45" ht="15.95" customHeight="1">
      <c r="A17" s="76" t="s">
        <v>517</v>
      </c>
      <c r="B17" s="371">
        <f t="shared" si="1"/>
        <v>256153</v>
      </c>
      <c r="C17" s="344">
        <f t="shared" si="3"/>
        <v>6241</v>
      </c>
      <c r="D17" s="372">
        <f t="shared" si="4"/>
        <v>49515</v>
      </c>
      <c r="E17" s="373">
        <v>73</v>
      </c>
      <c r="F17" s="373">
        <v>727</v>
      </c>
      <c r="G17" s="258">
        <v>4372</v>
      </c>
      <c r="H17" s="328">
        <v>236</v>
      </c>
      <c r="I17" s="328">
        <v>9685</v>
      </c>
      <c r="J17" s="328">
        <v>16274</v>
      </c>
      <c r="K17" s="329">
        <v>981</v>
      </c>
      <c r="L17" s="328">
        <v>7471</v>
      </c>
      <c r="M17" s="205">
        <v>0</v>
      </c>
      <c r="N17" s="257">
        <v>190</v>
      </c>
      <c r="O17" s="215">
        <v>88</v>
      </c>
      <c r="P17" s="215">
        <v>1061</v>
      </c>
      <c r="Q17" s="258">
        <v>281</v>
      </c>
      <c r="R17" s="344">
        <v>0</v>
      </c>
      <c r="S17" s="345">
        <v>1</v>
      </c>
      <c r="T17" s="306">
        <v>71</v>
      </c>
      <c r="U17" s="197">
        <v>808</v>
      </c>
      <c r="V17" s="197">
        <v>0</v>
      </c>
      <c r="W17" s="197">
        <v>3679</v>
      </c>
      <c r="X17" s="197">
        <v>2768</v>
      </c>
      <c r="Y17" s="197">
        <v>5747</v>
      </c>
      <c r="Z17" s="197">
        <v>343</v>
      </c>
      <c r="AA17" s="257">
        <v>0</v>
      </c>
      <c r="AB17" s="215">
        <v>275</v>
      </c>
      <c r="AC17" s="215">
        <v>19</v>
      </c>
      <c r="AD17" s="215">
        <v>182</v>
      </c>
      <c r="AE17" s="215">
        <v>3</v>
      </c>
      <c r="AF17" s="215">
        <v>0</v>
      </c>
      <c r="AG17" s="215">
        <v>0</v>
      </c>
      <c r="AH17" s="215">
        <v>421</v>
      </c>
      <c r="AI17" s="344">
        <f t="shared" si="5"/>
        <v>200397</v>
      </c>
      <c r="AJ17" s="355">
        <v>195986</v>
      </c>
      <c r="AK17" s="328">
        <v>3546</v>
      </c>
      <c r="AL17" s="349">
        <v>865</v>
      </c>
      <c r="AN17" s="211" t="s">
        <v>453</v>
      </c>
      <c r="AO17" s="210">
        <f t="shared" si="6"/>
        <v>2204</v>
      </c>
      <c r="AP17" s="211">
        <v>2194</v>
      </c>
      <c r="AQ17" s="211">
        <v>9</v>
      </c>
      <c r="AR17" s="211">
        <v>1</v>
      </c>
      <c r="AS17" s="211">
        <v>0</v>
      </c>
    </row>
    <row r="18" spans="1:45" ht="15.95" customHeight="1">
      <c r="A18" s="177" t="s">
        <v>262</v>
      </c>
      <c r="B18" s="368">
        <f t="shared" si="1"/>
        <v>1065785</v>
      </c>
      <c r="C18" s="342">
        <f>SUM(C15:C17)</f>
        <v>47873</v>
      </c>
      <c r="D18" s="369">
        <f t="shared" ref="D18" si="10">SUM(H18:M18,O18:Q18,S18,W18:AH18)</f>
        <v>293111</v>
      </c>
      <c r="E18" s="370">
        <v>2011</v>
      </c>
      <c r="F18" s="370">
        <v>10876</v>
      </c>
      <c r="G18" s="256">
        <v>17055</v>
      </c>
      <c r="H18" s="326">
        <v>3076</v>
      </c>
      <c r="I18" s="326">
        <v>36982</v>
      </c>
      <c r="J18" s="326">
        <v>85349</v>
      </c>
      <c r="K18" s="326">
        <v>6687</v>
      </c>
      <c r="L18" s="326">
        <v>53232</v>
      </c>
      <c r="M18" s="203">
        <v>12595</v>
      </c>
      <c r="N18" s="255">
        <v>2828</v>
      </c>
      <c r="O18" s="214">
        <v>475</v>
      </c>
      <c r="P18" s="214">
        <v>6681</v>
      </c>
      <c r="Q18" s="256">
        <v>2090</v>
      </c>
      <c r="R18" s="342">
        <v>1123</v>
      </c>
      <c r="S18" s="343">
        <v>635</v>
      </c>
      <c r="T18" s="307">
        <v>1115</v>
      </c>
      <c r="U18" s="196">
        <v>12860</v>
      </c>
      <c r="V18" s="196">
        <v>5</v>
      </c>
      <c r="W18" s="196">
        <v>10981</v>
      </c>
      <c r="X18" s="196">
        <v>23446</v>
      </c>
      <c r="Y18" s="196">
        <v>33294</v>
      </c>
      <c r="Z18" s="204">
        <v>5960</v>
      </c>
      <c r="AA18" s="255">
        <v>4245</v>
      </c>
      <c r="AB18" s="214">
        <v>1967</v>
      </c>
      <c r="AC18" s="214">
        <v>215</v>
      </c>
      <c r="AD18" s="214">
        <v>1199</v>
      </c>
      <c r="AE18" s="214">
        <v>66</v>
      </c>
      <c r="AF18" s="214">
        <v>92</v>
      </c>
      <c r="AG18" s="214">
        <v>9</v>
      </c>
      <c r="AH18" s="214">
        <v>3835</v>
      </c>
      <c r="AI18" s="342">
        <f t="shared" si="5"/>
        <v>724801</v>
      </c>
      <c r="AJ18" s="326">
        <v>695337</v>
      </c>
      <c r="AK18" s="326">
        <v>16794</v>
      </c>
      <c r="AL18" s="348">
        <v>12670</v>
      </c>
      <c r="AN18" s="211" t="s">
        <v>439</v>
      </c>
      <c r="AO18" s="210">
        <f t="shared" si="6"/>
        <v>343</v>
      </c>
      <c r="AP18" s="211">
        <v>334</v>
      </c>
      <c r="AQ18" s="211">
        <v>5</v>
      </c>
      <c r="AR18" s="211">
        <v>4</v>
      </c>
      <c r="AS18" s="211">
        <v>0</v>
      </c>
    </row>
    <row r="19" spans="1:45" ht="15.95" customHeight="1">
      <c r="A19" s="76" t="s">
        <v>312</v>
      </c>
      <c r="B19" s="371">
        <f t="shared" si="1"/>
        <v>878285</v>
      </c>
      <c r="C19" s="344">
        <f>SUM(E19:G19,N19,R19,T19:V19)</f>
        <v>49260</v>
      </c>
      <c r="D19" s="372">
        <f t="shared" si="4"/>
        <v>290671</v>
      </c>
      <c r="E19" s="373">
        <v>1585</v>
      </c>
      <c r="F19" s="373">
        <v>10717</v>
      </c>
      <c r="G19" s="258">
        <v>20379</v>
      </c>
      <c r="H19" s="328">
        <v>5166</v>
      </c>
      <c r="I19" s="328">
        <v>38935</v>
      </c>
      <c r="J19" s="328">
        <v>81376</v>
      </c>
      <c r="K19" s="329">
        <v>5582</v>
      </c>
      <c r="L19" s="328">
        <v>46189</v>
      </c>
      <c r="M19" s="205">
        <v>20016</v>
      </c>
      <c r="N19" s="257">
        <v>0</v>
      </c>
      <c r="O19" s="215">
        <v>0</v>
      </c>
      <c r="P19" s="215">
        <v>0</v>
      </c>
      <c r="Q19" s="258">
        <v>0</v>
      </c>
      <c r="R19" s="344">
        <v>1866</v>
      </c>
      <c r="S19" s="345">
        <v>592</v>
      </c>
      <c r="T19" s="306">
        <v>1412</v>
      </c>
      <c r="U19" s="197">
        <v>13292</v>
      </c>
      <c r="V19" s="197">
        <v>9</v>
      </c>
      <c r="W19" s="197">
        <v>14858</v>
      </c>
      <c r="X19" s="197">
        <v>26112</v>
      </c>
      <c r="Y19" s="197">
        <v>40690</v>
      </c>
      <c r="Z19" s="300">
        <v>6945</v>
      </c>
      <c r="AA19" s="257">
        <v>0</v>
      </c>
      <c r="AB19" s="214">
        <v>0</v>
      </c>
      <c r="AC19" s="215">
        <v>0</v>
      </c>
      <c r="AD19" s="215">
        <v>0</v>
      </c>
      <c r="AE19" s="215">
        <v>0</v>
      </c>
      <c r="AF19" s="215">
        <v>121</v>
      </c>
      <c r="AG19" s="215">
        <v>0</v>
      </c>
      <c r="AH19" s="215">
        <v>4089</v>
      </c>
      <c r="AI19" s="344">
        <f t="shared" si="5"/>
        <v>538354</v>
      </c>
      <c r="AJ19" s="355">
        <v>527035</v>
      </c>
      <c r="AK19" s="352">
        <v>0</v>
      </c>
      <c r="AL19" s="349">
        <v>11319</v>
      </c>
      <c r="AN19" s="209" t="s">
        <v>454</v>
      </c>
      <c r="AO19" s="210">
        <f t="shared" si="6"/>
        <v>5960</v>
      </c>
      <c r="AP19" s="209">
        <v>5910</v>
      </c>
      <c r="AQ19" s="209">
        <v>41</v>
      </c>
      <c r="AR19" s="209">
        <v>9</v>
      </c>
      <c r="AS19" s="209">
        <v>0</v>
      </c>
    </row>
    <row r="20" spans="1:45" ht="15.95" customHeight="1">
      <c r="A20" s="76" t="s">
        <v>409</v>
      </c>
      <c r="B20" s="371">
        <f t="shared" si="1"/>
        <v>36246</v>
      </c>
      <c r="C20" s="344">
        <f>SUM(E20:G20,N20,R20,T20:V20)</f>
        <v>2649</v>
      </c>
      <c r="D20" s="372">
        <f t="shared" si="4"/>
        <v>18010</v>
      </c>
      <c r="E20" s="373"/>
      <c r="F20" s="373"/>
      <c r="G20" s="258">
        <v>0</v>
      </c>
      <c r="H20" s="326">
        <v>0</v>
      </c>
      <c r="I20" s="326">
        <v>0</v>
      </c>
      <c r="J20" s="326">
        <v>0</v>
      </c>
      <c r="K20" s="326">
        <v>0</v>
      </c>
      <c r="L20" s="326">
        <v>0</v>
      </c>
      <c r="M20" s="196">
        <v>0</v>
      </c>
      <c r="N20" s="257">
        <v>2649</v>
      </c>
      <c r="O20" s="215">
        <v>957</v>
      </c>
      <c r="P20" s="215">
        <v>5586</v>
      </c>
      <c r="Q20" s="258">
        <v>1566</v>
      </c>
      <c r="R20" s="344">
        <v>0</v>
      </c>
      <c r="S20" s="345">
        <v>0</v>
      </c>
      <c r="T20" s="306">
        <v>0</v>
      </c>
      <c r="U20" s="197">
        <v>0</v>
      </c>
      <c r="V20" s="197">
        <v>0</v>
      </c>
      <c r="W20" s="197">
        <v>0</v>
      </c>
      <c r="X20" s="197">
        <v>0</v>
      </c>
      <c r="Y20" s="197">
        <v>0</v>
      </c>
      <c r="Z20" s="300">
        <v>0</v>
      </c>
      <c r="AA20" s="257">
        <v>4350</v>
      </c>
      <c r="AB20" s="215">
        <v>3696</v>
      </c>
      <c r="AC20" s="215">
        <v>171</v>
      </c>
      <c r="AD20" s="215">
        <v>1489</v>
      </c>
      <c r="AE20" s="215">
        <v>119</v>
      </c>
      <c r="AF20" s="215">
        <v>0</v>
      </c>
      <c r="AG20" s="215">
        <v>5</v>
      </c>
      <c r="AH20" s="215">
        <v>71</v>
      </c>
      <c r="AI20" s="344">
        <f t="shared" si="5"/>
        <v>15587</v>
      </c>
      <c r="AJ20" s="355">
        <v>0</v>
      </c>
      <c r="AK20" s="328">
        <v>15587</v>
      </c>
      <c r="AL20" s="349">
        <v>0</v>
      </c>
      <c r="AN20" s="211" t="s">
        <v>455</v>
      </c>
      <c r="AO20" s="210">
        <f t="shared" si="6"/>
        <v>6945</v>
      </c>
      <c r="AP20" s="211">
        <v>6868</v>
      </c>
      <c r="AQ20" s="211">
        <v>40</v>
      </c>
      <c r="AR20" s="211">
        <v>37</v>
      </c>
      <c r="AS20" s="211">
        <v>0</v>
      </c>
    </row>
    <row r="21" spans="1:45" ht="15.95" customHeight="1">
      <c r="A21" s="76" t="s">
        <v>311</v>
      </c>
      <c r="B21" s="371">
        <f t="shared" si="1"/>
        <v>369110</v>
      </c>
      <c r="C21" s="344">
        <f>SUM(E21:G21,N21,R21,T21:V21)</f>
        <v>19666</v>
      </c>
      <c r="D21" s="372">
        <f t="shared" si="4"/>
        <v>97545</v>
      </c>
      <c r="E21" s="373">
        <v>492</v>
      </c>
      <c r="F21" s="373">
        <v>4422</v>
      </c>
      <c r="G21" s="258">
        <v>7534</v>
      </c>
      <c r="H21" s="328">
        <v>312</v>
      </c>
      <c r="I21" s="328">
        <v>12552</v>
      </c>
      <c r="J21" s="328">
        <v>29339</v>
      </c>
      <c r="K21" s="329">
        <v>1984</v>
      </c>
      <c r="L21" s="328">
        <v>17087</v>
      </c>
      <c r="M21" s="205">
        <v>0</v>
      </c>
      <c r="N21" s="257">
        <v>1053</v>
      </c>
      <c r="O21" s="215">
        <v>166</v>
      </c>
      <c r="P21" s="215">
        <v>2223</v>
      </c>
      <c r="Q21" s="258">
        <v>733</v>
      </c>
      <c r="R21" s="344">
        <v>0</v>
      </c>
      <c r="S21" s="345">
        <v>0</v>
      </c>
      <c r="T21" s="306">
        <v>380</v>
      </c>
      <c r="U21" s="197">
        <v>5782</v>
      </c>
      <c r="V21" s="197">
        <v>3</v>
      </c>
      <c r="W21" s="197">
        <v>3967</v>
      </c>
      <c r="X21" s="197">
        <v>10876</v>
      </c>
      <c r="Y21" s="197">
        <v>12516</v>
      </c>
      <c r="Z21" s="300">
        <v>2049</v>
      </c>
      <c r="AA21" s="257">
        <v>0</v>
      </c>
      <c r="AB21" s="215">
        <v>1430</v>
      </c>
      <c r="AC21" s="215">
        <v>124</v>
      </c>
      <c r="AD21" s="215">
        <v>871</v>
      </c>
      <c r="AE21" s="215">
        <v>43</v>
      </c>
      <c r="AF21" s="215">
        <v>28</v>
      </c>
      <c r="AG21" s="215">
        <v>4</v>
      </c>
      <c r="AH21" s="215">
        <v>1241</v>
      </c>
      <c r="AI21" s="344">
        <f t="shared" si="5"/>
        <v>251899</v>
      </c>
      <c r="AJ21" s="355">
        <v>242988</v>
      </c>
      <c r="AK21" s="328">
        <v>6246</v>
      </c>
      <c r="AL21" s="349">
        <v>2665</v>
      </c>
      <c r="AN21" s="211" t="s">
        <v>456</v>
      </c>
      <c r="AO21" s="210">
        <f t="shared" si="6"/>
        <v>2049</v>
      </c>
      <c r="AP21" s="211">
        <v>2029</v>
      </c>
      <c r="AQ21" s="211">
        <v>15</v>
      </c>
      <c r="AR21" s="211">
        <v>4</v>
      </c>
      <c r="AS21" s="211">
        <v>1</v>
      </c>
    </row>
    <row r="22" spans="1:45" ht="15.95" customHeight="1">
      <c r="A22" s="177" t="s">
        <v>262</v>
      </c>
      <c r="B22" s="368">
        <f t="shared" si="1"/>
        <v>1283641</v>
      </c>
      <c r="C22" s="342">
        <f>SUM(C19:C21)</f>
        <v>71575</v>
      </c>
      <c r="D22" s="369">
        <f t="shared" si="4"/>
        <v>406226</v>
      </c>
      <c r="E22" s="370">
        <v>2077</v>
      </c>
      <c r="F22" s="370">
        <v>15139</v>
      </c>
      <c r="G22" s="256">
        <v>27913</v>
      </c>
      <c r="H22" s="326">
        <v>5478</v>
      </c>
      <c r="I22" s="326">
        <v>51487</v>
      </c>
      <c r="J22" s="326">
        <v>110715</v>
      </c>
      <c r="K22" s="326">
        <v>7566</v>
      </c>
      <c r="L22" s="326">
        <v>63276</v>
      </c>
      <c r="M22" s="203">
        <v>20016</v>
      </c>
      <c r="N22" s="255">
        <v>3702</v>
      </c>
      <c r="O22" s="214">
        <v>1123</v>
      </c>
      <c r="P22" s="214">
        <v>7809</v>
      </c>
      <c r="Q22" s="256">
        <v>2299</v>
      </c>
      <c r="R22" s="342">
        <v>1866</v>
      </c>
      <c r="S22" s="343">
        <v>592</v>
      </c>
      <c r="T22" s="307">
        <v>1792</v>
      </c>
      <c r="U22" s="196">
        <v>19074</v>
      </c>
      <c r="V22" s="196">
        <v>12</v>
      </c>
      <c r="W22" s="196">
        <v>18825</v>
      </c>
      <c r="X22" s="196">
        <v>36988</v>
      </c>
      <c r="Y22" s="196">
        <v>53206</v>
      </c>
      <c r="Z22" s="204">
        <v>8994</v>
      </c>
      <c r="AA22" s="255">
        <v>4350</v>
      </c>
      <c r="AB22" s="214">
        <v>5126</v>
      </c>
      <c r="AC22" s="214">
        <v>295</v>
      </c>
      <c r="AD22" s="214">
        <v>2360</v>
      </c>
      <c r="AE22" s="214">
        <v>162</v>
      </c>
      <c r="AF22" s="214">
        <v>149</v>
      </c>
      <c r="AG22" s="214">
        <v>9</v>
      </c>
      <c r="AH22" s="214">
        <v>5401</v>
      </c>
      <c r="AI22" s="342">
        <f t="shared" si="5"/>
        <v>805840</v>
      </c>
      <c r="AJ22" s="326">
        <v>770023</v>
      </c>
      <c r="AK22" s="326">
        <v>21833</v>
      </c>
      <c r="AL22" s="348">
        <v>13984</v>
      </c>
      <c r="AN22" s="209" t="s">
        <v>454</v>
      </c>
      <c r="AO22" s="210">
        <f t="shared" si="6"/>
        <v>8994</v>
      </c>
      <c r="AP22" s="209">
        <v>8897</v>
      </c>
      <c r="AQ22" s="209">
        <v>55</v>
      </c>
      <c r="AR22" s="209">
        <v>41</v>
      </c>
      <c r="AS22" s="209">
        <v>1</v>
      </c>
    </row>
    <row r="23" spans="1:45" ht="15.95" customHeight="1">
      <c r="A23" s="76" t="s">
        <v>310</v>
      </c>
      <c r="B23" s="371">
        <f t="shared" si="1"/>
        <v>1121004</v>
      </c>
      <c r="C23" s="344">
        <f t="shared" ref="C23:C29" si="11">SUM(E23:G23,N23,R23,T23:V23)</f>
        <v>44681</v>
      </c>
      <c r="D23" s="372">
        <f t="shared" si="4"/>
        <v>254895</v>
      </c>
      <c r="E23" s="373">
        <v>2075</v>
      </c>
      <c r="F23" s="373">
        <v>9435</v>
      </c>
      <c r="G23" s="258">
        <v>18546</v>
      </c>
      <c r="H23" s="328">
        <v>5111</v>
      </c>
      <c r="I23" s="328">
        <v>35543</v>
      </c>
      <c r="J23" s="328">
        <v>64719</v>
      </c>
      <c r="K23" s="329">
        <v>6457</v>
      </c>
      <c r="L23" s="328">
        <v>41557</v>
      </c>
      <c r="M23" s="205">
        <v>27677</v>
      </c>
      <c r="N23" s="257">
        <v>0</v>
      </c>
      <c r="O23" s="215">
        <v>0</v>
      </c>
      <c r="P23" s="215">
        <v>0</v>
      </c>
      <c r="Q23" s="258">
        <v>0</v>
      </c>
      <c r="R23" s="344">
        <v>3229</v>
      </c>
      <c r="S23" s="345">
        <v>1305</v>
      </c>
      <c r="T23" s="306">
        <v>1113</v>
      </c>
      <c r="U23" s="197">
        <v>10275</v>
      </c>
      <c r="V23" s="197">
        <v>8</v>
      </c>
      <c r="W23" s="197">
        <v>5705</v>
      </c>
      <c r="X23" s="197">
        <v>24553</v>
      </c>
      <c r="Y23" s="197">
        <v>33203</v>
      </c>
      <c r="Z23" s="300">
        <v>5498</v>
      </c>
      <c r="AA23" s="257">
        <v>0</v>
      </c>
      <c r="AB23" s="215">
        <v>0</v>
      </c>
      <c r="AC23" s="215">
        <v>0</v>
      </c>
      <c r="AD23" s="215">
        <v>0</v>
      </c>
      <c r="AE23" s="215">
        <v>0</v>
      </c>
      <c r="AF23" s="215">
        <v>117</v>
      </c>
      <c r="AG23" s="215">
        <v>0</v>
      </c>
      <c r="AH23" s="215">
        <v>3450</v>
      </c>
      <c r="AI23" s="344">
        <f t="shared" si="5"/>
        <v>821428</v>
      </c>
      <c r="AJ23" s="356">
        <v>810278</v>
      </c>
      <c r="AK23" s="352">
        <v>0</v>
      </c>
      <c r="AL23" s="349">
        <v>11150</v>
      </c>
      <c r="AN23" s="211" t="s">
        <v>457</v>
      </c>
      <c r="AO23" s="210">
        <f t="shared" si="6"/>
        <v>5498</v>
      </c>
      <c r="AP23" s="211">
        <v>5460</v>
      </c>
      <c r="AQ23" s="211">
        <v>23</v>
      </c>
      <c r="AR23" s="211">
        <v>14</v>
      </c>
      <c r="AS23" s="211">
        <v>1</v>
      </c>
    </row>
    <row r="24" spans="1:45" ht="15.95" customHeight="1">
      <c r="A24" s="171" t="s">
        <v>410</v>
      </c>
      <c r="B24" s="371">
        <f t="shared" ref="B24" si="12">SUM(AI24+D24+C24)</f>
        <v>39209</v>
      </c>
      <c r="C24" s="344">
        <f t="shared" si="11"/>
        <v>2582</v>
      </c>
      <c r="D24" s="372">
        <f t="shared" ref="D24" si="13">SUM(H24:M24,O24:Q24,S24,W24:AH24)</f>
        <v>22550</v>
      </c>
      <c r="E24" s="373"/>
      <c r="F24" s="373"/>
      <c r="G24" s="258">
        <v>0</v>
      </c>
      <c r="H24" s="328">
        <v>0</v>
      </c>
      <c r="I24" s="328">
        <v>0</v>
      </c>
      <c r="J24" s="328">
        <v>0</v>
      </c>
      <c r="K24" s="329">
        <v>0</v>
      </c>
      <c r="L24" s="328">
        <v>0</v>
      </c>
      <c r="M24" s="205">
        <v>0</v>
      </c>
      <c r="N24" s="257">
        <v>2582</v>
      </c>
      <c r="O24" s="215">
        <v>501</v>
      </c>
      <c r="P24" s="215">
        <v>4569</v>
      </c>
      <c r="Q24" s="258">
        <v>1785</v>
      </c>
      <c r="R24" s="344">
        <v>0</v>
      </c>
      <c r="S24" s="345">
        <v>0</v>
      </c>
      <c r="T24" s="306">
        <v>0</v>
      </c>
      <c r="U24" s="197">
        <v>0</v>
      </c>
      <c r="V24" s="197">
        <v>0</v>
      </c>
      <c r="W24" s="197">
        <v>0</v>
      </c>
      <c r="X24" s="197">
        <v>0</v>
      </c>
      <c r="Y24" s="197">
        <v>0</v>
      </c>
      <c r="Z24" s="300">
        <v>0</v>
      </c>
      <c r="AA24" s="257">
        <v>10368</v>
      </c>
      <c r="AB24" s="215">
        <v>3518</v>
      </c>
      <c r="AC24" s="215">
        <v>203</v>
      </c>
      <c r="AD24" s="215">
        <v>1455</v>
      </c>
      <c r="AE24" s="215">
        <v>64</v>
      </c>
      <c r="AF24" s="215">
        <v>0</v>
      </c>
      <c r="AG24" s="215">
        <v>16</v>
      </c>
      <c r="AH24" s="215">
        <v>71</v>
      </c>
      <c r="AI24" s="344">
        <f t="shared" si="5"/>
        <v>14077</v>
      </c>
      <c r="AJ24" s="356">
        <v>0</v>
      </c>
      <c r="AK24" s="328">
        <v>14077</v>
      </c>
      <c r="AL24" s="349">
        <v>0</v>
      </c>
      <c r="AN24" s="211" t="s">
        <v>458</v>
      </c>
      <c r="AO24" s="210">
        <f t="shared" si="6"/>
        <v>1540</v>
      </c>
      <c r="AP24" s="211">
        <v>1532</v>
      </c>
      <c r="AQ24" s="211">
        <v>8</v>
      </c>
      <c r="AR24" s="211">
        <v>0</v>
      </c>
      <c r="AS24" s="211">
        <v>0</v>
      </c>
    </row>
    <row r="25" spans="1:45" ht="15.95" customHeight="1">
      <c r="A25" s="76" t="s">
        <v>309</v>
      </c>
      <c r="B25" s="371">
        <f t="shared" ref="B25:B56" si="14">SUM(AI25+D25+C25)</f>
        <v>435470</v>
      </c>
      <c r="C25" s="344">
        <f t="shared" si="11"/>
        <v>23480</v>
      </c>
      <c r="D25" s="372">
        <f t="shared" ref="D25:D67" si="15">SUM(H25:M25,O25:Q25,S25,W25:AH25)</f>
        <v>109616</v>
      </c>
      <c r="E25" s="373">
        <v>1237</v>
      </c>
      <c r="F25" s="373">
        <v>6197</v>
      </c>
      <c r="G25" s="258">
        <v>9683</v>
      </c>
      <c r="H25" s="328">
        <v>939</v>
      </c>
      <c r="I25" s="328">
        <v>16124</v>
      </c>
      <c r="J25" s="328">
        <v>31540</v>
      </c>
      <c r="K25" s="329">
        <v>4063</v>
      </c>
      <c r="L25" s="328">
        <v>19958</v>
      </c>
      <c r="M25" s="205">
        <v>0</v>
      </c>
      <c r="N25" s="257">
        <v>1275</v>
      </c>
      <c r="O25" s="215">
        <v>268</v>
      </c>
      <c r="P25" s="215">
        <v>2420</v>
      </c>
      <c r="Q25" s="258">
        <v>819</v>
      </c>
      <c r="R25" s="344">
        <v>0</v>
      </c>
      <c r="S25" s="345">
        <v>0</v>
      </c>
      <c r="T25" s="306">
        <v>466</v>
      </c>
      <c r="U25" s="197">
        <v>4621</v>
      </c>
      <c r="V25" s="197">
        <v>1</v>
      </c>
      <c r="W25" s="197">
        <v>4084</v>
      </c>
      <c r="X25" s="197">
        <v>11299</v>
      </c>
      <c r="Y25" s="197">
        <v>13063</v>
      </c>
      <c r="Z25" s="300">
        <v>1540</v>
      </c>
      <c r="AA25" s="257">
        <v>0</v>
      </c>
      <c r="AB25" s="215">
        <v>1523</v>
      </c>
      <c r="AC25" s="215">
        <v>64</v>
      </c>
      <c r="AD25" s="215">
        <v>577</v>
      </c>
      <c r="AE25" s="215">
        <v>28</v>
      </c>
      <c r="AF25" s="215">
        <v>8</v>
      </c>
      <c r="AG25" s="215">
        <v>3</v>
      </c>
      <c r="AH25" s="215">
        <v>1296</v>
      </c>
      <c r="AI25" s="344">
        <f t="shared" si="5"/>
        <v>302374</v>
      </c>
      <c r="AJ25" s="356">
        <v>291281</v>
      </c>
      <c r="AK25" s="328">
        <v>6845</v>
      </c>
      <c r="AL25" s="349">
        <v>4248</v>
      </c>
      <c r="AN25" s="211" t="s">
        <v>459</v>
      </c>
      <c r="AO25" s="210">
        <f t="shared" si="6"/>
        <v>644</v>
      </c>
      <c r="AP25" s="211">
        <v>637</v>
      </c>
      <c r="AQ25" s="211">
        <v>7</v>
      </c>
      <c r="AR25" s="211">
        <v>0</v>
      </c>
      <c r="AS25" s="211">
        <v>0</v>
      </c>
    </row>
    <row r="26" spans="1:45" ht="15.95" customHeight="1">
      <c r="A26" s="76" t="s">
        <v>308</v>
      </c>
      <c r="B26" s="371">
        <f t="shared" si="14"/>
        <v>91869</v>
      </c>
      <c r="C26" s="344">
        <f t="shared" si="11"/>
        <v>6676</v>
      </c>
      <c r="D26" s="372">
        <f t="shared" si="15"/>
        <v>36598</v>
      </c>
      <c r="E26" s="373">
        <v>268</v>
      </c>
      <c r="F26" s="373">
        <v>1886</v>
      </c>
      <c r="G26" s="258">
        <v>2375</v>
      </c>
      <c r="H26" s="328">
        <v>97</v>
      </c>
      <c r="I26" s="328">
        <v>4543</v>
      </c>
      <c r="J26" s="328">
        <v>11951</v>
      </c>
      <c r="K26" s="329">
        <v>728</v>
      </c>
      <c r="L26" s="328">
        <v>7262</v>
      </c>
      <c r="M26" s="205">
        <v>0</v>
      </c>
      <c r="N26" s="257">
        <v>346</v>
      </c>
      <c r="O26" s="215">
        <v>56</v>
      </c>
      <c r="P26" s="215">
        <v>928</v>
      </c>
      <c r="Q26" s="258">
        <v>236</v>
      </c>
      <c r="R26" s="344">
        <v>0</v>
      </c>
      <c r="S26" s="345">
        <v>0</v>
      </c>
      <c r="T26" s="306">
        <v>174</v>
      </c>
      <c r="U26" s="197">
        <v>1625</v>
      </c>
      <c r="V26" s="197">
        <v>2</v>
      </c>
      <c r="W26" s="197">
        <v>726</v>
      </c>
      <c r="X26" s="197">
        <v>4559</v>
      </c>
      <c r="Y26" s="197">
        <v>3814</v>
      </c>
      <c r="Z26" s="300">
        <v>644</v>
      </c>
      <c r="AA26" s="257">
        <v>0</v>
      </c>
      <c r="AB26" s="215">
        <v>458</v>
      </c>
      <c r="AC26" s="215">
        <v>32</v>
      </c>
      <c r="AD26" s="215">
        <v>156</v>
      </c>
      <c r="AE26" s="215">
        <v>15</v>
      </c>
      <c r="AF26" s="215">
        <v>2</v>
      </c>
      <c r="AG26" s="215">
        <v>2</v>
      </c>
      <c r="AH26" s="215">
        <v>389</v>
      </c>
      <c r="AI26" s="344">
        <f t="shared" si="5"/>
        <v>48595</v>
      </c>
      <c r="AJ26" s="356">
        <v>44462</v>
      </c>
      <c r="AK26" s="328">
        <v>2358</v>
      </c>
      <c r="AL26" s="349">
        <v>1775</v>
      </c>
      <c r="AN26" s="211" t="s">
        <v>460</v>
      </c>
      <c r="AO26" s="210">
        <f t="shared" si="6"/>
        <v>1523</v>
      </c>
      <c r="AP26" s="211">
        <v>1508</v>
      </c>
      <c r="AQ26" s="211">
        <v>10</v>
      </c>
      <c r="AR26" s="211">
        <v>5</v>
      </c>
      <c r="AS26" s="211">
        <v>0</v>
      </c>
    </row>
    <row r="27" spans="1:45" ht="15.95" customHeight="1">
      <c r="A27" s="76" t="s">
        <v>307</v>
      </c>
      <c r="B27" s="371">
        <f t="shared" si="14"/>
        <v>179836</v>
      </c>
      <c r="C27" s="344">
        <f t="shared" si="11"/>
        <v>12820</v>
      </c>
      <c r="D27" s="372">
        <f t="shared" si="15"/>
        <v>73870</v>
      </c>
      <c r="E27" s="373">
        <v>448</v>
      </c>
      <c r="F27" s="373">
        <v>2806</v>
      </c>
      <c r="G27" s="258">
        <v>4284</v>
      </c>
      <c r="H27" s="328">
        <v>119</v>
      </c>
      <c r="I27" s="328">
        <v>9149</v>
      </c>
      <c r="J27" s="328">
        <v>23807</v>
      </c>
      <c r="K27" s="329">
        <v>828</v>
      </c>
      <c r="L27" s="328">
        <v>13549</v>
      </c>
      <c r="M27" s="205">
        <v>0</v>
      </c>
      <c r="N27" s="257">
        <v>694</v>
      </c>
      <c r="O27" s="215">
        <v>101</v>
      </c>
      <c r="P27" s="215">
        <v>1301</v>
      </c>
      <c r="Q27" s="258">
        <v>447</v>
      </c>
      <c r="R27" s="344">
        <v>0</v>
      </c>
      <c r="S27" s="345">
        <v>0</v>
      </c>
      <c r="T27" s="306">
        <v>285</v>
      </c>
      <c r="U27" s="197">
        <v>4302</v>
      </c>
      <c r="V27" s="197">
        <v>1</v>
      </c>
      <c r="W27" s="197">
        <v>1790</v>
      </c>
      <c r="X27" s="197">
        <v>10047</v>
      </c>
      <c r="Y27" s="197">
        <v>8449</v>
      </c>
      <c r="Z27" s="300">
        <v>1523</v>
      </c>
      <c r="AA27" s="257">
        <v>0</v>
      </c>
      <c r="AB27" s="215">
        <v>1006</v>
      </c>
      <c r="AC27" s="215">
        <v>41</v>
      </c>
      <c r="AD27" s="215">
        <v>316</v>
      </c>
      <c r="AE27" s="215">
        <v>9</v>
      </c>
      <c r="AF27" s="215">
        <v>9</v>
      </c>
      <c r="AG27" s="215">
        <v>6</v>
      </c>
      <c r="AH27" s="215">
        <v>1373</v>
      </c>
      <c r="AI27" s="344">
        <f t="shared" si="5"/>
        <v>93146</v>
      </c>
      <c r="AJ27" s="356">
        <v>85966</v>
      </c>
      <c r="AK27" s="328">
        <v>4256</v>
      </c>
      <c r="AL27" s="349">
        <v>2924</v>
      </c>
      <c r="AN27" s="211" t="s">
        <v>461</v>
      </c>
      <c r="AO27" s="210">
        <f t="shared" si="6"/>
        <v>2537</v>
      </c>
      <c r="AP27" s="211">
        <v>2500</v>
      </c>
      <c r="AQ27" s="211">
        <v>31</v>
      </c>
      <c r="AR27" s="211">
        <v>6</v>
      </c>
      <c r="AS27" s="211">
        <v>0</v>
      </c>
    </row>
    <row r="28" spans="1:45" ht="15.95" customHeight="1">
      <c r="A28" s="76" t="s">
        <v>306</v>
      </c>
      <c r="B28" s="371">
        <f t="shared" si="14"/>
        <v>402012</v>
      </c>
      <c r="C28" s="344">
        <f t="shared" si="11"/>
        <v>23039</v>
      </c>
      <c r="D28" s="372">
        <f t="shared" si="15"/>
        <v>126591</v>
      </c>
      <c r="E28" s="373">
        <v>691</v>
      </c>
      <c r="F28" s="373">
        <v>4727</v>
      </c>
      <c r="G28" s="258">
        <v>8698</v>
      </c>
      <c r="H28" s="328">
        <v>490</v>
      </c>
      <c r="I28" s="328">
        <v>15975</v>
      </c>
      <c r="J28" s="328">
        <v>38421</v>
      </c>
      <c r="K28" s="329">
        <v>2613</v>
      </c>
      <c r="L28" s="328">
        <v>21821</v>
      </c>
      <c r="M28" s="205">
        <v>0</v>
      </c>
      <c r="N28" s="257">
        <v>1298</v>
      </c>
      <c r="O28" s="215">
        <v>181</v>
      </c>
      <c r="P28" s="215">
        <v>2339</v>
      </c>
      <c r="Q28" s="258">
        <v>730</v>
      </c>
      <c r="R28" s="344">
        <v>0</v>
      </c>
      <c r="S28" s="345">
        <v>0</v>
      </c>
      <c r="T28" s="306">
        <v>711</v>
      </c>
      <c r="U28" s="197">
        <v>6912</v>
      </c>
      <c r="V28" s="197">
        <v>2</v>
      </c>
      <c r="W28" s="197">
        <v>6027</v>
      </c>
      <c r="X28" s="197">
        <v>15633</v>
      </c>
      <c r="Y28" s="197">
        <v>13887</v>
      </c>
      <c r="Z28" s="300">
        <v>2537</v>
      </c>
      <c r="AA28" s="257">
        <v>0</v>
      </c>
      <c r="AB28" s="215">
        <v>2915</v>
      </c>
      <c r="AC28" s="215">
        <v>188</v>
      </c>
      <c r="AD28" s="215">
        <v>1004</v>
      </c>
      <c r="AE28" s="215">
        <v>104</v>
      </c>
      <c r="AF28" s="215">
        <v>29</v>
      </c>
      <c r="AG28" s="215">
        <v>5</v>
      </c>
      <c r="AH28" s="215">
        <v>1692</v>
      </c>
      <c r="AI28" s="344">
        <f t="shared" si="5"/>
        <v>252382</v>
      </c>
      <c r="AJ28" s="356">
        <v>240192</v>
      </c>
      <c r="AK28" s="328">
        <v>7448</v>
      </c>
      <c r="AL28" s="349">
        <v>4742</v>
      </c>
      <c r="AN28" s="211" t="s">
        <v>462</v>
      </c>
      <c r="AO28" s="210">
        <f t="shared" si="6"/>
        <v>1154</v>
      </c>
      <c r="AP28" s="211">
        <v>1142</v>
      </c>
      <c r="AQ28" s="211">
        <v>8</v>
      </c>
      <c r="AR28" s="211">
        <v>4</v>
      </c>
      <c r="AS28" s="211">
        <v>0</v>
      </c>
    </row>
    <row r="29" spans="1:45" ht="15.95" customHeight="1">
      <c r="A29" s="76" t="s">
        <v>305</v>
      </c>
      <c r="B29" s="371">
        <f t="shared" si="14"/>
        <v>225849</v>
      </c>
      <c r="C29" s="344">
        <f t="shared" si="11"/>
        <v>12997</v>
      </c>
      <c r="D29" s="372">
        <f t="shared" si="15"/>
        <v>58148</v>
      </c>
      <c r="E29" s="373">
        <v>636</v>
      </c>
      <c r="F29" s="373">
        <v>3164</v>
      </c>
      <c r="G29" s="258">
        <v>5369</v>
      </c>
      <c r="H29" s="328">
        <v>172</v>
      </c>
      <c r="I29" s="328">
        <v>8785</v>
      </c>
      <c r="J29" s="328">
        <v>16798</v>
      </c>
      <c r="K29" s="329">
        <v>856</v>
      </c>
      <c r="L29" s="328">
        <v>10791</v>
      </c>
      <c r="M29" s="205">
        <v>0</v>
      </c>
      <c r="N29" s="257">
        <v>741</v>
      </c>
      <c r="O29" s="215">
        <v>122</v>
      </c>
      <c r="P29" s="215">
        <v>1461</v>
      </c>
      <c r="Q29" s="258">
        <v>410</v>
      </c>
      <c r="R29" s="344">
        <v>0</v>
      </c>
      <c r="S29" s="345">
        <v>1</v>
      </c>
      <c r="T29" s="306">
        <v>314</v>
      </c>
      <c r="U29" s="197">
        <v>2773</v>
      </c>
      <c r="V29" s="197">
        <v>0</v>
      </c>
      <c r="W29" s="197">
        <v>1877</v>
      </c>
      <c r="X29" s="197">
        <v>5516</v>
      </c>
      <c r="Y29" s="197">
        <v>7795</v>
      </c>
      <c r="Z29" s="300">
        <v>1154</v>
      </c>
      <c r="AA29" s="257">
        <v>0</v>
      </c>
      <c r="AB29" s="215">
        <v>1049</v>
      </c>
      <c r="AC29" s="215">
        <v>25</v>
      </c>
      <c r="AD29" s="215">
        <v>352</v>
      </c>
      <c r="AE29" s="215">
        <v>16</v>
      </c>
      <c r="AF29" s="215">
        <v>31</v>
      </c>
      <c r="AG29" s="215">
        <v>4</v>
      </c>
      <c r="AH29" s="215">
        <v>933</v>
      </c>
      <c r="AI29" s="344">
        <f t="shared" si="5"/>
        <v>154704</v>
      </c>
      <c r="AJ29" s="356">
        <v>149091</v>
      </c>
      <c r="AK29" s="328">
        <v>3804</v>
      </c>
      <c r="AL29" s="349">
        <v>1809</v>
      </c>
      <c r="AN29" s="209" t="s">
        <v>454</v>
      </c>
      <c r="AO29" s="210">
        <f t="shared" si="6"/>
        <v>12896</v>
      </c>
      <c r="AP29" s="209">
        <v>12779</v>
      </c>
      <c r="AQ29" s="209">
        <v>87</v>
      </c>
      <c r="AR29" s="209">
        <v>29</v>
      </c>
      <c r="AS29" s="209">
        <v>1</v>
      </c>
    </row>
    <row r="30" spans="1:45" ht="15.95" customHeight="1">
      <c r="A30" s="177" t="s">
        <v>262</v>
      </c>
      <c r="B30" s="368">
        <f t="shared" si="14"/>
        <v>2495249</v>
      </c>
      <c r="C30" s="342">
        <f>SUM(C23:C29)</f>
        <v>126275</v>
      </c>
      <c r="D30" s="369">
        <f t="shared" si="15"/>
        <v>682268</v>
      </c>
      <c r="E30" s="370">
        <v>5355</v>
      </c>
      <c r="F30" s="370">
        <v>28215</v>
      </c>
      <c r="G30" s="256">
        <v>48955</v>
      </c>
      <c r="H30" s="326">
        <v>6928</v>
      </c>
      <c r="I30" s="326">
        <v>90119</v>
      </c>
      <c r="J30" s="326">
        <v>187236</v>
      </c>
      <c r="K30" s="326">
        <v>15545</v>
      </c>
      <c r="L30" s="326">
        <v>114938</v>
      </c>
      <c r="M30" s="203">
        <v>27677</v>
      </c>
      <c r="N30" s="255">
        <v>6936</v>
      </c>
      <c r="O30" s="214">
        <v>1229</v>
      </c>
      <c r="P30" s="214">
        <v>13018</v>
      </c>
      <c r="Q30" s="256">
        <v>4427</v>
      </c>
      <c r="R30" s="342">
        <v>3229</v>
      </c>
      <c r="S30" s="343">
        <v>1306</v>
      </c>
      <c r="T30" s="307">
        <v>3063</v>
      </c>
      <c r="U30" s="196">
        <v>30508</v>
      </c>
      <c r="V30" s="196">
        <v>14</v>
      </c>
      <c r="W30" s="196">
        <v>20209</v>
      </c>
      <c r="X30" s="196">
        <v>71607</v>
      </c>
      <c r="Y30" s="196">
        <v>80211</v>
      </c>
      <c r="Z30" s="204">
        <v>12896</v>
      </c>
      <c r="AA30" s="255">
        <v>10368</v>
      </c>
      <c r="AB30" s="214">
        <v>10469</v>
      </c>
      <c r="AC30" s="214">
        <v>553</v>
      </c>
      <c r="AD30" s="214">
        <v>3860</v>
      </c>
      <c r="AE30" s="214">
        <v>236</v>
      </c>
      <c r="AF30" s="214">
        <v>196</v>
      </c>
      <c r="AG30" s="214">
        <v>36</v>
      </c>
      <c r="AH30" s="214">
        <v>9204</v>
      </c>
      <c r="AI30" s="342">
        <f t="shared" si="5"/>
        <v>1686706</v>
      </c>
      <c r="AJ30" s="326">
        <v>1621270</v>
      </c>
      <c r="AK30" s="326">
        <v>38788</v>
      </c>
      <c r="AL30" s="348">
        <v>26648</v>
      </c>
      <c r="AN30" s="211" t="s">
        <v>463</v>
      </c>
      <c r="AO30" s="210">
        <f t="shared" si="6"/>
        <v>985</v>
      </c>
      <c r="AP30" s="211">
        <v>966</v>
      </c>
      <c r="AQ30" s="211">
        <v>10</v>
      </c>
      <c r="AR30" s="211">
        <v>9</v>
      </c>
      <c r="AS30" s="211">
        <v>0</v>
      </c>
    </row>
    <row r="31" spans="1:45" ht="15.95" customHeight="1">
      <c r="A31" s="76" t="s">
        <v>304</v>
      </c>
      <c r="B31" s="371">
        <f t="shared" si="14"/>
        <v>275668</v>
      </c>
      <c r="C31" s="344">
        <f>SUM(E31:G31,N31,R31,T31:V31)</f>
        <v>5870</v>
      </c>
      <c r="D31" s="372">
        <f t="shared" si="15"/>
        <v>37030</v>
      </c>
      <c r="E31" s="373">
        <v>177</v>
      </c>
      <c r="F31" s="373">
        <v>1154</v>
      </c>
      <c r="G31" s="258">
        <v>1549</v>
      </c>
      <c r="H31" s="328">
        <v>929</v>
      </c>
      <c r="I31" s="328">
        <v>4592</v>
      </c>
      <c r="J31" s="328">
        <v>9175</v>
      </c>
      <c r="K31" s="329">
        <v>257</v>
      </c>
      <c r="L31" s="328">
        <v>5107</v>
      </c>
      <c r="M31" s="205">
        <v>3135</v>
      </c>
      <c r="N31" s="257">
        <v>319</v>
      </c>
      <c r="O31" s="215">
        <v>55</v>
      </c>
      <c r="P31" s="215">
        <v>814</v>
      </c>
      <c r="Q31" s="258">
        <v>167</v>
      </c>
      <c r="R31" s="344">
        <v>353</v>
      </c>
      <c r="S31" s="345">
        <v>218</v>
      </c>
      <c r="T31" s="306">
        <v>193</v>
      </c>
      <c r="U31" s="197">
        <v>2125</v>
      </c>
      <c r="V31" s="197">
        <v>0</v>
      </c>
      <c r="W31" s="197">
        <v>635</v>
      </c>
      <c r="X31" s="197">
        <v>3551</v>
      </c>
      <c r="Y31" s="197">
        <v>4839</v>
      </c>
      <c r="Z31" s="300">
        <v>985</v>
      </c>
      <c r="AA31" s="257">
        <v>1725</v>
      </c>
      <c r="AB31" s="215">
        <v>283</v>
      </c>
      <c r="AC31" s="215">
        <v>24</v>
      </c>
      <c r="AD31" s="215">
        <v>91</v>
      </c>
      <c r="AE31" s="215">
        <v>7</v>
      </c>
      <c r="AF31" s="215">
        <v>1</v>
      </c>
      <c r="AG31" s="215">
        <v>0</v>
      </c>
      <c r="AH31" s="215">
        <v>440</v>
      </c>
      <c r="AI31" s="344">
        <f t="shared" si="5"/>
        <v>232768</v>
      </c>
      <c r="AJ31" s="356">
        <v>229039</v>
      </c>
      <c r="AK31" s="328">
        <v>1979</v>
      </c>
      <c r="AL31" s="349">
        <v>1750</v>
      </c>
      <c r="AN31" s="211" t="s">
        <v>464</v>
      </c>
      <c r="AO31" s="210">
        <f t="shared" si="6"/>
        <v>485</v>
      </c>
      <c r="AP31" s="211">
        <v>477</v>
      </c>
      <c r="AQ31" s="211">
        <v>7</v>
      </c>
      <c r="AR31" s="211">
        <v>1</v>
      </c>
      <c r="AS31" s="211">
        <v>0</v>
      </c>
    </row>
    <row r="32" spans="1:45" ht="15.95" customHeight="1">
      <c r="A32" s="76" t="s">
        <v>303</v>
      </c>
      <c r="B32" s="371">
        <f t="shared" si="14"/>
        <v>78672</v>
      </c>
      <c r="C32" s="344">
        <f>SUM(E32:G32,N32,R32,T32:V32)</f>
        <v>4463</v>
      </c>
      <c r="D32" s="372">
        <f t="shared" si="15"/>
        <v>28215</v>
      </c>
      <c r="E32" s="373">
        <v>173</v>
      </c>
      <c r="F32" s="373">
        <v>1023</v>
      </c>
      <c r="G32" s="258">
        <v>1316</v>
      </c>
      <c r="H32" s="328">
        <v>261</v>
      </c>
      <c r="I32" s="328">
        <v>3864</v>
      </c>
      <c r="J32" s="328">
        <v>8741</v>
      </c>
      <c r="K32" s="329">
        <v>392</v>
      </c>
      <c r="L32" s="328">
        <v>5010</v>
      </c>
      <c r="M32" s="205">
        <v>1100</v>
      </c>
      <c r="N32" s="257">
        <v>268</v>
      </c>
      <c r="O32" s="215">
        <v>20</v>
      </c>
      <c r="P32" s="215">
        <v>761</v>
      </c>
      <c r="Q32" s="258">
        <v>219</v>
      </c>
      <c r="R32" s="344">
        <v>99</v>
      </c>
      <c r="S32" s="345">
        <v>65</v>
      </c>
      <c r="T32" s="306">
        <v>109</v>
      </c>
      <c r="U32" s="197">
        <v>1474</v>
      </c>
      <c r="V32" s="197">
        <v>1</v>
      </c>
      <c r="W32" s="197">
        <v>433</v>
      </c>
      <c r="X32" s="197">
        <v>2999</v>
      </c>
      <c r="Y32" s="197">
        <v>2962</v>
      </c>
      <c r="Z32" s="300">
        <v>485</v>
      </c>
      <c r="AA32" s="257">
        <v>0</v>
      </c>
      <c r="AB32" s="215">
        <v>344</v>
      </c>
      <c r="AC32" s="215">
        <v>7</v>
      </c>
      <c r="AD32" s="215">
        <v>103</v>
      </c>
      <c r="AE32" s="215">
        <v>14</v>
      </c>
      <c r="AF32" s="215">
        <v>1</v>
      </c>
      <c r="AG32" s="215">
        <v>0</v>
      </c>
      <c r="AH32" s="215">
        <v>434</v>
      </c>
      <c r="AI32" s="344">
        <f t="shared" si="5"/>
        <v>45994</v>
      </c>
      <c r="AJ32" s="356">
        <v>42895</v>
      </c>
      <c r="AK32" s="328">
        <v>1877</v>
      </c>
      <c r="AL32" s="349">
        <v>1222</v>
      </c>
      <c r="AN32" s="211" t="s">
        <v>465</v>
      </c>
      <c r="AO32" s="210">
        <f t="shared" si="6"/>
        <v>810</v>
      </c>
      <c r="AP32" s="211">
        <v>784</v>
      </c>
      <c r="AQ32" s="211">
        <v>20</v>
      </c>
      <c r="AR32" s="211">
        <v>6</v>
      </c>
      <c r="AS32" s="211">
        <v>0</v>
      </c>
    </row>
    <row r="33" spans="1:45" ht="15.95" customHeight="1">
      <c r="A33" s="76" t="s">
        <v>302</v>
      </c>
      <c r="B33" s="371">
        <f t="shared" si="14"/>
        <v>116776</v>
      </c>
      <c r="C33" s="344">
        <f>SUM(E33:G33,N33,R33,T33:V33)</f>
        <v>6807</v>
      </c>
      <c r="D33" s="372">
        <f t="shared" si="15"/>
        <v>32108</v>
      </c>
      <c r="E33" s="373">
        <v>322</v>
      </c>
      <c r="F33" s="373">
        <v>1516</v>
      </c>
      <c r="G33" s="258">
        <v>2153</v>
      </c>
      <c r="H33" s="329">
        <v>75</v>
      </c>
      <c r="I33" s="328">
        <v>4958</v>
      </c>
      <c r="J33" s="328">
        <v>11103</v>
      </c>
      <c r="K33" s="329">
        <v>299</v>
      </c>
      <c r="L33" s="328">
        <v>5900</v>
      </c>
      <c r="M33" s="205">
        <v>0</v>
      </c>
      <c r="N33" s="257">
        <v>316</v>
      </c>
      <c r="O33" s="215">
        <v>23</v>
      </c>
      <c r="P33" s="215">
        <v>792</v>
      </c>
      <c r="Q33" s="258">
        <v>231</v>
      </c>
      <c r="R33" s="344">
        <v>0</v>
      </c>
      <c r="S33" s="345">
        <v>0</v>
      </c>
      <c r="T33" s="306">
        <v>171</v>
      </c>
      <c r="U33" s="197">
        <v>2329</v>
      </c>
      <c r="V33" s="197">
        <v>0</v>
      </c>
      <c r="W33" s="197">
        <v>497</v>
      </c>
      <c r="X33" s="197">
        <v>2773</v>
      </c>
      <c r="Y33" s="197">
        <v>3547</v>
      </c>
      <c r="Z33" s="300">
        <v>810</v>
      </c>
      <c r="AA33" s="257">
        <v>0</v>
      </c>
      <c r="AB33" s="215">
        <v>425</v>
      </c>
      <c r="AC33" s="215">
        <v>39</v>
      </c>
      <c r="AD33" s="215">
        <v>173</v>
      </c>
      <c r="AE33" s="215">
        <v>11</v>
      </c>
      <c r="AF33" s="215">
        <v>2</v>
      </c>
      <c r="AG33" s="215">
        <v>1</v>
      </c>
      <c r="AH33" s="215">
        <v>449</v>
      </c>
      <c r="AI33" s="344">
        <f t="shared" si="5"/>
        <v>77861</v>
      </c>
      <c r="AJ33" s="356">
        <v>74260</v>
      </c>
      <c r="AK33" s="328">
        <v>2357</v>
      </c>
      <c r="AL33" s="349">
        <v>1244</v>
      </c>
      <c r="AN33" s="211" t="s">
        <v>466</v>
      </c>
      <c r="AO33" s="210">
        <f t="shared" si="6"/>
        <v>240</v>
      </c>
      <c r="AP33" s="211">
        <v>237</v>
      </c>
      <c r="AQ33" s="211">
        <v>1</v>
      </c>
      <c r="AR33" s="211">
        <v>2</v>
      </c>
      <c r="AS33" s="211">
        <v>0</v>
      </c>
    </row>
    <row r="34" spans="1:45" ht="15.95" customHeight="1">
      <c r="A34" s="76" t="s">
        <v>301</v>
      </c>
      <c r="B34" s="371">
        <f t="shared" si="14"/>
        <v>35641</v>
      </c>
      <c r="C34" s="344">
        <f>SUM(E34:G34,N34,R34,T34:V34)</f>
        <v>2133</v>
      </c>
      <c r="D34" s="372">
        <f t="shared" si="15"/>
        <v>11909</v>
      </c>
      <c r="E34" s="373">
        <v>89</v>
      </c>
      <c r="F34" s="373">
        <v>477</v>
      </c>
      <c r="G34" s="258">
        <v>559</v>
      </c>
      <c r="H34" s="329">
        <v>21</v>
      </c>
      <c r="I34" s="328">
        <v>1499</v>
      </c>
      <c r="J34" s="328">
        <v>3900</v>
      </c>
      <c r="K34" s="329">
        <v>127</v>
      </c>
      <c r="L34" s="328">
        <v>2209</v>
      </c>
      <c r="M34" s="205">
        <v>0</v>
      </c>
      <c r="N34" s="257">
        <v>106</v>
      </c>
      <c r="O34" s="215">
        <v>15</v>
      </c>
      <c r="P34" s="215">
        <v>278</v>
      </c>
      <c r="Q34" s="258">
        <v>69</v>
      </c>
      <c r="R34" s="344">
        <v>0</v>
      </c>
      <c r="S34" s="345">
        <v>0</v>
      </c>
      <c r="T34" s="306">
        <v>85</v>
      </c>
      <c r="U34" s="197">
        <v>815</v>
      </c>
      <c r="V34" s="197">
        <v>2</v>
      </c>
      <c r="W34" s="197">
        <v>221</v>
      </c>
      <c r="X34" s="197">
        <v>1539</v>
      </c>
      <c r="Y34" s="197">
        <v>1463</v>
      </c>
      <c r="Z34" s="300">
        <v>240</v>
      </c>
      <c r="AA34" s="257">
        <v>0</v>
      </c>
      <c r="AB34" s="215">
        <v>128</v>
      </c>
      <c r="AC34" s="215">
        <v>3</v>
      </c>
      <c r="AD34" s="215">
        <v>26</v>
      </c>
      <c r="AE34" s="215">
        <v>1</v>
      </c>
      <c r="AF34" s="215">
        <v>0</v>
      </c>
      <c r="AG34" s="215">
        <v>0</v>
      </c>
      <c r="AH34" s="215">
        <v>170</v>
      </c>
      <c r="AI34" s="344">
        <f t="shared" si="5"/>
        <v>21599</v>
      </c>
      <c r="AJ34" s="356">
        <v>20456</v>
      </c>
      <c r="AK34" s="328">
        <v>697</v>
      </c>
      <c r="AL34" s="349">
        <v>446</v>
      </c>
      <c r="AN34" s="211" t="s">
        <v>467</v>
      </c>
      <c r="AO34" s="210">
        <f t="shared" si="6"/>
        <v>207</v>
      </c>
      <c r="AP34" s="211">
        <v>200</v>
      </c>
      <c r="AQ34" s="211">
        <v>5</v>
      </c>
      <c r="AR34" s="211">
        <v>2</v>
      </c>
      <c r="AS34" s="211">
        <v>0</v>
      </c>
    </row>
    <row r="35" spans="1:45" ht="15.95" customHeight="1">
      <c r="A35" s="76" t="s">
        <v>300</v>
      </c>
      <c r="B35" s="371">
        <f t="shared" si="14"/>
        <v>29275</v>
      </c>
      <c r="C35" s="344">
        <f>SUM(E35:G35,N35,R35,T35:V35)</f>
        <v>1875</v>
      </c>
      <c r="D35" s="372">
        <f t="shared" si="15"/>
        <v>12774</v>
      </c>
      <c r="E35" s="373">
        <v>54</v>
      </c>
      <c r="F35" s="373">
        <v>516</v>
      </c>
      <c r="G35" s="258">
        <v>480</v>
      </c>
      <c r="H35" s="329">
        <v>13</v>
      </c>
      <c r="I35" s="329">
        <v>1399</v>
      </c>
      <c r="J35" s="328">
        <v>4665</v>
      </c>
      <c r="K35" s="329">
        <v>268</v>
      </c>
      <c r="L35" s="328">
        <v>2287</v>
      </c>
      <c r="M35" s="205">
        <v>0</v>
      </c>
      <c r="N35" s="257">
        <v>118</v>
      </c>
      <c r="O35" s="215">
        <v>5</v>
      </c>
      <c r="P35" s="215">
        <v>418</v>
      </c>
      <c r="Q35" s="258">
        <v>80</v>
      </c>
      <c r="R35" s="344">
        <v>0</v>
      </c>
      <c r="S35" s="345">
        <v>0</v>
      </c>
      <c r="T35" s="306">
        <v>56</v>
      </c>
      <c r="U35" s="197">
        <v>650</v>
      </c>
      <c r="V35" s="197">
        <v>1</v>
      </c>
      <c r="W35" s="197">
        <v>255</v>
      </c>
      <c r="X35" s="197">
        <v>1186</v>
      </c>
      <c r="Y35" s="197">
        <v>1582</v>
      </c>
      <c r="Z35" s="300">
        <v>207</v>
      </c>
      <c r="AA35" s="257">
        <v>0</v>
      </c>
      <c r="AB35" s="215">
        <v>151</v>
      </c>
      <c r="AC35" s="215">
        <v>13</v>
      </c>
      <c r="AD35" s="215">
        <v>39</v>
      </c>
      <c r="AE35" s="215">
        <v>7</v>
      </c>
      <c r="AF35" s="215">
        <v>0</v>
      </c>
      <c r="AG35" s="215">
        <v>1</v>
      </c>
      <c r="AH35" s="215">
        <v>198</v>
      </c>
      <c r="AI35" s="344">
        <f t="shared" si="5"/>
        <v>14626</v>
      </c>
      <c r="AJ35" s="356">
        <v>13451</v>
      </c>
      <c r="AK35" s="328">
        <v>656</v>
      </c>
      <c r="AL35" s="349">
        <v>519</v>
      </c>
      <c r="AN35" s="209" t="s">
        <v>454</v>
      </c>
      <c r="AO35" s="210">
        <f t="shared" si="6"/>
        <v>2727</v>
      </c>
      <c r="AP35" s="209">
        <v>2664</v>
      </c>
      <c r="AQ35" s="209">
        <v>43</v>
      </c>
      <c r="AR35" s="209">
        <v>20</v>
      </c>
      <c r="AS35" s="209">
        <v>0</v>
      </c>
    </row>
    <row r="36" spans="1:45" ht="15.95" customHeight="1">
      <c r="A36" s="177" t="s">
        <v>262</v>
      </c>
      <c r="B36" s="368">
        <f t="shared" si="14"/>
        <v>536032</v>
      </c>
      <c r="C36" s="342">
        <f>SUM(C31:C35)</f>
        <v>21148</v>
      </c>
      <c r="D36" s="369">
        <f t="shared" si="15"/>
        <v>122036</v>
      </c>
      <c r="E36" s="370">
        <v>815</v>
      </c>
      <c r="F36" s="370">
        <v>4686</v>
      </c>
      <c r="G36" s="256">
        <v>6057</v>
      </c>
      <c r="H36" s="326">
        <v>1299</v>
      </c>
      <c r="I36" s="326">
        <v>16312</v>
      </c>
      <c r="J36" s="326">
        <v>37584</v>
      </c>
      <c r="K36" s="326">
        <v>1343</v>
      </c>
      <c r="L36" s="326">
        <v>20513</v>
      </c>
      <c r="M36" s="203">
        <v>4235</v>
      </c>
      <c r="N36" s="255">
        <v>1127</v>
      </c>
      <c r="O36" s="214">
        <v>118</v>
      </c>
      <c r="P36" s="214">
        <v>3063</v>
      </c>
      <c r="Q36" s="256">
        <v>766</v>
      </c>
      <c r="R36" s="342">
        <v>452</v>
      </c>
      <c r="S36" s="343">
        <v>283</v>
      </c>
      <c r="T36" s="307">
        <v>614</v>
      </c>
      <c r="U36" s="196">
        <v>7393</v>
      </c>
      <c r="V36" s="196">
        <v>4</v>
      </c>
      <c r="W36" s="196">
        <v>2041</v>
      </c>
      <c r="X36" s="196">
        <v>12048</v>
      </c>
      <c r="Y36" s="196">
        <v>14393</v>
      </c>
      <c r="Z36" s="204">
        <v>2727</v>
      </c>
      <c r="AA36" s="255">
        <v>1725</v>
      </c>
      <c r="AB36" s="214">
        <v>1331</v>
      </c>
      <c r="AC36" s="214">
        <v>86</v>
      </c>
      <c r="AD36" s="214">
        <v>432</v>
      </c>
      <c r="AE36" s="214">
        <v>40</v>
      </c>
      <c r="AF36" s="214">
        <v>4</v>
      </c>
      <c r="AG36" s="214">
        <v>2</v>
      </c>
      <c r="AH36" s="214">
        <v>1691</v>
      </c>
      <c r="AI36" s="342">
        <f t="shared" si="5"/>
        <v>392848</v>
      </c>
      <c r="AJ36" s="326">
        <v>380101</v>
      </c>
      <c r="AK36" s="326">
        <v>7566</v>
      </c>
      <c r="AL36" s="348">
        <v>5181</v>
      </c>
      <c r="AN36" s="211" t="s">
        <v>468</v>
      </c>
      <c r="AO36" s="210">
        <f t="shared" si="6"/>
        <v>3309</v>
      </c>
      <c r="AP36" s="211">
        <v>3255</v>
      </c>
      <c r="AQ36" s="211">
        <v>44</v>
      </c>
      <c r="AR36" s="211">
        <v>9</v>
      </c>
      <c r="AS36" s="211">
        <v>1</v>
      </c>
    </row>
    <row r="37" spans="1:45" ht="15.95" customHeight="1">
      <c r="A37" s="76" t="s">
        <v>299</v>
      </c>
      <c r="B37" s="371">
        <f t="shared" si="14"/>
        <v>673584</v>
      </c>
      <c r="C37" s="344">
        <f t="shared" ref="C37:C43" si="16">SUM(E37:G37,N37,R37,T37:V37)</f>
        <v>27176</v>
      </c>
      <c r="D37" s="372">
        <f t="shared" si="15"/>
        <v>164470</v>
      </c>
      <c r="E37" s="373">
        <v>1142</v>
      </c>
      <c r="F37" s="373">
        <v>5974</v>
      </c>
      <c r="G37" s="258">
        <v>11749</v>
      </c>
      <c r="H37" s="328">
        <v>5206</v>
      </c>
      <c r="I37" s="329">
        <v>29155</v>
      </c>
      <c r="J37" s="328">
        <v>41163</v>
      </c>
      <c r="K37" s="329">
        <v>2723</v>
      </c>
      <c r="L37" s="328">
        <v>28445</v>
      </c>
      <c r="M37" s="205">
        <v>14632</v>
      </c>
      <c r="N37" s="257">
        <v>0</v>
      </c>
      <c r="O37" s="215">
        <v>0</v>
      </c>
      <c r="P37" s="215">
        <v>0</v>
      </c>
      <c r="Q37" s="258">
        <v>0</v>
      </c>
      <c r="R37" s="344">
        <v>1292</v>
      </c>
      <c r="S37" s="345">
        <v>916</v>
      </c>
      <c r="T37" s="306">
        <v>589</v>
      </c>
      <c r="U37" s="197">
        <v>6427</v>
      </c>
      <c r="V37" s="197">
        <v>3</v>
      </c>
      <c r="W37" s="197">
        <v>4537</v>
      </c>
      <c r="X37" s="197">
        <v>13478</v>
      </c>
      <c r="Y37" s="197">
        <v>18151</v>
      </c>
      <c r="Z37" s="300">
        <v>3309</v>
      </c>
      <c r="AA37" s="257">
        <v>0</v>
      </c>
      <c r="AB37" s="215">
        <v>0</v>
      </c>
      <c r="AC37" s="215">
        <v>0</v>
      </c>
      <c r="AD37" s="215">
        <v>0</v>
      </c>
      <c r="AE37" s="215">
        <v>0</v>
      </c>
      <c r="AF37" s="215">
        <v>20</v>
      </c>
      <c r="AG37" s="215">
        <v>0</v>
      </c>
      <c r="AH37" s="215">
        <v>2735</v>
      </c>
      <c r="AI37" s="344">
        <f t="shared" si="5"/>
        <v>481938</v>
      </c>
      <c r="AJ37" s="356">
        <v>475785</v>
      </c>
      <c r="AK37" s="352">
        <v>0</v>
      </c>
      <c r="AL37" s="349">
        <v>6153</v>
      </c>
      <c r="AN37" s="211" t="s">
        <v>469</v>
      </c>
      <c r="AO37" s="210">
        <f t="shared" si="6"/>
        <v>603</v>
      </c>
      <c r="AP37" s="211">
        <v>592</v>
      </c>
      <c r="AQ37" s="211">
        <v>10</v>
      </c>
      <c r="AR37" s="211">
        <v>1</v>
      </c>
      <c r="AS37" s="211">
        <v>0</v>
      </c>
    </row>
    <row r="38" spans="1:45" ht="15.95" customHeight="1">
      <c r="A38" s="76" t="s">
        <v>403</v>
      </c>
      <c r="B38" s="371">
        <f t="shared" si="14"/>
        <v>23216</v>
      </c>
      <c r="C38" s="344">
        <f t="shared" si="16"/>
        <v>1469</v>
      </c>
      <c r="D38" s="372">
        <f t="shared" si="15"/>
        <v>12936</v>
      </c>
      <c r="E38" s="373"/>
      <c r="F38" s="373"/>
      <c r="G38" s="258">
        <v>0</v>
      </c>
      <c r="H38" s="326">
        <v>0</v>
      </c>
      <c r="I38" s="326">
        <v>0</v>
      </c>
      <c r="J38" s="326">
        <v>0</v>
      </c>
      <c r="K38" s="326">
        <v>0</v>
      </c>
      <c r="L38" s="326">
        <v>0</v>
      </c>
      <c r="M38" s="196">
        <v>0</v>
      </c>
      <c r="N38" s="257">
        <v>1469</v>
      </c>
      <c r="O38" s="215">
        <v>240</v>
      </c>
      <c r="P38" s="215">
        <v>3190</v>
      </c>
      <c r="Q38" s="258">
        <v>1047</v>
      </c>
      <c r="R38" s="344">
        <v>0</v>
      </c>
      <c r="S38" s="345">
        <v>0</v>
      </c>
      <c r="T38" s="306">
        <v>0</v>
      </c>
      <c r="U38" s="197">
        <v>0</v>
      </c>
      <c r="V38" s="197">
        <v>0</v>
      </c>
      <c r="W38" s="197">
        <v>0</v>
      </c>
      <c r="X38" s="197">
        <v>0</v>
      </c>
      <c r="Y38" s="197">
        <v>0</v>
      </c>
      <c r="Z38" s="300">
        <v>0</v>
      </c>
      <c r="AA38" s="257">
        <v>4969</v>
      </c>
      <c r="AB38" s="215">
        <v>2451</v>
      </c>
      <c r="AC38" s="215">
        <v>115</v>
      </c>
      <c r="AD38" s="215">
        <v>842</v>
      </c>
      <c r="AE38" s="215">
        <v>30</v>
      </c>
      <c r="AF38" s="215">
        <v>0</v>
      </c>
      <c r="AG38" s="215">
        <v>13</v>
      </c>
      <c r="AH38" s="215">
        <v>39</v>
      </c>
      <c r="AI38" s="344">
        <f t="shared" si="5"/>
        <v>8811</v>
      </c>
      <c r="AJ38" s="356">
        <v>0</v>
      </c>
      <c r="AK38" s="328">
        <v>8811</v>
      </c>
      <c r="AL38" s="349">
        <v>0</v>
      </c>
      <c r="AN38" s="211" t="s">
        <v>470</v>
      </c>
      <c r="AO38" s="210">
        <f t="shared" si="6"/>
        <v>107</v>
      </c>
      <c r="AP38" s="211">
        <v>103</v>
      </c>
      <c r="AQ38" s="211">
        <v>3</v>
      </c>
      <c r="AR38" s="211">
        <v>1</v>
      </c>
      <c r="AS38" s="211">
        <v>0</v>
      </c>
    </row>
    <row r="39" spans="1:45" ht="15.95" customHeight="1">
      <c r="A39" s="76" t="s">
        <v>298</v>
      </c>
      <c r="B39" s="371">
        <f t="shared" si="14"/>
        <v>60664</v>
      </c>
      <c r="C39" s="344">
        <f t="shared" si="16"/>
        <v>4620</v>
      </c>
      <c r="D39" s="372">
        <f t="shared" si="15"/>
        <v>26952</v>
      </c>
      <c r="E39" s="373">
        <v>134</v>
      </c>
      <c r="F39" s="373">
        <v>1081</v>
      </c>
      <c r="G39" s="258">
        <v>1489</v>
      </c>
      <c r="H39" s="328">
        <v>55</v>
      </c>
      <c r="I39" s="328">
        <v>3623</v>
      </c>
      <c r="J39" s="328">
        <v>8905</v>
      </c>
      <c r="K39" s="329">
        <v>350</v>
      </c>
      <c r="L39" s="328">
        <v>4931</v>
      </c>
      <c r="M39" s="205">
        <v>0</v>
      </c>
      <c r="N39" s="257">
        <v>280</v>
      </c>
      <c r="O39" s="215">
        <v>37</v>
      </c>
      <c r="P39" s="215">
        <v>628</v>
      </c>
      <c r="Q39" s="258">
        <v>168</v>
      </c>
      <c r="R39" s="344">
        <v>0</v>
      </c>
      <c r="S39" s="345">
        <v>0</v>
      </c>
      <c r="T39" s="306">
        <v>157</v>
      </c>
      <c r="U39" s="197">
        <v>1475</v>
      </c>
      <c r="V39" s="197">
        <v>4</v>
      </c>
      <c r="W39" s="197">
        <v>496</v>
      </c>
      <c r="X39" s="197">
        <v>2662</v>
      </c>
      <c r="Y39" s="197">
        <v>3546</v>
      </c>
      <c r="Z39" s="300">
        <v>603</v>
      </c>
      <c r="AA39" s="257">
        <v>0</v>
      </c>
      <c r="AB39" s="215">
        <v>268</v>
      </c>
      <c r="AC39" s="215">
        <v>10</v>
      </c>
      <c r="AD39" s="215">
        <v>149</v>
      </c>
      <c r="AE39" s="215">
        <v>2</v>
      </c>
      <c r="AF39" s="215">
        <v>4</v>
      </c>
      <c r="AG39" s="215">
        <v>0</v>
      </c>
      <c r="AH39" s="215">
        <v>515</v>
      </c>
      <c r="AI39" s="344">
        <f t="shared" si="5"/>
        <v>29092</v>
      </c>
      <c r="AJ39" s="356">
        <v>26059</v>
      </c>
      <c r="AK39" s="328">
        <v>1449</v>
      </c>
      <c r="AL39" s="349">
        <v>1584</v>
      </c>
      <c r="AN39" s="211" t="s">
        <v>471</v>
      </c>
      <c r="AO39" s="210">
        <f t="shared" si="6"/>
        <v>183</v>
      </c>
      <c r="AP39" s="211">
        <v>180</v>
      </c>
      <c r="AQ39" s="211">
        <v>3</v>
      </c>
      <c r="AR39" s="211">
        <v>0</v>
      </c>
      <c r="AS39" s="211">
        <v>0</v>
      </c>
    </row>
    <row r="40" spans="1:45" ht="15.95" customHeight="1">
      <c r="A40" s="76" t="s">
        <v>297</v>
      </c>
      <c r="B40" s="371">
        <f t="shared" si="14"/>
        <v>43867</v>
      </c>
      <c r="C40" s="344">
        <f t="shared" si="16"/>
        <v>1675</v>
      </c>
      <c r="D40" s="372">
        <f t="shared" si="15"/>
        <v>10003</v>
      </c>
      <c r="E40" s="373">
        <v>71</v>
      </c>
      <c r="F40" s="373">
        <v>412</v>
      </c>
      <c r="G40" s="258">
        <v>474</v>
      </c>
      <c r="H40" s="328">
        <v>16</v>
      </c>
      <c r="I40" s="328">
        <v>1165</v>
      </c>
      <c r="J40" s="328">
        <v>3348</v>
      </c>
      <c r="K40" s="329">
        <v>200</v>
      </c>
      <c r="L40" s="328">
        <v>1743</v>
      </c>
      <c r="M40" s="205">
        <v>0</v>
      </c>
      <c r="N40" s="257">
        <v>122</v>
      </c>
      <c r="O40" s="215">
        <v>13</v>
      </c>
      <c r="P40" s="215">
        <v>264</v>
      </c>
      <c r="Q40" s="258">
        <v>75</v>
      </c>
      <c r="R40" s="344">
        <v>0</v>
      </c>
      <c r="S40" s="345">
        <v>0</v>
      </c>
      <c r="T40" s="306">
        <v>71</v>
      </c>
      <c r="U40" s="197">
        <v>524</v>
      </c>
      <c r="V40" s="197">
        <v>1</v>
      </c>
      <c r="W40" s="197">
        <v>380</v>
      </c>
      <c r="X40" s="197">
        <v>999</v>
      </c>
      <c r="Y40" s="197">
        <v>1408</v>
      </c>
      <c r="Z40" s="300">
        <v>107</v>
      </c>
      <c r="AA40" s="257">
        <v>0</v>
      </c>
      <c r="AB40" s="215">
        <v>48</v>
      </c>
      <c r="AC40" s="215">
        <v>6</v>
      </c>
      <c r="AD40" s="215">
        <v>27</v>
      </c>
      <c r="AE40" s="215">
        <v>7</v>
      </c>
      <c r="AF40" s="215">
        <v>24</v>
      </c>
      <c r="AG40" s="215">
        <v>0</v>
      </c>
      <c r="AH40" s="215">
        <v>173</v>
      </c>
      <c r="AI40" s="344">
        <f t="shared" si="5"/>
        <v>32189</v>
      </c>
      <c r="AJ40" s="356">
        <v>30943</v>
      </c>
      <c r="AK40" s="328">
        <v>617</v>
      </c>
      <c r="AL40" s="349">
        <v>629</v>
      </c>
      <c r="AN40" s="211" t="s">
        <v>472</v>
      </c>
      <c r="AO40" s="210">
        <f t="shared" si="6"/>
        <v>1316</v>
      </c>
      <c r="AP40" s="211">
        <v>1309</v>
      </c>
      <c r="AQ40" s="211">
        <v>6</v>
      </c>
      <c r="AR40" s="211">
        <v>1</v>
      </c>
      <c r="AS40" s="211">
        <v>0</v>
      </c>
    </row>
    <row r="41" spans="1:45" ht="15.95" customHeight="1">
      <c r="A41" s="76" t="s">
        <v>296</v>
      </c>
      <c r="B41" s="371">
        <f t="shared" si="14"/>
        <v>56831</v>
      </c>
      <c r="C41" s="344">
        <f t="shared" si="16"/>
        <v>2574</v>
      </c>
      <c r="D41" s="372">
        <f t="shared" si="15"/>
        <v>15385</v>
      </c>
      <c r="E41" s="373">
        <v>71</v>
      </c>
      <c r="F41" s="373">
        <v>598</v>
      </c>
      <c r="G41" s="258">
        <v>845</v>
      </c>
      <c r="H41" s="328">
        <v>49</v>
      </c>
      <c r="I41" s="328">
        <v>1886</v>
      </c>
      <c r="J41" s="328">
        <v>5231</v>
      </c>
      <c r="K41" s="329">
        <v>179</v>
      </c>
      <c r="L41" s="328">
        <v>2670</v>
      </c>
      <c r="M41" s="205">
        <v>0</v>
      </c>
      <c r="N41" s="257">
        <v>157</v>
      </c>
      <c r="O41" s="215">
        <v>17</v>
      </c>
      <c r="P41" s="215">
        <v>507</v>
      </c>
      <c r="Q41" s="258">
        <v>96</v>
      </c>
      <c r="R41" s="344">
        <v>0</v>
      </c>
      <c r="S41" s="345">
        <v>0</v>
      </c>
      <c r="T41" s="306">
        <v>74</v>
      </c>
      <c r="U41" s="197">
        <v>825</v>
      </c>
      <c r="V41" s="197">
        <v>4</v>
      </c>
      <c r="W41" s="197">
        <v>527</v>
      </c>
      <c r="X41" s="197">
        <v>1382</v>
      </c>
      <c r="Y41" s="197">
        <v>2033</v>
      </c>
      <c r="Z41" s="300">
        <v>183</v>
      </c>
      <c r="AA41" s="257">
        <v>0</v>
      </c>
      <c r="AB41" s="215">
        <v>148</v>
      </c>
      <c r="AC41" s="215">
        <v>24</v>
      </c>
      <c r="AD41" s="215">
        <v>74</v>
      </c>
      <c r="AE41" s="215">
        <v>6</v>
      </c>
      <c r="AF41" s="215">
        <v>6</v>
      </c>
      <c r="AG41" s="215">
        <v>0</v>
      </c>
      <c r="AH41" s="215">
        <v>367</v>
      </c>
      <c r="AI41" s="344">
        <f t="shared" si="5"/>
        <v>38872</v>
      </c>
      <c r="AJ41" s="356">
        <v>37273</v>
      </c>
      <c r="AK41" s="328">
        <v>936</v>
      </c>
      <c r="AL41" s="349">
        <v>663</v>
      </c>
      <c r="AN41" s="211" t="s">
        <v>473</v>
      </c>
      <c r="AO41" s="210">
        <f t="shared" si="6"/>
        <v>1675</v>
      </c>
      <c r="AP41" s="211">
        <v>1633</v>
      </c>
      <c r="AQ41" s="211">
        <v>26</v>
      </c>
      <c r="AR41" s="211">
        <v>15</v>
      </c>
      <c r="AS41" s="211">
        <v>1</v>
      </c>
    </row>
    <row r="42" spans="1:45" ht="15.95" customHeight="1">
      <c r="A42" s="76" t="s">
        <v>295</v>
      </c>
      <c r="B42" s="371">
        <f t="shared" si="14"/>
        <v>88114</v>
      </c>
      <c r="C42" s="344">
        <f t="shared" si="16"/>
        <v>5715</v>
      </c>
      <c r="D42" s="372">
        <f t="shared" si="15"/>
        <v>34589</v>
      </c>
      <c r="E42" s="373">
        <v>170</v>
      </c>
      <c r="F42" s="373">
        <v>1191</v>
      </c>
      <c r="G42" s="258">
        <v>1857</v>
      </c>
      <c r="H42" s="328">
        <v>63</v>
      </c>
      <c r="I42" s="328">
        <v>4251</v>
      </c>
      <c r="J42" s="328">
        <v>11783</v>
      </c>
      <c r="K42" s="329">
        <v>357</v>
      </c>
      <c r="L42" s="328">
        <v>5743</v>
      </c>
      <c r="M42" s="205">
        <v>0</v>
      </c>
      <c r="N42" s="257">
        <v>415</v>
      </c>
      <c r="O42" s="215">
        <v>33</v>
      </c>
      <c r="P42" s="215">
        <v>671</v>
      </c>
      <c r="Q42" s="258">
        <v>203</v>
      </c>
      <c r="R42" s="344">
        <v>0</v>
      </c>
      <c r="S42" s="345">
        <v>0</v>
      </c>
      <c r="T42" s="306">
        <v>158</v>
      </c>
      <c r="U42" s="197">
        <v>1923</v>
      </c>
      <c r="V42" s="197">
        <v>1</v>
      </c>
      <c r="W42" s="197">
        <v>929</v>
      </c>
      <c r="X42" s="197">
        <v>3915</v>
      </c>
      <c r="Y42" s="197">
        <v>4144</v>
      </c>
      <c r="Z42" s="300">
        <v>1316</v>
      </c>
      <c r="AA42" s="257">
        <v>0</v>
      </c>
      <c r="AB42" s="215">
        <v>386</v>
      </c>
      <c r="AC42" s="215">
        <v>49</v>
      </c>
      <c r="AD42" s="215">
        <v>245</v>
      </c>
      <c r="AE42" s="215">
        <v>28</v>
      </c>
      <c r="AF42" s="215">
        <v>0</v>
      </c>
      <c r="AG42" s="215">
        <v>0</v>
      </c>
      <c r="AH42" s="215">
        <v>473</v>
      </c>
      <c r="AI42" s="344">
        <f t="shared" si="5"/>
        <v>47810</v>
      </c>
      <c r="AJ42" s="356">
        <v>44370</v>
      </c>
      <c r="AK42" s="328">
        <v>2091</v>
      </c>
      <c r="AL42" s="349">
        <v>1349</v>
      </c>
      <c r="AN42" s="209" t="s">
        <v>454</v>
      </c>
      <c r="AO42" s="210">
        <f t="shared" si="6"/>
        <v>7193</v>
      </c>
      <c r="AP42" s="209">
        <v>7072</v>
      </c>
      <c r="AQ42" s="209">
        <v>92</v>
      </c>
      <c r="AR42" s="209">
        <v>27</v>
      </c>
      <c r="AS42" s="209">
        <v>2</v>
      </c>
    </row>
    <row r="43" spans="1:45" ht="15.95" customHeight="1">
      <c r="A43" s="76" t="s">
        <v>294</v>
      </c>
      <c r="B43" s="371">
        <f t="shared" si="14"/>
        <v>303359</v>
      </c>
      <c r="C43" s="344">
        <f t="shared" si="16"/>
        <v>12720</v>
      </c>
      <c r="D43" s="372">
        <f t="shared" si="15"/>
        <v>79439</v>
      </c>
      <c r="E43" s="373">
        <v>540</v>
      </c>
      <c r="F43" s="373">
        <v>2693</v>
      </c>
      <c r="G43" s="258">
        <v>5212</v>
      </c>
      <c r="H43" s="328">
        <v>467</v>
      </c>
      <c r="I43" s="328">
        <v>12461</v>
      </c>
      <c r="J43" s="328">
        <v>27087</v>
      </c>
      <c r="K43" s="329">
        <v>1182</v>
      </c>
      <c r="L43" s="328">
        <v>14489</v>
      </c>
      <c r="M43" s="205">
        <v>0</v>
      </c>
      <c r="N43" s="257">
        <v>832</v>
      </c>
      <c r="O43" s="215">
        <v>98</v>
      </c>
      <c r="P43" s="215">
        <v>1682</v>
      </c>
      <c r="Q43" s="258">
        <v>530</v>
      </c>
      <c r="R43" s="344">
        <v>0</v>
      </c>
      <c r="S43" s="345">
        <v>0</v>
      </c>
      <c r="T43" s="306">
        <v>254</v>
      </c>
      <c r="U43" s="197">
        <v>3186</v>
      </c>
      <c r="V43" s="197">
        <v>3</v>
      </c>
      <c r="W43" s="197">
        <v>1292</v>
      </c>
      <c r="X43" s="197">
        <v>7222</v>
      </c>
      <c r="Y43" s="197">
        <v>9087</v>
      </c>
      <c r="Z43" s="300">
        <v>1675</v>
      </c>
      <c r="AA43" s="257">
        <v>0</v>
      </c>
      <c r="AB43" s="215">
        <v>549</v>
      </c>
      <c r="AC43" s="215">
        <v>38</v>
      </c>
      <c r="AD43" s="215">
        <v>285</v>
      </c>
      <c r="AE43" s="215">
        <v>8</v>
      </c>
      <c r="AF43" s="215">
        <v>5</v>
      </c>
      <c r="AG43" s="215">
        <v>4</v>
      </c>
      <c r="AH43" s="215">
        <v>1278</v>
      </c>
      <c r="AI43" s="344">
        <f t="shared" si="5"/>
        <v>211200</v>
      </c>
      <c r="AJ43" s="356">
        <v>202666</v>
      </c>
      <c r="AK43" s="328">
        <v>5551</v>
      </c>
      <c r="AL43" s="349">
        <v>2983</v>
      </c>
      <c r="AN43" s="211" t="s">
        <v>474</v>
      </c>
      <c r="AO43" s="210">
        <f t="shared" si="6"/>
        <v>1991</v>
      </c>
      <c r="AP43" s="211">
        <v>1969</v>
      </c>
      <c r="AQ43" s="211">
        <v>10</v>
      </c>
      <c r="AR43" s="211">
        <v>12</v>
      </c>
      <c r="AS43" s="211">
        <v>0</v>
      </c>
    </row>
    <row r="44" spans="1:45" ht="15.95" customHeight="1">
      <c r="A44" s="177" t="s">
        <v>262</v>
      </c>
      <c r="B44" s="368">
        <f t="shared" si="14"/>
        <v>1249635</v>
      </c>
      <c r="C44" s="342">
        <f>SUM(C37:C43)</f>
        <v>55949</v>
      </c>
      <c r="D44" s="369">
        <f t="shared" si="15"/>
        <v>343774</v>
      </c>
      <c r="E44" s="370">
        <v>2128</v>
      </c>
      <c r="F44" s="370">
        <v>11949</v>
      </c>
      <c r="G44" s="256">
        <v>21626</v>
      </c>
      <c r="H44" s="326">
        <v>5856</v>
      </c>
      <c r="I44" s="326">
        <v>52541</v>
      </c>
      <c r="J44" s="326">
        <v>97517</v>
      </c>
      <c r="K44" s="326">
        <v>4991</v>
      </c>
      <c r="L44" s="326">
        <v>58021</v>
      </c>
      <c r="M44" s="196">
        <v>14632</v>
      </c>
      <c r="N44" s="255">
        <v>3275</v>
      </c>
      <c r="O44" s="214">
        <v>438</v>
      </c>
      <c r="P44" s="214">
        <v>6942</v>
      </c>
      <c r="Q44" s="256">
        <v>2119</v>
      </c>
      <c r="R44" s="342">
        <v>1292</v>
      </c>
      <c r="S44" s="343">
        <v>916</v>
      </c>
      <c r="T44" s="307">
        <v>1303</v>
      </c>
      <c r="U44" s="196">
        <v>14360</v>
      </c>
      <c r="V44" s="196">
        <v>16</v>
      </c>
      <c r="W44" s="196">
        <v>8161</v>
      </c>
      <c r="X44" s="196">
        <v>29658</v>
      </c>
      <c r="Y44" s="196">
        <v>38369</v>
      </c>
      <c r="Z44" s="204">
        <v>7193</v>
      </c>
      <c r="AA44" s="255">
        <v>4969</v>
      </c>
      <c r="AB44" s="214">
        <v>3850</v>
      </c>
      <c r="AC44" s="214">
        <v>242</v>
      </c>
      <c r="AD44" s="214">
        <v>1622</v>
      </c>
      <c r="AE44" s="214">
        <v>81</v>
      </c>
      <c r="AF44" s="214">
        <v>59</v>
      </c>
      <c r="AG44" s="214">
        <v>17</v>
      </c>
      <c r="AH44" s="214">
        <v>5580</v>
      </c>
      <c r="AI44" s="342">
        <f t="shared" si="5"/>
        <v>849912</v>
      </c>
      <c r="AJ44" s="326">
        <v>817096</v>
      </c>
      <c r="AK44" s="326">
        <v>19455</v>
      </c>
      <c r="AL44" s="348">
        <v>13361</v>
      </c>
      <c r="AN44" s="211" t="s">
        <v>475</v>
      </c>
      <c r="AO44" s="210">
        <f t="shared" si="6"/>
        <v>406</v>
      </c>
      <c r="AP44" s="211">
        <v>405</v>
      </c>
      <c r="AQ44" s="211">
        <v>1</v>
      </c>
      <c r="AR44" s="211">
        <v>0</v>
      </c>
      <c r="AS44" s="211">
        <v>0</v>
      </c>
    </row>
    <row r="45" spans="1:45" ht="15.95" customHeight="1">
      <c r="A45" s="76" t="s">
        <v>293</v>
      </c>
      <c r="B45" s="371">
        <f t="shared" si="14"/>
        <v>388663</v>
      </c>
      <c r="C45" s="344">
        <f>SUM(E45:G45,N45,R45,T45:V45)</f>
        <v>14019</v>
      </c>
      <c r="D45" s="372">
        <f t="shared" si="15"/>
        <v>90208</v>
      </c>
      <c r="E45" s="373">
        <v>510</v>
      </c>
      <c r="F45" s="373">
        <v>3291</v>
      </c>
      <c r="G45" s="258">
        <v>4917</v>
      </c>
      <c r="H45" s="328">
        <v>1327</v>
      </c>
      <c r="I45" s="328">
        <v>12697</v>
      </c>
      <c r="J45" s="328">
        <v>25057</v>
      </c>
      <c r="K45" s="329">
        <v>1387</v>
      </c>
      <c r="L45" s="328">
        <v>14335</v>
      </c>
      <c r="M45" s="205">
        <v>5466</v>
      </c>
      <c r="N45" s="257">
        <v>800</v>
      </c>
      <c r="O45" s="215">
        <v>129</v>
      </c>
      <c r="P45" s="215">
        <v>1783</v>
      </c>
      <c r="Q45" s="258">
        <v>545</v>
      </c>
      <c r="R45" s="344">
        <v>409</v>
      </c>
      <c r="S45" s="345">
        <v>190</v>
      </c>
      <c r="T45" s="306">
        <v>392</v>
      </c>
      <c r="U45" s="197">
        <v>3698</v>
      </c>
      <c r="V45" s="197">
        <v>2</v>
      </c>
      <c r="W45" s="197">
        <v>1655</v>
      </c>
      <c r="X45" s="197">
        <v>7378</v>
      </c>
      <c r="Y45" s="197">
        <v>11632</v>
      </c>
      <c r="Z45" s="300">
        <v>1991</v>
      </c>
      <c r="AA45" s="257">
        <v>2046</v>
      </c>
      <c r="AB45" s="215">
        <v>702</v>
      </c>
      <c r="AC45" s="215">
        <v>37</v>
      </c>
      <c r="AD45" s="215">
        <v>452</v>
      </c>
      <c r="AE45" s="215">
        <v>6</v>
      </c>
      <c r="AF45" s="215">
        <v>10</v>
      </c>
      <c r="AG45" s="215">
        <v>1</v>
      </c>
      <c r="AH45" s="215">
        <v>1382</v>
      </c>
      <c r="AI45" s="344">
        <f t="shared" si="5"/>
        <v>284436</v>
      </c>
      <c r="AJ45" s="356">
        <v>275614</v>
      </c>
      <c r="AK45" s="328">
        <v>5481</v>
      </c>
      <c r="AL45" s="349">
        <v>3341</v>
      </c>
      <c r="AN45" s="211" t="s">
        <v>476</v>
      </c>
      <c r="AO45" s="210">
        <f t="shared" si="6"/>
        <v>216</v>
      </c>
      <c r="AP45" s="211">
        <v>214</v>
      </c>
      <c r="AQ45" s="211">
        <v>1</v>
      </c>
      <c r="AR45" s="211">
        <v>1</v>
      </c>
      <c r="AS45" s="211">
        <v>0</v>
      </c>
    </row>
    <row r="46" spans="1:45" ht="15.95" customHeight="1">
      <c r="A46" s="76" t="s">
        <v>292</v>
      </c>
      <c r="B46" s="371">
        <f t="shared" si="14"/>
        <v>80698</v>
      </c>
      <c r="C46" s="344">
        <f>SUM(E46:G46,N46,R46,T46:V46)</f>
        <v>4062</v>
      </c>
      <c r="D46" s="372">
        <f t="shared" si="15"/>
        <v>25010</v>
      </c>
      <c r="E46" s="373">
        <v>133</v>
      </c>
      <c r="F46" s="373">
        <v>969</v>
      </c>
      <c r="G46" s="258">
        <v>1442</v>
      </c>
      <c r="H46" s="328">
        <v>50</v>
      </c>
      <c r="I46" s="328">
        <v>3525</v>
      </c>
      <c r="J46" s="328">
        <v>8782</v>
      </c>
      <c r="K46" s="329">
        <v>312</v>
      </c>
      <c r="L46" s="328">
        <v>4699</v>
      </c>
      <c r="M46" s="205">
        <v>0</v>
      </c>
      <c r="N46" s="257">
        <v>271</v>
      </c>
      <c r="O46" s="215">
        <v>39</v>
      </c>
      <c r="P46" s="215">
        <v>647</v>
      </c>
      <c r="Q46" s="258">
        <v>155</v>
      </c>
      <c r="R46" s="344">
        <v>0</v>
      </c>
      <c r="S46" s="345">
        <v>0</v>
      </c>
      <c r="T46" s="306">
        <v>111</v>
      </c>
      <c r="U46" s="197">
        <v>1136</v>
      </c>
      <c r="V46" s="197">
        <v>0</v>
      </c>
      <c r="W46" s="197">
        <v>267</v>
      </c>
      <c r="X46" s="197">
        <v>2832</v>
      </c>
      <c r="Y46" s="197">
        <v>2445</v>
      </c>
      <c r="Z46" s="300">
        <v>406</v>
      </c>
      <c r="AA46" s="257">
        <v>0</v>
      </c>
      <c r="AB46" s="215">
        <v>235</v>
      </c>
      <c r="AC46" s="215">
        <v>32</v>
      </c>
      <c r="AD46" s="215">
        <v>78</v>
      </c>
      <c r="AE46" s="215">
        <v>13</v>
      </c>
      <c r="AF46" s="215">
        <v>4</v>
      </c>
      <c r="AG46" s="215">
        <v>0</v>
      </c>
      <c r="AH46" s="215">
        <v>489</v>
      </c>
      <c r="AI46" s="344">
        <f t="shared" si="5"/>
        <v>51626</v>
      </c>
      <c r="AJ46" s="356">
        <v>49013</v>
      </c>
      <c r="AK46" s="328">
        <v>1612</v>
      </c>
      <c r="AL46" s="349">
        <v>1001</v>
      </c>
      <c r="AN46" s="211" t="s">
        <v>477</v>
      </c>
      <c r="AO46" s="210">
        <f t="shared" si="6"/>
        <v>73</v>
      </c>
      <c r="AP46" s="211">
        <v>73</v>
      </c>
      <c r="AQ46" s="211">
        <v>0</v>
      </c>
      <c r="AR46" s="211">
        <v>0</v>
      </c>
      <c r="AS46" s="211">
        <v>0</v>
      </c>
    </row>
    <row r="47" spans="1:45" ht="15.95" customHeight="1">
      <c r="A47" s="76" t="s">
        <v>291</v>
      </c>
      <c r="B47" s="371">
        <f t="shared" si="14"/>
        <v>45324</v>
      </c>
      <c r="C47" s="344">
        <f>SUM(E47:G47,N47,R47,T47:V47)</f>
        <v>1726</v>
      </c>
      <c r="D47" s="372">
        <f t="shared" si="15"/>
        <v>12004</v>
      </c>
      <c r="E47" s="373">
        <v>40</v>
      </c>
      <c r="F47" s="373">
        <v>436</v>
      </c>
      <c r="G47" s="258">
        <v>559</v>
      </c>
      <c r="H47" s="328">
        <v>20</v>
      </c>
      <c r="I47" s="328">
        <v>1523</v>
      </c>
      <c r="J47" s="328">
        <v>4160</v>
      </c>
      <c r="K47" s="329">
        <v>119</v>
      </c>
      <c r="L47" s="328">
        <v>2191</v>
      </c>
      <c r="M47" s="205">
        <v>0</v>
      </c>
      <c r="N47" s="257">
        <v>118</v>
      </c>
      <c r="O47" s="215">
        <v>7</v>
      </c>
      <c r="P47" s="215">
        <v>296</v>
      </c>
      <c r="Q47" s="258">
        <v>84</v>
      </c>
      <c r="R47" s="344">
        <v>0</v>
      </c>
      <c r="S47" s="345">
        <v>0</v>
      </c>
      <c r="T47" s="306">
        <v>63</v>
      </c>
      <c r="U47" s="197">
        <v>510</v>
      </c>
      <c r="V47" s="197">
        <v>0</v>
      </c>
      <c r="W47" s="197">
        <v>156</v>
      </c>
      <c r="X47" s="197">
        <v>1462</v>
      </c>
      <c r="Y47" s="197">
        <v>1383</v>
      </c>
      <c r="Z47" s="300">
        <v>216</v>
      </c>
      <c r="AA47" s="257">
        <v>0</v>
      </c>
      <c r="AB47" s="215">
        <v>100</v>
      </c>
      <c r="AC47" s="215">
        <v>5</v>
      </c>
      <c r="AD47" s="215">
        <v>33</v>
      </c>
      <c r="AE47" s="215">
        <v>1</v>
      </c>
      <c r="AF47" s="215">
        <v>13</v>
      </c>
      <c r="AG47" s="215">
        <v>0</v>
      </c>
      <c r="AH47" s="215">
        <v>235</v>
      </c>
      <c r="AI47" s="344">
        <f t="shared" si="5"/>
        <v>31594</v>
      </c>
      <c r="AJ47" s="356">
        <v>30447</v>
      </c>
      <c r="AK47" s="328">
        <v>777</v>
      </c>
      <c r="AL47" s="349">
        <v>370</v>
      </c>
      <c r="AN47" s="209" t="s">
        <v>454</v>
      </c>
      <c r="AO47" s="210">
        <f t="shared" si="6"/>
        <v>2686</v>
      </c>
      <c r="AP47" s="209">
        <v>2661</v>
      </c>
      <c r="AQ47" s="209">
        <v>12</v>
      </c>
      <c r="AR47" s="209">
        <v>13</v>
      </c>
      <c r="AS47" s="209">
        <v>0</v>
      </c>
    </row>
    <row r="48" spans="1:45" ht="15.95" customHeight="1">
      <c r="A48" s="76" t="s">
        <v>290</v>
      </c>
      <c r="B48" s="371">
        <f t="shared" si="14"/>
        <v>21654</v>
      </c>
      <c r="C48" s="344">
        <f>SUM(E48:G48,N48,R48,T48:V48)</f>
        <v>1026</v>
      </c>
      <c r="D48" s="372">
        <f t="shared" si="15"/>
        <v>5760</v>
      </c>
      <c r="E48" s="373">
        <v>29</v>
      </c>
      <c r="F48" s="373">
        <v>253</v>
      </c>
      <c r="G48" s="258">
        <v>293</v>
      </c>
      <c r="H48" s="328">
        <v>8</v>
      </c>
      <c r="I48" s="328">
        <v>703</v>
      </c>
      <c r="J48" s="328">
        <v>2095</v>
      </c>
      <c r="K48" s="329">
        <v>91</v>
      </c>
      <c r="L48" s="328">
        <v>1247</v>
      </c>
      <c r="M48" s="205">
        <v>0</v>
      </c>
      <c r="N48" s="257">
        <v>89</v>
      </c>
      <c r="O48" s="215">
        <v>7</v>
      </c>
      <c r="P48" s="215">
        <v>195</v>
      </c>
      <c r="Q48" s="258">
        <v>43</v>
      </c>
      <c r="R48" s="344">
        <v>0</v>
      </c>
      <c r="S48" s="345">
        <v>0</v>
      </c>
      <c r="T48" s="306">
        <v>37</v>
      </c>
      <c r="U48" s="197">
        <v>325</v>
      </c>
      <c r="V48" s="197">
        <v>0</v>
      </c>
      <c r="W48" s="197">
        <v>50</v>
      </c>
      <c r="X48" s="197">
        <v>538</v>
      </c>
      <c r="Y48" s="197">
        <v>464</v>
      </c>
      <c r="Z48" s="300">
        <v>73</v>
      </c>
      <c r="AA48" s="257">
        <v>0</v>
      </c>
      <c r="AB48" s="215">
        <v>79</v>
      </c>
      <c r="AC48" s="215">
        <v>1</v>
      </c>
      <c r="AD48" s="215">
        <v>51</v>
      </c>
      <c r="AE48" s="215">
        <v>0</v>
      </c>
      <c r="AF48" s="215">
        <v>0</v>
      </c>
      <c r="AG48" s="215">
        <v>0</v>
      </c>
      <c r="AH48" s="215">
        <v>115</v>
      </c>
      <c r="AI48" s="344">
        <f t="shared" si="5"/>
        <v>14868</v>
      </c>
      <c r="AJ48" s="356">
        <v>14233</v>
      </c>
      <c r="AK48" s="328">
        <v>346</v>
      </c>
      <c r="AL48" s="349">
        <v>289</v>
      </c>
      <c r="AN48" s="211" t="s">
        <v>478</v>
      </c>
      <c r="AO48" s="210">
        <f t="shared" si="6"/>
        <v>4237</v>
      </c>
      <c r="AP48" s="211">
        <v>4206</v>
      </c>
      <c r="AQ48" s="211">
        <v>19</v>
      </c>
      <c r="AR48" s="211">
        <v>12</v>
      </c>
      <c r="AS48" s="211">
        <v>0</v>
      </c>
    </row>
    <row r="49" spans="1:45" ht="15.95" customHeight="1">
      <c r="A49" s="177" t="s">
        <v>262</v>
      </c>
      <c r="B49" s="368">
        <f t="shared" si="14"/>
        <v>536339</v>
      </c>
      <c r="C49" s="342">
        <f>SUM(C45:C48)</f>
        <v>20833</v>
      </c>
      <c r="D49" s="369">
        <f t="shared" si="15"/>
        <v>132982</v>
      </c>
      <c r="E49" s="370">
        <v>712</v>
      </c>
      <c r="F49" s="370">
        <v>4949</v>
      </c>
      <c r="G49" s="256">
        <v>7211</v>
      </c>
      <c r="H49" s="326">
        <v>1405</v>
      </c>
      <c r="I49" s="326">
        <v>18448</v>
      </c>
      <c r="J49" s="326">
        <v>40094</v>
      </c>
      <c r="K49" s="326">
        <v>1909</v>
      </c>
      <c r="L49" s="326">
        <v>22472</v>
      </c>
      <c r="M49" s="196">
        <v>5466</v>
      </c>
      <c r="N49" s="255">
        <v>1278</v>
      </c>
      <c r="O49" s="214">
        <v>182</v>
      </c>
      <c r="P49" s="214">
        <v>2921</v>
      </c>
      <c r="Q49" s="256">
        <v>827</v>
      </c>
      <c r="R49" s="342">
        <v>409</v>
      </c>
      <c r="S49" s="343">
        <v>190</v>
      </c>
      <c r="T49" s="307">
        <v>603</v>
      </c>
      <c r="U49" s="196">
        <v>5669</v>
      </c>
      <c r="V49" s="196">
        <v>2</v>
      </c>
      <c r="W49" s="196">
        <v>2128</v>
      </c>
      <c r="X49" s="196">
        <v>12210</v>
      </c>
      <c r="Y49" s="196">
        <v>15924</v>
      </c>
      <c r="Z49" s="204">
        <v>2686</v>
      </c>
      <c r="AA49" s="255">
        <v>2046</v>
      </c>
      <c r="AB49" s="214">
        <v>1116</v>
      </c>
      <c r="AC49" s="214">
        <v>75</v>
      </c>
      <c r="AD49" s="214">
        <v>614</v>
      </c>
      <c r="AE49" s="214">
        <v>20</v>
      </c>
      <c r="AF49" s="214">
        <v>27</v>
      </c>
      <c r="AG49" s="214">
        <v>1</v>
      </c>
      <c r="AH49" s="214">
        <v>2221</v>
      </c>
      <c r="AI49" s="342">
        <f t="shared" si="5"/>
        <v>382524</v>
      </c>
      <c r="AJ49" s="326">
        <v>369307</v>
      </c>
      <c r="AK49" s="326">
        <v>8216</v>
      </c>
      <c r="AL49" s="348">
        <v>5001</v>
      </c>
      <c r="AN49" s="211" t="s">
        <v>479</v>
      </c>
      <c r="AO49" s="210">
        <f t="shared" si="6"/>
        <v>2061</v>
      </c>
      <c r="AP49" s="211">
        <v>2004</v>
      </c>
      <c r="AQ49" s="211">
        <v>21</v>
      </c>
      <c r="AR49" s="211">
        <v>36</v>
      </c>
      <c r="AS49" s="211">
        <v>0</v>
      </c>
    </row>
    <row r="50" spans="1:45" ht="15.95" customHeight="1">
      <c r="A50" s="76" t="s">
        <v>289</v>
      </c>
      <c r="B50" s="371">
        <f t="shared" si="14"/>
        <v>676153</v>
      </c>
      <c r="C50" s="344">
        <f t="shared" ref="C50:C59" si="17">SUM(E50:G50,N50,R50,T50:V50)</f>
        <v>32184</v>
      </c>
      <c r="D50" s="372">
        <f t="shared" si="15"/>
        <v>173017</v>
      </c>
      <c r="E50" s="373">
        <v>1307</v>
      </c>
      <c r="F50" s="373">
        <v>6930</v>
      </c>
      <c r="G50" s="258">
        <v>14439</v>
      </c>
      <c r="H50" s="328">
        <v>2907</v>
      </c>
      <c r="I50" s="328">
        <v>28744</v>
      </c>
      <c r="J50" s="328">
        <v>44984</v>
      </c>
      <c r="K50" s="329">
        <v>2566</v>
      </c>
      <c r="L50" s="328">
        <v>31195</v>
      </c>
      <c r="M50" s="205">
        <v>17405</v>
      </c>
      <c r="N50" s="257">
        <v>0</v>
      </c>
      <c r="O50" s="215">
        <v>0</v>
      </c>
      <c r="P50" s="215">
        <v>0</v>
      </c>
      <c r="Q50" s="258">
        <v>0</v>
      </c>
      <c r="R50" s="344">
        <v>1105</v>
      </c>
      <c r="S50" s="345">
        <v>637</v>
      </c>
      <c r="T50" s="306">
        <v>664</v>
      </c>
      <c r="U50" s="197">
        <v>7732</v>
      </c>
      <c r="V50" s="197">
        <v>7</v>
      </c>
      <c r="W50" s="197">
        <v>5075</v>
      </c>
      <c r="X50" s="197">
        <v>15253</v>
      </c>
      <c r="Y50" s="197">
        <v>17680</v>
      </c>
      <c r="Z50" s="300">
        <v>4237</v>
      </c>
      <c r="AA50" s="257">
        <v>0</v>
      </c>
      <c r="AB50" s="215">
        <v>0</v>
      </c>
      <c r="AC50" s="215">
        <v>0</v>
      </c>
      <c r="AD50" s="215">
        <v>0</v>
      </c>
      <c r="AE50" s="215">
        <v>0</v>
      </c>
      <c r="AF50" s="215">
        <v>42</v>
      </c>
      <c r="AG50" s="215">
        <v>0</v>
      </c>
      <c r="AH50" s="215">
        <v>2292</v>
      </c>
      <c r="AI50" s="344">
        <f t="shared" si="5"/>
        <v>470952</v>
      </c>
      <c r="AJ50" s="356">
        <v>463504</v>
      </c>
      <c r="AK50" s="352">
        <v>0</v>
      </c>
      <c r="AL50" s="349">
        <v>7448</v>
      </c>
      <c r="AN50" s="211" t="s">
        <v>480</v>
      </c>
      <c r="AO50" s="210">
        <f t="shared" si="6"/>
        <v>318</v>
      </c>
      <c r="AP50" s="211">
        <v>302</v>
      </c>
      <c r="AQ50" s="211">
        <v>8</v>
      </c>
      <c r="AR50" s="211">
        <v>8</v>
      </c>
      <c r="AS50" s="211">
        <v>0</v>
      </c>
    </row>
    <row r="51" spans="1:45" ht="15.95" customHeight="1">
      <c r="A51" s="76" t="s">
        <v>404</v>
      </c>
      <c r="B51" s="371">
        <f t="shared" si="14"/>
        <v>32324</v>
      </c>
      <c r="C51" s="344">
        <f t="shared" si="17"/>
        <v>2303</v>
      </c>
      <c r="D51" s="372">
        <f t="shared" si="15"/>
        <v>16025</v>
      </c>
      <c r="E51" s="373"/>
      <c r="F51" s="373"/>
      <c r="G51" s="258">
        <v>0</v>
      </c>
      <c r="H51" s="326">
        <v>0</v>
      </c>
      <c r="I51" s="326">
        <v>0</v>
      </c>
      <c r="J51" s="326">
        <v>0</v>
      </c>
      <c r="K51" s="326">
        <v>0</v>
      </c>
      <c r="L51" s="326">
        <v>0</v>
      </c>
      <c r="M51" s="196">
        <v>0</v>
      </c>
      <c r="N51" s="257">
        <v>2303</v>
      </c>
      <c r="O51" s="215">
        <v>293</v>
      </c>
      <c r="P51" s="215">
        <v>5188</v>
      </c>
      <c r="Q51" s="258">
        <v>1298</v>
      </c>
      <c r="R51" s="344">
        <v>0</v>
      </c>
      <c r="S51" s="345">
        <v>0</v>
      </c>
      <c r="T51" s="308">
        <v>0</v>
      </c>
      <c r="U51" s="198">
        <v>0</v>
      </c>
      <c r="V51" s="198">
        <v>0</v>
      </c>
      <c r="W51" s="198">
        <v>0</v>
      </c>
      <c r="X51" s="198">
        <v>0</v>
      </c>
      <c r="Y51" s="198">
        <v>0</v>
      </c>
      <c r="Z51" s="301">
        <v>0</v>
      </c>
      <c r="AA51" s="257">
        <v>5334</v>
      </c>
      <c r="AB51" s="215">
        <v>2642</v>
      </c>
      <c r="AC51" s="215">
        <v>252</v>
      </c>
      <c r="AD51" s="215">
        <v>912</v>
      </c>
      <c r="AE51" s="215">
        <v>51</v>
      </c>
      <c r="AF51" s="215">
        <v>0</v>
      </c>
      <c r="AG51" s="215">
        <v>9</v>
      </c>
      <c r="AH51" s="215">
        <v>46</v>
      </c>
      <c r="AI51" s="344">
        <f t="shared" si="5"/>
        <v>13996</v>
      </c>
      <c r="AJ51" s="356">
        <v>0</v>
      </c>
      <c r="AK51" s="328">
        <v>13996</v>
      </c>
      <c r="AL51" s="349">
        <v>0</v>
      </c>
      <c r="AN51" s="211" t="s">
        <v>481</v>
      </c>
      <c r="AO51" s="210">
        <f t="shared" si="6"/>
        <v>422</v>
      </c>
      <c r="AP51" s="211">
        <v>419</v>
      </c>
      <c r="AQ51" s="211">
        <v>1</v>
      </c>
      <c r="AR51" s="211">
        <v>2</v>
      </c>
      <c r="AS51" s="211">
        <v>0</v>
      </c>
    </row>
    <row r="52" spans="1:45" ht="15.95" customHeight="1">
      <c r="A52" s="76" t="s">
        <v>279</v>
      </c>
      <c r="B52" s="371">
        <f t="shared" si="14"/>
        <v>219109</v>
      </c>
      <c r="C52" s="344">
        <f t="shared" si="17"/>
        <v>14256</v>
      </c>
      <c r="D52" s="372">
        <f t="shared" si="15"/>
        <v>70638</v>
      </c>
      <c r="E52" s="373">
        <v>366</v>
      </c>
      <c r="F52" s="373">
        <v>2653</v>
      </c>
      <c r="G52" s="258">
        <v>5427</v>
      </c>
      <c r="H52" s="328">
        <v>657</v>
      </c>
      <c r="I52" s="328">
        <v>10586</v>
      </c>
      <c r="J52" s="328">
        <v>21334</v>
      </c>
      <c r="K52" s="329">
        <v>962</v>
      </c>
      <c r="L52" s="328">
        <v>13655</v>
      </c>
      <c r="M52" s="205">
        <v>0</v>
      </c>
      <c r="N52" s="257">
        <v>0</v>
      </c>
      <c r="O52" s="215">
        <v>0</v>
      </c>
      <c r="P52" s="215">
        <v>0</v>
      </c>
      <c r="Q52" s="258">
        <v>0</v>
      </c>
      <c r="R52" s="344">
        <v>0</v>
      </c>
      <c r="S52" s="345">
        <v>1</v>
      </c>
      <c r="T52" s="306">
        <v>368</v>
      </c>
      <c r="U52" s="197">
        <v>5439</v>
      </c>
      <c r="V52" s="197">
        <v>3</v>
      </c>
      <c r="W52" s="197">
        <v>3376</v>
      </c>
      <c r="X52" s="197">
        <v>8827</v>
      </c>
      <c r="Y52" s="197">
        <v>7792</v>
      </c>
      <c r="Z52" s="300">
        <v>2061</v>
      </c>
      <c r="AA52" s="257">
        <v>0</v>
      </c>
      <c r="AB52" s="215">
        <v>0</v>
      </c>
      <c r="AC52" s="215">
        <v>0</v>
      </c>
      <c r="AD52" s="215">
        <v>0</v>
      </c>
      <c r="AE52" s="215">
        <v>0</v>
      </c>
      <c r="AF52" s="215">
        <v>15</v>
      </c>
      <c r="AG52" s="215">
        <v>0</v>
      </c>
      <c r="AH52" s="215">
        <v>1372</v>
      </c>
      <c r="AI52" s="344">
        <f t="shared" si="5"/>
        <v>134215</v>
      </c>
      <c r="AJ52" s="356">
        <v>132097</v>
      </c>
      <c r="AK52" s="352">
        <v>0</v>
      </c>
      <c r="AL52" s="349">
        <v>2118</v>
      </c>
      <c r="AN52" s="211" t="s">
        <v>482</v>
      </c>
      <c r="AO52" s="210">
        <f t="shared" si="6"/>
        <v>677</v>
      </c>
      <c r="AP52" s="211">
        <v>666</v>
      </c>
      <c r="AQ52" s="211">
        <v>6</v>
      </c>
      <c r="AR52" s="211">
        <v>5</v>
      </c>
      <c r="AS52" s="211">
        <v>0</v>
      </c>
    </row>
    <row r="53" spans="1:45" ht="15.95" customHeight="1">
      <c r="A53" s="76" t="s">
        <v>288</v>
      </c>
      <c r="B53" s="371">
        <f t="shared" si="14"/>
        <v>59287</v>
      </c>
      <c r="C53" s="344">
        <f t="shared" si="17"/>
        <v>3524</v>
      </c>
      <c r="D53" s="372">
        <f t="shared" si="15"/>
        <v>18051</v>
      </c>
      <c r="E53" s="373">
        <v>83</v>
      </c>
      <c r="F53" s="373">
        <v>646</v>
      </c>
      <c r="G53" s="258">
        <v>1231</v>
      </c>
      <c r="H53" s="328">
        <v>30</v>
      </c>
      <c r="I53" s="328">
        <v>2565</v>
      </c>
      <c r="J53" s="328">
        <v>6158</v>
      </c>
      <c r="K53" s="329">
        <v>142</v>
      </c>
      <c r="L53" s="328">
        <v>3287</v>
      </c>
      <c r="M53" s="205">
        <v>0</v>
      </c>
      <c r="N53" s="257">
        <v>243</v>
      </c>
      <c r="O53" s="215">
        <v>13</v>
      </c>
      <c r="P53" s="215">
        <v>548</v>
      </c>
      <c r="Q53" s="258">
        <v>158</v>
      </c>
      <c r="R53" s="344">
        <v>0</v>
      </c>
      <c r="S53" s="345">
        <v>0</v>
      </c>
      <c r="T53" s="306">
        <v>82</v>
      </c>
      <c r="U53" s="197">
        <v>1228</v>
      </c>
      <c r="V53" s="197">
        <v>11</v>
      </c>
      <c r="W53" s="197">
        <v>359</v>
      </c>
      <c r="X53" s="197">
        <v>1741</v>
      </c>
      <c r="Y53" s="197">
        <v>1978</v>
      </c>
      <c r="Z53" s="300">
        <v>318</v>
      </c>
      <c r="AA53" s="257">
        <v>0</v>
      </c>
      <c r="AB53" s="215">
        <v>270</v>
      </c>
      <c r="AC53" s="215">
        <v>15</v>
      </c>
      <c r="AD53" s="215">
        <v>80</v>
      </c>
      <c r="AE53" s="215">
        <v>5</v>
      </c>
      <c r="AF53" s="215">
        <v>9</v>
      </c>
      <c r="AG53" s="215">
        <v>0</v>
      </c>
      <c r="AH53" s="215">
        <v>375</v>
      </c>
      <c r="AI53" s="344">
        <f t="shared" si="5"/>
        <v>37712</v>
      </c>
      <c r="AJ53" s="356">
        <v>35421</v>
      </c>
      <c r="AK53" s="328">
        <v>1395</v>
      </c>
      <c r="AL53" s="349">
        <v>896</v>
      </c>
      <c r="AN53" s="211" t="s">
        <v>483</v>
      </c>
      <c r="AO53" s="210">
        <f t="shared" si="6"/>
        <v>752</v>
      </c>
      <c r="AP53" s="211">
        <v>744</v>
      </c>
      <c r="AQ53" s="211">
        <v>7</v>
      </c>
      <c r="AR53" s="211">
        <v>1</v>
      </c>
      <c r="AS53" s="211">
        <v>0</v>
      </c>
    </row>
    <row r="54" spans="1:45" ht="15.95" customHeight="1">
      <c r="A54" s="76" t="s">
        <v>287</v>
      </c>
      <c r="B54" s="371">
        <f t="shared" si="14"/>
        <v>87806</v>
      </c>
      <c r="C54" s="344">
        <f t="shared" si="17"/>
        <v>3938</v>
      </c>
      <c r="D54" s="372">
        <f t="shared" si="15"/>
        <v>21281</v>
      </c>
      <c r="E54" s="373">
        <v>166</v>
      </c>
      <c r="F54" s="373">
        <v>884</v>
      </c>
      <c r="G54" s="258">
        <v>1403</v>
      </c>
      <c r="H54" s="328">
        <v>40</v>
      </c>
      <c r="I54" s="328">
        <v>2817</v>
      </c>
      <c r="J54" s="328">
        <v>7770</v>
      </c>
      <c r="K54" s="329">
        <v>219</v>
      </c>
      <c r="L54" s="328">
        <v>4188</v>
      </c>
      <c r="M54" s="205">
        <v>0</v>
      </c>
      <c r="N54" s="257">
        <v>171</v>
      </c>
      <c r="O54" s="215">
        <v>20</v>
      </c>
      <c r="P54" s="215">
        <v>479</v>
      </c>
      <c r="Q54" s="258">
        <v>121</v>
      </c>
      <c r="R54" s="344">
        <v>0</v>
      </c>
      <c r="S54" s="345">
        <v>0</v>
      </c>
      <c r="T54" s="306">
        <v>101</v>
      </c>
      <c r="U54" s="197">
        <v>1213</v>
      </c>
      <c r="V54" s="197">
        <v>0</v>
      </c>
      <c r="W54" s="197">
        <v>327</v>
      </c>
      <c r="X54" s="197">
        <v>2555</v>
      </c>
      <c r="Y54" s="197">
        <v>1588</v>
      </c>
      <c r="Z54" s="300">
        <v>422</v>
      </c>
      <c r="AA54" s="257">
        <v>0</v>
      </c>
      <c r="AB54" s="215">
        <v>185</v>
      </c>
      <c r="AC54" s="215">
        <v>16</v>
      </c>
      <c r="AD54" s="215">
        <v>45</v>
      </c>
      <c r="AE54" s="215">
        <v>0</v>
      </c>
      <c r="AF54" s="215">
        <v>4</v>
      </c>
      <c r="AG54" s="215">
        <v>3</v>
      </c>
      <c r="AH54" s="215">
        <v>482</v>
      </c>
      <c r="AI54" s="344">
        <f t="shared" si="5"/>
        <v>62587</v>
      </c>
      <c r="AJ54" s="356">
        <v>60844</v>
      </c>
      <c r="AK54" s="328">
        <v>1117</v>
      </c>
      <c r="AL54" s="349">
        <v>626</v>
      </c>
      <c r="AN54" s="211" t="s">
        <v>484</v>
      </c>
      <c r="AO54" s="210">
        <f t="shared" si="6"/>
        <v>141</v>
      </c>
      <c r="AP54" s="211">
        <v>133</v>
      </c>
      <c r="AQ54" s="211">
        <v>4</v>
      </c>
      <c r="AR54" s="211">
        <v>4</v>
      </c>
      <c r="AS54" s="211">
        <v>0</v>
      </c>
    </row>
    <row r="55" spans="1:45" ht="15.95" customHeight="1">
      <c r="A55" s="76" t="s">
        <v>286</v>
      </c>
      <c r="B55" s="371">
        <f t="shared" si="14"/>
        <v>133448</v>
      </c>
      <c r="C55" s="344">
        <f t="shared" si="17"/>
        <v>6736</v>
      </c>
      <c r="D55" s="372">
        <f t="shared" si="15"/>
        <v>39946</v>
      </c>
      <c r="E55" s="373">
        <v>174</v>
      </c>
      <c r="F55" s="373">
        <v>1310</v>
      </c>
      <c r="G55" s="258">
        <v>2780</v>
      </c>
      <c r="H55" s="328">
        <v>79</v>
      </c>
      <c r="I55" s="328">
        <v>5788</v>
      </c>
      <c r="J55" s="328">
        <v>14723</v>
      </c>
      <c r="K55" s="329">
        <v>434</v>
      </c>
      <c r="L55" s="328">
        <v>7439</v>
      </c>
      <c r="M55" s="205">
        <v>0</v>
      </c>
      <c r="N55" s="257">
        <v>360</v>
      </c>
      <c r="O55" s="215">
        <v>28</v>
      </c>
      <c r="P55" s="215">
        <v>765</v>
      </c>
      <c r="Q55" s="258">
        <v>218</v>
      </c>
      <c r="R55" s="344">
        <v>0</v>
      </c>
      <c r="S55" s="345">
        <v>0</v>
      </c>
      <c r="T55" s="306">
        <v>135</v>
      </c>
      <c r="U55" s="197">
        <v>1977</v>
      </c>
      <c r="V55" s="197">
        <v>0</v>
      </c>
      <c r="W55" s="197">
        <v>355</v>
      </c>
      <c r="X55" s="197">
        <v>4200</v>
      </c>
      <c r="Y55" s="197">
        <v>4025</v>
      </c>
      <c r="Z55" s="300">
        <v>677</v>
      </c>
      <c r="AA55" s="257">
        <v>0</v>
      </c>
      <c r="AB55" s="215">
        <v>339</v>
      </c>
      <c r="AC55" s="215">
        <v>17</v>
      </c>
      <c r="AD55" s="215">
        <v>117</v>
      </c>
      <c r="AE55" s="215">
        <v>27</v>
      </c>
      <c r="AF55" s="215">
        <v>14</v>
      </c>
      <c r="AG55" s="215">
        <v>0</v>
      </c>
      <c r="AH55" s="215">
        <v>701</v>
      </c>
      <c r="AI55" s="344">
        <f t="shared" si="5"/>
        <v>86766</v>
      </c>
      <c r="AJ55" s="356">
        <v>82865</v>
      </c>
      <c r="AK55" s="328">
        <v>2479</v>
      </c>
      <c r="AL55" s="349">
        <v>1422</v>
      </c>
      <c r="AN55" s="211" t="s">
        <v>485</v>
      </c>
      <c r="AO55" s="210">
        <f t="shared" si="6"/>
        <v>113</v>
      </c>
      <c r="AP55" s="211">
        <v>110</v>
      </c>
      <c r="AQ55" s="211">
        <v>2</v>
      </c>
      <c r="AR55" s="211">
        <v>1</v>
      </c>
      <c r="AS55" s="211">
        <v>0</v>
      </c>
    </row>
    <row r="56" spans="1:45" ht="15.95" customHeight="1">
      <c r="A56" s="76" t="s">
        <v>285</v>
      </c>
      <c r="B56" s="371">
        <f t="shared" si="14"/>
        <v>84098</v>
      </c>
      <c r="C56" s="344">
        <f t="shared" si="17"/>
        <v>6897</v>
      </c>
      <c r="D56" s="372">
        <f t="shared" si="15"/>
        <v>39159</v>
      </c>
      <c r="E56" s="373">
        <v>127</v>
      </c>
      <c r="F56" s="373">
        <v>1253</v>
      </c>
      <c r="G56" s="258">
        <v>2487</v>
      </c>
      <c r="H56" s="328">
        <v>73</v>
      </c>
      <c r="I56" s="328">
        <v>6230</v>
      </c>
      <c r="J56" s="328">
        <v>13025</v>
      </c>
      <c r="K56" s="329">
        <v>478</v>
      </c>
      <c r="L56" s="328">
        <v>6334</v>
      </c>
      <c r="M56" s="205">
        <v>0</v>
      </c>
      <c r="N56" s="257">
        <v>402</v>
      </c>
      <c r="O56" s="215">
        <v>28</v>
      </c>
      <c r="P56" s="215">
        <v>849</v>
      </c>
      <c r="Q56" s="258">
        <v>249</v>
      </c>
      <c r="R56" s="344">
        <v>0</v>
      </c>
      <c r="S56" s="345">
        <v>0</v>
      </c>
      <c r="T56" s="306">
        <v>130</v>
      </c>
      <c r="U56" s="197">
        <v>2494</v>
      </c>
      <c r="V56" s="197">
        <v>4</v>
      </c>
      <c r="W56" s="197">
        <v>746</v>
      </c>
      <c r="X56" s="197">
        <v>3963</v>
      </c>
      <c r="Y56" s="197">
        <v>5285</v>
      </c>
      <c r="Z56" s="300">
        <v>752</v>
      </c>
      <c r="AA56" s="257">
        <v>0</v>
      </c>
      <c r="AB56" s="215">
        <v>301</v>
      </c>
      <c r="AC56" s="215">
        <v>16</v>
      </c>
      <c r="AD56" s="215">
        <v>178</v>
      </c>
      <c r="AE56" s="215">
        <v>3</v>
      </c>
      <c r="AF56" s="215">
        <v>19</v>
      </c>
      <c r="AG56" s="215">
        <v>1</v>
      </c>
      <c r="AH56" s="215">
        <v>629</v>
      </c>
      <c r="AI56" s="344">
        <f t="shared" si="5"/>
        <v>38042</v>
      </c>
      <c r="AJ56" s="356">
        <v>34021</v>
      </c>
      <c r="AK56" s="328">
        <v>2934</v>
      </c>
      <c r="AL56" s="349">
        <v>1087</v>
      </c>
      <c r="AN56" s="211" t="s">
        <v>486</v>
      </c>
      <c r="AO56" s="210">
        <f t="shared" si="6"/>
        <v>123</v>
      </c>
      <c r="AP56" s="211">
        <v>123</v>
      </c>
      <c r="AQ56" s="211">
        <v>0</v>
      </c>
      <c r="AR56" s="211">
        <v>0</v>
      </c>
      <c r="AS56" s="211">
        <v>0</v>
      </c>
    </row>
    <row r="57" spans="1:45" ht="15.95" customHeight="1">
      <c r="A57" s="76" t="s">
        <v>284</v>
      </c>
      <c r="B57" s="371">
        <f t="shared" ref="B57:B88" si="18">SUM(AI57+D57+C57)</f>
        <v>44612</v>
      </c>
      <c r="C57" s="344">
        <f t="shared" si="17"/>
        <v>2338</v>
      </c>
      <c r="D57" s="372">
        <f t="shared" si="15"/>
        <v>12616</v>
      </c>
      <c r="E57" s="373">
        <v>38</v>
      </c>
      <c r="F57" s="373">
        <v>598</v>
      </c>
      <c r="G57" s="258">
        <v>841</v>
      </c>
      <c r="H57" s="328">
        <v>99</v>
      </c>
      <c r="I57" s="328">
        <v>1552</v>
      </c>
      <c r="J57" s="328">
        <v>4328</v>
      </c>
      <c r="K57" s="329">
        <v>95</v>
      </c>
      <c r="L57" s="328">
        <v>2505</v>
      </c>
      <c r="M57" s="205">
        <v>0</v>
      </c>
      <c r="N57" s="257">
        <v>170</v>
      </c>
      <c r="O57" s="215">
        <v>15</v>
      </c>
      <c r="P57" s="215">
        <v>337</v>
      </c>
      <c r="Q57" s="258">
        <v>98</v>
      </c>
      <c r="R57" s="344">
        <v>0</v>
      </c>
      <c r="S57" s="345">
        <v>0</v>
      </c>
      <c r="T57" s="306">
        <v>48</v>
      </c>
      <c r="U57" s="197">
        <v>643</v>
      </c>
      <c r="V57" s="197">
        <v>0</v>
      </c>
      <c r="W57" s="197">
        <v>500</v>
      </c>
      <c r="X57" s="197">
        <v>1042</v>
      </c>
      <c r="Y57" s="197">
        <v>1438</v>
      </c>
      <c r="Z57" s="300">
        <v>141</v>
      </c>
      <c r="AA57" s="257">
        <v>0</v>
      </c>
      <c r="AB57" s="215">
        <v>114</v>
      </c>
      <c r="AC57" s="215">
        <v>6</v>
      </c>
      <c r="AD57" s="215">
        <v>44</v>
      </c>
      <c r="AE57" s="215">
        <v>2</v>
      </c>
      <c r="AF57" s="215">
        <v>3</v>
      </c>
      <c r="AG57" s="215">
        <v>0</v>
      </c>
      <c r="AH57" s="215">
        <v>297</v>
      </c>
      <c r="AI57" s="344">
        <f t="shared" si="5"/>
        <v>29658</v>
      </c>
      <c r="AJ57" s="356">
        <v>28275</v>
      </c>
      <c r="AK57" s="328">
        <v>854</v>
      </c>
      <c r="AL57" s="349">
        <v>529</v>
      </c>
      <c r="AN57" s="209" t="s">
        <v>454</v>
      </c>
      <c r="AO57" s="210">
        <f t="shared" si="6"/>
        <v>8844</v>
      </c>
      <c r="AP57" s="209">
        <v>8707</v>
      </c>
      <c r="AQ57" s="209">
        <v>68</v>
      </c>
      <c r="AR57" s="209">
        <v>69</v>
      </c>
      <c r="AS57" s="209">
        <v>0</v>
      </c>
    </row>
    <row r="58" spans="1:45" ht="15.95" customHeight="1">
      <c r="A58" s="76" t="s">
        <v>283</v>
      </c>
      <c r="B58" s="371">
        <f t="shared" si="18"/>
        <v>29421</v>
      </c>
      <c r="C58" s="344">
        <f t="shared" si="17"/>
        <v>1012</v>
      </c>
      <c r="D58" s="372">
        <f t="shared" si="15"/>
        <v>5712</v>
      </c>
      <c r="E58" s="373">
        <v>23</v>
      </c>
      <c r="F58" s="373">
        <v>256</v>
      </c>
      <c r="G58" s="258">
        <v>264</v>
      </c>
      <c r="H58" s="328">
        <v>9</v>
      </c>
      <c r="I58" s="328">
        <v>668</v>
      </c>
      <c r="J58" s="328">
        <v>1936</v>
      </c>
      <c r="K58" s="329">
        <v>44</v>
      </c>
      <c r="L58" s="328">
        <v>1151</v>
      </c>
      <c r="M58" s="205">
        <v>0</v>
      </c>
      <c r="N58" s="257">
        <v>68</v>
      </c>
      <c r="O58" s="215">
        <v>3</v>
      </c>
      <c r="P58" s="215">
        <v>191</v>
      </c>
      <c r="Q58" s="258">
        <v>25</v>
      </c>
      <c r="R58" s="344">
        <v>0</v>
      </c>
      <c r="S58" s="345">
        <v>0</v>
      </c>
      <c r="T58" s="306">
        <v>60</v>
      </c>
      <c r="U58" s="197">
        <v>340</v>
      </c>
      <c r="V58" s="197">
        <v>1</v>
      </c>
      <c r="W58" s="197">
        <v>42</v>
      </c>
      <c r="X58" s="197">
        <v>697</v>
      </c>
      <c r="Y58" s="197">
        <v>622</v>
      </c>
      <c r="Z58" s="300">
        <v>113</v>
      </c>
      <c r="AA58" s="257">
        <v>0</v>
      </c>
      <c r="AB58" s="215">
        <v>57</v>
      </c>
      <c r="AC58" s="215">
        <v>2</v>
      </c>
      <c r="AD58" s="215">
        <v>23</v>
      </c>
      <c r="AE58" s="215">
        <v>0</v>
      </c>
      <c r="AF58" s="215">
        <v>15</v>
      </c>
      <c r="AG58" s="215">
        <v>0</v>
      </c>
      <c r="AH58" s="215">
        <v>114</v>
      </c>
      <c r="AI58" s="344">
        <f t="shared" si="5"/>
        <v>22697</v>
      </c>
      <c r="AJ58" s="356">
        <v>21921</v>
      </c>
      <c r="AK58" s="328">
        <v>365</v>
      </c>
      <c r="AL58" s="349">
        <v>411</v>
      </c>
      <c r="AN58" s="211" t="s">
        <v>487</v>
      </c>
      <c r="AO58" s="210">
        <f t="shared" si="6"/>
        <v>4464</v>
      </c>
      <c r="AP58" s="211">
        <v>4299</v>
      </c>
      <c r="AQ58" s="211">
        <v>73</v>
      </c>
      <c r="AR58" s="211">
        <v>92</v>
      </c>
      <c r="AS58" s="211">
        <v>0</v>
      </c>
    </row>
    <row r="59" spans="1:45" ht="15.95" customHeight="1">
      <c r="A59" s="76" t="s">
        <v>282</v>
      </c>
      <c r="B59" s="371">
        <f t="shared" si="18"/>
        <v>23787</v>
      </c>
      <c r="C59" s="344">
        <f t="shared" si="17"/>
        <v>1412</v>
      </c>
      <c r="D59" s="372">
        <f t="shared" si="15"/>
        <v>7583</v>
      </c>
      <c r="E59" s="373">
        <v>25</v>
      </c>
      <c r="F59" s="373">
        <v>366</v>
      </c>
      <c r="G59" s="258">
        <v>438</v>
      </c>
      <c r="H59" s="328">
        <v>23</v>
      </c>
      <c r="I59" s="328">
        <v>969</v>
      </c>
      <c r="J59" s="328">
        <v>2771</v>
      </c>
      <c r="K59" s="329">
        <v>82</v>
      </c>
      <c r="L59" s="328">
        <v>1468</v>
      </c>
      <c r="M59" s="205">
        <v>0</v>
      </c>
      <c r="N59" s="257">
        <v>84</v>
      </c>
      <c r="O59" s="215">
        <v>5</v>
      </c>
      <c r="P59" s="215">
        <v>198</v>
      </c>
      <c r="Q59" s="258">
        <v>38</v>
      </c>
      <c r="R59" s="344">
        <v>0</v>
      </c>
      <c r="S59" s="345">
        <v>0</v>
      </c>
      <c r="T59" s="306">
        <v>52</v>
      </c>
      <c r="U59" s="197">
        <v>445</v>
      </c>
      <c r="V59" s="197">
        <v>2</v>
      </c>
      <c r="W59" s="197">
        <v>73</v>
      </c>
      <c r="X59" s="197">
        <v>900</v>
      </c>
      <c r="Y59" s="197">
        <v>637</v>
      </c>
      <c r="Z59" s="300">
        <v>123</v>
      </c>
      <c r="AA59" s="257">
        <v>0</v>
      </c>
      <c r="AB59" s="215">
        <v>124</v>
      </c>
      <c r="AC59" s="215">
        <v>0</v>
      </c>
      <c r="AD59" s="215">
        <v>23</v>
      </c>
      <c r="AE59" s="215">
        <v>0</v>
      </c>
      <c r="AF59" s="215">
        <v>0</v>
      </c>
      <c r="AG59" s="215">
        <v>0</v>
      </c>
      <c r="AH59" s="215">
        <v>149</v>
      </c>
      <c r="AI59" s="344">
        <f t="shared" si="5"/>
        <v>14792</v>
      </c>
      <c r="AJ59" s="356">
        <v>13899</v>
      </c>
      <c r="AK59" s="328">
        <v>376</v>
      </c>
      <c r="AL59" s="349">
        <v>517</v>
      </c>
      <c r="AN59" s="211" t="s">
        <v>488</v>
      </c>
      <c r="AO59" s="210">
        <f t="shared" si="6"/>
        <v>1909</v>
      </c>
      <c r="AP59" s="211">
        <v>1896</v>
      </c>
      <c r="AQ59" s="211">
        <v>11</v>
      </c>
      <c r="AR59" s="211">
        <v>2</v>
      </c>
      <c r="AS59" s="211">
        <v>0</v>
      </c>
    </row>
    <row r="60" spans="1:45" ht="15.95" customHeight="1">
      <c r="A60" s="177" t="s">
        <v>262</v>
      </c>
      <c r="B60" s="368">
        <f t="shared" si="18"/>
        <v>1390045</v>
      </c>
      <c r="C60" s="342">
        <f>SUM(C50:C59)</f>
        <v>74600</v>
      </c>
      <c r="D60" s="369">
        <f t="shared" si="15"/>
        <v>404028</v>
      </c>
      <c r="E60" s="370">
        <v>2309</v>
      </c>
      <c r="F60" s="370">
        <v>14896</v>
      </c>
      <c r="G60" s="256">
        <v>29310</v>
      </c>
      <c r="H60" s="326">
        <v>3917</v>
      </c>
      <c r="I60" s="326">
        <v>59919</v>
      </c>
      <c r="J60" s="326">
        <v>117029</v>
      </c>
      <c r="K60" s="326">
        <v>5022</v>
      </c>
      <c r="L60" s="326">
        <v>71222</v>
      </c>
      <c r="M60" s="196">
        <v>17405</v>
      </c>
      <c r="N60" s="255">
        <v>3801</v>
      </c>
      <c r="O60" s="214">
        <v>405</v>
      </c>
      <c r="P60" s="214">
        <v>8555</v>
      </c>
      <c r="Q60" s="256">
        <v>2205</v>
      </c>
      <c r="R60" s="342">
        <v>1105</v>
      </c>
      <c r="S60" s="343">
        <v>638</v>
      </c>
      <c r="T60" s="307">
        <v>1640</v>
      </c>
      <c r="U60" s="196">
        <v>21511</v>
      </c>
      <c r="V60" s="196">
        <v>28</v>
      </c>
      <c r="W60" s="196">
        <v>10853</v>
      </c>
      <c r="X60" s="196">
        <v>39178</v>
      </c>
      <c r="Y60" s="196">
        <v>41045</v>
      </c>
      <c r="Z60" s="204">
        <v>8844</v>
      </c>
      <c r="AA60" s="255">
        <v>5334</v>
      </c>
      <c r="AB60" s="214">
        <v>4032</v>
      </c>
      <c r="AC60" s="214">
        <v>324</v>
      </c>
      <c r="AD60" s="214">
        <v>1422</v>
      </c>
      <c r="AE60" s="214">
        <v>88</v>
      </c>
      <c r="AF60" s="214">
        <v>121</v>
      </c>
      <c r="AG60" s="214">
        <v>13</v>
      </c>
      <c r="AH60" s="214">
        <v>6457</v>
      </c>
      <c r="AI60" s="342">
        <f t="shared" si="5"/>
        <v>911417</v>
      </c>
      <c r="AJ60" s="326">
        <v>872847</v>
      </c>
      <c r="AK60" s="326">
        <v>23516</v>
      </c>
      <c r="AL60" s="348">
        <v>15054</v>
      </c>
      <c r="AN60" s="211" t="s">
        <v>479</v>
      </c>
      <c r="AO60" s="210">
        <f t="shared" si="6"/>
        <v>2132</v>
      </c>
      <c r="AP60" s="211">
        <v>2093</v>
      </c>
      <c r="AQ60" s="211">
        <v>20</v>
      </c>
      <c r="AR60" s="211">
        <v>19</v>
      </c>
      <c r="AS60" s="211">
        <v>0</v>
      </c>
    </row>
    <row r="61" spans="1:45" ht="15.95" customHeight="1">
      <c r="A61" s="76" t="s">
        <v>281</v>
      </c>
      <c r="B61" s="371">
        <f t="shared" si="18"/>
        <v>398058</v>
      </c>
      <c r="C61" s="344">
        <f>SUM(E61:G61,N61,R61,T61:V61)</f>
        <v>30747</v>
      </c>
      <c r="D61" s="372">
        <f t="shared" si="15"/>
        <v>152017</v>
      </c>
      <c r="E61" s="373">
        <v>1168</v>
      </c>
      <c r="F61" s="373">
        <v>6751</v>
      </c>
      <c r="G61" s="258">
        <v>14868</v>
      </c>
      <c r="H61" s="328">
        <v>3472</v>
      </c>
      <c r="I61" s="328">
        <v>33532</v>
      </c>
      <c r="J61" s="328">
        <v>36628</v>
      </c>
      <c r="K61" s="329">
        <v>1439</v>
      </c>
      <c r="L61" s="328">
        <v>24297</v>
      </c>
      <c r="M61" s="205">
        <v>11828</v>
      </c>
      <c r="N61" s="257">
        <v>0</v>
      </c>
      <c r="O61" s="215">
        <v>0</v>
      </c>
      <c r="P61" s="215">
        <v>0</v>
      </c>
      <c r="Q61" s="258">
        <v>0</v>
      </c>
      <c r="R61" s="344">
        <v>998</v>
      </c>
      <c r="S61" s="345">
        <v>599</v>
      </c>
      <c r="T61" s="306">
        <v>749</v>
      </c>
      <c r="U61" s="197">
        <v>6211</v>
      </c>
      <c r="V61" s="197">
        <v>2</v>
      </c>
      <c r="W61" s="197">
        <v>4018</v>
      </c>
      <c r="X61" s="197">
        <v>11335</v>
      </c>
      <c r="Y61" s="197">
        <v>18900</v>
      </c>
      <c r="Z61" s="300">
        <v>4464</v>
      </c>
      <c r="AA61" s="257">
        <v>0</v>
      </c>
      <c r="AB61" s="215">
        <v>0</v>
      </c>
      <c r="AC61" s="215">
        <v>0</v>
      </c>
      <c r="AD61" s="215">
        <v>0</v>
      </c>
      <c r="AE61" s="215">
        <v>0</v>
      </c>
      <c r="AF61" s="215">
        <v>8</v>
      </c>
      <c r="AG61" s="263">
        <v>0</v>
      </c>
      <c r="AH61" s="263">
        <v>1497</v>
      </c>
      <c r="AI61" s="344">
        <f t="shared" si="5"/>
        <v>215294</v>
      </c>
      <c r="AJ61" s="356">
        <v>209446</v>
      </c>
      <c r="AK61" s="352">
        <v>0</v>
      </c>
      <c r="AL61" s="349">
        <v>5848</v>
      </c>
      <c r="AN61" s="209" t="s">
        <v>454</v>
      </c>
      <c r="AO61" s="210">
        <f t="shared" si="6"/>
        <v>8505</v>
      </c>
      <c r="AP61" s="209">
        <v>8288</v>
      </c>
      <c r="AQ61" s="209">
        <v>104</v>
      </c>
      <c r="AR61" s="209">
        <v>113</v>
      </c>
      <c r="AS61" s="209">
        <v>0</v>
      </c>
    </row>
    <row r="62" spans="1:45" ht="15.95" customHeight="1">
      <c r="A62" s="76" t="s">
        <v>411</v>
      </c>
      <c r="B62" s="371">
        <f t="shared" si="18"/>
        <v>34829</v>
      </c>
      <c r="C62" s="344">
        <f>SUM(E62:G62,N62,R62,T62:V62)</f>
        <v>2715</v>
      </c>
      <c r="D62" s="372">
        <f t="shared" si="15"/>
        <v>16166</v>
      </c>
      <c r="E62" s="373"/>
      <c r="F62" s="373"/>
      <c r="G62" s="258">
        <v>0</v>
      </c>
      <c r="H62" s="326">
        <v>0</v>
      </c>
      <c r="I62" s="326">
        <v>0</v>
      </c>
      <c r="J62" s="326">
        <v>0</v>
      </c>
      <c r="K62" s="326">
        <v>0</v>
      </c>
      <c r="L62" s="326">
        <v>0</v>
      </c>
      <c r="M62" s="196">
        <v>0</v>
      </c>
      <c r="N62" s="257">
        <v>2715</v>
      </c>
      <c r="O62" s="215">
        <v>320</v>
      </c>
      <c r="P62" s="215">
        <v>6776</v>
      </c>
      <c r="Q62" s="258">
        <v>1819</v>
      </c>
      <c r="R62" s="344">
        <v>0</v>
      </c>
      <c r="S62" s="345">
        <v>0</v>
      </c>
      <c r="T62" s="308">
        <v>0</v>
      </c>
      <c r="U62" s="198">
        <v>0</v>
      </c>
      <c r="V62" s="198">
        <v>0</v>
      </c>
      <c r="W62" s="198">
        <v>0</v>
      </c>
      <c r="X62" s="198">
        <v>0</v>
      </c>
      <c r="Y62" s="198">
        <v>0</v>
      </c>
      <c r="Z62" s="301">
        <v>0</v>
      </c>
      <c r="AA62" s="257">
        <v>3763</v>
      </c>
      <c r="AB62" s="215">
        <v>2209</v>
      </c>
      <c r="AC62" s="215">
        <v>131</v>
      </c>
      <c r="AD62" s="215">
        <v>955</v>
      </c>
      <c r="AE62" s="215">
        <v>106</v>
      </c>
      <c r="AF62" s="215">
        <v>0</v>
      </c>
      <c r="AG62" s="263">
        <v>11</v>
      </c>
      <c r="AH62" s="263">
        <v>76</v>
      </c>
      <c r="AI62" s="344">
        <f t="shared" si="5"/>
        <v>15948</v>
      </c>
      <c r="AJ62" s="356">
        <v>0</v>
      </c>
      <c r="AK62" s="357">
        <v>15948</v>
      </c>
      <c r="AL62" s="349">
        <v>0</v>
      </c>
      <c r="AN62" s="211" t="s">
        <v>489</v>
      </c>
      <c r="AO62" s="210">
        <f t="shared" si="6"/>
        <v>2406</v>
      </c>
      <c r="AP62" s="209">
        <v>2344</v>
      </c>
      <c r="AQ62" s="209">
        <v>29</v>
      </c>
      <c r="AR62" s="209">
        <v>33</v>
      </c>
      <c r="AS62" s="209">
        <v>0</v>
      </c>
    </row>
    <row r="63" spans="1:45" ht="15.95" customHeight="1">
      <c r="A63" s="76" t="s">
        <v>280</v>
      </c>
      <c r="B63" s="371">
        <f t="shared" si="18"/>
        <v>256211</v>
      </c>
      <c r="C63" s="344">
        <f>SUM(E63:G63,N63,R63,T63:V63)</f>
        <v>17405</v>
      </c>
      <c r="D63" s="372">
        <f t="shared" si="15"/>
        <v>97640</v>
      </c>
      <c r="E63" s="373">
        <v>721</v>
      </c>
      <c r="F63" s="373">
        <v>3588</v>
      </c>
      <c r="G63" s="258">
        <v>9182</v>
      </c>
      <c r="H63" s="328">
        <v>727</v>
      </c>
      <c r="I63" s="328">
        <v>27652</v>
      </c>
      <c r="J63" s="328">
        <v>26519</v>
      </c>
      <c r="K63" s="329">
        <v>985</v>
      </c>
      <c r="L63" s="328">
        <v>20231</v>
      </c>
      <c r="M63" s="205">
        <v>0</v>
      </c>
      <c r="N63" s="257">
        <v>0</v>
      </c>
      <c r="O63" s="215">
        <v>0</v>
      </c>
      <c r="P63" s="215">
        <v>0</v>
      </c>
      <c r="Q63" s="258">
        <v>0</v>
      </c>
      <c r="R63" s="344">
        <v>0</v>
      </c>
      <c r="S63" s="345">
        <v>0</v>
      </c>
      <c r="T63" s="306">
        <v>279</v>
      </c>
      <c r="U63" s="197">
        <v>3633</v>
      </c>
      <c r="V63" s="197">
        <v>2</v>
      </c>
      <c r="W63" s="197">
        <v>2430</v>
      </c>
      <c r="X63" s="197">
        <v>7439</v>
      </c>
      <c r="Y63" s="197">
        <v>8253</v>
      </c>
      <c r="Z63" s="300">
        <v>1909</v>
      </c>
      <c r="AA63" s="257">
        <v>0</v>
      </c>
      <c r="AB63" s="215">
        <v>0</v>
      </c>
      <c r="AC63" s="215">
        <v>0</v>
      </c>
      <c r="AD63" s="215">
        <v>0</v>
      </c>
      <c r="AE63" s="215">
        <v>0</v>
      </c>
      <c r="AF63" s="215">
        <v>8</v>
      </c>
      <c r="AG63" s="263">
        <v>0</v>
      </c>
      <c r="AH63" s="263">
        <v>1487</v>
      </c>
      <c r="AI63" s="344">
        <f t="shared" si="5"/>
        <v>141166</v>
      </c>
      <c r="AJ63" s="356">
        <v>138794</v>
      </c>
      <c r="AK63" s="352">
        <v>0</v>
      </c>
      <c r="AL63" s="349">
        <v>2372</v>
      </c>
      <c r="AN63" s="211" t="s">
        <v>490</v>
      </c>
      <c r="AO63" s="210">
        <f t="shared" si="6"/>
        <v>2513</v>
      </c>
      <c r="AP63" s="211">
        <v>2483</v>
      </c>
      <c r="AQ63" s="211">
        <v>19</v>
      </c>
      <c r="AR63" s="211">
        <v>11</v>
      </c>
      <c r="AS63" s="211">
        <v>0</v>
      </c>
    </row>
    <row r="64" spans="1:45" ht="15.95" customHeight="1">
      <c r="A64" s="76" t="s">
        <v>279</v>
      </c>
      <c r="B64" s="371">
        <f t="shared" si="18"/>
        <v>196779</v>
      </c>
      <c r="C64" s="344">
        <f>SUM(E64:G64,N64,R64,T64:V64)</f>
        <v>14353</v>
      </c>
      <c r="D64" s="372">
        <f t="shared" si="15"/>
        <v>81117</v>
      </c>
      <c r="E64" s="373">
        <v>442</v>
      </c>
      <c r="F64" s="373">
        <v>2856</v>
      </c>
      <c r="G64" s="258">
        <v>6650</v>
      </c>
      <c r="H64" s="328">
        <v>863</v>
      </c>
      <c r="I64" s="328">
        <v>10892</v>
      </c>
      <c r="J64" s="328">
        <v>27376</v>
      </c>
      <c r="K64" s="329">
        <v>1165</v>
      </c>
      <c r="L64" s="328">
        <v>14135</v>
      </c>
      <c r="M64" s="198">
        <v>0</v>
      </c>
      <c r="N64" s="257">
        <v>0</v>
      </c>
      <c r="O64" s="215">
        <v>0</v>
      </c>
      <c r="P64" s="215">
        <v>0</v>
      </c>
      <c r="Q64" s="258">
        <v>0</v>
      </c>
      <c r="R64" s="344">
        <v>0</v>
      </c>
      <c r="S64" s="345">
        <v>0</v>
      </c>
      <c r="T64" s="306">
        <v>384</v>
      </c>
      <c r="U64" s="197">
        <v>4020</v>
      </c>
      <c r="V64" s="197">
        <v>1</v>
      </c>
      <c r="W64" s="197">
        <v>2988</v>
      </c>
      <c r="X64" s="197">
        <v>10900</v>
      </c>
      <c r="Y64" s="197">
        <v>9203</v>
      </c>
      <c r="Z64" s="300">
        <v>2132</v>
      </c>
      <c r="AA64" s="257">
        <v>0</v>
      </c>
      <c r="AB64" s="215">
        <v>0</v>
      </c>
      <c r="AC64" s="215">
        <v>0</v>
      </c>
      <c r="AD64" s="215">
        <v>0</v>
      </c>
      <c r="AE64" s="215">
        <v>0</v>
      </c>
      <c r="AF64" s="215">
        <v>67</v>
      </c>
      <c r="AG64" s="263">
        <v>0</v>
      </c>
      <c r="AH64" s="263">
        <v>1396</v>
      </c>
      <c r="AI64" s="344">
        <f t="shared" si="5"/>
        <v>101309</v>
      </c>
      <c r="AJ64" s="356">
        <v>99791</v>
      </c>
      <c r="AK64" s="352">
        <v>0</v>
      </c>
      <c r="AL64" s="349">
        <v>1518</v>
      </c>
      <c r="AN64" s="211" t="s">
        <v>491</v>
      </c>
      <c r="AO64" s="210">
        <f t="shared" si="6"/>
        <v>784</v>
      </c>
      <c r="AP64" s="211">
        <v>771</v>
      </c>
      <c r="AQ64" s="211">
        <v>2</v>
      </c>
      <c r="AR64" s="211">
        <v>11</v>
      </c>
      <c r="AS64" s="211">
        <v>0</v>
      </c>
    </row>
    <row r="65" spans="1:45" ht="15.95" customHeight="1">
      <c r="A65" s="177" t="s">
        <v>262</v>
      </c>
      <c r="B65" s="374">
        <f t="shared" si="18"/>
        <v>885877</v>
      </c>
      <c r="C65" s="342">
        <f>SUM(C61:C64)</f>
        <v>65220</v>
      </c>
      <c r="D65" s="369">
        <f t="shared" si="15"/>
        <v>346940</v>
      </c>
      <c r="E65" s="370">
        <v>2331</v>
      </c>
      <c r="F65" s="370">
        <v>13195</v>
      </c>
      <c r="G65" s="256">
        <v>30700</v>
      </c>
      <c r="H65" s="326">
        <v>5062</v>
      </c>
      <c r="I65" s="326">
        <v>72076</v>
      </c>
      <c r="J65" s="326">
        <v>90523</v>
      </c>
      <c r="K65" s="326">
        <v>3589</v>
      </c>
      <c r="L65" s="326">
        <v>58663</v>
      </c>
      <c r="M65" s="196">
        <v>11828</v>
      </c>
      <c r="N65" s="255">
        <v>2715</v>
      </c>
      <c r="O65" s="214">
        <v>320</v>
      </c>
      <c r="P65" s="214">
        <v>6776</v>
      </c>
      <c r="Q65" s="256">
        <v>1819</v>
      </c>
      <c r="R65" s="342">
        <v>998</v>
      </c>
      <c r="S65" s="343">
        <v>599</v>
      </c>
      <c r="T65" s="307">
        <v>1412</v>
      </c>
      <c r="U65" s="196">
        <v>13864</v>
      </c>
      <c r="V65" s="196">
        <v>5</v>
      </c>
      <c r="W65" s="196">
        <v>9436</v>
      </c>
      <c r="X65" s="196">
        <v>29674</v>
      </c>
      <c r="Y65" s="196">
        <v>36356</v>
      </c>
      <c r="Z65" s="204">
        <v>8505</v>
      </c>
      <c r="AA65" s="255">
        <v>3763</v>
      </c>
      <c r="AB65" s="214">
        <v>2209</v>
      </c>
      <c r="AC65" s="214">
        <v>131</v>
      </c>
      <c r="AD65" s="214">
        <v>955</v>
      </c>
      <c r="AE65" s="214">
        <v>106</v>
      </c>
      <c r="AF65" s="214">
        <v>83</v>
      </c>
      <c r="AG65" s="214">
        <v>11</v>
      </c>
      <c r="AH65" s="214">
        <v>4456</v>
      </c>
      <c r="AI65" s="342">
        <f t="shared" si="5"/>
        <v>473717</v>
      </c>
      <c r="AJ65" s="326">
        <v>448031</v>
      </c>
      <c r="AK65" s="326">
        <v>15948</v>
      </c>
      <c r="AL65" s="348">
        <v>9738</v>
      </c>
      <c r="AN65" s="211" t="s">
        <v>492</v>
      </c>
      <c r="AO65" s="210">
        <f t="shared" si="6"/>
        <v>1129</v>
      </c>
      <c r="AP65" s="211">
        <v>1098</v>
      </c>
      <c r="AQ65" s="211">
        <v>22</v>
      </c>
      <c r="AR65" s="211">
        <v>9</v>
      </c>
      <c r="AS65" s="211">
        <v>0</v>
      </c>
    </row>
    <row r="66" spans="1:45" ht="15.95" customHeight="1">
      <c r="A66" s="76" t="s">
        <v>278</v>
      </c>
      <c r="B66" s="375">
        <f t="shared" si="18"/>
        <v>352306</v>
      </c>
      <c r="C66" s="344">
        <f>SUM(E66:G66,N66,R66,T66:V66)</f>
        <v>21256</v>
      </c>
      <c r="D66" s="372">
        <f t="shared" si="15"/>
        <v>119546</v>
      </c>
      <c r="E66" s="373">
        <v>753</v>
      </c>
      <c r="F66" s="373">
        <v>4007</v>
      </c>
      <c r="G66" s="258">
        <v>8940</v>
      </c>
      <c r="H66" s="328">
        <v>746</v>
      </c>
      <c r="I66" s="328">
        <v>16504</v>
      </c>
      <c r="J66" s="328">
        <v>38058</v>
      </c>
      <c r="K66" s="329">
        <v>1520</v>
      </c>
      <c r="L66" s="328">
        <v>21727</v>
      </c>
      <c r="M66" s="205">
        <v>5959</v>
      </c>
      <c r="N66" s="257">
        <v>0</v>
      </c>
      <c r="O66" s="215">
        <v>0</v>
      </c>
      <c r="P66" s="215">
        <v>0</v>
      </c>
      <c r="Q66" s="258">
        <v>0</v>
      </c>
      <c r="R66" s="344">
        <v>733</v>
      </c>
      <c r="S66" s="345">
        <v>295</v>
      </c>
      <c r="T66" s="306">
        <v>555</v>
      </c>
      <c r="U66" s="197">
        <v>6267</v>
      </c>
      <c r="V66" s="197">
        <v>1</v>
      </c>
      <c r="W66" s="197">
        <v>3672</v>
      </c>
      <c r="X66" s="197">
        <v>12762</v>
      </c>
      <c r="Y66" s="197">
        <v>14309</v>
      </c>
      <c r="Z66" s="300">
        <v>2406</v>
      </c>
      <c r="AA66" s="257">
        <v>0</v>
      </c>
      <c r="AB66" s="215">
        <v>0</v>
      </c>
      <c r="AC66" s="215">
        <v>0</v>
      </c>
      <c r="AD66" s="215">
        <v>0</v>
      </c>
      <c r="AE66" s="215">
        <v>0</v>
      </c>
      <c r="AF66" s="215">
        <v>41</v>
      </c>
      <c r="AG66" s="215">
        <v>0</v>
      </c>
      <c r="AH66" s="215">
        <v>1547</v>
      </c>
      <c r="AI66" s="344">
        <f t="shared" si="5"/>
        <v>211504</v>
      </c>
      <c r="AJ66" s="356">
        <v>206885</v>
      </c>
      <c r="AK66" s="352">
        <v>0</v>
      </c>
      <c r="AL66" s="349">
        <v>4619</v>
      </c>
      <c r="AN66" s="211" t="s">
        <v>493</v>
      </c>
      <c r="AO66" s="210">
        <f t="shared" si="6"/>
        <v>790</v>
      </c>
      <c r="AP66" s="211">
        <v>777</v>
      </c>
      <c r="AQ66" s="211">
        <v>6</v>
      </c>
      <c r="AR66" s="211">
        <v>7</v>
      </c>
      <c r="AS66" s="211">
        <v>0</v>
      </c>
    </row>
    <row r="67" spans="1:45" s="382" customFormat="1" ht="15.95" customHeight="1">
      <c r="A67" s="76" t="s">
        <v>412</v>
      </c>
      <c r="B67" s="375">
        <f t="shared" si="18"/>
        <v>15741</v>
      </c>
      <c r="C67" s="344">
        <f>SUM(E67:G67,N67,R67,T67:V67)</f>
        <v>1295</v>
      </c>
      <c r="D67" s="372">
        <f t="shared" si="15"/>
        <v>7165</v>
      </c>
      <c r="E67" s="373"/>
      <c r="F67" s="373"/>
      <c r="G67" s="258">
        <v>0</v>
      </c>
      <c r="H67" s="328">
        <v>0</v>
      </c>
      <c r="I67" s="328">
        <v>0</v>
      </c>
      <c r="J67" s="328">
        <v>0</v>
      </c>
      <c r="K67" s="329">
        <v>0</v>
      </c>
      <c r="L67" s="328">
        <v>0</v>
      </c>
      <c r="M67" s="205">
        <v>0</v>
      </c>
      <c r="N67" s="257">
        <v>1295</v>
      </c>
      <c r="O67" s="215">
        <v>137</v>
      </c>
      <c r="P67" s="215">
        <v>2535</v>
      </c>
      <c r="Q67" s="258">
        <v>910</v>
      </c>
      <c r="R67" s="344">
        <v>0</v>
      </c>
      <c r="S67" s="345">
        <v>0</v>
      </c>
      <c r="T67" s="306">
        <v>0</v>
      </c>
      <c r="U67" s="197">
        <v>0</v>
      </c>
      <c r="V67" s="197">
        <v>0</v>
      </c>
      <c r="W67" s="197">
        <v>0</v>
      </c>
      <c r="X67" s="197">
        <v>0</v>
      </c>
      <c r="Y67" s="197">
        <v>0</v>
      </c>
      <c r="Z67" s="300">
        <v>0</v>
      </c>
      <c r="AA67" s="257">
        <v>1912</v>
      </c>
      <c r="AB67" s="215">
        <v>801</v>
      </c>
      <c r="AC67" s="215">
        <v>84</v>
      </c>
      <c r="AD67" s="215">
        <v>537</v>
      </c>
      <c r="AE67" s="215">
        <v>212</v>
      </c>
      <c r="AF67" s="215">
        <v>0</v>
      </c>
      <c r="AG67" s="215">
        <v>2</v>
      </c>
      <c r="AH67" s="215">
        <v>35</v>
      </c>
      <c r="AI67" s="344">
        <f t="shared" si="5"/>
        <v>7281</v>
      </c>
      <c r="AJ67" s="356">
        <v>0</v>
      </c>
      <c r="AK67" s="328">
        <v>7281</v>
      </c>
      <c r="AL67" s="349">
        <v>0</v>
      </c>
      <c r="AN67" s="211" t="s">
        <v>494</v>
      </c>
      <c r="AO67" s="210">
        <f t="shared" si="6"/>
        <v>296</v>
      </c>
      <c r="AP67" s="211">
        <v>291</v>
      </c>
      <c r="AQ67" s="211">
        <v>3</v>
      </c>
      <c r="AR67" s="211">
        <v>2</v>
      </c>
      <c r="AS67" s="211">
        <v>0</v>
      </c>
    </row>
    <row r="68" spans="1:45" s="103" customFormat="1" ht="15.95" customHeight="1">
      <c r="A68" s="177" t="s">
        <v>262</v>
      </c>
      <c r="B68" s="374">
        <f t="shared" si="18"/>
        <v>368047</v>
      </c>
      <c r="C68" s="342">
        <f>SUM(C66:C67)</f>
        <v>22551</v>
      </c>
      <c r="D68" s="369">
        <f>SUM(D66:D67)</f>
        <v>126711</v>
      </c>
      <c r="E68" s="370">
        <v>753</v>
      </c>
      <c r="F68" s="370">
        <v>4007</v>
      </c>
      <c r="G68" s="256">
        <v>8940</v>
      </c>
      <c r="H68" s="326">
        <v>746</v>
      </c>
      <c r="I68" s="326">
        <v>16504</v>
      </c>
      <c r="J68" s="326">
        <v>38058</v>
      </c>
      <c r="K68" s="327">
        <v>1520</v>
      </c>
      <c r="L68" s="326">
        <v>21727</v>
      </c>
      <c r="M68" s="203">
        <v>5959</v>
      </c>
      <c r="N68" s="255">
        <v>1295</v>
      </c>
      <c r="O68" s="214">
        <v>137</v>
      </c>
      <c r="P68" s="214">
        <v>2535</v>
      </c>
      <c r="Q68" s="256">
        <v>910</v>
      </c>
      <c r="R68" s="342">
        <v>733</v>
      </c>
      <c r="S68" s="343">
        <v>295</v>
      </c>
      <c r="T68" s="304">
        <v>555</v>
      </c>
      <c r="U68" s="195">
        <v>6267</v>
      </c>
      <c r="V68" s="195">
        <v>1</v>
      </c>
      <c r="W68" s="195">
        <v>3672</v>
      </c>
      <c r="X68" s="195">
        <v>12762</v>
      </c>
      <c r="Y68" s="195">
        <v>14309</v>
      </c>
      <c r="Z68" s="298">
        <v>2406</v>
      </c>
      <c r="AA68" s="255">
        <v>1912</v>
      </c>
      <c r="AB68" s="214">
        <v>801</v>
      </c>
      <c r="AC68" s="214">
        <v>84</v>
      </c>
      <c r="AD68" s="214">
        <v>537</v>
      </c>
      <c r="AE68" s="214">
        <v>212</v>
      </c>
      <c r="AF68" s="214">
        <v>41</v>
      </c>
      <c r="AG68" s="214">
        <v>2</v>
      </c>
      <c r="AH68" s="214">
        <v>1582</v>
      </c>
      <c r="AI68" s="342">
        <f t="shared" si="5"/>
        <v>218785</v>
      </c>
      <c r="AJ68" s="358">
        <v>206885</v>
      </c>
      <c r="AK68" s="326">
        <v>7281</v>
      </c>
      <c r="AL68" s="348">
        <v>4619</v>
      </c>
      <c r="AN68" s="211" t="s">
        <v>495</v>
      </c>
      <c r="AO68" s="210">
        <f t="shared" si="6"/>
        <v>105</v>
      </c>
      <c r="AP68" s="211">
        <v>104</v>
      </c>
      <c r="AQ68" s="211">
        <v>1</v>
      </c>
      <c r="AR68" s="211">
        <v>0</v>
      </c>
      <c r="AS68" s="211">
        <v>0</v>
      </c>
    </row>
    <row r="69" spans="1:45" ht="15.95" customHeight="1">
      <c r="A69" s="76" t="s">
        <v>277</v>
      </c>
      <c r="B69" s="375">
        <f t="shared" si="18"/>
        <v>573492</v>
      </c>
      <c r="C69" s="344">
        <f t="shared" ref="C69:C74" si="19">SUM(E69:G69,N69,R69,T69:V69)</f>
        <v>18114</v>
      </c>
      <c r="D69" s="372">
        <f t="shared" ref="D69:D88" si="20">SUM(H69:M69,O69:Q69,S69,W69:AH69)</f>
        <v>117074</v>
      </c>
      <c r="E69" s="373">
        <v>707</v>
      </c>
      <c r="F69" s="373">
        <v>3653</v>
      </c>
      <c r="G69" s="258">
        <v>7122</v>
      </c>
      <c r="H69" s="328">
        <v>1914</v>
      </c>
      <c r="I69" s="328">
        <v>19292</v>
      </c>
      <c r="J69" s="328">
        <v>31326</v>
      </c>
      <c r="K69" s="329">
        <v>1127</v>
      </c>
      <c r="L69" s="328">
        <v>17419</v>
      </c>
      <c r="M69" s="205">
        <v>11718</v>
      </c>
      <c r="N69" s="257">
        <v>1006</v>
      </c>
      <c r="O69" s="215">
        <v>109</v>
      </c>
      <c r="P69" s="215">
        <v>1978</v>
      </c>
      <c r="Q69" s="258">
        <v>768</v>
      </c>
      <c r="R69" s="344">
        <v>895</v>
      </c>
      <c r="S69" s="345">
        <v>483</v>
      </c>
      <c r="T69" s="306">
        <v>409</v>
      </c>
      <c r="U69" s="197">
        <v>4318</v>
      </c>
      <c r="V69" s="197">
        <v>4</v>
      </c>
      <c r="W69" s="197">
        <v>2168</v>
      </c>
      <c r="X69" s="197">
        <v>7882</v>
      </c>
      <c r="Y69" s="197">
        <v>12316</v>
      </c>
      <c r="Z69" s="300">
        <v>2513</v>
      </c>
      <c r="AA69" s="257">
        <v>3104</v>
      </c>
      <c r="AB69" s="215">
        <v>803</v>
      </c>
      <c r="AC69" s="215">
        <v>80</v>
      </c>
      <c r="AD69" s="215">
        <v>333</v>
      </c>
      <c r="AE69" s="215">
        <v>22</v>
      </c>
      <c r="AF69" s="215">
        <v>56</v>
      </c>
      <c r="AG69" s="215">
        <v>3</v>
      </c>
      <c r="AH69" s="215">
        <v>1660</v>
      </c>
      <c r="AI69" s="344">
        <f t="shared" si="5"/>
        <v>438304</v>
      </c>
      <c r="AJ69" s="356">
        <v>428327</v>
      </c>
      <c r="AK69" s="328">
        <v>6560</v>
      </c>
      <c r="AL69" s="349">
        <v>3417</v>
      </c>
      <c r="AN69" s="209" t="s">
        <v>454</v>
      </c>
      <c r="AO69" s="210">
        <f t="shared" si="6"/>
        <v>5617</v>
      </c>
      <c r="AP69" s="209">
        <v>5524</v>
      </c>
      <c r="AQ69" s="209">
        <v>53</v>
      </c>
      <c r="AR69" s="209">
        <v>40</v>
      </c>
      <c r="AS69" s="209">
        <v>0</v>
      </c>
    </row>
    <row r="70" spans="1:45" ht="15.95" customHeight="1">
      <c r="A70" s="76" t="s">
        <v>276</v>
      </c>
      <c r="B70" s="375">
        <f t="shared" si="18"/>
        <v>91298</v>
      </c>
      <c r="C70" s="344">
        <f t="shared" si="19"/>
        <v>6923</v>
      </c>
      <c r="D70" s="372">
        <f t="shared" si="20"/>
        <v>36606</v>
      </c>
      <c r="E70" s="373">
        <v>163</v>
      </c>
      <c r="F70" s="373">
        <v>1397</v>
      </c>
      <c r="G70" s="258">
        <v>2781</v>
      </c>
      <c r="H70" s="328">
        <v>49</v>
      </c>
      <c r="I70" s="328">
        <v>6012</v>
      </c>
      <c r="J70" s="328">
        <v>13353</v>
      </c>
      <c r="K70" s="329">
        <v>763</v>
      </c>
      <c r="L70" s="328">
        <v>6191</v>
      </c>
      <c r="M70" s="205">
        <v>0</v>
      </c>
      <c r="N70" s="257">
        <v>328</v>
      </c>
      <c r="O70" s="215">
        <v>25</v>
      </c>
      <c r="P70" s="215">
        <v>815</v>
      </c>
      <c r="Q70" s="258">
        <v>222</v>
      </c>
      <c r="R70" s="344">
        <v>0</v>
      </c>
      <c r="S70" s="345">
        <v>0</v>
      </c>
      <c r="T70" s="306">
        <v>125</v>
      </c>
      <c r="U70" s="197">
        <v>2128</v>
      </c>
      <c r="V70" s="197">
        <v>1</v>
      </c>
      <c r="W70" s="197">
        <v>1164</v>
      </c>
      <c r="X70" s="197">
        <v>2899</v>
      </c>
      <c r="Y70" s="197">
        <v>3428</v>
      </c>
      <c r="Z70" s="300">
        <v>784</v>
      </c>
      <c r="AA70" s="257">
        <v>0</v>
      </c>
      <c r="AB70" s="215">
        <v>153</v>
      </c>
      <c r="AC70" s="215">
        <v>20</v>
      </c>
      <c r="AD70" s="215">
        <v>86</v>
      </c>
      <c r="AE70" s="215">
        <v>2</v>
      </c>
      <c r="AF70" s="215">
        <v>29</v>
      </c>
      <c r="AG70" s="215">
        <v>1</v>
      </c>
      <c r="AH70" s="215">
        <v>610</v>
      </c>
      <c r="AI70" s="344">
        <f t="shared" si="5"/>
        <v>47769</v>
      </c>
      <c r="AJ70" s="356">
        <v>44605</v>
      </c>
      <c r="AK70" s="328">
        <v>2286</v>
      </c>
      <c r="AL70" s="349">
        <v>878</v>
      </c>
      <c r="AN70" s="211" t="s">
        <v>496</v>
      </c>
      <c r="AO70" s="210">
        <f t="shared" si="6"/>
        <v>2479</v>
      </c>
      <c r="AP70" s="211">
        <v>2447</v>
      </c>
      <c r="AQ70" s="211">
        <v>17</v>
      </c>
      <c r="AR70" s="211">
        <v>15</v>
      </c>
      <c r="AS70" s="211">
        <v>0</v>
      </c>
    </row>
    <row r="71" spans="1:45" ht="15.95" customHeight="1">
      <c r="A71" s="76" t="s">
        <v>275</v>
      </c>
      <c r="B71" s="375">
        <f t="shared" si="18"/>
        <v>112321</v>
      </c>
      <c r="C71" s="344">
        <f t="shared" si="19"/>
        <v>8067</v>
      </c>
      <c r="D71" s="372">
        <f t="shared" si="20"/>
        <v>44037</v>
      </c>
      <c r="E71" s="373">
        <v>269</v>
      </c>
      <c r="F71" s="373">
        <v>2018</v>
      </c>
      <c r="G71" s="258">
        <v>2473</v>
      </c>
      <c r="H71" s="328">
        <v>60</v>
      </c>
      <c r="I71" s="328">
        <v>7418</v>
      </c>
      <c r="J71" s="328">
        <v>14147</v>
      </c>
      <c r="K71" s="329">
        <v>530</v>
      </c>
      <c r="L71" s="328">
        <v>8579</v>
      </c>
      <c r="M71" s="205">
        <v>0</v>
      </c>
      <c r="N71" s="257">
        <v>483</v>
      </c>
      <c r="O71" s="215">
        <v>40</v>
      </c>
      <c r="P71" s="215">
        <v>1039</v>
      </c>
      <c r="Q71" s="258">
        <v>347</v>
      </c>
      <c r="R71" s="344">
        <v>0</v>
      </c>
      <c r="S71" s="345">
        <v>0</v>
      </c>
      <c r="T71" s="306">
        <v>179</v>
      </c>
      <c r="U71" s="197">
        <v>2641</v>
      </c>
      <c r="V71" s="197">
        <v>4</v>
      </c>
      <c r="W71" s="197">
        <v>958</v>
      </c>
      <c r="X71" s="197">
        <v>3867</v>
      </c>
      <c r="Y71" s="197">
        <v>4414</v>
      </c>
      <c r="Z71" s="300">
        <v>1129</v>
      </c>
      <c r="AA71" s="257">
        <v>0</v>
      </c>
      <c r="AB71" s="215">
        <v>468</v>
      </c>
      <c r="AC71" s="215">
        <v>20</v>
      </c>
      <c r="AD71" s="215">
        <v>154</v>
      </c>
      <c r="AE71" s="215">
        <v>6</v>
      </c>
      <c r="AF71" s="215">
        <v>14</v>
      </c>
      <c r="AG71" s="215">
        <v>1</v>
      </c>
      <c r="AH71" s="215">
        <v>846</v>
      </c>
      <c r="AI71" s="344">
        <f t="shared" ref="AI71:AI88" si="21">SUM(AJ71:AL71)</f>
        <v>60217</v>
      </c>
      <c r="AJ71" s="356">
        <v>55982</v>
      </c>
      <c r="AK71" s="328">
        <v>2760</v>
      </c>
      <c r="AL71" s="349">
        <v>1475</v>
      </c>
      <c r="AN71" s="211" t="s">
        <v>497</v>
      </c>
      <c r="AO71" s="210">
        <f t="shared" si="6"/>
        <v>705</v>
      </c>
      <c r="AP71" s="211">
        <v>700</v>
      </c>
      <c r="AQ71" s="211">
        <v>5</v>
      </c>
      <c r="AR71" s="211">
        <v>0</v>
      </c>
      <c r="AS71" s="211">
        <v>0</v>
      </c>
    </row>
    <row r="72" spans="1:45" ht="15.95" customHeight="1">
      <c r="A72" s="76" t="s">
        <v>274</v>
      </c>
      <c r="B72" s="375">
        <f t="shared" si="18"/>
        <v>75336</v>
      </c>
      <c r="C72" s="344">
        <f t="shared" si="19"/>
        <v>6756</v>
      </c>
      <c r="D72" s="372">
        <f t="shared" si="20"/>
        <v>41839</v>
      </c>
      <c r="E72" s="373">
        <v>162</v>
      </c>
      <c r="F72" s="373">
        <v>1394</v>
      </c>
      <c r="G72" s="258">
        <v>2452</v>
      </c>
      <c r="H72" s="328">
        <v>154</v>
      </c>
      <c r="I72" s="328">
        <v>6162</v>
      </c>
      <c r="J72" s="328">
        <v>16110</v>
      </c>
      <c r="K72" s="329">
        <v>635</v>
      </c>
      <c r="L72" s="328">
        <v>7177</v>
      </c>
      <c r="M72" s="205">
        <v>0</v>
      </c>
      <c r="N72" s="257">
        <v>376</v>
      </c>
      <c r="O72" s="215">
        <v>38</v>
      </c>
      <c r="P72" s="215">
        <v>908</v>
      </c>
      <c r="Q72" s="258">
        <v>248</v>
      </c>
      <c r="R72" s="344">
        <v>0</v>
      </c>
      <c r="S72" s="345">
        <v>0</v>
      </c>
      <c r="T72" s="306">
        <v>204</v>
      </c>
      <c r="U72" s="197">
        <v>2167</v>
      </c>
      <c r="V72" s="197">
        <v>1</v>
      </c>
      <c r="W72" s="197">
        <v>289</v>
      </c>
      <c r="X72" s="197">
        <v>4373</v>
      </c>
      <c r="Y72" s="197">
        <v>3639</v>
      </c>
      <c r="Z72" s="300">
        <v>790</v>
      </c>
      <c r="AA72" s="257">
        <v>0</v>
      </c>
      <c r="AB72" s="215">
        <v>330</v>
      </c>
      <c r="AC72" s="215">
        <v>32</v>
      </c>
      <c r="AD72" s="215">
        <v>221</v>
      </c>
      <c r="AE72" s="215">
        <v>15</v>
      </c>
      <c r="AF72" s="215">
        <v>4</v>
      </c>
      <c r="AG72" s="215">
        <v>1</v>
      </c>
      <c r="AH72" s="215">
        <v>713</v>
      </c>
      <c r="AI72" s="344">
        <f t="shared" si="21"/>
        <v>26741</v>
      </c>
      <c r="AJ72" s="356">
        <v>23223</v>
      </c>
      <c r="AK72" s="328">
        <v>2360</v>
      </c>
      <c r="AL72" s="349">
        <v>1158</v>
      </c>
      <c r="AN72" s="211" t="s">
        <v>498</v>
      </c>
      <c r="AO72" s="210">
        <f t="shared" si="6"/>
        <v>89</v>
      </c>
      <c r="AP72" s="211">
        <v>83</v>
      </c>
      <c r="AQ72" s="211">
        <v>2</v>
      </c>
      <c r="AR72" s="211">
        <v>4</v>
      </c>
      <c r="AS72" s="211">
        <v>0</v>
      </c>
    </row>
    <row r="73" spans="1:45" ht="15.95" customHeight="1">
      <c r="A73" s="76" t="s">
        <v>273</v>
      </c>
      <c r="B73" s="375">
        <f t="shared" si="18"/>
        <v>50920</v>
      </c>
      <c r="C73" s="344">
        <f t="shared" si="19"/>
        <v>2334</v>
      </c>
      <c r="D73" s="372">
        <f t="shared" si="20"/>
        <v>13206</v>
      </c>
      <c r="E73" s="373">
        <v>58</v>
      </c>
      <c r="F73" s="373">
        <v>615</v>
      </c>
      <c r="G73" s="258">
        <v>674</v>
      </c>
      <c r="H73" s="328">
        <v>30</v>
      </c>
      <c r="I73" s="328">
        <v>1697</v>
      </c>
      <c r="J73" s="328">
        <v>4626</v>
      </c>
      <c r="K73" s="329">
        <v>150</v>
      </c>
      <c r="L73" s="328">
        <v>2495</v>
      </c>
      <c r="M73" s="205">
        <v>0</v>
      </c>
      <c r="N73" s="257">
        <v>134</v>
      </c>
      <c r="O73" s="215">
        <v>11</v>
      </c>
      <c r="P73" s="215">
        <v>324</v>
      </c>
      <c r="Q73" s="258">
        <v>89</v>
      </c>
      <c r="R73" s="344">
        <v>0</v>
      </c>
      <c r="S73" s="345">
        <v>0</v>
      </c>
      <c r="T73" s="306">
        <v>41</v>
      </c>
      <c r="U73" s="197">
        <v>812</v>
      </c>
      <c r="V73" s="197">
        <v>0</v>
      </c>
      <c r="W73" s="197">
        <v>396</v>
      </c>
      <c r="X73" s="197">
        <v>1430</v>
      </c>
      <c r="Y73" s="197">
        <v>1300</v>
      </c>
      <c r="Z73" s="300">
        <v>296</v>
      </c>
      <c r="AA73" s="257">
        <v>0</v>
      </c>
      <c r="AB73" s="215">
        <v>110</v>
      </c>
      <c r="AC73" s="215">
        <v>6</v>
      </c>
      <c r="AD73" s="215">
        <v>23</v>
      </c>
      <c r="AE73" s="215">
        <v>1</v>
      </c>
      <c r="AF73" s="215">
        <v>10</v>
      </c>
      <c r="AG73" s="215">
        <v>0</v>
      </c>
      <c r="AH73" s="215">
        <v>212</v>
      </c>
      <c r="AI73" s="344">
        <f t="shared" si="21"/>
        <v>35380</v>
      </c>
      <c r="AJ73" s="356">
        <v>34138</v>
      </c>
      <c r="AK73" s="328">
        <v>762</v>
      </c>
      <c r="AL73" s="349">
        <v>480</v>
      </c>
      <c r="AN73" s="211" t="s">
        <v>499</v>
      </c>
      <c r="AO73" s="210">
        <f t="shared" si="6"/>
        <v>1293</v>
      </c>
      <c r="AP73" s="211">
        <v>1269</v>
      </c>
      <c r="AQ73" s="211">
        <v>13</v>
      </c>
      <c r="AR73" s="211">
        <v>11</v>
      </c>
      <c r="AS73" s="211">
        <v>0</v>
      </c>
    </row>
    <row r="74" spans="1:45" ht="15.95" customHeight="1">
      <c r="A74" s="76" t="s">
        <v>272</v>
      </c>
      <c r="B74" s="375">
        <f t="shared" si="18"/>
        <v>29764</v>
      </c>
      <c r="C74" s="344">
        <f t="shared" si="19"/>
        <v>1412</v>
      </c>
      <c r="D74" s="372">
        <f t="shared" si="20"/>
        <v>8450</v>
      </c>
      <c r="E74" s="373">
        <v>47</v>
      </c>
      <c r="F74" s="373">
        <v>368</v>
      </c>
      <c r="G74" s="258">
        <v>358</v>
      </c>
      <c r="H74" s="328">
        <v>21</v>
      </c>
      <c r="I74" s="328">
        <v>959</v>
      </c>
      <c r="J74" s="328">
        <v>3019</v>
      </c>
      <c r="K74" s="329">
        <v>87</v>
      </c>
      <c r="L74" s="328">
        <v>1645</v>
      </c>
      <c r="M74" s="205">
        <v>0</v>
      </c>
      <c r="N74" s="257">
        <v>97</v>
      </c>
      <c r="O74" s="215">
        <v>6</v>
      </c>
      <c r="P74" s="215">
        <v>258</v>
      </c>
      <c r="Q74" s="258">
        <v>49</v>
      </c>
      <c r="R74" s="344">
        <v>0</v>
      </c>
      <c r="S74" s="345">
        <v>0</v>
      </c>
      <c r="T74" s="306">
        <v>34</v>
      </c>
      <c r="U74" s="197">
        <v>508</v>
      </c>
      <c r="V74" s="197">
        <v>0</v>
      </c>
      <c r="W74" s="197">
        <v>65</v>
      </c>
      <c r="X74" s="197">
        <v>937</v>
      </c>
      <c r="Y74" s="197">
        <v>1063</v>
      </c>
      <c r="Z74" s="300">
        <v>105</v>
      </c>
      <c r="AA74" s="257">
        <v>0</v>
      </c>
      <c r="AB74" s="215">
        <v>51</v>
      </c>
      <c r="AC74" s="215">
        <v>4</v>
      </c>
      <c r="AD74" s="215">
        <v>26</v>
      </c>
      <c r="AE74" s="215">
        <v>0</v>
      </c>
      <c r="AF74" s="215">
        <v>1</v>
      </c>
      <c r="AG74" s="215">
        <v>0</v>
      </c>
      <c r="AH74" s="215">
        <v>154</v>
      </c>
      <c r="AI74" s="344">
        <f t="shared" si="21"/>
        <v>19902</v>
      </c>
      <c r="AJ74" s="356">
        <v>18786</v>
      </c>
      <c r="AK74" s="328">
        <v>673</v>
      </c>
      <c r="AL74" s="349">
        <v>443</v>
      </c>
      <c r="AN74" s="211" t="s">
        <v>500</v>
      </c>
      <c r="AO74" s="210">
        <f t="shared" ref="AO74:AO81" si="22">SUM(AP74,AQ74,AR74,AS74)</f>
        <v>223</v>
      </c>
      <c r="AP74" s="211">
        <v>220</v>
      </c>
      <c r="AQ74" s="211">
        <v>1</v>
      </c>
      <c r="AR74" s="211">
        <v>2</v>
      </c>
      <c r="AS74" s="211">
        <v>0</v>
      </c>
    </row>
    <row r="75" spans="1:45" ht="15.95" customHeight="1">
      <c r="A75" s="177" t="s">
        <v>262</v>
      </c>
      <c r="B75" s="374">
        <f t="shared" si="18"/>
        <v>933131</v>
      </c>
      <c r="C75" s="342">
        <f>SUM(C69:C74)</f>
        <v>43606</v>
      </c>
      <c r="D75" s="369">
        <f t="shared" si="20"/>
        <v>261212</v>
      </c>
      <c r="E75" s="370">
        <v>1406</v>
      </c>
      <c r="F75" s="370">
        <v>9445</v>
      </c>
      <c r="G75" s="256">
        <v>15860</v>
      </c>
      <c r="H75" s="326">
        <v>2228</v>
      </c>
      <c r="I75" s="326">
        <v>41540</v>
      </c>
      <c r="J75" s="326">
        <v>82581</v>
      </c>
      <c r="K75" s="326">
        <v>3292</v>
      </c>
      <c r="L75" s="326">
        <v>43506</v>
      </c>
      <c r="M75" s="196">
        <v>11718</v>
      </c>
      <c r="N75" s="255">
        <v>2424</v>
      </c>
      <c r="O75" s="214">
        <v>229</v>
      </c>
      <c r="P75" s="214">
        <v>5322</v>
      </c>
      <c r="Q75" s="256">
        <v>1723</v>
      </c>
      <c r="R75" s="342">
        <v>895</v>
      </c>
      <c r="S75" s="343">
        <v>483</v>
      </c>
      <c r="T75" s="307">
        <v>992</v>
      </c>
      <c r="U75" s="196">
        <v>12574</v>
      </c>
      <c r="V75" s="196">
        <v>10</v>
      </c>
      <c r="W75" s="196">
        <v>5040</v>
      </c>
      <c r="X75" s="196">
        <v>21388</v>
      </c>
      <c r="Y75" s="196">
        <v>26160</v>
      </c>
      <c r="Z75" s="204">
        <v>5617</v>
      </c>
      <c r="AA75" s="255">
        <v>3104</v>
      </c>
      <c r="AB75" s="214">
        <v>1915</v>
      </c>
      <c r="AC75" s="214">
        <v>162</v>
      </c>
      <c r="AD75" s="214">
        <v>843</v>
      </c>
      <c r="AE75" s="214">
        <v>46</v>
      </c>
      <c r="AF75" s="214">
        <v>114</v>
      </c>
      <c r="AG75" s="214">
        <v>6</v>
      </c>
      <c r="AH75" s="214">
        <v>4195</v>
      </c>
      <c r="AI75" s="342">
        <f t="shared" si="21"/>
        <v>628313</v>
      </c>
      <c r="AJ75" s="326">
        <v>605061</v>
      </c>
      <c r="AK75" s="326">
        <v>15401</v>
      </c>
      <c r="AL75" s="348">
        <v>7851</v>
      </c>
      <c r="AN75" s="209" t="s">
        <v>454</v>
      </c>
      <c r="AO75" s="210">
        <f t="shared" si="22"/>
        <v>4789</v>
      </c>
      <c r="AP75" s="209">
        <v>4719</v>
      </c>
      <c r="AQ75" s="209">
        <v>38</v>
      </c>
      <c r="AR75" s="209">
        <v>32</v>
      </c>
      <c r="AS75" s="209">
        <v>0</v>
      </c>
    </row>
    <row r="76" spans="1:45" ht="15.95" customHeight="1">
      <c r="A76" s="76" t="s">
        <v>271</v>
      </c>
      <c r="B76" s="375">
        <f t="shared" si="18"/>
        <v>648971</v>
      </c>
      <c r="C76" s="344">
        <f t="shared" ref="C76:C81" si="23">SUM(E76:G76,N76,R76,T76:V76)</f>
        <v>28875</v>
      </c>
      <c r="D76" s="372">
        <f t="shared" si="20"/>
        <v>150188</v>
      </c>
      <c r="E76" s="373">
        <v>1070</v>
      </c>
      <c r="F76" s="373">
        <v>6725</v>
      </c>
      <c r="G76" s="258">
        <v>12197</v>
      </c>
      <c r="H76" s="328">
        <v>2221</v>
      </c>
      <c r="I76" s="328">
        <v>26607</v>
      </c>
      <c r="J76" s="328">
        <v>44521</v>
      </c>
      <c r="K76" s="329">
        <v>3981</v>
      </c>
      <c r="L76" s="328">
        <v>26353</v>
      </c>
      <c r="M76" s="205">
        <v>8272</v>
      </c>
      <c r="N76" s="257">
        <v>0</v>
      </c>
      <c r="O76" s="215">
        <v>0</v>
      </c>
      <c r="P76" s="215">
        <v>0</v>
      </c>
      <c r="Q76" s="258">
        <v>0</v>
      </c>
      <c r="R76" s="344">
        <v>956</v>
      </c>
      <c r="S76" s="345">
        <v>584</v>
      </c>
      <c r="T76" s="306">
        <v>791</v>
      </c>
      <c r="U76" s="197">
        <v>7130</v>
      </c>
      <c r="V76" s="197">
        <v>6</v>
      </c>
      <c r="W76" s="197">
        <v>3784</v>
      </c>
      <c r="X76" s="197">
        <v>13734</v>
      </c>
      <c r="Y76" s="197">
        <v>15770</v>
      </c>
      <c r="Z76" s="300">
        <v>2479</v>
      </c>
      <c r="AA76" s="257">
        <v>0</v>
      </c>
      <c r="AB76" s="215">
        <v>0</v>
      </c>
      <c r="AC76" s="215">
        <v>0</v>
      </c>
      <c r="AD76" s="215">
        <v>0</v>
      </c>
      <c r="AE76" s="215">
        <v>0</v>
      </c>
      <c r="AF76" s="215">
        <v>27</v>
      </c>
      <c r="AG76" s="215">
        <v>0</v>
      </c>
      <c r="AH76" s="215">
        <v>1855</v>
      </c>
      <c r="AI76" s="344">
        <f t="shared" si="21"/>
        <v>469908</v>
      </c>
      <c r="AJ76" s="356">
        <v>462835</v>
      </c>
      <c r="AK76" s="352">
        <v>0</v>
      </c>
      <c r="AL76" s="349">
        <v>7073</v>
      </c>
      <c r="AN76" s="211" t="s">
        <v>501</v>
      </c>
      <c r="AO76" s="210">
        <f t="shared" si="22"/>
        <v>1371</v>
      </c>
      <c r="AP76" s="211">
        <v>1365</v>
      </c>
      <c r="AQ76" s="211">
        <v>5</v>
      </c>
      <c r="AR76" s="211">
        <v>1</v>
      </c>
      <c r="AS76" s="211">
        <v>0</v>
      </c>
    </row>
    <row r="77" spans="1:45" ht="15.95" customHeight="1">
      <c r="A77" s="76" t="s">
        <v>413</v>
      </c>
      <c r="B77" s="375">
        <f t="shared" si="18"/>
        <v>21902</v>
      </c>
      <c r="C77" s="344">
        <f t="shared" si="23"/>
        <v>1441</v>
      </c>
      <c r="D77" s="372">
        <f t="shared" si="20"/>
        <v>11919</v>
      </c>
      <c r="E77" s="373"/>
      <c r="F77" s="373"/>
      <c r="G77" s="258">
        <v>0</v>
      </c>
      <c r="H77" s="328">
        <v>0</v>
      </c>
      <c r="I77" s="328">
        <v>0</v>
      </c>
      <c r="J77" s="328">
        <v>0</v>
      </c>
      <c r="K77" s="328">
        <v>0</v>
      </c>
      <c r="L77" s="328">
        <v>0</v>
      </c>
      <c r="M77" s="198">
        <v>0</v>
      </c>
      <c r="N77" s="257">
        <v>1441</v>
      </c>
      <c r="O77" s="215">
        <v>167</v>
      </c>
      <c r="P77" s="215">
        <v>3406</v>
      </c>
      <c r="Q77" s="258">
        <v>981</v>
      </c>
      <c r="R77" s="344">
        <v>0</v>
      </c>
      <c r="S77" s="345">
        <v>0</v>
      </c>
      <c r="T77" s="308">
        <v>0</v>
      </c>
      <c r="U77" s="198">
        <v>0</v>
      </c>
      <c r="V77" s="195">
        <v>0</v>
      </c>
      <c r="W77" s="198">
        <v>0</v>
      </c>
      <c r="X77" s="198">
        <v>0</v>
      </c>
      <c r="Y77" s="198">
        <v>0</v>
      </c>
      <c r="Z77" s="301">
        <v>0</v>
      </c>
      <c r="AA77" s="257">
        <v>4830</v>
      </c>
      <c r="AB77" s="215">
        <v>1718</v>
      </c>
      <c r="AC77" s="215">
        <v>65</v>
      </c>
      <c r="AD77" s="215">
        <v>592</v>
      </c>
      <c r="AE77" s="215">
        <v>95</v>
      </c>
      <c r="AF77" s="215">
        <v>0</v>
      </c>
      <c r="AG77" s="215">
        <v>4</v>
      </c>
      <c r="AH77" s="215">
        <v>61</v>
      </c>
      <c r="AI77" s="344">
        <f t="shared" si="21"/>
        <v>8542</v>
      </c>
      <c r="AJ77" s="356">
        <v>0</v>
      </c>
      <c r="AK77" s="328">
        <v>8542</v>
      </c>
      <c r="AL77" s="349">
        <v>0</v>
      </c>
      <c r="AN77" s="211" t="s">
        <v>502</v>
      </c>
      <c r="AO77" s="210">
        <f t="shared" si="22"/>
        <v>748</v>
      </c>
      <c r="AP77" s="211">
        <v>742</v>
      </c>
      <c r="AQ77" s="211">
        <v>4</v>
      </c>
      <c r="AR77" s="211">
        <v>2</v>
      </c>
      <c r="AS77" s="211">
        <v>0</v>
      </c>
    </row>
    <row r="78" spans="1:45" ht="15.95" customHeight="1">
      <c r="A78" s="76" t="s">
        <v>270</v>
      </c>
      <c r="B78" s="375">
        <f t="shared" si="18"/>
        <v>98469</v>
      </c>
      <c r="C78" s="344">
        <f t="shared" si="23"/>
        <v>6511</v>
      </c>
      <c r="D78" s="372">
        <f t="shared" si="20"/>
        <v>39260</v>
      </c>
      <c r="E78" s="373">
        <v>170</v>
      </c>
      <c r="F78" s="373">
        <v>1332</v>
      </c>
      <c r="G78" s="258">
        <v>2355</v>
      </c>
      <c r="H78" s="328">
        <v>68</v>
      </c>
      <c r="I78" s="328">
        <v>5870</v>
      </c>
      <c r="J78" s="328">
        <v>12881</v>
      </c>
      <c r="K78" s="329">
        <v>790</v>
      </c>
      <c r="L78" s="328">
        <v>6784</v>
      </c>
      <c r="M78" s="205">
        <v>0</v>
      </c>
      <c r="N78" s="257">
        <v>444</v>
      </c>
      <c r="O78" s="215">
        <v>20</v>
      </c>
      <c r="P78" s="215">
        <v>891</v>
      </c>
      <c r="Q78" s="258">
        <v>271</v>
      </c>
      <c r="R78" s="344">
        <v>0</v>
      </c>
      <c r="S78" s="345">
        <v>0</v>
      </c>
      <c r="T78" s="306">
        <v>173</v>
      </c>
      <c r="U78" s="197">
        <v>2037</v>
      </c>
      <c r="V78" s="197">
        <v>0</v>
      </c>
      <c r="W78" s="197">
        <v>431</v>
      </c>
      <c r="X78" s="197">
        <v>4291</v>
      </c>
      <c r="Y78" s="197">
        <v>4789</v>
      </c>
      <c r="Z78" s="300">
        <v>705</v>
      </c>
      <c r="AA78" s="257">
        <v>0</v>
      </c>
      <c r="AB78" s="215">
        <v>443</v>
      </c>
      <c r="AC78" s="215">
        <v>46</v>
      </c>
      <c r="AD78" s="215">
        <v>216</v>
      </c>
      <c r="AE78" s="215">
        <v>34</v>
      </c>
      <c r="AF78" s="215">
        <v>1</v>
      </c>
      <c r="AG78" s="215">
        <v>1</v>
      </c>
      <c r="AH78" s="215">
        <v>728</v>
      </c>
      <c r="AI78" s="344">
        <f t="shared" si="21"/>
        <v>52698</v>
      </c>
      <c r="AJ78" s="356">
        <v>48861</v>
      </c>
      <c r="AK78" s="328">
        <v>2196</v>
      </c>
      <c r="AL78" s="349">
        <v>1641</v>
      </c>
      <c r="AN78" s="211" t="s">
        <v>503</v>
      </c>
      <c r="AO78" s="210">
        <f t="shared" si="22"/>
        <v>305</v>
      </c>
      <c r="AP78" s="211">
        <v>303</v>
      </c>
      <c r="AQ78" s="211">
        <v>1</v>
      </c>
      <c r="AR78" s="211">
        <v>1</v>
      </c>
      <c r="AS78" s="211">
        <v>0</v>
      </c>
    </row>
    <row r="79" spans="1:45" ht="15.95" customHeight="1">
      <c r="A79" s="76" t="s">
        <v>269</v>
      </c>
      <c r="B79" s="375">
        <f t="shared" si="18"/>
        <v>21576</v>
      </c>
      <c r="C79" s="344">
        <f t="shared" si="23"/>
        <v>964</v>
      </c>
      <c r="D79" s="372">
        <f t="shared" si="20"/>
        <v>4951</v>
      </c>
      <c r="E79" s="373">
        <v>25</v>
      </c>
      <c r="F79" s="373">
        <v>272</v>
      </c>
      <c r="G79" s="258">
        <v>241</v>
      </c>
      <c r="H79" s="328">
        <v>10</v>
      </c>
      <c r="I79" s="328">
        <v>658</v>
      </c>
      <c r="J79" s="328">
        <v>1630</v>
      </c>
      <c r="K79" s="329">
        <v>73</v>
      </c>
      <c r="L79" s="328">
        <v>940</v>
      </c>
      <c r="M79" s="205">
        <v>0</v>
      </c>
      <c r="N79" s="257">
        <v>70</v>
      </c>
      <c r="O79" s="215">
        <v>0</v>
      </c>
      <c r="P79" s="215">
        <v>165</v>
      </c>
      <c r="Q79" s="258">
        <v>51</v>
      </c>
      <c r="R79" s="344">
        <v>0</v>
      </c>
      <c r="S79" s="345">
        <v>0</v>
      </c>
      <c r="T79" s="306">
        <v>39</v>
      </c>
      <c r="U79" s="197">
        <v>316</v>
      </c>
      <c r="V79" s="197">
        <v>1</v>
      </c>
      <c r="W79" s="197">
        <v>221</v>
      </c>
      <c r="X79" s="197">
        <v>481</v>
      </c>
      <c r="Y79" s="197">
        <v>408</v>
      </c>
      <c r="Z79" s="300">
        <v>89</v>
      </c>
      <c r="AA79" s="257">
        <v>0</v>
      </c>
      <c r="AB79" s="215">
        <v>93</v>
      </c>
      <c r="AC79" s="215">
        <v>2</v>
      </c>
      <c r="AD79" s="215">
        <v>35</v>
      </c>
      <c r="AE79" s="215">
        <v>14</v>
      </c>
      <c r="AF79" s="215">
        <v>0</v>
      </c>
      <c r="AG79" s="215">
        <v>0</v>
      </c>
      <c r="AH79" s="215">
        <v>81</v>
      </c>
      <c r="AI79" s="344">
        <f t="shared" si="21"/>
        <v>15661</v>
      </c>
      <c r="AJ79" s="356">
        <v>15071</v>
      </c>
      <c r="AK79" s="328">
        <v>277</v>
      </c>
      <c r="AL79" s="349">
        <v>313</v>
      </c>
      <c r="AN79" s="211" t="s">
        <v>504</v>
      </c>
      <c r="AO79" s="210">
        <f t="shared" si="22"/>
        <v>146</v>
      </c>
      <c r="AP79" s="211">
        <v>143</v>
      </c>
      <c r="AQ79" s="211">
        <v>3</v>
      </c>
      <c r="AR79" s="211">
        <v>0</v>
      </c>
      <c r="AS79" s="211">
        <v>0</v>
      </c>
    </row>
    <row r="80" spans="1:45" ht="15.95" customHeight="1">
      <c r="A80" s="76" t="s">
        <v>268</v>
      </c>
      <c r="B80" s="375">
        <f t="shared" si="18"/>
        <v>279776</v>
      </c>
      <c r="C80" s="344">
        <f t="shared" si="23"/>
        <v>10734</v>
      </c>
      <c r="D80" s="372">
        <f t="shared" si="20"/>
        <v>65752</v>
      </c>
      <c r="E80" s="373">
        <v>288</v>
      </c>
      <c r="F80" s="373">
        <v>2416</v>
      </c>
      <c r="G80" s="258">
        <v>3674</v>
      </c>
      <c r="H80" s="328">
        <v>196</v>
      </c>
      <c r="I80" s="328">
        <v>10142</v>
      </c>
      <c r="J80" s="328">
        <v>21204</v>
      </c>
      <c r="K80" s="329">
        <v>1217</v>
      </c>
      <c r="L80" s="328">
        <v>12445</v>
      </c>
      <c r="M80" s="205">
        <v>0</v>
      </c>
      <c r="N80" s="257">
        <v>701</v>
      </c>
      <c r="O80" s="215">
        <v>43</v>
      </c>
      <c r="P80" s="215">
        <v>1275</v>
      </c>
      <c r="Q80" s="258">
        <v>401</v>
      </c>
      <c r="R80" s="344">
        <v>0</v>
      </c>
      <c r="S80" s="345">
        <v>0</v>
      </c>
      <c r="T80" s="306">
        <v>309</v>
      </c>
      <c r="U80" s="197">
        <v>3346</v>
      </c>
      <c r="V80" s="197">
        <v>0</v>
      </c>
      <c r="W80" s="197">
        <v>1267</v>
      </c>
      <c r="X80" s="197">
        <v>7927</v>
      </c>
      <c r="Y80" s="197">
        <v>6137</v>
      </c>
      <c r="Z80" s="300">
        <v>1293</v>
      </c>
      <c r="AA80" s="257">
        <v>0</v>
      </c>
      <c r="AB80" s="215">
        <v>711</v>
      </c>
      <c r="AC80" s="215">
        <v>24</v>
      </c>
      <c r="AD80" s="215">
        <v>286</v>
      </c>
      <c r="AE80" s="215">
        <v>15</v>
      </c>
      <c r="AF80" s="215">
        <v>5</v>
      </c>
      <c r="AG80" s="215">
        <v>0</v>
      </c>
      <c r="AH80" s="215">
        <v>1164</v>
      </c>
      <c r="AI80" s="344">
        <f t="shared" si="21"/>
        <v>203290</v>
      </c>
      <c r="AJ80" s="356">
        <v>196230</v>
      </c>
      <c r="AK80" s="328">
        <v>4276</v>
      </c>
      <c r="AL80" s="349">
        <v>2784</v>
      </c>
      <c r="AN80" s="209" t="s">
        <v>454</v>
      </c>
      <c r="AO80" s="210">
        <f t="shared" si="22"/>
        <v>2570</v>
      </c>
      <c r="AP80" s="209">
        <v>2553</v>
      </c>
      <c r="AQ80" s="209">
        <v>13</v>
      </c>
      <c r="AR80" s="209">
        <v>4</v>
      </c>
      <c r="AS80" s="209">
        <v>0</v>
      </c>
    </row>
    <row r="81" spans="1:45" ht="15.95" customHeight="1">
      <c r="A81" s="76" t="s">
        <v>267</v>
      </c>
      <c r="B81" s="375">
        <f t="shared" si="18"/>
        <v>47992</v>
      </c>
      <c r="C81" s="344">
        <f t="shared" si="23"/>
        <v>2071</v>
      </c>
      <c r="D81" s="372">
        <f t="shared" si="20"/>
        <v>14064</v>
      </c>
      <c r="E81" s="373">
        <v>62</v>
      </c>
      <c r="F81" s="373">
        <v>614</v>
      </c>
      <c r="G81" s="258">
        <v>520</v>
      </c>
      <c r="H81" s="328">
        <v>18</v>
      </c>
      <c r="I81" s="328">
        <v>2226</v>
      </c>
      <c r="J81" s="328">
        <v>4543</v>
      </c>
      <c r="K81" s="329">
        <v>235</v>
      </c>
      <c r="L81" s="328">
        <v>3257</v>
      </c>
      <c r="M81" s="205">
        <v>0</v>
      </c>
      <c r="N81" s="257">
        <v>146</v>
      </c>
      <c r="O81" s="215">
        <v>9</v>
      </c>
      <c r="P81" s="215">
        <v>298</v>
      </c>
      <c r="Q81" s="258">
        <v>62</v>
      </c>
      <c r="R81" s="344">
        <v>0</v>
      </c>
      <c r="S81" s="345">
        <v>0</v>
      </c>
      <c r="T81" s="306">
        <v>59</v>
      </c>
      <c r="U81" s="197">
        <v>670</v>
      </c>
      <c r="V81" s="197">
        <v>0</v>
      </c>
      <c r="W81" s="197">
        <v>256</v>
      </c>
      <c r="X81" s="197">
        <v>1317</v>
      </c>
      <c r="Y81" s="197">
        <v>1077</v>
      </c>
      <c r="Z81" s="300">
        <v>223</v>
      </c>
      <c r="AA81" s="257">
        <v>0</v>
      </c>
      <c r="AB81" s="215">
        <v>241</v>
      </c>
      <c r="AC81" s="215">
        <v>0</v>
      </c>
      <c r="AD81" s="215">
        <v>78</v>
      </c>
      <c r="AE81" s="215">
        <v>5</v>
      </c>
      <c r="AF81" s="215">
        <v>5</v>
      </c>
      <c r="AG81" s="215">
        <v>0</v>
      </c>
      <c r="AH81" s="215">
        <v>214</v>
      </c>
      <c r="AI81" s="344">
        <f t="shared" si="21"/>
        <v>31857</v>
      </c>
      <c r="AJ81" s="356">
        <v>30262</v>
      </c>
      <c r="AK81" s="328">
        <v>572</v>
      </c>
      <c r="AL81" s="349">
        <v>1023</v>
      </c>
      <c r="AN81" s="211" t="s">
        <v>505</v>
      </c>
      <c r="AO81" s="210">
        <f t="shared" si="22"/>
        <v>1663</v>
      </c>
      <c r="AP81" s="209">
        <v>1631</v>
      </c>
      <c r="AQ81" s="209">
        <v>28</v>
      </c>
      <c r="AR81" s="209">
        <v>4</v>
      </c>
      <c r="AS81" s="209">
        <v>0</v>
      </c>
    </row>
    <row r="82" spans="1:45" ht="15.95" customHeight="1">
      <c r="A82" s="177" t="s">
        <v>262</v>
      </c>
      <c r="B82" s="374">
        <f t="shared" si="18"/>
        <v>1118686</v>
      </c>
      <c r="C82" s="342">
        <f>SUM(C76:C81)</f>
        <v>50596</v>
      </c>
      <c r="D82" s="369">
        <f t="shared" si="20"/>
        <v>286134</v>
      </c>
      <c r="E82" s="370">
        <v>1615</v>
      </c>
      <c r="F82" s="370">
        <v>11359</v>
      </c>
      <c r="G82" s="256">
        <v>18987</v>
      </c>
      <c r="H82" s="326">
        <v>2513</v>
      </c>
      <c r="I82" s="326">
        <v>45503</v>
      </c>
      <c r="J82" s="326">
        <v>84779</v>
      </c>
      <c r="K82" s="326">
        <v>6296</v>
      </c>
      <c r="L82" s="326">
        <v>49779</v>
      </c>
      <c r="M82" s="196">
        <v>8272</v>
      </c>
      <c r="N82" s="255">
        <v>2802</v>
      </c>
      <c r="O82" s="214">
        <v>239</v>
      </c>
      <c r="P82" s="214">
        <v>6035</v>
      </c>
      <c r="Q82" s="256">
        <v>1766</v>
      </c>
      <c r="R82" s="342">
        <v>956</v>
      </c>
      <c r="S82" s="343">
        <v>584</v>
      </c>
      <c r="T82" s="307">
        <v>1371</v>
      </c>
      <c r="U82" s="196">
        <v>13499</v>
      </c>
      <c r="V82" s="196">
        <v>7</v>
      </c>
      <c r="W82" s="196">
        <v>5959</v>
      </c>
      <c r="X82" s="196">
        <v>27750</v>
      </c>
      <c r="Y82" s="196">
        <v>28181</v>
      </c>
      <c r="Z82" s="204">
        <v>4789</v>
      </c>
      <c r="AA82" s="255">
        <v>4830</v>
      </c>
      <c r="AB82" s="214">
        <v>3206</v>
      </c>
      <c r="AC82" s="214">
        <v>137</v>
      </c>
      <c r="AD82" s="214">
        <v>1207</v>
      </c>
      <c r="AE82" s="214">
        <v>163</v>
      </c>
      <c r="AF82" s="214">
        <v>38</v>
      </c>
      <c r="AG82" s="214">
        <v>5</v>
      </c>
      <c r="AH82" s="214">
        <v>4103</v>
      </c>
      <c r="AI82" s="342">
        <f t="shared" si="21"/>
        <v>781956</v>
      </c>
      <c r="AJ82" s="326">
        <v>753259</v>
      </c>
      <c r="AK82" s="326">
        <v>15863</v>
      </c>
      <c r="AL82" s="348">
        <v>12834</v>
      </c>
    </row>
    <row r="83" spans="1:45" ht="15.95" customHeight="1">
      <c r="A83" s="76" t="s">
        <v>266</v>
      </c>
      <c r="B83" s="375">
        <f t="shared" si="18"/>
        <v>406008</v>
      </c>
      <c r="C83" s="344">
        <f>SUM(E83:G83,N83,R83,T83:V83)</f>
        <v>14657</v>
      </c>
      <c r="D83" s="372">
        <f t="shared" si="20"/>
        <v>86862</v>
      </c>
      <c r="E83" s="373">
        <v>438</v>
      </c>
      <c r="F83" s="373">
        <v>3592</v>
      </c>
      <c r="G83" s="258">
        <v>5814</v>
      </c>
      <c r="H83" s="328">
        <v>1035</v>
      </c>
      <c r="I83" s="328">
        <v>15519</v>
      </c>
      <c r="J83" s="328">
        <v>24048</v>
      </c>
      <c r="K83" s="329">
        <v>1564</v>
      </c>
      <c r="L83" s="328">
        <v>14735</v>
      </c>
      <c r="M83" s="205">
        <v>5440</v>
      </c>
      <c r="N83" s="257">
        <v>716</v>
      </c>
      <c r="O83" s="215">
        <v>72</v>
      </c>
      <c r="P83" s="215">
        <v>1614</v>
      </c>
      <c r="Q83" s="258">
        <v>470</v>
      </c>
      <c r="R83" s="344">
        <v>432</v>
      </c>
      <c r="S83" s="345">
        <v>284</v>
      </c>
      <c r="T83" s="306">
        <v>326</v>
      </c>
      <c r="U83" s="197">
        <v>3336</v>
      </c>
      <c r="V83" s="197">
        <v>3</v>
      </c>
      <c r="W83" s="197">
        <v>1085</v>
      </c>
      <c r="X83" s="197">
        <v>7397</v>
      </c>
      <c r="Y83" s="197">
        <v>8553</v>
      </c>
      <c r="Z83" s="300">
        <v>1371</v>
      </c>
      <c r="AA83" s="257">
        <v>1876</v>
      </c>
      <c r="AB83" s="215">
        <v>454</v>
      </c>
      <c r="AC83" s="215">
        <v>30</v>
      </c>
      <c r="AD83" s="215">
        <v>333</v>
      </c>
      <c r="AE83" s="215">
        <v>15</v>
      </c>
      <c r="AF83" s="215">
        <v>19</v>
      </c>
      <c r="AG83" s="215">
        <v>1</v>
      </c>
      <c r="AH83" s="215">
        <v>947</v>
      </c>
      <c r="AI83" s="344">
        <f t="shared" si="21"/>
        <v>304489</v>
      </c>
      <c r="AJ83" s="356">
        <v>297089</v>
      </c>
      <c r="AK83" s="328">
        <v>4120</v>
      </c>
      <c r="AL83" s="349">
        <v>3280</v>
      </c>
    </row>
    <row r="84" spans="1:45" ht="15.95" customHeight="1">
      <c r="A84" s="76" t="s">
        <v>265</v>
      </c>
      <c r="B84" s="375">
        <f t="shared" si="18"/>
        <v>108431</v>
      </c>
      <c r="C84" s="344">
        <f>SUM(E84:G84,N84,R84,T84:V84)</f>
        <v>7243</v>
      </c>
      <c r="D84" s="372">
        <f t="shared" si="20"/>
        <v>48669</v>
      </c>
      <c r="E84" s="373">
        <v>213</v>
      </c>
      <c r="F84" s="373">
        <v>1485</v>
      </c>
      <c r="G84" s="258">
        <v>2658</v>
      </c>
      <c r="H84" s="328">
        <v>45</v>
      </c>
      <c r="I84" s="328">
        <v>6743</v>
      </c>
      <c r="J84" s="328">
        <v>17572</v>
      </c>
      <c r="K84" s="329">
        <v>545</v>
      </c>
      <c r="L84" s="328">
        <v>9242</v>
      </c>
      <c r="M84" s="205">
        <v>0</v>
      </c>
      <c r="N84" s="257">
        <v>474</v>
      </c>
      <c r="O84" s="215">
        <v>26</v>
      </c>
      <c r="P84" s="215">
        <v>1035</v>
      </c>
      <c r="Q84" s="258">
        <v>286</v>
      </c>
      <c r="R84" s="344">
        <v>0</v>
      </c>
      <c r="S84" s="345">
        <v>1</v>
      </c>
      <c r="T84" s="306">
        <v>205</v>
      </c>
      <c r="U84" s="197">
        <v>2208</v>
      </c>
      <c r="V84" s="197">
        <v>0</v>
      </c>
      <c r="W84" s="197">
        <v>1429</v>
      </c>
      <c r="X84" s="197">
        <v>4784</v>
      </c>
      <c r="Y84" s="197">
        <v>4552</v>
      </c>
      <c r="Z84" s="300">
        <v>748</v>
      </c>
      <c r="AA84" s="257">
        <v>0</v>
      </c>
      <c r="AB84" s="215">
        <v>327</v>
      </c>
      <c r="AC84" s="215">
        <v>6</v>
      </c>
      <c r="AD84" s="215">
        <v>239</v>
      </c>
      <c r="AE84" s="215">
        <v>33</v>
      </c>
      <c r="AF84" s="215">
        <v>0</v>
      </c>
      <c r="AG84" s="215">
        <v>0</v>
      </c>
      <c r="AH84" s="215">
        <v>1056</v>
      </c>
      <c r="AI84" s="344">
        <f t="shared" si="21"/>
        <v>52519</v>
      </c>
      <c r="AJ84" s="356">
        <v>48398</v>
      </c>
      <c r="AK84" s="328">
        <v>2600</v>
      </c>
      <c r="AL84" s="349">
        <v>1521</v>
      </c>
    </row>
    <row r="85" spans="1:45" ht="15.95" customHeight="1">
      <c r="A85" s="76" t="s">
        <v>264</v>
      </c>
      <c r="B85" s="375">
        <f t="shared" si="18"/>
        <v>50689</v>
      </c>
      <c r="C85" s="344">
        <f>SUM(E85:G85,N85,R85,T85:V85)</f>
        <v>2538</v>
      </c>
      <c r="D85" s="372">
        <f t="shared" si="20"/>
        <v>16382</v>
      </c>
      <c r="E85" s="373">
        <v>61</v>
      </c>
      <c r="F85" s="373">
        <v>733</v>
      </c>
      <c r="G85" s="258">
        <v>826</v>
      </c>
      <c r="H85" s="328">
        <v>14</v>
      </c>
      <c r="I85" s="328">
        <v>2236</v>
      </c>
      <c r="J85" s="328">
        <v>5946</v>
      </c>
      <c r="K85" s="329">
        <v>164</v>
      </c>
      <c r="L85" s="328">
        <v>3190</v>
      </c>
      <c r="M85" s="205">
        <v>0</v>
      </c>
      <c r="N85" s="257">
        <v>163</v>
      </c>
      <c r="O85" s="215">
        <v>11</v>
      </c>
      <c r="P85" s="215">
        <v>403</v>
      </c>
      <c r="Q85" s="258">
        <v>66</v>
      </c>
      <c r="R85" s="344">
        <v>0</v>
      </c>
      <c r="S85" s="345">
        <v>0</v>
      </c>
      <c r="T85" s="306">
        <v>98</v>
      </c>
      <c r="U85" s="197">
        <v>648</v>
      </c>
      <c r="V85" s="197">
        <v>9</v>
      </c>
      <c r="W85" s="197">
        <v>222</v>
      </c>
      <c r="X85" s="197">
        <v>1765</v>
      </c>
      <c r="Y85" s="197">
        <v>1480</v>
      </c>
      <c r="Z85" s="300">
        <v>305</v>
      </c>
      <c r="AA85" s="257">
        <v>0</v>
      </c>
      <c r="AB85" s="215">
        <v>155</v>
      </c>
      <c r="AC85" s="215">
        <v>1</v>
      </c>
      <c r="AD85" s="215">
        <v>60</v>
      </c>
      <c r="AE85" s="215">
        <v>1</v>
      </c>
      <c r="AF85" s="215">
        <v>0</v>
      </c>
      <c r="AG85" s="215">
        <v>0</v>
      </c>
      <c r="AH85" s="215">
        <v>363</v>
      </c>
      <c r="AI85" s="344">
        <f t="shared" si="21"/>
        <v>31769</v>
      </c>
      <c r="AJ85" s="356">
        <v>29772</v>
      </c>
      <c r="AK85" s="328">
        <v>1050</v>
      </c>
      <c r="AL85" s="349">
        <v>947</v>
      </c>
    </row>
    <row r="86" spans="1:45" ht="15.95" customHeight="1">
      <c r="A86" s="76" t="s">
        <v>263</v>
      </c>
      <c r="B86" s="375">
        <f t="shared" si="18"/>
        <v>35481</v>
      </c>
      <c r="C86" s="344">
        <f>SUM(E86:G86,N86,R86,T86:V86)</f>
        <v>1447</v>
      </c>
      <c r="D86" s="372">
        <f t="shared" si="20"/>
        <v>7417</v>
      </c>
      <c r="E86" s="373">
        <v>41</v>
      </c>
      <c r="F86" s="373">
        <v>406</v>
      </c>
      <c r="G86" s="258">
        <v>421</v>
      </c>
      <c r="H86" s="328">
        <v>15</v>
      </c>
      <c r="I86" s="328">
        <v>1016</v>
      </c>
      <c r="J86" s="328">
        <v>2617</v>
      </c>
      <c r="K86" s="329">
        <v>97</v>
      </c>
      <c r="L86" s="328">
        <v>1528</v>
      </c>
      <c r="M86" s="205">
        <v>0</v>
      </c>
      <c r="N86" s="257">
        <v>84</v>
      </c>
      <c r="O86" s="215">
        <v>9</v>
      </c>
      <c r="P86" s="215">
        <v>232</v>
      </c>
      <c r="Q86" s="258">
        <v>62</v>
      </c>
      <c r="R86" s="344">
        <v>0</v>
      </c>
      <c r="S86" s="345">
        <v>0</v>
      </c>
      <c r="T86" s="306">
        <v>49</v>
      </c>
      <c r="U86" s="197">
        <v>444</v>
      </c>
      <c r="V86" s="197">
        <v>2</v>
      </c>
      <c r="W86" s="197">
        <v>91</v>
      </c>
      <c r="X86" s="197">
        <v>579</v>
      </c>
      <c r="Y86" s="197">
        <v>732</v>
      </c>
      <c r="Z86" s="300">
        <v>146</v>
      </c>
      <c r="AA86" s="257">
        <v>0</v>
      </c>
      <c r="AB86" s="215">
        <v>112</v>
      </c>
      <c r="AC86" s="215">
        <v>1</v>
      </c>
      <c r="AD86" s="215">
        <v>45</v>
      </c>
      <c r="AE86" s="215">
        <v>2</v>
      </c>
      <c r="AF86" s="215">
        <v>0</v>
      </c>
      <c r="AG86" s="215">
        <v>0</v>
      </c>
      <c r="AH86" s="215">
        <v>133</v>
      </c>
      <c r="AI86" s="344">
        <f t="shared" si="21"/>
        <v>26617</v>
      </c>
      <c r="AJ86" s="356">
        <v>25563</v>
      </c>
      <c r="AK86" s="328">
        <v>543</v>
      </c>
      <c r="AL86" s="349">
        <v>511</v>
      </c>
    </row>
    <row r="87" spans="1:45" ht="15.95" customHeight="1">
      <c r="A87" s="177" t="s">
        <v>262</v>
      </c>
      <c r="B87" s="374">
        <f t="shared" si="18"/>
        <v>600609</v>
      </c>
      <c r="C87" s="342">
        <f>SUM(C83:C86)</f>
        <v>25885</v>
      </c>
      <c r="D87" s="369">
        <f t="shared" si="20"/>
        <v>159330</v>
      </c>
      <c r="E87" s="370">
        <v>753</v>
      </c>
      <c r="F87" s="370">
        <v>6216</v>
      </c>
      <c r="G87" s="256">
        <v>9719</v>
      </c>
      <c r="H87" s="326">
        <v>1109</v>
      </c>
      <c r="I87" s="326">
        <v>25514</v>
      </c>
      <c r="J87" s="326">
        <v>50183</v>
      </c>
      <c r="K87" s="326">
        <v>2370</v>
      </c>
      <c r="L87" s="326">
        <v>28695</v>
      </c>
      <c r="M87" s="196">
        <v>5440</v>
      </c>
      <c r="N87" s="255">
        <v>1437</v>
      </c>
      <c r="O87" s="214">
        <v>118</v>
      </c>
      <c r="P87" s="214">
        <v>3284</v>
      </c>
      <c r="Q87" s="256">
        <v>884</v>
      </c>
      <c r="R87" s="342">
        <v>432</v>
      </c>
      <c r="S87" s="343">
        <v>285</v>
      </c>
      <c r="T87" s="307">
        <v>678</v>
      </c>
      <c r="U87" s="196">
        <v>6636</v>
      </c>
      <c r="V87" s="196">
        <v>14</v>
      </c>
      <c r="W87" s="196">
        <v>2827</v>
      </c>
      <c r="X87" s="196">
        <v>14525</v>
      </c>
      <c r="Y87" s="196">
        <v>15317</v>
      </c>
      <c r="Z87" s="204">
        <v>2570</v>
      </c>
      <c r="AA87" s="255">
        <v>1876</v>
      </c>
      <c r="AB87" s="214">
        <v>1048</v>
      </c>
      <c r="AC87" s="214">
        <v>38</v>
      </c>
      <c r="AD87" s="214">
        <v>677</v>
      </c>
      <c r="AE87" s="214">
        <v>51</v>
      </c>
      <c r="AF87" s="214">
        <v>19</v>
      </c>
      <c r="AG87" s="214">
        <v>1</v>
      </c>
      <c r="AH87" s="214">
        <v>2499</v>
      </c>
      <c r="AI87" s="342">
        <f t="shared" si="21"/>
        <v>415394</v>
      </c>
      <c r="AJ87" s="326">
        <v>400822</v>
      </c>
      <c r="AK87" s="326">
        <v>8313</v>
      </c>
      <c r="AL87" s="348">
        <v>6259</v>
      </c>
    </row>
    <row r="88" spans="1:45" ht="15.95" customHeight="1">
      <c r="A88" s="77" t="s">
        <v>261</v>
      </c>
      <c r="B88" s="330">
        <f t="shared" si="18"/>
        <v>263359</v>
      </c>
      <c r="C88" s="376">
        <f>SUM(E88:G88,N88,R88,T88:V88)</f>
        <v>13410</v>
      </c>
      <c r="D88" s="350">
        <f t="shared" si="20"/>
        <v>71845</v>
      </c>
      <c r="E88" s="377">
        <v>558</v>
      </c>
      <c r="F88" s="377">
        <v>2768</v>
      </c>
      <c r="G88" s="260">
        <v>4037</v>
      </c>
      <c r="H88" s="330">
        <v>146</v>
      </c>
      <c r="I88" s="330">
        <v>9556</v>
      </c>
      <c r="J88" s="330">
        <v>20601</v>
      </c>
      <c r="K88" s="331">
        <v>1756</v>
      </c>
      <c r="L88" s="330">
        <v>11782</v>
      </c>
      <c r="M88" s="253">
        <v>2159</v>
      </c>
      <c r="N88" s="259">
        <v>789</v>
      </c>
      <c r="O88" s="216">
        <v>82</v>
      </c>
      <c r="P88" s="216">
        <v>1357</v>
      </c>
      <c r="Q88" s="260">
        <v>481</v>
      </c>
      <c r="R88" s="346">
        <v>284</v>
      </c>
      <c r="S88" s="347">
        <v>135</v>
      </c>
      <c r="T88" s="309">
        <v>999</v>
      </c>
      <c r="U88" s="199">
        <v>3971</v>
      </c>
      <c r="V88" s="199">
        <v>4</v>
      </c>
      <c r="W88" s="302">
        <v>1953</v>
      </c>
      <c r="X88" s="302">
        <v>8119</v>
      </c>
      <c r="Y88" s="302">
        <v>9425</v>
      </c>
      <c r="Z88" s="303">
        <v>1663</v>
      </c>
      <c r="AA88" s="259">
        <v>490</v>
      </c>
      <c r="AB88" s="216">
        <v>906</v>
      </c>
      <c r="AC88" s="216">
        <v>52</v>
      </c>
      <c r="AD88" s="216">
        <v>291</v>
      </c>
      <c r="AE88" s="216">
        <v>23</v>
      </c>
      <c r="AF88" s="216">
        <v>4</v>
      </c>
      <c r="AG88" s="216">
        <v>0</v>
      </c>
      <c r="AH88" s="297">
        <v>864</v>
      </c>
      <c r="AI88" s="346">
        <f t="shared" si="21"/>
        <v>178104</v>
      </c>
      <c r="AJ88" s="359">
        <v>172420</v>
      </c>
      <c r="AK88" s="330">
        <v>3598</v>
      </c>
      <c r="AL88" s="350">
        <v>2086</v>
      </c>
    </row>
    <row r="89" spans="1:45" ht="15.95" customHeight="1">
      <c r="A89" s="78" t="s">
        <v>260</v>
      </c>
      <c r="B89" s="378"/>
      <c r="C89" s="378"/>
      <c r="D89" s="378"/>
      <c r="E89" s="378"/>
      <c r="F89" s="3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9"/>
      <c r="AL89" s="78"/>
    </row>
  </sheetData>
  <sheetProtection algorithmName="SHA-512" hashValue="KuvJmwkWlgSSceRFzdV9tk2EzagWl72uyttkMvCp3Qz4wwovWgztd7dV5n1LUbMJx0m0ZZ38kT3Dch7uBVdqzg==" saltValue="W7zewsGnu2moIAGyI6FDwQ==" spinCount="100000" sheet="1" objects="1" scenarios="1"/>
  <mergeCells count="30">
    <mergeCell ref="B2:B5"/>
    <mergeCell ref="C2:AH2"/>
    <mergeCell ref="AJ3:AJ5"/>
    <mergeCell ref="AK3:AK5"/>
    <mergeCell ref="AL3:AL5"/>
    <mergeCell ref="AA3:AA5"/>
    <mergeCell ref="AB3:AB5"/>
    <mergeCell ref="AC3:AC5"/>
    <mergeCell ref="AD3:AD5"/>
    <mergeCell ref="AE3:AE5"/>
    <mergeCell ref="AF3:AF5"/>
    <mergeCell ref="AG3:AG5"/>
    <mergeCell ref="AH3:AH5"/>
    <mergeCell ref="AI3:AI5"/>
    <mergeCell ref="AI2:AL2"/>
    <mergeCell ref="C4:C5"/>
    <mergeCell ref="T4:V4"/>
    <mergeCell ref="W4:Z4"/>
    <mergeCell ref="T3:Z3"/>
    <mergeCell ref="D4:D5"/>
    <mergeCell ref="E4:G4"/>
    <mergeCell ref="H4:M4"/>
    <mergeCell ref="N4:N5"/>
    <mergeCell ref="O4:Q4"/>
    <mergeCell ref="C3:D3"/>
    <mergeCell ref="E3:M3"/>
    <mergeCell ref="N3:Q3"/>
    <mergeCell ref="R3:S3"/>
    <mergeCell ref="R4:R5"/>
    <mergeCell ref="S4:S5"/>
  </mergeCells>
  <phoneticPr fontId="96" type="noConversion"/>
  <conditionalFormatting sqref="AP11:AP81">
    <cfRule type="cellIs" dxfId="0" priority="1" stopIfTrue="1" operator="lessThan">
      <formula>0</formula>
    </cfRule>
  </conditionalFormatting>
  <pageMargins left="0.2" right="0.2" top="0.22" bottom="0.2" header="0.3" footer="0.3"/>
  <pageSetup paperSize="9" scale="52" orientation="portrait" verticalDpi="300" r:id="rId1"/>
  <colBreaks count="1" manualBreakCount="1">
    <brk id="17" max="8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이름이 지정된 범위</vt:lpstr>
      </vt:variant>
      <vt:variant>
        <vt:i4>2</vt:i4>
      </vt:variant>
    </vt:vector>
  </HeadingPairs>
  <TitlesOfParts>
    <vt:vector size="13" baseType="lpstr">
      <vt:lpstr>1</vt:lpstr>
      <vt:lpstr>2</vt:lpstr>
      <vt:lpstr>3</vt:lpstr>
      <vt:lpstr>4</vt:lpstr>
      <vt:lpstr>5</vt:lpstr>
      <vt:lpstr>6</vt:lpstr>
      <vt:lpstr>7</vt:lpstr>
      <vt:lpstr>8</vt:lpstr>
      <vt:lpstr>9</vt:lpstr>
      <vt:lpstr>항소심 처리</vt:lpstr>
      <vt:lpstr>제1심 처리</vt:lpstr>
      <vt:lpstr>'제1심 처리'!Print_Area</vt:lpstr>
      <vt:lpstr>'항소심 처리'!Print_Area</vt:lpstr>
    </vt:vector>
  </TitlesOfParts>
  <Company>MyCompany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Customer</dc:creator>
  <cp:lastModifiedBy>Administrator</cp:lastModifiedBy>
  <cp:lastPrinted>2023-09-20T01:36:57Z</cp:lastPrinted>
  <dcterms:created xsi:type="dcterms:W3CDTF">2011-04-20T04:38:38Z</dcterms:created>
  <dcterms:modified xsi:type="dcterms:W3CDTF">2023-09-20T04:26:53Z</dcterms:modified>
</cp:coreProperties>
</file>