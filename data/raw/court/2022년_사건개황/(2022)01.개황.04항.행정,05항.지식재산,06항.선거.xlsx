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2년\완\"/>
    </mc:Choice>
  </mc:AlternateContent>
  <bookViews>
    <workbookView xWindow="525" yWindow="345" windowWidth="13050" windowHeight="11340" tabRatio="623" firstSheet="1" activeTab="1"/>
  </bookViews>
  <sheets>
    <sheet name="양식변경사항" sheetId="13" state="hidden" r:id="rId1"/>
    <sheet name="1" sheetId="1" r:id="rId2"/>
    <sheet name="2" sheetId="2" r:id="rId3"/>
    <sheet name="3" sheetId="4" r:id="rId4"/>
    <sheet name="4" sheetId="5" r:id="rId5"/>
    <sheet name="5" sheetId="6" r:id="rId6"/>
    <sheet name="6-추가" sheetId="11" state="hidden" r:id="rId7"/>
    <sheet name="6" sheetId="12" r:id="rId8"/>
    <sheet name="7" sheetId="7" r:id="rId9"/>
    <sheet name="8" sheetId="8" r:id="rId10"/>
    <sheet name="9" sheetId="9" r:id="rId11"/>
  </sheets>
  <definedNames>
    <definedName name="_xlnm.Print_Area" localSheetId="6">'6-추가'!$A$1:$K$30</definedName>
  </definedNames>
  <calcPr calcId="162913"/>
</workbook>
</file>

<file path=xl/calcChain.xml><?xml version="1.0" encoding="utf-8"?>
<calcChain xmlns="http://schemas.openxmlformats.org/spreadsheetml/2006/main">
  <c r="F6" i="11" l="1"/>
  <c r="F8" i="11"/>
  <c r="F9" i="11"/>
  <c r="F10" i="11"/>
  <c r="F13" i="11"/>
  <c r="F14" i="11"/>
  <c r="F16" i="11"/>
  <c r="F5" i="11"/>
</calcChain>
</file>

<file path=xl/sharedStrings.xml><?xml version="1.0" encoding="utf-8"?>
<sst xmlns="http://schemas.openxmlformats.org/spreadsheetml/2006/main" count="493" uniqueCount="329">
  <si>
    <t>본  안  외</t>
    <phoneticPr fontId="2" type="noConversion"/>
  </si>
  <si>
    <t>합            계</t>
    <phoneticPr fontId="2" type="noConversion"/>
  </si>
  <si>
    <t>상    고     심</t>
    <phoneticPr fontId="2" type="noConversion"/>
  </si>
  <si>
    <t>자     판</t>
    <phoneticPr fontId="2" type="noConversion"/>
  </si>
  <si>
    <t>제 1 심</t>
    <phoneticPr fontId="2" type="noConversion"/>
  </si>
  <si>
    <t xml:space="preserve">  구 성 비 (%)</t>
    <phoneticPr fontId="2" type="noConversion"/>
  </si>
  <si>
    <t xml:space="preserve">    구 성 비 (%)</t>
    <phoneticPr fontId="2" type="noConversion"/>
  </si>
  <si>
    <t>판   결</t>
    <phoneticPr fontId="2" type="noConversion"/>
  </si>
  <si>
    <t xml:space="preserve"> 구           분</t>
    <phoneticPr fontId="2" type="noConversion"/>
  </si>
  <si>
    <t>합      계</t>
    <phoneticPr fontId="2" type="noConversion"/>
  </si>
  <si>
    <t>제    1    심</t>
    <phoneticPr fontId="2" type="noConversion"/>
  </si>
  <si>
    <t>상   고    심</t>
    <phoneticPr fontId="2" type="noConversion"/>
  </si>
  <si>
    <t>대 법 원 단 심</t>
    <phoneticPr fontId="2" type="noConversion"/>
  </si>
  <si>
    <t>신   청</t>
    <phoneticPr fontId="2" type="noConversion"/>
  </si>
  <si>
    <t>합             계</t>
    <phoneticPr fontId="2" type="noConversion"/>
  </si>
  <si>
    <t>원고승</t>
    <phoneticPr fontId="2" type="noConversion"/>
  </si>
  <si>
    <t>원고일부승</t>
    <phoneticPr fontId="2" type="noConversion"/>
  </si>
  <si>
    <t>원고패</t>
    <phoneticPr fontId="2" type="noConversion"/>
  </si>
  <si>
    <t>각하</t>
    <phoneticPr fontId="2" type="noConversion"/>
  </si>
  <si>
    <t>기타</t>
    <phoneticPr fontId="2" type="noConversion"/>
  </si>
  <si>
    <t>이송</t>
    <phoneticPr fontId="2" type="noConversion"/>
  </si>
  <si>
    <t>본안</t>
    <phoneticPr fontId="2" type="noConversion"/>
  </si>
  <si>
    <t>고등법원</t>
    <phoneticPr fontId="2" type="noConversion"/>
  </si>
  <si>
    <t>지방법원</t>
    <phoneticPr fontId="2" type="noConversion"/>
  </si>
  <si>
    <t>계</t>
    <phoneticPr fontId="2" type="noConversion"/>
  </si>
  <si>
    <t>기각</t>
    <phoneticPr fontId="2" type="noConversion"/>
  </si>
  <si>
    <t>디자인</t>
    <phoneticPr fontId="2" type="noConversion"/>
  </si>
  <si>
    <t>접수</t>
  </si>
  <si>
    <t>처리</t>
  </si>
  <si>
    <t>미제</t>
    <phoneticPr fontId="2" type="noConversion"/>
  </si>
  <si>
    <t>인용</t>
    <phoneticPr fontId="2" type="noConversion"/>
  </si>
  <si>
    <t>법정기간내</t>
    <phoneticPr fontId="2" type="noConversion"/>
  </si>
  <si>
    <t>각하명령</t>
    <phoneticPr fontId="2" type="noConversion"/>
  </si>
  <si>
    <t>상고기각</t>
    <phoneticPr fontId="2" type="noConversion"/>
  </si>
  <si>
    <t>인   용</t>
    <phoneticPr fontId="2" type="noConversion"/>
  </si>
  <si>
    <t>기   각</t>
    <phoneticPr fontId="2" type="noConversion"/>
  </si>
  <si>
    <t>1월이내</t>
    <phoneticPr fontId="2" type="noConversion"/>
  </si>
  <si>
    <t>1년이내</t>
    <phoneticPr fontId="2" type="noConversion"/>
  </si>
  <si>
    <t>2년이내</t>
    <phoneticPr fontId="2" type="noConversion"/>
  </si>
  <si>
    <t>2년초과</t>
    <phoneticPr fontId="2" type="noConversion"/>
  </si>
  <si>
    <t xml:space="preserve">               기  간</t>
    <phoneticPr fontId="2" type="noConversion"/>
  </si>
  <si>
    <t>기    타</t>
    <phoneticPr fontId="2" type="noConversion"/>
  </si>
  <si>
    <t>3. 행정신청·(재)항고 사건</t>
    <phoneticPr fontId="2" type="noConversion"/>
  </si>
  <si>
    <t>1년 이내</t>
    <phoneticPr fontId="2" type="noConversion"/>
  </si>
  <si>
    <t>2년 이내</t>
    <phoneticPr fontId="2" type="noConversion"/>
  </si>
  <si>
    <t>2년 초과</t>
    <phoneticPr fontId="2" type="noConversion"/>
  </si>
  <si>
    <t>심급</t>
    <phoneticPr fontId="2" type="noConversion"/>
  </si>
  <si>
    <t>상 고 심</t>
    <phoneticPr fontId="2" type="noConversion"/>
  </si>
  <si>
    <t>합                계</t>
    <phoneticPr fontId="2" type="noConversion"/>
  </si>
  <si>
    <t>합                 계</t>
    <phoneticPr fontId="2" type="noConversion"/>
  </si>
  <si>
    <t>본안사건계</t>
    <phoneticPr fontId="2" type="noConversion"/>
  </si>
  <si>
    <t>본안외사건계</t>
    <phoneticPr fontId="2" type="noConversion"/>
  </si>
  <si>
    <t>신청등</t>
    <phoneticPr fontId="2" type="noConversion"/>
  </si>
  <si>
    <t>상  고  심</t>
    <phoneticPr fontId="2" type="noConversion"/>
  </si>
  <si>
    <t>항 소 심</t>
    <phoneticPr fontId="2" type="noConversion"/>
  </si>
  <si>
    <t>지   수</t>
    <phoneticPr fontId="2" type="noConversion"/>
  </si>
  <si>
    <t>제1 심</t>
    <phoneticPr fontId="2" type="noConversion"/>
  </si>
  <si>
    <t>지    수</t>
    <phoneticPr fontId="2" type="noConversion"/>
  </si>
  <si>
    <t>사건수</t>
    <phoneticPr fontId="2" type="noConversion"/>
  </si>
  <si>
    <t>본안외사건(전심급)</t>
    <phoneticPr fontId="2" type="noConversion"/>
  </si>
  <si>
    <t>구 성 비 (%)</t>
    <phoneticPr fontId="2" type="noConversion"/>
  </si>
  <si>
    <t>제   1    심</t>
    <phoneticPr fontId="2" type="noConversion"/>
  </si>
  <si>
    <t>상  고   심</t>
    <phoneticPr fontId="2" type="noConversion"/>
  </si>
  <si>
    <t>합              계</t>
    <phoneticPr fontId="2" type="noConversion"/>
  </si>
  <si>
    <t>제      1       심</t>
    <phoneticPr fontId="2" type="noConversion"/>
  </si>
  <si>
    <t>항      소      심</t>
    <phoneticPr fontId="2" type="noConversion"/>
  </si>
  <si>
    <t>상      고      심</t>
    <phoneticPr fontId="2" type="noConversion"/>
  </si>
  <si>
    <t>서울행정법원</t>
    <phoneticPr fontId="2" type="noConversion"/>
  </si>
  <si>
    <t>의정부지방법원</t>
    <phoneticPr fontId="2" type="noConversion"/>
  </si>
  <si>
    <t xml:space="preserve">    구 성 비 ( % )</t>
    <phoneticPr fontId="2" type="noConversion"/>
  </si>
  <si>
    <t xml:space="preserve">                구  분</t>
    <phoneticPr fontId="2" type="noConversion"/>
  </si>
  <si>
    <t>심  급</t>
    <phoneticPr fontId="2" type="noConversion"/>
  </si>
  <si>
    <t>행  정  소 송</t>
    <phoneticPr fontId="2" type="noConversion"/>
  </si>
  <si>
    <t>구 성 비 ( % )</t>
    <phoneticPr fontId="2" type="noConversion"/>
  </si>
  <si>
    <t>계</t>
    <phoneticPr fontId="2" type="noConversion"/>
  </si>
  <si>
    <t>각하
명령</t>
    <phoneticPr fontId="2" type="noConversion"/>
  </si>
  <si>
    <t>합    계</t>
    <phoneticPr fontId="2" type="noConversion"/>
  </si>
  <si>
    <t>합    계</t>
    <phoneticPr fontId="2" type="noConversion"/>
  </si>
  <si>
    <t>각하
명령</t>
    <phoneticPr fontId="2" type="noConversion"/>
  </si>
  <si>
    <t>원고
일부승</t>
    <phoneticPr fontId="2" type="noConversion"/>
  </si>
  <si>
    <t>각  하</t>
    <phoneticPr fontId="2" type="noConversion"/>
  </si>
  <si>
    <t>기  타</t>
    <phoneticPr fontId="2" type="noConversion"/>
  </si>
  <si>
    <t>취   하</t>
    <phoneticPr fontId="2" type="noConversion"/>
  </si>
  <si>
    <t>기타</t>
    <phoneticPr fontId="2" type="noConversion"/>
  </si>
  <si>
    <t>기 타</t>
    <phoneticPr fontId="2" type="noConversion"/>
  </si>
  <si>
    <t>자 판</t>
    <phoneticPr fontId="2" type="noConversion"/>
  </si>
  <si>
    <t>행  정  상  고</t>
    <phoneticPr fontId="2" type="noConversion"/>
  </si>
  <si>
    <t>합   계</t>
    <phoneticPr fontId="2" type="noConversion"/>
  </si>
  <si>
    <t xml:space="preserve">   상    고    심</t>
    <phoneticPr fontId="2" type="noConversion"/>
  </si>
  <si>
    <t>심   리   중   의   기   간</t>
    <phoneticPr fontId="2" type="noConversion"/>
  </si>
  <si>
    <t>제       1        심</t>
    <phoneticPr fontId="2" type="noConversion"/>
  </si>
  <si>
    <t>항      소        심</t>
    <phoneticPr fontId="2" type="noConversion"/>
  </si>
  <si>
    <t>상      고        심</t>
    <phoneticPr fontId="2" type="noConversion"/>
  </si>
  <si>
    <t>처                                          리</t>
    <phoneticPr fontId="2" type="noConversion"/>
  </si>
  <si>
    <t>각   하</t>
    <phoneticPr fontId="2" type="noConversion"/>
  </si>
  <si>
    <t>항  고</t>
    <phoneticPr fontId="2" type="noConversion"/>
  </si>
  <si>
    <t>재 항 고</t>
    <phoneticPr fontId="2" type="noConversion"/>
  </si>
  <si>
    <t>(재)
항고</t>
    <phoneticPr fontId="2" type="noConversion"/>
  </si>
  <si>
    <t>취하</t>
    <phoneticPr fontId="2" type="noConversion"/>
  </si>
  <si>
    <t>기타대법원권한사건</t>
    <phoneticPr fontId="2" type="noConversion"/>
  </si>
  <si>
    <t xml:space="preserve">                 구 분</t>
    <phoneticPr fontId="2" type="noConversion"/>
  </si>
  <si>
    <t>처리</t>
    <phoneticPr fontId="2" type="noConversion"/>
  </si>
  <si>
    <t>합     계</t>
    <phoneticPr fontId="2" type="noConversion"/>
  </si>
  <si>
    <t>구  성  비 (%)</t>
    <phoneticPr fontId="2" type="noConversion"/>
  </si>
  <si>
    <t>법원</t>
    <phoneticPr fontId="2" type="noConversion"/>
  </si>
  <si>
    <t>항  소   심</t>
    <phoneticPr fontId="2" type="noConversion"/>
  </si>
  <si>
    <t>제    1      심</t>
    <phoneticPr fontId="2" type="noConversion"/>
  </si>
  <si>
    <t>심  급</t>
    <phoneticPr fontId="2" type="noConversion"/>
  </si>
  <si>
    <t>항소기각</t>
    <phoneticPr fontId="2" type="noConversion"/>
  </si>
  <si>
    <t>환송</t>
    <phoneticPr fontId="2" type="noConversion"/>
  </si>
  <si>
    <t>합       계</t>
    <phoneticPr fontId="2" type="noConversion"/>
  </si>
  <si>
    <t>판                                              결</t>
    <phoneticPr fontId="2" type="noConversion"/>
  </si>
  <si>
    <t>기 타</t>
    <phoneticPr fontId="2" type="noConversion"/>
  </si>
  <si>
    <t>원 고 승</t>
    <phoneticPr fontId="2" type="noConversion"/>
  </si>
  <si>
    <t>기     타</t>
    <phoneticPr fontId="2" type="noConversion"/>
  </si>
  <si>
    <t>판                                                     결</t>
    <phoneticPr fontId="2" type="noConversion"/>
  </si>
  <si>
    <t xml:space="preserve">  구       분</t>
    <phoneticPr fontId="2" type="noConversion"/>
  </si>
  <si>
    <t xml:space="preserve">  제        1        심</t>
    <phoneticPr fontId="2" type="noConversion"/>
  </si>
  <si>
    <t xml:space="preserve">   항         소          심</t>
    <phoneticPr fontId="2" type="noConversion"/>
  </si>
  <si>
    <t>판    결</t>
    <phoneticPr fontId="2" type="noConversion"/>
  </si>
  <si>
    <t>판     결</t>
    <phoneticPr fontId="2" type="noConversion"/>
  </si>
  <si>
    <t xml:space="preserve">     기             타</t>
    <phoneticPr fontId="2" type="noConversion"/>
  </si>
  <si>
    <t xml:space="preserve">항   소   심 </t>
    <phoneticPr fontId="2" type="noConversion"/>
  </si>
  <si>
    <t xml:space="preserve">상   고   심 </t>
    <phoneticPr fontId="2" type="noConversion"/>
  </si>
  <si>
    <t>특     허</t>
    <phoneticPr fontId="2" type="noConversion"/>
  </si>
  <si>
    <t>실     용</t>
    <phoneticPr fontId="2" type="noConversion"/>
  </si>
  <si>
    <t>상     표</t>
    <phoneticPr fontId="2" type="noConversion"/>
  </si>
  <si>
    <t>판                               결</t>
    <phoneticPr fontId="2" type="noConversion"/>
  </si>
  <si>
    <t>판                                        결</t>
    <phoneticPr fontId="2" type="noConversion"/>
  </si>
  <si>
    <t>환  송</t>
    <phoneticPr fontId="2" type="noConversion"/>
  </si>
  <si>
    <t>처                                        리</t>
    <phoneticPr fontId="2" type="noConversion"/>
  </si>
  <si>
    <t>인 용</t>
    <phoneticPr fontId="2" type="noConversion"/>
  </si>
  <si>
    <t xml:space="preserve">기 각 </t>
    <phoneticPr fontId="2" type="noConversion"/>
  </si>
  <si>
    <t>각 하</t>
    <phoneticPr fontId="2" type="noConversion"/>
  </si>
  <si>
    <t>취 하</t>
    <phoneticPr fontId="2" type="noConversion"/>
  </si>
  <si>
    <t>처                                         리</t>
    <phoneticPr fontId="2" type="noConversion"/>
  </si>
  <si>
    <t>미   제</t>
    <phoneticPr fontId="2" type="noConversion"/>
  </si>
  <si>
    <t>종 류</t>
    <phoneticPr fontId="2" type="noConversion"/>
  </si>
  <si>
    <t xml:space="preserve">                구분</t>
    <phoneticPr fontId="2" type="noConversion"/>
  </si>
  <si>
    <t>처         리</t>
    <phoneticPr fontId="2" type="noConversion"/>
  </si>
  <si>
    <t>재항고</t>
    <phoneticPr fontId="2" type="noConversion"/>
  </si>
  <si>
    <t>고등법원 제1심</t>
    <phoneticPr fontId="2" type="noConversion"/>
  </si>
  <si>
    <t>(지방의회의원 등)</t>
    <phoneticPr fontId="2" type="noConversion"/>
  </si>
  <si>
    <t>상     고       심</t>
    <phoneticPr fontId="2" type="noConversion"/>
  </si>
  <si>
    <t>2. 행정소송(본안)사건</t>
    <phoneticPr fontId="2" type="noConversion"/>
  </si>
  <si>
    <t>처리율(%)</t>
    <phoneticPr fontId="2" type="noConversion"/>
  </si>
  <si>
    <t>취                                     소</t>
    <phoneticPr fontId="2" type="noConversion"/>
  </si>
  <si>
    <t>신청</t>
    <phoneticPr fontId="2" type="noConversion"/>
  </si>
  <si>
    <t>지  수</t>
    <phoneticPr fontId="2" type="noConversion"/>
  </si>
  <si>
    <t>인천지방법원</t>
    <phoneticPr fontId="2" type="noConversion"/>
  </si>
  <si>
    <t>수원지방법원</t>
    <phoneticPr fontId="2" type="noConversion"/>
  </si>
  <si>
    <t>춘천지방법원</t>
    <phoneticPr fontId="2" type="noConversion"/>
  </si>
  <si>
    <t>대전지방법원</t>
    <phoneticPr fontId="2" type="noConversion"/>
  </si>
  <si>
    <t>청주지방법원</t>
    <phoneticPr fontId="2" type="noConversion"/>
  </si>
  <si>
    <t>대구지방법원</t>
    <phoneticPr fontId="2" type="noConversion"/>
  </si>
  <si>
    <t>부산지방법원</t>
    <phoneticPr fontId="2" type="noConversion"/>
  </si>
  <si>
    <t>울산지방법원</t>
    <phoneticPr fontId="2" type="noConversion"/>
  </si>
  <si>
    <t>창원지방법원</t>
    <phoneticPr fontId="2" type="noConversion"/>
  </si>
  <si>
    <t>광주지방법원</t>
    <phoneticPr fontId="2" type="noConversion"/>
  </si>
  <si>
    <t>전주지방법원</t>
    <phoneticPr fontId="2" type="noConversion"/>
  </si>
  <si>
    <t>제주지방법원</t>
    <phoneticPr fontId="2" type="noConversion"/>
  </si>
  <si>
    <t>연  도</t>
    <phoneticPr fontId="2" type="noConversion"/>
  </si>
  <si>
    <t>1. 개황</t>
    <phoneticPr fontId="2" type="noConversion"/>
  </si>
  <si>
    <t>기   타</t>
    <phoneticPr fontId="2" type="noConversion"/>
  </si>
  <si>
    <t>제  1  심</t>
    <phoneticPr fontId="2" type="noConversion"/>
  </si>
  <si>
    <t>항  소  심</t>
    <phoneticPr fontId="2" type="noConversion"/>
  </si>
  <si>
    <t>항소심</t>
    <phoneticPr fontId="2" type="noConversion"/>
  </si>
  <si>
    <t>상고심</t>
    <phoneticPr fontId="2" type="noConversion"/>
  </si>
  <si>
    <t>합          계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</si>
  <si>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</si>
  <si>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</si>
  <si>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 xml:space="preserve">                구 분</t>
    <phoneticPr fontId="2" type="noConversion"/>
  </si>
  <si>
    <t xml:space="preserve">               구 분</t>
    <phoneticPr fontId="2" type="noConversion"/>
  </si>
  <si>
    <t>제1심</t>
    <phoneticPr fontId="2" type="noConversion"/>
  </si>
  <si>
    <t xml:space="preserve">               기 간</t>
    <phoneticPr fontId="2" type="noConversion"/>
  </si>
  <si>
    <t>합        계</t>
    <phoneticPr fontId="2" type="noConversion"/>
  </si>
  <si>
    <t>심 급</t>
    <phoneticPr fontId="2" type="noConversion"/>
  </si>
  <si>
    <t>합      계</t>
    <phoneticPr fontId="2" type="noConversion"/>
  </si>
  <si>
    <t>심   리   중   의    기   간</t>
    <phoneticPr fontId="2" type="noConversion"/>
  </si>
  <si>
    <t>대법원</t>
    <phoneticPr fontId="2" type="noConversion"/>
  </si>
  <si>
    <t>2월이내</t>
  </si>
  <si>
    <t>3월이내</t>
  </si>
  <si>
    <t>4월이내</t>
  </si>
  <si>
    <t>5월이내</t>
  </si>
  <si>
    <t>6월이내</t>
  </si>
  <si>
    <t xml:space="preserve">                 구  분</t>
    <phoneticPr fontId="2" type="noConversion"/>
  </si>
  <si>
    <t>합           계</t>
    <phoneticPr fontId="2" type="noConversion"/>
  </si>
  <si>
    <t>본           안              사              건</t>
    <phoneticPr fontId="2" type="noConversion"/>
  </si>
  <si>
    <t xml:space="preserve"> 사  건  수</t>
    <phoneticPr fontId="2" type="noConversion"/>
  </si>
  <si>
    <t xml:space="preserve"> 지    수</t>
    <phoneticPr fontId="2" type="noConversion"/>
  </si>
  <si>
    <t xml:space="preserve">                 종  류</t>
    <phoneticPr fontId="2" type="noConversion"/>
  </si>
  <si>
    <t>본안사건</t>
    <phoneticPr fontId="2" type="noConversion"/>
  </si>
  <si>
    <t>본안외사건</t>
    <phoneticPr fontId="2" type="noConversion"/>
  </si>
  <si>
    <t xml:space="preserve">본안외사건 </t>
    <phoneticPr fontId="2" type="noConversion"/>
  </si>
  <si>
    <t>가. 본안사건</t>
    <phoneticPr fontId="2" type="noConversion"/>
  </si>
  <si>
    <t>사   건</t>
    <phoneticPr fontId="2" type="noConversion"/>
  </si>
  <si>
    <t>구분</t>
    <phoneticPr fontId="2" type="noConversion"/>
  </si>
  <si>
    <t>조세</t>
  </si>
  <si>
    <t>토지수용</t>
  </si>
  <si>
    <t>난민</t>
  </si>
  <si>
    <t>도시정비</t>
  </si>
  <si>
    <t>건축</t>
  </si>
  <si>
    <t>기타</t>
  </si>
  <si>
    <r>
      <t>나. 재항고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신청사건</t>
    </r>
    <phoneticPr fontId="2" type="noConversion"/>
  </si>
  <si>
    <t>(단위: 일)</t>
    <phoneticPr fontId="2" type="noConversion"/>
  </si>
  <si>
    <t>제   1   심</t>
    <phoneticPr fontId="2" type="noConversion"/>
  </si>
  <si>
    <t>2 0 1 3</t>
  </si>
  <si>
    <r>
      <t>중단</t>
    </r>
    <r>
      <rPr>
        <b/>
        <sz val="9"/>
        <color indexed="9"/>
        <rFont val="맑은 고딕"/>
        <family val="3"/>
        <charset val="129"/>
      </rPr>
      <t>·</t>
    </r>
    <r>
      <rPr>
        <b/>
        <sz val="9"/>
        <color indexed="9"/>
        <rFont val="굴림"/>
        <family val="3"/>
        <charset val="129"/>
      </rPr>
      <t>중지</t>
    </r>
    <phoneticPr fontId="2" type="noConversion"/>
  </si>
  <si>
    <t>(-)</t>
    <phoneticPr fontId="2" type="noConversion"/>
  </si>
  <si>
    <t>`</t>
    <phoneticPr fontId="2" type="noConversion"/>
  </si>
  <si>
    <t>2 0 16</t>
  </si>
  <si>
    <t>2 0 1 4</t>
  </si>
  <si>
    <t>2 0 1 5</t>
  </si>
  <si>
    <t>2 0 17</t>
  </si>
  <si>
    <t>심급별사건</t>
    <phoneticPr fontId="2" type="noConversion"/>
  </si>
  <si>
    <t>심 급·사 건</t>
    <phoneticPr fontId="2" type="noConversion"/>
  </si>
  <si>
    <t>금년접수</t>
    <phoneticPr fontId="2" type="noConversion"/>
  </si>
  <si>
    <t>소취하
(간주)</t>
    <phoneticPr fontId="2" type="noConversion"/>
  </si>
  <si>
    <t>평균처리기간</t>
    <phoneticPr fontId="2" type="noConversion"/>
  </si>
  <si>
    <t>금년접수</t>
    <phoneticPr fontId="2" type="noConversion"/>
  </si>
  <si>
    <t>처리</t>
    <phoneticPr fontId="2" type="noConversion"/>
  </si>
  <si>
    <t>미제</t>
    <phoneticPr fontId="2" type="noConversion"/>
  </si>
  <si>
    <t>처리율(%)</t>
    <phoneticPr fontId="2" type="noConversion"/>
  </si>
  <si>
    <t>특허법원계</t>
    <phoneticPr fontId="2" type="noConversion"/>
  </si>
  <si>
    <t>신청(소송비용액확정)</t>
    <phoneticPr fontId="2" type="noConversion"/>
  </si>
  <si>
    <t>신청(기     타)</t>
    <phoneticPr fontId="2" type="noConversion"/>
  </si>
  <si>
    <t>대법원계</t>
    <phoneticPr fontId="2" type="noConversion"/>
  </si>
  <si>
    <t xml:space="preserve"> 재  항  고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</si>
  <si>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</si>
  <si>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제   1   심   계</t>
    <phoneticPr fontId="2" type="noConversion"/>
  </si>
  <si>
    <t xml:space="preserve">       판       결</t>
    <phoneticPr fontId="2" type="noConversion"/>
  </si>
  <si>
    <t xml:space="preserve">       기       타</t>
    <phoneticPr fontId="2" type="noConversion"/>
  </si>
  <si>
    <t>상   고   심   계</t>
    <phoneticPr fontId="2" type="noConversion"/>
  </si>
  <si>
    <t>전체사건</t>
    <phoneticPr fontId="2" type="noConversion"/>
  </si>
  <si>
    <t xml:space="preserve">제   1    심   계 </t>
    <phoneticPr fontId="2" type="noConversion"/>
  </si>
  <si>
    <t xml:space="preserve">    판              결</t>
    <phoneticPr fontId="2" type="noConversion"/>
  </si>
  <si>
    <t xml:space="preserve">    기              타</t>
    <phoneticPr fontId="2" type="noConversion"/>
  </si>
  <si>
    <t xml:space="preserve">항   소   심   계 </t>
    <phoneticPr fontId="2" type="noConversion"/>
  </si>
  <si>
    <t xml:space="preserve">     판             결</t>
    <phoneticPr fontId="2" type="noConversion"/>
  </si>
  <si>
    <t xml:space="preserve">     기             타</t>
    <phoneticPr fontId="2" type="noConversion"/>
  </si>
  <si>
    <t>상  고  심  계</t>
    <phoneticPr fontId="2" type="noConversion"/>
  </si>
  <si>
    <t>노동</t>
    <phoneticPr fontId="2" type="noConversion"/>
  </si>
  <si>
    <t>소취하
(간주)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</si>
  <si>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항소
취하</t>
    </r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</si>
  <si>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</si>
  <si>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(0.0)</t>
    <phoneticPr fontId="2" type="noConversion"/>
  </si>
  <si>
    <t>2 0 1 8</t>
  </si>
  <si>
    <r>
      <t>(대통령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국회의원등)</t>
    </r>
    <phoneticPr fontId="2" type="noConversion"/>
  </si>
  <si>
    <t>심급</t>
    <phoneticPr fontId="2" type="noConversion"/>
  </si>
  <si>
    <t>중단·중지</t>
    <phoneticPr fontId="2" type="noConversion"/>
  </si>
  <si>
    <t>평균처리기간</t>
    <phoneticPr fontId="2" type="noConversion"/>
  </si>
  <si>
    <t>영업
정지
·취소</t>
    <phoneticPr fontId="2" type="noConversion"/>
  </si>
  <si>
    <t>공무상
재해·
산업재해</t>
    <phoneticPr fontId="2" type="noConversion"/>
  </si>
  <si>
    <t>기타 
일반
행정</t>
    <phoneticPr fontId="2" type="noConversion"/>
  </si>
  <si>
    <t>조세 
이외의 
각종 
부과처분</t>
    <phoneticPr fontId="2" type="noConversion"/>
  </si>
  <si>
    <t>국가
유공자</t>
    <phoneticPr fontId="2" type="noConversion"/>
  </si>
  <si>
    <t>2020년도</t>
    <phoneticPr fontId="2" type="noConversion"/>
  </si>
  <si>
    <t>2 0 1 9</t>
  </si>
  <si>
    <t>심급  종류</t>
    <phoneticPr fontId="2" type="noConversion"/>
  </si>
  <si>
    <t>집행정지</t>
    <phoneticPr fontId="2" type="noConversion"/>
  </si>
  <si>
    <t>가압류</t>
    <phoneticPr fontId="2" type="noConversion"/>
  </si>
  <si>
    <t>가처분</t>
  </si>
  <si>
    <t>가처분</t>
    <phoneticPr fontId="2" type="noConversion"/>
  </si>
  <si>
    <t>평균처리
일수</t>
    <phoneticPr fontId="2" type="noConversion"/>
  </si>
  <si>
    <t>(비율)</t>
    <phoneticPr fontId="2" type="noConversion"/>
  </si>
  <si>
    <t>행정신청사건 종류별 처리상황(표 추가)</t>
    <phoneticPr fontId="2" type="noConversion"/>
  </si>
  <si>
    <t>공정
거래</t>
    <phoneticPr fontId="2" type="noConversion"/>
  </si>
  <si>
    <t>(-)</t>
    <phoneticPr fontId="2" type="noConversion"/>
  </si>
  <si>
    <t>2 0 2 0</t>
  </si>
  <si>
    <t>신       청</t>
    <phoneticPr fontId="2" type="noConversion"/>
  </si>
  <si>
    <t>2021년도</t>
    <phoneticPr fontId="2" type="noConversion"/>
  </si>
  <si>
    <t>제6항 선거</t>
    <phoneticPr fontId="2" type="noConversion"/>
  </si>
  <si>
    <t>주 : 처리율(%) =  처리건수 /금년접수*100</t>
    <phoneticPr fontId="2" type="noConversion"/>
  </si>
  <si>
    <t>Sheet명</t>
    <phoneticPr fontId="2" type="noConversion"/>
  </si>
  <si>
    <t>표(도표) 제목</t>
    <phoneticPr fontId="2" type="noConversion"/>
  </si>
  <si>
    <t>변경내용</t>
    <phoneticPr fontId="2" type="noConversion"/>
  </si>
  <si>
    <t>표 번호</t>
    <phoneticPr fontId="2" type="noConversion"/>
  </si>
  <si>
    <t>표 추가</t>
    <phoneticPr fontId="2" type="noConversion"/>
  </si>
  <si>
    <t>(표 87)</t>
    <phoneticPr fontId="2" type="noConversion"/>
  </si>
  <si>
    <t>행정신청사건 종류별 처리상황</t>
    <phoneticPr fontId="2" type="noConversion"/>
  </si>
  <si>
    <t>건수</t>
    <phoneticPr fontId="2" type="noConversion"/>
  </si>
  <si>
    <t>비율</t>
    <phoneticPr fontId="2" type="noConversion"/>
  </si>
  <si>
    <t>심급 종류</t>
    <phoneticPr fontId="2" type="noConversion"/>
  </si>
  <si>
    <t>주 : (  )내의 수는 처리된 전체건수 대비 인용건수 비율(%)임</t>
    <phoneticPr fontId="2" type="noConversion"/>
  </si>
  <si>
    <t>항 소 심 계</t>
    <phoneticPr fontId="2" type="noConversion"/>
  </si>
  <si>
    <t>제 1 심 계</t>
    <phoneticPr fontId="2" type="noConversion"/>
  </si>
  <si>
    <t>상 고 심 계</t>
    <phoneticPr fontId="2" type="noConversion"/>
  </si>
  <si>
    <t>제4항 행 정</t>
    <phoneticPr fontId="2" type="noConversion"/>
  </si>
  <si>
    <t>행정사건 접수. 처리 총괄(표 78 )</t>
    <phoneticPr fontId="2" type="noConversion"/>
  </si>
  <si>
    <t>행정소송사건 연도별 비교 - 접수(표 79)</t>
    <phoneticPr fontId="2" type="noConversion"/>
  </si>
  <si>
    <t xml:space="preserve">행정소송사건 법원별- 접수(표 80) </t>
    <phoneticPr fontId="2" type="noConversion"/>
  </si>
  <si>
    <t xml:space="preserve">행정소송사건 종류별 건수  - 접수(표 81) </t>
    <phoneticPr fontId="2" type="noConversion"/>
  </si>
  <si>
    <r>
      <t>행정소송사건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82)</t>
    </r>
    <phoneticPr fontId="2" type="noConversion"/>
  </si>
  <si>
    <t>행정소송사건 처리결과(표 83)</t>
    <phoneticPr fontId="2" type="noConversion"/>
  </si>
  <si>
    <t>행정소송사건 처리기간별 건수(표 84)</t>
    <phoneticPr fontId="2" type="noConversion"/>
  </si>
  <si>
    <t xml:space="preserve"> 처리된 사건의 심리기간은 표 84와 같고, 평균처리(심리)기간은 표 85와 같다.</t>
    <phoneticPr fontId="2" type="noConversion"/>
  </si>
  <si>
    <t>행정소송사건 평균처리기간(표 85)</t>
    <phoneticPr fontId="2" type="noConversion"/>
  </si>
  <si>
    <t>행정소송(본안)사건 미제 기간별 건수(표 86)</t>
    <phoneticPr fontId="2" type="noConversion"/>
  </si>
  <si>
    <t xml:space="preserve"> 행정소송사건의 미제를 기간별로 살펴보면 표 86과 같다.</t>
    <phoneticPr fontId="2" type="noConversion"/>
  </si>
  <si>
    <t>행정신청 및 (재)항고사건의 처리상황을 살펴보면 표 87과 같다.</t>
    <phoneticPr fontId="2" type="noConversion"/>
  </si>
  <si>
    <r>
      <t>행정신청</t>
    </r>
    <r>
      <rPr>
        <b/>
        <sz val="9"/>
        <color indexed="8"/>
        <rFont val="맑은 고딕"/>
        <family val="3"/>
        <charset val="129"/>
      </rPr>
      <t>·</t>
    </r>
    <r>
      <rPr>
        <b/>
        <sz val="9"/>
        <color indexed="8"/>
        <rFont val="굴림"/>
        <family val="3"/>
        <charset val="129"/>
      </rPr>
      <t>(재)항고사건 처리상황(표 87)</t>
    </r>
    <phoneticPr fontId="2" type="noConversion"/>
  </si>
  <si>
    <t>행정신청사건 종류별 처리상황(표 88)</t>
    <phoneticPr fontId="2" type="noConversion"/>
  </si>
  <si>
    <t>선거소송사건 처리상황(표 97)</t>
    <phoneticPr fontId="2" type="noConversion"/>
  </si>
  <si>
    <t>(-)</t>
    <phoneticPr fontId="2" type="noConversion"/>
  </si>
  <si>
    <t>평균처리
일     수</t>
    <phoneticPr fontId="2" type="noConversion"/>
  </si>
  <si>
    <t>3. 지식재산신청·(재)항고사건</t>
    <phoneticPr fontId="2" type="noConversion"/>
  </si>
  <si>
    <t>지식재산신청·(재)항고사건 처리상황(표 96)</t>
    <phoneticPr fontId="2" type="noConversion"/>
  </si>
  <si>
    <t>지식재산소송사건 미제 기간별 건수(표 95)</t>
    <phoneticPr fontId="2" type="noConversion"/>
  </si>
  <si>
    <t>지식재산소송사건 처리결과(표 92)</t>
    <phoneticPr fontId="2" type="noConversion"/>
  </si>
  <si>
    <t>지식재산소송</t>
    <phoneticPr fontId="2" type="noConversion"/>
  </si>
  <si>
    <t>지식재산소송사건 처리기간별 건수(표 93)</t>
    <phoneticPr fontId="2" type="noConversion"/>
  </si>
  <si>
    <t>지식재산소송사건 평균처리기간(표 94)</t>
    <phoneticPr fontId="2" type="noConversion"/>
  </si>
  <si>
    <r>
      <t>지식재산소송사건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미제 건수(표 91)</t>
    </r>
    <phoneticPr fontId="2" type="noConversion"/>
  </si>
  <si>
    <t>지식재산소송사건 종류별 건수 비교 - 접수(표 90)</t>
    <phoneticPr fontId="2" type="noConversion"/>
  </si>
  <si>
    <t>2. 지식재산본안사건</t>
    <phoneticPr fontId="2" type="noConversion"/>
  </si>
  <si>
    <t>제5항 지식재산</t>
    <phoneticPr fontId="2" type="noConversion"/>
  </si>
  <si>
    <r>
      <t>지식재산사건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 총괄(표 89)</t>
    </r>
    <phoneticPr fontId="2" type="noConversion"/>
  </si>
  <si>
    <t>(-)</t>
    <phoneticPr fontId="2" type="noConversion"/>
  </si>
  <si>
    <t xml:space="preserve"> 2022년도 접수된 지식재산본안사건의 종류별 내역은 표 90과 같고, 지식재산소송사건의 처리상황은 표 91과 같다. 처리사건의 종결내용은 표 92와 같다. 제1심 판결에 대한 상고율 (상고건수/판결건수×100)은 27.9%이다.  
  사건의 처리기간을 보면 표 93과 같고, 그 평균처리기간은 표 94와 같다.</t>
    <phoneticPr fontId="2" type="noConversion"/>
  </si>
  <si>
    <t>2022년도</t>
    <phoneticPr fontId="2" type="noConversion"/>
  </si>
  <si>
    <t xml:space="preserve">  2022년도에 대법원과 특허법원에 접수된 지식재산사건은 모두 1,036건으로 전체 소송사건의 0.02%에 해당된다. 
  지식재산사건의 접수·처리를 총괄하여 보면 표 89와 같으며 이 중 본안사건은 688건, 본안외 사건은 348건으로 그 비율은 도표 24와 같다. 제1심은 특허법원이 담당하는 지식재산사건을 지칭한다.
  제1심 지식재산소송사건에 관계된 외국인 104명 중 원고는 61명, 피고는 43명인데 이들을 국적별로 보면 미국 42명(40.4%), 일본 16명(15.4%) 순이다. 한편 종류별로 보면 특허권에 관한 소송이 58명으로 55.8%를 차지하고 있다.</t>
    <phoneticPr fontId="2" type="noConversion"/>
  </si>
  <si>
    <t>2 0 2 1</t>
  </si>
  <si>
    <t>2 0 2 2</t>
    <phoneticPr fontId="2" type="noConversion"/>
  </si>
  <si>
    <t xml:space="preserve">  2022년도에 접수된 행정소송(본안)사건을 그 종류별로 보면 표 81과 같다. 
  행정소송사건의 접수·처리·미제 건수는 표 82와 같고, 처리결과는 표 83과 같으며, 제1심 판결에 대한 항소율(항소건수/판결건수×100)은 49.5%이다.</t>
    <phoneticPr fontId="2" type="noConversion"/>
  </si>
  <si>
    <t xml:space="preserve">  2022년도에 접수된 행정사건은 모두 49,900건으로 이는 전체 사건의 0.3%, 소송사건의 0.8%에 해당된다. 
  행정사건의 접수·처리를 종류별 및 심급별로 총괄하여 보면 표 78과 같다. 전년에 비하여 본안사건은 5.1% 감소하였고, 본안외 사건은 6.0% 증가하였다. 
  행정소송사건 중 본안사건은 33,258건이고, 본안외 사건은 16,642건으로 그 비율은 도표 23과 같다. 
  행정사건의 최근 10년간의 추세를 보면 표 79와 같다.</t>
    <phoneticPr fontId="2" type="noConversion"/>
  </si>
  <si>
    <t>주 :  [  ]내의 수는 동일인에 의한 과다 소송 제기 사건을 제외한 수치임</t>
    <phoneticPr fontId="2" type="noConversion"/>
  </si>
  <si>
    <t>[-]</t>
    <phoneticPr fontId="2" type="noConversion"/>
  </si>
  <si>
    <t>접 수</t>
    <phoneticPr fontId="2" type="noConversion"/>
  </si>
  <si>
    <t>처 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</si>
</sst>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#,##0.0_ "/>
    <numFmt numFmtId="181" formatCode="\(#,###.0\)"/>
    <numFmt numFmtId="182" formatCode="0.0"/>
    <numFmt numFmtId="183" formatCode="\(\-\)"/>
    <numFmt numFmtId="184" formatCode="#,##0;\(#,##0\)"/>
    <numFmt numFmtId="185" formatCode="000\-000"/>
    <numFmt numFmtId="186" formatCode="0.0_ "/>
    <numFmt numFmtId="187" formatCode="#,##0.0;[Red]\(#,##0.0\)"/>
    <numFmt numFmtId="188" formatCode="_ * #,##0_ ;_ * \-#,##0_ ;_ * &quot;-&quot;_ ;_ @_ "/>
    <numFmt numFmtId="189" formatCode="_ * #,##0.00_ ;_ * \-#,##0.00_ ;_ * &quot;-&quot;??_ ;_ @_ "/>
    <numFmt numFmtId="190" formatCode="\(0.000\)"/>
    <numFmt numFmtId="191" formatCode="&quot;[&quot;#,##0\]"/>
  </numFmts>
  <fonts count="4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55"/>
      <name val="굴림"/>
      <family val="3"/>
      <charset val="129"/>
    </font>
    <font>
      <sz val="11"/>
      <color indexed="55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9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64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1499679555650502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rgb="FFFF0000"/>
      </bottom>
      <diagonal/>
    </border>
    <border>
      <left style="thin">
        <color indexed="9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9"/>
      </right>
      <top style="thin">
        <color indexed="64"/>
      </top>
      <bottom style="thin">
        <color indexed="22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22"/>
      </top>
      <bottom style="thin">
        <color theme="0" tint="-0.1499984740745262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64"/>
      </bottom>
      <diagonal/>
    </border>
  </borders>
  <cellStyleXfs count="1909">
    <xf numFmtId="0" fontId="0" fillId="0" borderId="0">
      <alignment vertical="center"/>
    </xf>
    <xf numFmtId="0" fontId="22" fillId="6" borderId="62">
      <alignment vertical="center"/>
    </xf>
    <xf numFmtId="184" fontId="23" fillId="7" borderId="63">
      <alignment horizontal="right" vertical="center"/>
    </xf>
    <xf numFmtId="0" fontId="24" fillId="8" borderId="64">
      <alignment horizontal="center"/>
    </xf>
    <xf numFmtId="0" fontId="24" fillId="8" borderId="64">
      <alignment horizontal="center"/>
    </xf>
    <xf numFmtId="184" fontId="25" fillId="7" borderId="63">
      <alignment horizontal="right" vertical="center"/>
    </xf>
    <xf numFmtId="0" fontId="24" fillId="8" borderId="63">
      <alignment vertical="center" wrapText="1"/>
    </xf>
    <xf numFmtId="187" fontId="25" fillId="7" borderId="63">
      <alignment horizontal="right" vertical="center"/>
    </xf>
    <xf numFmtId="0" fontId="26" fillId="7" borderId="63">
      <alignment horizontal="left" vertical="center" wrapText="1"/>
    </xf>
    <xf numFmtId="0" fontId="26" fillId="7" borderId="63">
      <alignment horizontal="left" vertical="top" wrapText="1"/>
    </xf>
    <xf numFmtId="0" fontId="27" fillId="8" borderId="64">
      <alignment horizontal="center" vertical="center"/>
    </xf>
    <xf numFmtId="0" fontId="24" fillId="8" borderId="64">
      <alignment horizontal="center" wrapText="1"/>
    </xf>
    <xf numFmtId="187" fontId="23" fillId="7" borderId="63">
      <alignment horizontal="right"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184" fontId="23" fillId="7" borderId="63">
      <alignment horizontal="right" vertical="center"/>
    </xf>
    <xf numFmtId="41" fontId="8" fillId="0" borderId="0" applyFont="0" applyFill="0" applyBorder="0" applyAlignment="0" applyProtection="0">
      <alignment vertical="center"/>
    </xf>
  </cellStyleXfs>
  <cellXfs count="368">
    <xf numFmtId="0" fontId="0" fillId="0" borderId="0" xfId="0">
      <alignment vertical="center"/>
    </xf>
    <xf numFmtId="41" fontId="4" fillId="2" borderId="0" xfId="15" applyFont="1" applyFill="1" applyBorder="1" applyAlignment="1">
      <alignment horizontal="left" vertical="center"/>
    </xf>
    <xf numFmtId="185" fontId="4" fillId="2" borderId="0" xfId="15" applyNumberFormat="1" applyFont="1" applyFill="1" applyBorder="1" applyAlignment="1">
      <alignment horizontal="left" vertical="center"/>
    </xf>
    <xf numFmtId="41" fontId="3" fillId="3" borderId="2" xfId="15" applyFont="1" applyFill="1" applyBorder="1" applyAlignment="1">
      <alignment horizontal="center" vertical="center"/>
    </xf>
    <xf numFmtId="41" fontId="5" fillId="4" borderId="3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vertical="center"/>
    </xf>
    <xf numFmtId="41" fontId="4" fillId="2" borderId="0" xfId="15" applyFont="1" applyFill="1" applyBorder="1" applyAlignment="1">
      <alignment horizontal="right" vertical="center"/>
    </xf>
    <xf numFmtId="41" fontId="4" fillId="2" borderId="0" xfId="15" applyFont="1" applyFill="1" applyBorder="1" applyAlignment="1">
      <alignment vertical="center"/>
    </xf>
    <xf numFmtId="41" fontId="4" fillId="2" borderId="0" xfId="15" applyFont="1" applyFill="1" applyAlignment="1">
      <alignment vertical="center"/>
    </xf>
    <xf numFmtId="185" fontId="5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Alignment="1">
      <alignment vertical="center"/>
    </xf>
    <xf numFmtId="185" fontId="5" fillId="2" borderId="0" xfId="15" applyNumberFormat="1" applyFont="1" applyFill="1" applyBorder="1" applyAlignment="1">
      <alignment horizontal="left" vertical="center"/>
    </xf>
    <xf numFmtId="41" fontId="5" fillId="2" borderId="0" xfId="15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1" fontId="3" fillId="3" borderId="4" xfId="15" applyFont="1" applyFill="1" applyBorder="1" applyAlignment="1">
      <alignment horizontal="right" vertical="center"/>
    </xf>
    <xf numFmtId="41" fontId="3" fillId="3" borderId="5" xfId="15" applyFont="1" applyFill="1" applyBorder="1" applyAlignment="1">
      <alignment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4" fillId="4" borderId="8" xfId="15" applyFont="1" applyFill="1" applyBorder="1" applyAlignment="1">
      <alignment vertical="center"/>
    </xf>
    <xf numFmtId="41" fontId="4" fillId="4" borderId="0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vertical="center"/>
    </xf>
    <xf numFmtId="41" fontId="4" fillId="4" borderId="2" xfId="15" applyFont="1" applyFill="1" applyBorder="1" applyAlignment="1">
      <alignment vertical="center"/>
    </xf>
    <xf numFmtId="182" fontId="5" fillId="2" borderId="0" xfId="15" applyNumberFormat="1" applyFont="1" applyFill="1" applyBorder="1" applyAlignment="1">
      <alignment vertical="center"/>
    </xf>
    <xf numFmtId="182" fontId="4" fillId="2" borderId="0" xfId="15" applyNumberFormat="1" applyFont="1" applyFill="1" applyBorder="1" applyAlignment="1">
      <alignment vertical="center"/>
    </xf>
    <xf numFmtId="41" fontId="5" fillId="4" borderId="9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vertical="center"/>
    </xf>
    <xf numFmtId="177" fontId="4" fillId="2" borderId="0" xfId="15" applyNumberFormat="1" applyFont="1" applyFill="1" applyAlignment="1">
      <alignment vertical="center"/>
    </xf>
    <xf numFmtId="41" fontId="4" fillId="2" borderId="0" xfId="15" applyFont="1" applyFill="1" applyBorder="1" applyAlignment="1">
      <alignment horizontal="center" vertical="center"/>
    </xf>
    <xf numFmtId="176" fontId="4" fillId="4" borderId="0" xfId="15" applyNumberFormat="1" applyFont="1" applyFill="1" applyBorder="1" applyAlignment="1">
      <alignment vertical="center"/>
    </xf>
    <xf numFmtId="176" fontId="4" fillId="4" borderId="2" xfId="15" applyNumberFormat="1" applyFont="1" applyFill="1" applyBorder="1" applyAlignment="1">
      <alignment vertical="center"/>
    </xf>
    <xf numFmtId="41" fontId="3" fillId="3" borderId="6" xfId="15" applyFont="1" applyFill="1" applyBorder="1" applyAlignment="1">
      <alignment vertical="center"/>
    </xf>
    <xf numFmtId="41" fontId="5" fillId="2" borderId="0" xfId="15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41" fontId="5" fillId="4" borderId="0" xfId="15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vertical="center"/>
    </xf>
    <xf numFmtId="177" fontId="4" fillId="2" borderId="0" xfId="15" applyNumberFormat="1" applyFont="1" applyFill="1" applyBorder="1" applyAlignment="1">
      <alignment vertical="center"/>
    </xf>
    <xf numFmtId="41" fontId="3" fillId="3" borderId="10" xfId="15" applyFont="1" applyFill="1" applyBorder="1" applyAlignment="1">
      <alignment vertical="center"/>
    </xf>
    <xf numFmtId="41" fontId="6" fillId="3" borderId="8" xfId="15" applyFont="1" applyFill="1" applyBorder="1" applyAlignment="1">
      <alignment vertical="center"/>
    </xf>
    <xf numFmtId="41" fontId="3" fillId="3" borderId="2" xfId="15" applyFont="1" applyFill="1" applyBorder="1" applyAlignment="1">
      <alignment vertical="center"/>
    </xf>
    <xf numFmtId="41" fontId="6" fillId="3" borderId="5" xfId="15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3" fillId="3" borderId="6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 wrapText="1"/>
    </xf>
    <xf numFmtId="41" fontId="5" fillId="4" borderId="8" xfId="15" applyFont="1" applyFill="1" applyBorder="1" applyAlignment="1">
      <alignment vertical="center"/>
    </xf>
    <xf numFmtId="177" fontId="5" fillId="4" borderId="0" xfId="15" applyNumberFormat="1" applyFont="1" applyFill="1" applyBorder="1" applyAlignment="1">
      <alignment vertical="center"/>
    </xf>
    <xf numFmtId="179" fontId="4" fillId="4" borderId="2" xfId="15" applyNumberFormat="1" applyFont="1" applyFill="1" applyBorder="1" applyAlignment="1">
      <alignment vertical="center"/>
    </xf>
    <xf numFmtId="179" fontId="4" fillId="4" borderId="11" xfId="15" applyNumberFormat="1" applyFont="1" applyFill="1" applyBorder="1" applyAlignment="1">
      <alignment vertical="center"/>
    </xf>
    <xf numFmtId="41" fontId="7" fillId="2" borderId="0" xfId="15" applyFont="1" applyFill="1" applyAlignment="1">
      <alignment vertical="center"/>
    </xf>
    <xf numFmtId="41" fontId="3" fillId="3" borderId="12" xfId="15" applyFont="1" applyFill="1" applyBorder="1" applyAlignment="1">
      <alignment horizontal="center" vertical="center" wrapText="1"/>
    </xf>
    <xf numFmtId="185" fontId="4" fillId="2" borderId="0" xfId="15" applyNumberFormat="1" applyFont="1" applyFill="1" applyAlignment="1">
      <alignment horizontal="left" vertical="center"/>
    </xf>
    <xf numFmtId="0" fontId="4" fillId="2" borderId="0" xfId="1906" applyFont="1" applyFill="1" applyAlignment="1">
      <alignment vertical="center"/>
    </xf>
    <xf numFmtId="179" fontId="5" fillId="4" borderId="8" xfId="15" applyNumberFormat="1" applyFont="1" applyFill="1" applyBorder="1" applyAlignment="1">
      <alignment vertical="center"/>
    </xf>
    <xf numFmtId="179" fontId="4" fillId="4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horizontal="center" vertical="center"/>
    </xf>
    <xf numFmtId="177" fontId="3" fillId="2" borderId="0" xfId="15" applyNumberFormat="1" applyFont="1" applyFill="1" applyBorder="1" applyAlignment="1">
      <alignment vertical="center"/>
    </xf>
    <xf numFmtId="41" fontId="6" fillId="2" borderId="0" xfId="15" applyFont="1" applyFill="1" applyBorder="1" applyAlignment="1">
      <alignment vertical="center"/>
    </xf>
    <xf numFmtId="183" fontId="6" fillId="2" borderId="0" xfId="15" applyNumberFormat="1" applyFont="1" applyFill="1" applyBorder="1" applyAlignment="1">
      <alignment vertical="center"/>
    </xf>
    <xf numFmtId="41" fontId="3" fillId="3" borderId="8" xfId="15" applyFont="1" applyFill="1" applyBorder="1" applyAlignment="1">
      <alignment horizontal="right" vertical="center"/>
    </xf>
    <xf numFmtId="41" fontId="3" fillId="3" borderId="13" xfId="15" applyFont="1" applyFill="1" applyBorder="1" applyAlignment="1">
      <alignment vertical="center"/>
    </xf>
    <xf numFmtId="41" fontId="3" fillId="3" borderId="14" xfId="15" applyFont="1" applyFill="1" applyBorder="1" applyAlignment="1">
      <alignment horizontal="center" vertical="center"/>
    </xf>
    <xf numFmtId="41" fontId="3" fillId="3" borderId="15" xfId="15" applyFont="1" applyFill="1" applyBorder="1" applyAlignment="1">
      <alignment horizontal="center" vertical="center"/>
    </xf>
    <xf numFmtId="41" fontId="15" fillId="4" borderId="0" xfId="15" applyFont="1" applyFill="1" applyBorder="1" applyAlignment="1">
      <alignment vertical="center"/>
    </xf>
    <xf numFmtId="41" fontId="16" fillId="4" borderId="0" xfId="15" applyFont="1" applyFill="1" applyBorder="1" applyAlignment="1">
      <alignment vertical="center"/>
    </xf>
    <xf numFmtId="41" fontId="16" fillId="4" borderId="2" xfId="15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2" borderId="0" xfId="15" applyNumberFormat="1" applyFont="1" applyFill="1" applyBorder="1" applyAlignment="1">
      <alignment horizontal="left" vertical="center" wrapText="1"/>
    </xf>
    <xf numFmtId="41" fontId="10" fillId="5" borderId="0" xfId="513" applyFont="1" applyFill="1" applyBorder="1" applyAlignment="1">
      <alignment horizontal="center" vertical="center"/>
    </xf>
    <xf numFmtId="41" fontId="4" fillId="5" borderId="0" xfId="513" applyFont="1" applyFill="1" applyBorder="1" applyAlignment="1">
      <alignment horizontal="right" vertical="center"/>
    </xf>
    <xf numFmtId="41" fontId="3" fillId="3" borderId="8" xfId="15" applyFont="1" applyFill="1" applyBorder="1" applyAlignment="1">
      <alignment vertical="center"/>
    </xf>
    <xf numFmtId="41" fontId="3" fillId="3" borderId="17" xfId="15" applyFont="1" applyFill="1" applyBorder="1" applyAlignment="1">
      <alignment vertical="center"/>
    </xf>
    <xf numFmtId="41" fontId="3" fillId="3" borderId="18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horizontal="right" vertical="center"/>
    </xf>
    <xf numFmtId="181" fontId="5" fillId="2" borderId="0" xfId="15" applyNumberFormat="1" applyFont="1" applyFill="1" applyBorder="1" applyAlignment="1">
      <alignment vertical="center"/>
    </xf>
    <xf numFmtId="178" fontId="5" fillId="2" borderId="0" xfId="13" applyNumberFormat="1" applyFont="1" applyFill="1" applyBorder="1" applyAlignment="1">
      <alignment horizontal="center" vertical="center"/>
    </xf>
    <xf numFmtId="41" fontId="18" fillId="2" borderId="0" xfId="15" applyFont="1" applyFill="1" applyAlignment="1">
      <alignment vertical="center"/>
    </xf>
    <xf numFmtId="185" fontId="18" fillId="2" borderId="0" xfId="15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178" fontId="19" fillId="2" borderId="0" xfId="13" applyNumberFormat="1" applyFont="1" applyFill="1">
      <alignment vertical="center"/>
    </xf>
    <xf numFmtId="0" fontId="18" fillId="0" borderId="0" xfId="0" applyFont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5" fillId="4" borderId="0" xfId="15" applyFont="1" applyFill="1" applyBorder="1" applyAlignment="1">
      <alignment horizontal="center" vertical="center"/>
    </xf>
    <xf numFmtId="41" fontId="3" fillId="3" borderId="19" xfId="15" applyFont="1" applyFill="1" applyBorder="1" applyAlignment="1">
      <alignment horizontal="center" vertical="center" wrapText="1"/>
    </xf>
    <xf numFmtId="41" fontId="3" fillId="3" borderId="20" xfId="15" applyFont="1" applyFill="1" applyBorder="1" applyAlignment="1">
      <alignment vertical="center"/>
    </xf>
    <xf numFmtId="41" fontId="3" fillId="3" borderId="21" xfId="15" applyFont="1" applyFill="1" applyBorder="1" applyAlignment="1">
      <alignment vertical="center"/>
    </xf>
    <xf numFmtId="41" fontId="5" fillId="4" borderId="22" xfId="15" applyFont="1" applyFill="1" applyBorder="1" applyAlignment="1">
      <alignment horizontal="center" vertical="center"/>
    </xf>
    <xf numFmtId="41" fontId="5" fillId="4" borderId="24" xfId="15" applyFont="1" applyFill="1" applyBorder="1" applyAlignment="1">
      <alignment horizontal="center" vertical="center"/>
    </xf>
    <xf numFmtId="41" fontId="5" fillId="4" borderId="25" xfId="15" applyFont="1" applyFill="1" applyBorder="1" applyAlignment="1">
      <alignment horizontal="center" vertical="center"/>
    </xf>
    <xf numFmtId="41" fontId="5" fillId="4" borderId="26" xfId="15" applyFont="1" applyFill="1" applyBorder="1" applyAlignment="1">
      <alignment horizontal="center" vertical="center"/>
    </xf>
    <xf numFmtId="41" fontId="5" fillId="4" borderId="27" xfId="15" applyFont="1" applyFill="1" applyBorder="1" applyAlignment="1">
      <alignment horizontal="center" vertical="center"/>
    </xf>
    <xf numFmtId="41" fontId="4" fillId="4" borderId="26" xfId="15" applyFont="1" applyFill="1" applyBorder="1" applyAlignment="1">
      <alignment horizontal="center" vertical="center"/>
    </xf>
    <xf numFmtId="41" fontId="4" fillId="4" borderId="27" xfId="15" applyFont="1" applyFill="1" applyBorder="1" applyAlignment="1">
      <alignment horizontal="center" vertical="center"/>
    </xf>
    <xf numFmtId="41" fontId="4" fillId="4" borderId="28" xfId="15" applyFont="1" applyFill="1" applyBorder="1" applyAlignment="1">
      <alignment horizontal="center" vertical="center"/>
    </xf>
    <xf numFmtId="41" fontId="4" fillId="4" borderId="29" xfId="15" applyFont="1" applyFill="1" applyBorder="1" applyAlignment="1">
      <alignment horizontal="center" vertical="center"/>
    </xf>
    <xf numFmtId="176" fontId="4" fillId="4" borderId="8" xfId="15" applyNumberFormat="1" applyFont="1" applyFill="1" applyBorder="1" applyAlignment="1">
      <alignment vertical="center"/>
    </xf>
    <xf numFmtId="41" fontId="5" fillId="4" borderId="30" xfId="15" applyFont="1" applyFill="1" applyBorder="1" applyAlignment="1">
      <alignment vertical="center"/>
    </xf>
    <xf numFmtId="176" fontId="5" fillId="4" borderId="31" xfId="15" applyNumberFormat="1" applyFont="1" applyFill="1" applyBorder="1" applyAlignment="1">
      <alignment vertical="center"/>
    </xf>
    <xf numFmtId="41" fontId="5" fillId="4" borderId="32" xfId="15" applyFont="1" applyFill="1" applyBorder="1" applyAlignment="1">
      <alignment vertical="center"/>
    </xf>
    <xf numFmtId="176" fontId="5" fillId="4" borderId="33" xfId="15" applyNumberFormat="1" applyFont="1" applyFill="1" applyBorder="1" applyAlignment="1">
      <alignment vertical="center"/>
    </xf>
    <xf numFmtId="41" fontId="5" fillId="4" borderId="34" xfId="15" applyFont="1" applyFill="1" applyBorder="1" applyAlignment="1">
      <alignment vertical="center"/>
    </xf>
    <xf numFmtId="176" fontId="5" fillId="4" borderId="35" xfId="15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1" fontId="4" fillId="0" borderId="0" xfId="513" applyFont="1" applyFill="1" applyBorder="1" applyAlignment="1">
      <alignment horizontal="right" vertical="center"/>
    </xf>
    <xf numFmtId="181" fontId="4" fillId="4" borderId="0" xfId="15" applyNumberFormat="1" applyFont="1" applyFill="1" applyBorder="1" applyAlignment="1">
      <alignment horizontal="right" vertical="center"/>
    </xf>
    <xf numFmtId="177" fontId="4" fillId="4" borderId="0" xfId="15" applyNumberFormat="1" applyFont="1" applyFill="1" applyBorder="1" applyAlignment="1">
      <alignment horizontal="right" vertical="center"/>
    </xf>
    <xf numFmtId="181" fontId="4" fillId="4" borderId="2" xfId="15" applyNumberFormat="1" applyFont="1" applyFill="1" applyBorder="1" applyAlignment="1">
      <alignment horizontal="right" vertical="center"/>
    </xf>
    <xf numFmtId="41" fontId="5" fillId="4" borderId="36" xfId="15" applyFont="1" applyFill="1" applyBorder="1" applyAlignment="1">
      <alignment vertical="center"/>
    </xf>
    <xf numFmtId="181" fontId="5" fillId="4" borderId="37" xfId="15" applyNumberFormat="1" applyFont="1" applyFill="1" applyBorder="1" applyAlignment="1">
      <alignment vertical="center"/>
    </xf>
    <xf numFmtId="41" fontId="5" fillId="4" borderId="37" xfId="15" applyFont="1" applyFill="1" applyBorder="1" applyAlignment="1">
      <alignment vertical="center"/>
    </xf>
    <xf numFmtId="177" fontId="5" fillId="4" borderId="37" xfId="15" applyNumberFormat="1" applyFont="1" applyFill="1" applyBorder="1" applyAlignment="1">
      <alignment vertical="center"/>
    </xf>
    <xf numFmtId="181" fontId="5" fillId="4" borderId="38" xfId="15" applyNumberFormat="1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horizontal="right" vertical="center"/>
    </xf>
    <xf numFmtId="177" fontId="5" fillId="4" borderId="38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vertical="center"/>
    </xf>
    <xf numFmtId="41" fontId="4" fillId="4" borderId="38" xfId="15" applyFont="1" applyFill="1" applyBorder="1" applyAlignment="1">
      <alignment vertical="center"/>
    </xf>
    <xf numFmtId="41" fontId="4" fillId="4" borderId="36" xfId="15" applyFont="1" applyFill="1" applyBorder="1" applyAlignment="1">
      <alignment vertical="center"/>
    </xf>
    <xf numFmtId="41" fontId="16" fillId="4" borderId="37" xfId="15" applyFont="1" applyFill="1" applyBorder="1" applyAlignment="1">
      <alignment vertical="center"/>
    </xf>
    <xf numFmtId="41" fontId="16" fillId="4" borderId="38" xfId="15" applyFont="1" applyFill="1" applyBorder="1" applyAlignment="1">
      <alignment vertical="center"/>
    </xf>
    <xf numFmtId="179" fontId="4" fillId="4" borderId="39" xfId="15" applyNumberFormat="1" applyFont="1" applyFill="1" applyBorder="1" applyAlignment="1">
      <alignment vertical="center"/>
    </xf>
    <xf numFmtId="41" fontId="4" fillId="4" borderId="36" xfId="15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vertical="center"/>
    </xf>
    <xf numFmtId="41" fontId="4" fillId="4" borderId="34" xfId="15" applyFont="1" applyFill="1" applyBorder="1" applyAlignment="1">
      <alignment vertical="center"/>
    </xf>
    <xf numFmtId="41" fontId="4" fillId="4" borderId="8" xfId="15" applyFont="1" applyFill="1" applyBorder="1" applyAlignment="1">
      <alignment horizontal="center" vertical="center"/>
    </xf>
    <xf numFmtId="181" fontId="4" fillId="4" borderId="42" xfId="15" applyNumberFormat="1" applyFont="1" applyFill="1" applyBorder="1" applyAlignment="1">
      <alignment horizontal="center" vertical="center"/>
    </xf>
    <xf numFmtId="181" fontId="4" fillId="4" borderId="2" xfId="15" applyNumberFormat="1" applyFont="1" applyFill="1" applyBorder="1" applyAlignment="1">
      <alignment horizontal="center" vertical="center"/>
    </xf>
    <xf numFmtId="181" fontId="5" fillId="4" borderId="40" xfId="15" applyNumberFormat="1" applyFont="1" applyFill="1" applyBorder="1" applyAlignment="1">
      <alignment vertical="center"/>
    </xf>
    <xf numFmtId="41" fontId="5" fillId="4" borderId="31" xfId="15" applyFont="1" applyFill="1" applyBorder="1" applyAlignment="1">
      <alignment horizontal="center" vertical="center"/>
    </xf>
    <xf numFmtId="41" fontId="5" fillId="4" borderId="33" xfId="15" applyFont="1" applyFill="1" applyBorder="1" applyAlignment="1">
      <alignment horizontal="center" vertical="center"/>
    </xf>
    <xf numFmtId="41" fontId="5" fillId="4" borderId="35" xfId="15" applyFont="1" applyFill="1" applyBorder="1" applyAlignment="1">
      <alignment horizontal="center" vertical="center"/>
    </xf>
    <xf numFmtId="177" fontId="4" fillId="4" borderId="2" xfId="15" applyNumberFormat="1" applyFont="1" applyFill="1" applyBorder="1" applyAlignment="1">
      <alignment horizontal="center" vertical="center"/>
    </xf>
    <xf numFmtId="41" fontId="5" fillId="4" borderId="38" xfId="15" applyFont="1" applyFill="1" applyBorder="1" applyAlignment="1">
      <alignment vertical="center"/>
    </xf>
    <xf numFmtId="41" fontId="4" fillId="4" borderId="32" xfId="15" applyFont="1" applyFill="1" applyBorder="1" applyAlignment="1">
      <alignment vertical="center"/>
    </xf>
    <xf numFmtId="41" fontId="5" fillId="4" borderId="31" xfId="15" applyFont="1" applyFill="1" applyBorder="1" applyAlignment="1">
      <alignment vertical="center"/>
    </xf>
    <xf numFmtId="41" fontId="4" fillId="4" borderId="33" xfId="15" applyFont="1" applyFill="1" applyBorder="1" applyAlignment="1">
      <alignment vertical="center"/>
    </xf>
    <xf numFmtId="177" fontId="4" fillId="4" borderId="42" xfId="15" applyNumberFormat="1" applyFont="1" applyFill="1" applyBorder="1" applyAlignment="1">
      <alignment vertical="center"/>
    </xf>
    <xf numFmtId="41" fontId="4" fillId="4" borderId="35" xfId="15" applyFont="1" applyFill="1" applyBorder="1" applyAlignment="1">
      <alignment vertical="center"/>
    </xf>
    <xf numFmtId="178" fontId="5" fillId="2" borderId="0" xfId="13" applyNumberFormat="1" applyFont="1" applyFill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81" fontId="4" fillId="4" borderId="2" xfId="15" applyNumberFormat="1" applyFont="1" applyFill="1" applyBorder="1" applyAlignment="1">
      <alignment vertical="center"/>
    </xf>
    <xf numFmtId="181" fontId="4" fillId="4" borderId="0" xfId="15" applyNumberFormat="1" applyFont="1" applyFill="1" applyBorder="1" applyAlignment="1">
      <alignment vertical="center"/>
    </xf>
    <xf numFmtId="0" fontId="28" fillId="2" borderId="0" xfId="15" applyNumberFormat="1" applyFont="1" applyFill="1" applyAlignment="1">
      <alignment vertical="center"/>
    </xf>
    <xf numFmtId="41" fontId="7" fillId="4" borderId="37" xfId="15" applyFont="1" applyFill="1" applyBorder="1" applyAlignment="1">
      <alignment vertical="center"/>
    </xf>
    <xf numFmtId="41" fontId="29" fillId="3" borderId="6" xfId="15" applyFont="1" applyFill="1" applyBorder="1" applyAlignment="1">
      <alignment horizontal="center" vertical="center"/>
    </xf>
    <xf numFmtId="41" fontId="29" fillId="3" borderId="2" xfId="15" applyFont="1" applyFill="1" applyBorder="1" applyAlignment="1">
      <alignment vertical="center"/>
    </xf>
    <xf numFmtId="41" fontId="29" fillId="3" borderId="4" xfId="15" applyFont="1" applyFill="1" applyBorder="1" applyAlignment="1">
      <alignment horizontal="right" vertical="center"/>
    </xf>
    <xf numFmtId="41" fontId="29" fillId="3" borderId="5" xfId="15" applyFont="1" applyFill="1" applyBorder="1" applyAlignment="1">
      <alignment vertical="center"/>
    </xf>
    <xf numFmtId="41" fontId="29" fillId="3" borderId="7" xfId="15" applyFont="1" applyFill="1" applyBorder="1" applyAlignment="1">
      <alignment horizontal="center" vertical="center"/>
    </xf>
    <xf numFmtId="41" fontId="30" fillId="4" borderId="0" xfId="15" applyFont="1" applyFill="1" applyBorder="1" applyAlignment="1">
      <alignment horizontal="center" vertical="center"/>
    </xf>
    <xf numFmtId="41" fontId="30" fillId="4" borderId="36" xfId="15" applyFont="1" applyFill="1" applyBorder="1" applyAlignment="1">
      <alignment vertical="center"/>
    </xf>
    <xf numFmtId="41" fontId="30" fillId="4" borderId="8" xfId="15" applyFont="1" applyFill="1" applyBorder="1" applyAlignment="1">
      <alignment vertical="center"/>
    </xf>
    <xf numFmtId="41" fontId="28" fillId="4" borderId="0" xfId="15" applyFont="1" applyFill="1" applyBorder="1" applyAlignment="1">
      <alignment horizontal="center" vertical="center"/>
    </xf>
    <xf numFmtId="41" fontId="28" fillId="4" borderId="37" xfId="15" applyFont="1" applyFill="1" applyBorder="1" applyAlignment="1">
      <alignment vertical="center"/>
    </xf>
    <xf numFmtId="41" fontId="28" fillId="4" borderId="0" xfId="15" applyFont="1" applyFill="1" applyBorder="1" applyAlignment="1">
      <alignment vertical="center"/>
    </xf>
    <xf numFmtId="41" fontId="30" fillId="4" borderId="37" xfId="15" applyFont="1" applyFill="1" applyBorder="1" applyAlignment="1">
      <alignment vertical="center"/>
    </xf>
    <xf numFmtId="41" fontId="30" fillId="4" borderId="0" xfId="15" applyFont="1" applyFill="1" applyBorder="1" applyAlignment="1">
      <alignment vertical="center"/>
    </xf>
    <xf numFmtId="41" fontId="28" fillId="4" borderId="2" xfId="15" applyFont="1" applyFill="1" applyBorder="1" applyAlignment="1">
      <alignment horizontal="center" vertical="center"/>
    </xf>
    <xf numFmtId="41" fontId="28" fillId="4" borderId="38" xfId="15" applyFont="1" applyFill="1" applyBorder="1" applyAlignment="1">
      <alignment vertical="center"/>
    </xf>
    <xf numFmtId="41" fontId="28" fillId="4" borderId="2" xfId="15" applyFont="1" applyFill="1" applyBorder="1" applyAlignment="1">
      <alignment vertical="center"/>
    </xf>
    <xf numFmtId="41" fontId="28" fillId="4" borderId="28" xfId="15" applyFont="1" applyFill="1" applyBorder="1" applyAlignment="1">
      <alignment horizontal="center" vertical="center"/>
    </xf>
    <xf numFmtId="41" fontId="28" fillId="4" borderId="7" xfId="15" applyFont="1" applyFill="1" applyBorder="1" applyAlignment="1">
      <alignment horizontal="center" vertical="center"/>
    </xf>
    <xf numFmtId="41" fontId="30" fillId="2" borderId="0" xfId="0" applyNumberFormat="1" applyFont="1" applyFill="1" applyAlignment="1">
      <alignment vertical="center"/>
    </xf>
    <xf numFmtId="41" fontId="32" fillId="2" borderId="0" xfId="15" applyFont="1" applyFill="1" applyAlignment="1">
      <alignment vertical="center"/>
    </xf>
    <xf numFmtId="41" fontId="28" fillId="2" borderId="0" xfId="15" applyFont="1" applyFill="1" applyAlignment="1">
      <alignment vertical="center"/>
    </xf>
    <xf numFmtId="41" fontId="31" fillId="2" borderId="0" xfId="15" applyFont="1" applyFill="1" applyAlignment="1">
      <alignment vertical="center"/>
    </xf>
    <xf numFmtId="190" fontId="4" fillId="2" borderId="0" xfId="15" applyNumberFormat="1" applyFont="1" applyFill="1" applyAlignment="1">
      <alignment vertical="center"/>
    </xf>
    <xf numFmtId="0" fontId="4" fillId="4" borderId="0" xfId="15" applyNumberFormat="1" applyFont="1" applyFill="1" applyBorder="1" applyAlignment="1">
      <alignment horizontal="center" vertical="center"/>
    </xf>
    <xf numFmtId="41" fontId="4" fillId="4" borderId="11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49" xfId="15" applyFont="1" applyFill="1" applyBorder="1" applyAlignment="1">
      <alignment horizontal="center" vertical="center"/>
    </xf>
    <xf numFmtId="49" fontId="4" fillId="2" borderId="0" xfId="15" applyNumberFormat="1" applyFont="1" applyFill="1" applyBorder="1" applyAlignment="1">
      <alignment horizontal="right" vertical="center"/>
    </xf>
    <xf numFmtId="49" fontId="4" fillId="2" borderId="0" xfId="15" applyNumberFormat="1" applyFont="1" applyFill="1" applyBorder="1" applyAlignment="1">
      <alignment vertical="center"/>
    </xf>
    <xf numFmtId="49" fontId="4" fillId="2" borderId="0" xfId="15" applyNumberFormat="1" applyFont="1" applyFill="1" applyAlignment="1">
      <alignment vertical="center"/>
    </xf>
    <xf numFmtId="49" fontId="33" fillId="2" borderId="0" xfId="15" applyNumberFormat="1" applyFont="1" applyFill="1" applyAlignment="1">
      <alignment vertical="center"/>
    </xf>
    <xf numFmtId="41" fontId="4" fillId="4" borderId="30" xfId="15" applyFont="1" applyFill="1" applyBorder="1" applyAlignment="1">
      <alignment vertical="center"/>
    </xf>
    <xf numFmtId="41" fontId="4" fillId="4" borderId="69" xfId="15" applyFont="1" applyFill="1" applyBorder="1" applyAlignment="1">
      <alignment vertical="center"/>
    </xf>
    <xf numFmtId="41" fontId="4" fillId="4" borderId="42" xfId="15" applyFont="1" applyFill="1" applyBorder="1" applyAlignment="1">
      <alignment vertical="center"/>
    </xf>
    <xf numFmtId="41" fontId="4" fillId="4" borderId="68" xfId="15" applyFont="1" applyFill="1" applyBorder="1" applyAlignment="1">
      <alignment vertical="center"/>
    </xf>
    <xf numFmtId="181" fontId="4" fillId="4" borderId="70" xfId="15" applyNumberFormat="1" applyFont="1" applyFill="1" applyBorder="1" applyAlignment="1">
      <alignment vertical="center"/>
    </xf>
    <xf numFmtId="49" fontId="4" fillId="4" borderId="0" xfId="15" applyNumberFormat="1" applyFont="1" applyFill="1" applyBorder="1" applyAlignment="1">
      <alignment horizontal="right" vertical="center"/>
    </xf>
    <xf numFmtId="49" fontId="4" fillId="4" borderId="2" xfId="15" applyNumberFormat="1" applyFont="1" applyFill="1" applyBorder="1" applyAlignment="1">
      <alignment horizontal="right" vertical="center"/>
    </xf>
    <xf numFmtId="179" fontId="4" fillId="4" borderId="36" xfId="15" applyNumberFormat="1" applyFont="1" applyFill="1" applyBorder="1" applyAlignment="1">
      <alignment vertical="center"/>
    </xf>
    <xf numFmtId="179" fontId="4" fillId="4" borderId="37" xfId="15" applyNumberFormat="1" applyFont="1" applyFill="1" applyBorder="1" applyAlignment="1">
      <alignment vertical="center"/>
    </xf>
    <xf numFmtId="179" fontId="4" fillId="4" borderId="40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vertical="center"/>
    </xf>
    <xf numFmtId="49" fontId="28" fillId="2" borderId="0" xfId="15" applyNumberFormat="1" applyFont="1" applyFill="1" applyBorder="1" applyAlignment="1">
      <alignment horizontal="left" vertical="center" wrapText="1"/>
    </xf>
    <xf numFmtId="0" fontId="34" fillId="0" borderId="14" xfId="1538" applyFont="1" applyBorder="1" applyAlignment="1">
      <alignment horizontal="center" vertical="center"/>
    </xf>
    <xf numFmtId="0" fontId="35" fillId="0" borderId="14" xfId="1538" applyFont="1" applyBorder="1" applyAlignment="1">
      <alignment horizontal="center" vertical="center"/>
    </xf>
    <xf numFmtId="0" fontId="36" fillId="0" borderId="14" xfId="1538" applyFont="1" applyFill="1" applyBorder="1">
      <alignment vertical="center"/>
    </xf>
    <xf numFmtId="0" fontId="36" fillId="0" borderId="61" xfId="1538" applyFont="1" applyBorder="1" applyAlignment="1">
      <alignment vertical="center"/>
    </xf>
    <xf numFmtId="0" fontId="36" fillId="0" borderId="14" xfId="1538" applyFont="1" applyBorder="1" applyAlignment="1">
      <alignment horizontal="center" vertical="center"/>
    </xf>
    <xf numFmtId="41" fontId="3" fillId="3" borderId="59" xfId="15" applyFont="1" applyFill="1" applyBorder="1" applyAlignment="1">
      <alignment horizontal="right" vertical="center"/>
    </xf>
    <xf numFmtId="41" fontId="3" fillId="3" borderId="73" xfId="15" applyFont="1" applyFill="1" applyBorder="1" applyAlignment="1">
      <alignment horizontal="right" vertical="center"/>
    </xf>
    <xf numFmtId="41" fontId="3" fillId="3" borderId="74" xfId="15" applyFont="1" applyFill="1" applyBorder="1" applyAlignment="1">
      <alignment vertical="center"/>
    </xf>
    <xf numFmtId="0" fontId="37" fillId="0" borderId="0" xfId="0" applyFont="1" applyAlignment="1">
      <alignment horizontal="right" vertical="center"/>
    </xf>
    <xf numFmtId="41" fontId="4" fillId="4" borderId="83" xfId="15" applyFont="1" applyFill="1" applyBorder="1" applyAlignment="1">
      <alignment vertical="center"/>
    </xf>
    <xf numFmtId="41" fontId="4" fillId="4" borderId="84" xfId="15" applyFont="1" applyFill="1" applyBorder="1" applyAlignment="1">
      <alignment vertical="center"/>
    </xf>
    <xf numFmtId="41" fontId="4" fillId="4" borderId="85" xfId="15" applyFont="1" applyFill="1" applyBorder="1" applyAlignment="1">
      <alignment vertical="center"/>
    </xf>
    <xf numFmtId="41" fontId="4" fillId="4" borderId="9" xfId="15" applyFont="1" applyFill="1" applyBorder="1" applyAlignment="1">
      <alignment vertical="center"/>
    </xf>
    <xf numFmtId="41" fontId="10" fillId="4" borderId="16" xfId="15" applyFont="1" applyFill="1" applyBorder="1" applyAlignment="1">
      <alignment vertical="center"/>
    </xf>
    <xf numFmtId="181" fontId="5" fillId="4" borderId="0" xfId="15" applyNumberFormat="1" applyFont="1" applyFill="1" applyBorder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3" fillId="3" borderId="86" xfId="15" applyFont="1" applyFill="1" applyBorder="1" applyAlignment="1">
      <alignment horizontal="center" vertical="center"/>
    </xf>
    <xf numFmtId="179" fontId="5" fillId="4" borderId="0" xfId="15" applyNumberFormat="1" applyFont="1" applyFill="1" applyBorder="1" applyAlignment="1">
      <alignment vertical="center"/>
    </xf>
    <xf numFmtId="41" fontId="5" fillId="4" borderId="60" xfId="15" applyFont="1" applyFill="1" applyBorder="1" applyAlignment="1">
      <alignment vertical="center"/>
    </xf>
    <xf numFmtId="41" fontId="4" fillId="4" borderId="16" xfId="15" applyFont="1" applyFill="1" applyBorder="1" applyAlignment="1">
      <alignment vertical="center"/>
    </xf>
    <xf numFmtId="41" fontId="5" fillId="4" borderId="83" xfId="15" applyFont="1" applyFill="1" applyBorder="1" applyAlignment="1">
      <alignment vertical="center"/>
    </xf>
    <xf numFmtId="181" fontId="5" fillId="4" borderId="8" xfId="15" applyNumberFormat="1" applyFont="1" applyFill="1" applyBorder="1" applyAlignment="1">
      <alignment vertical="center"/>
    </xf>
    <xf numFmtId="41" fontId="5" fillId="4" borderId="59" xfId="15" applyFont="1" applyFill="1" applyBorder="1" applyAlignment="1">
      <alignment vertical="center"/>
    </xf>
    <xf numFmtId="41" fontId="4" fillId="4" borderId="50" xfId="15" applyFont="1" applyFill="1" applyBorder="1" applyAlignment="1">
      <alignment vertical="center"/>
    </xf>
    <xf numFmtId="41" fontId="5" fillId="4" borderId="84" xfId="15" applyFont="1" applyFill="1" applyBorder="1" applyAlignment="1">
      <alignment vertical="center"/>
    </xf>
    <xf numFmtId="41" fontId="5" fillId="4" borderId="50" xfId="15" applyFont="1" applyFill="1" applyBorder="1" applyAlignment="1">
      <alignment vertical="center"/>
    </xf>
    <xf numFmtId="41" fontId="4" fillId="4" borderId="13" xfId="15" applyFont="1" applyFill="1" applyBorder="1" applyAlignment="1">
      <alignment vertical="center"/>
    </xf>
    <xf numFmtId="49" fontId="30" fillId="2" borderId="0" xfId="15" applyNumberFormat="1" applyFont="1" applyFill="1" applyAlignment="1">
      <alignment vertical="center"/>
    </xf>
    <xf numFmtId="41" fontId="5" fillId="4" borderId="22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4" fillId="4" borderId="35" xfId="15" applyFont="1" applyFill="1" applyBorder="1" applyAlignment="1">
      <alignment horizontal="center" vertical="center"/>
    </xf>
    <xf numFmtId="185" fontId="38" fillId="2" borderId="0" xfId="15" applyNumberFormat="1" applyFont="1" applyFill="1" applyBorder="1" applyAlignment="1">
      <alignment horizontal="left" vertical="center"/>
    </xf>
    <xf numFmtId="41" fontId="38" fillId="2" borderId="0" xfId="15" applyFont="1" applyFill="1" applyBorder="1" applyAlignment="1">
      <alignment vertical="center"/>
    </xf>
    <xf numFmtId="49" fontId="30" fillId="2" borderId="0" xfId="15" applyNumberFormat="1" applyFont="1" applyFill="1" applyBorder="1" applyAlignment="1">
      <alignment horizontal="left" vertical="center"/>
    </xf>
    <xf numFmtId="49" fontId="28" fillId="4" borderId="0" xfId="15" applyNumberFormat="1" applyFont="1" applyFill="1" applyBorder="1" applyAlignment="1">
      <alignment horizontal="center" vertical="center"/>
    </xf>
    <xf numFmtId="49" fontId="38" fillId="2" borderId="0" xfId="15" applyNumberFormat="1" applyFont="1" applyFill="1" applyBorder="1" applyAlignment="1">
      <alignment vertical="center"/>
    </xf>
    <xf numFmtId="177" fontId="4" fillId="4" borderId="42" xfId="15" applyNumberFormat="1" applyFont="1" applyFill="1" applyBorder="1" applyAlignment="1">
      <alignment horizontal="right" vertical="center"/>
    </xf>
    <xf numFmtId="41" fontId="4" fillId="4" borderId="60" xfId="15" applyFont="1" applyFill="1" applyBorder="1" applyAlignment="1">
      <alignment vertical="center"/>
    </xf>
    <xf numFmtId="41" fontId="4" fillId="4" borderId="60" xfId="15" applyFont="1" applyFill="1" applyBorder="1" applyAlignment="1">
      <alignment horizontal="center" vertical="center"/>
    </xf>
    <xf numFmtId="41" fontId="4" fillId="4" borderId="9" xfId="15" applyFont="1" applyFill="1" applyBorder="1" applyAlignment="1">
      <alignment horizontal="center" vertical="center"/>
    </xf>
    <xf numFmtId="41" fontId="4" fillId="4" borderId="16" xfId="15" applyFont="1" applyFill="1" applyBorder="1" applyAlignment="1">
      <alignment horizontal="center" vertical="center"/>
    </xf>
    <xf numFmtId="191" fontId="4" fillId="4" borderId="2" xfId="1908" applyNumberFormat="1" applyFont="1" applyFill="1" applyBorder="1" applyAlignment="1">
      <alignment vertical="center"/>
    </xf>
    <xf numFmtId="191" fontId="4" fillId="4" borderId="16" xfId="1908" applyNumberFormat="1" applyFont="1" applyFill="1" applyBorder="1" applyAlignment="1">
      <alignment vertical="center"/>
    </xf>
    <xf numFmtId="191" fontId="4" fillId="4" borderId="2" xfId="1908" applyNumberFormat="1" applyFont="1" applyFill="1" applyBorder="1" applyAlignment="1">
      <alignment horizontal="right" vertical="center"/>
    </xf>
    <xf numFmtId="41" fontId="4" fillId="2" borderId="0" xfId="15" applyFont="1" applyFill="1" applyAlignment="1">
      <alignment horizontal="right" vertical="center"/>
    </xf>
    <xf numFmtId="0" fontId="40" fillId="0" borderId="0" xfId="15" applyNumberFormat="1" applyFont="1" applyFill="1" applyBorder="1" applyAlignment="1">
      <alignment horizontal="left" vertical="center"/>
    </xf>
    <xf numFmtId="41" fontId="5" fillId="4" borderId="43" xfId="15" applyFont="1" applyFill="1" applyBorder="1" applyAlignment="1">
      <alignment horizontal="center" vertical="center"/>
    </xf>
    <xf numFmtId="41" fontId="5" fillId="4" borderId="65" xfId="15" applyFont="1" applyFill="1" applyBorder="1" applyAlignment="1">
      <alignment horizontal="center" vertical="center"/>
    </xf>
    <xf numFmtId="41" fontId="5" fillId="4" borderId="22" xfId="15" applyFont="1" applyFill="1" applyBorder="1" applyAlignment="1">
      <alignment horizontal="center" vertical="center"/>
    </xf>
    <xf numFmtId="185" fontId="28" fillId="2" borderId="0" xfId="15" applyNumberFormat="1" applyFont="1" applyFill="1" applyBorder="1" applyAlignment="1">
      <alignment horizontal="left" vertical="center" wrapText="1"/>
    </xf>
    <xf numFmtId="41" fontId="3" fillId="3" borderId="45" xfId="15" applyFont="1" applyFill="1" applyBorder="1" applyAlignment="1">
      <alignment horizontal="center" vertical="center" wrapText="1"/>
    </xf>
    <xf numFmtId="41" fontId="3" fillId="3" borderId="46" xfId="15" applyFont="1" applyFill="1" applyBorder="1" applyAlignment="1">
      <alignment horizontal="center" vertical="center" wrapText="1"/>
    </xf>
    <xf numFmtId="41" fontId="3" fillId="3" borderId="47" xfId="15" applyFont="1" applyFill="1" applyBorder="1" applyAlignment="1">
      <alignment horizontal="center" vertical="center" wrapText="1"/>
    </xf>
    <xf numFmtId="41" fontId="4" fillId="4" borderId="48" xfId="15" applyFont="1" applyFill="1" applyBorder="1" applyAlignment="1">
      <alignment horizontal="center" vertical="center"/>
    </xf>
    <xf numFmtId="41" fontId="4" fillId="4" borderId="49" xfId="15" applyFont="1" applyFill="1" applyBorder="1" applyAlignment="1">
      <alignment horizontal="center" vertical="center"/>
    </xf>
    <xf numFmtId="41" fontId="4" fillId="4" borderId="66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4" fillId="4" borderId="67" xfId="15" applyFont="1" applyFill="1" applyBorder="1" applyAlignment="1">
      <alignment horizontal="center" vertical="center"/>
    </xf>
    <xf numFmtId="41" fontId="4" fillId="4" borderId="7" xfId="15" applyFont="1" applyFill="1" applyBorder="1" applyAlignment="1">
      <alignment horizontal="center" vertical="center"/>
    </xf>
    <xf numFmtId="41" fontId="5" fillId="4" borderId="48" xfId="15" applyFont="1" applyFill="1" applyBorder="1" applyAlignment="1">
      <alignment horizontal="center" vertical="center"/>
    </xf>
    <xf numFmtId="41" fontId="5" fillId="4" borderId="1" xfId="15" applyFont="1" applyFill="1" applyBorder="1" applyAlignment="1">
      <alignment horizontal="center" vertical="center"/>
    </xf>
    <xf numFmtId="41" fontId="5" fillId="4" borderId="23" xfId="15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1" fontId="3" fillId="3" borderId="44" xfId="15" applyFont="1" applyFill="1" applyBorder="1" applyAlignment="1">
      <alignment horizontal="center" vertical="center"/>
    </xf>
    <xf numFmtId="41" fontId="3" fillId="3" borderId="22" xfId="15" applyFont="1" applyFill="1" applyBorder="1" applyAlignment="1">
      <alignment horizontal="center" vertical="center"/>
    </xf>
    <xf numFmtId="0" fontId="28" fillId="2" borderId="0" xfId="15" applyNumberFormat="1" applyFont="1" applyFill="1" applyBorder="1" applyAlignment="1">
      <alignment horizontal="left" vertical="center" wrapText="1"/>
    </xf>
    <xf numFmtId="0" fontId="29" fillId="3" borderId="56" xfId="0" applyFont="1" applyFill="1" applyBorder="1" applyAlignment="1">
      <alignment horizontal="center" vertical="center" wrapText="1"/>
    </xf>
    <xf numFmtId="41" fontId="3" fillId="3" borderId="1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53" xfId="15" applyFont="1" applyFill="1" applyBorder="1" applyAlignment="1">
      <alignment horizontal="center" vertical="center"/>
    </xf>
    <xf numFmtId="41" fontId="3" fillId="3" borderId="43" xfId="15" applyFont="1" applyFill="1" applyBorder="1" applyAlignment="1">
      <alignment horizontal="center" vertical="center"/>
    </xf>
    <xf numFmtId="41" fontId="3" fillId="3" borderId="54" xfId="15" applyFont="1" applyFill="1" applyBorder="1" applyAlignment="1">
      <alignment horizontal="center" vertical="center"/>
    </xf>
    <xf numFmtId="41" fontId="3" fillId="3" borderId="55" xfId="15" applyFont="1" applyFill="1" applyBorder="1" applyAlignment="1">
      <alignment horizontal="center" vertical="center"/>
    </xf>
    <xf numFmtId="180" fontId="30" fillId="4" borderId="0" xfId="15" applyNumberFormat="1" applyFont="1" applyFill="1" applyBorder="1" applyAlignment="1">
      <alignment horizontal="center" vertical="center"/>
    </xf>
    <xf numFmtId="0" fontId="29" fillId="3" borderId="44" xfId="15" applyNumberFormat="1" applyFont="1" applyFill="1" applyBorder="1" applyAlignment="1">
      <alignment horizontal="center" vertical="center" wrapText="1"/>
    </xf>
    <xf numFmtId="0" fontId="29" fillId="3" borderId="1" xfId="15" applyNumberFormat="1" applyFont="1" applyFill="1" applyBorder="1" applyAlignment="1">
      <alignment horizontal="center" vertical="center"/>
    </xf>
    <xf numFmtId="0" fontId="29" fillId="3" borderId="6" xfId="15" applyNumberFormat="1" applyFont="1" applyFill="1" applyBorder="1" applyAlignment="1">
      <alignment horizontal="center" vertical="center"/>
    </xf>
    <xf numFmtId="41" fontId="5" fillId="4" borderId="8" xfId="15" applyFont="1" applyFill="1" applyBorder="1" applyAlignment="1">
      <alignment horizontal="center" vertical="center"/>
    </xf>
    <xf numFmtId="41" fontId="5" fillId="4" borderId="31" xfId="15" applyFont="1" applyFill="1" applyBorder="1" applyAlignment="1">
      <alignment horizontal="center" vertical="center"/>
    </xf>
    <xf numFmtId="41" fontId="4" fillId="4" borderId="50" xfId="15" applyFont="1" applyFill="1" applyBorder="1" applyAlignment="1">
      <alignment horizontal="center" vertical="center"/>
    </xf>
    <xf numFmtId="41" fontId="4" fillId="4" borderId="33" xfId="15" applyFont="1" applyFill="1" applyBorder="1" applyAlignment="1">
      <alignment horizontal="center" vertical="center"/>
    </xf>
    <xf numFmtId="41" fontId="3" fillId="3" borderId="57" xfId="15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41" fontId="3" fillId="3" borderId="51" xfId="15" applyFont="1" applyFill="1" applyBorder="1" applyAlignment="1">
      <alignment horizontal="center" vertical="center"/>
    </xf>
    <xf numFmtId="41" fontId="3" fillId="3" borderId="8" xfId="15" applyFont="1" applyFill="1" applyBorder="1" applyAlignment="1">
      <alignment horizontal="center" vertical="center"/>
    </xf>
    <xf numFmtId="41" fontId="3" fillId="3" borderId="5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center" vertical="center"/>
    </xf>
    <xf numFmtId="41" fontId="3" fillId="3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0" fontId="3" fillId="3" borderId="44" xfId="15" applyNumberFormat="1" applyFont="1" applyFill="1" applyBorder="1" applyAlignment="1">
      <alignment horizontal="center" vertical="center"/>
    </xf>
    <xf numFmtId="41" fontId="28" fillId="4" borderId="0" xfId="15" applyFont="1" applyFill="1" applyBorder="1" applyAlignment="1">
      <alignment horizontal="center" vertical="center"/>
    </xf>
    <xf numFmtId="0" fontId="3" fillId="3" borderId="1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/>
    </xf>
    <xf numFmtId="41" fontId="30" fillId="4" borderId="0" xfId="15" applyFont="1" applyFill="1" applyBorder="1" applyAlignment="1">
      <alignment horizontal="center" vertical="center"/>
    </xf>
    <xf numFmtId="41" fontId="29" fillId="3" borderId="51" xfId="15" applyFont="1" applyFill="1" applyBorder="1" applyAlignment="1">
      <alignment horizontal="center" vertical="center"/>
    </xf>
    <xf numFmtId="41" fontId="29" fillId="3" borderId="8" xfId="15" applyFont="1" applyFill="1" applyBorder="1" applyAlignment="1">
      <alignment horizontal="center" vertical="center"/>
    </xf>
    <xf numFmtId="41" fontId="29" fillId="3" borderId="52" xfId="15" applyFont="1" applyFill="1" applyBorder="1" applyAlignment="1">
      <alignment horizontal="center" vertical="center"/>
    </xf>
    <xf numFmtId="41" fontId="29" fillId="3" borderId="2" xfId="15" applyFont="1" applyFill="1" applyBorder="1" applyAlignment="1">
      <alignment horizontal="center" vertical="center"/>
    </xf>
    <xf numFmtId="41" fontId="3" fillId="3" borderId="4" xfId="15" applyFont="1" applyFill="1" applyBorder="1" applyAlignment="1">
      <alignment horizontal="center" vertical="center"/>
    </xf>
    <xf numFmtId="41" fontId="3" fillId="3" borderId="5" xfId="15" applyFont="1" applyFill="1" applyBorder="1" applyAlignment="1">
      <alignment horizontal="center" vertical="center"/>
    </xf>
    <xf numFmtId="0" fontId="3" fillId="3" borderId="44" xfId="15" applyNumberFormat="1" applyFont="1" applyFill="1" applyBorder="1" applyAlignment="1">
      <alignment horizontal="center" vertical="center" wrapText="1"/>
    </xf>
    <xf numFmtId="41" fontId="4" fillId="4" borderId="2" xfId="15" applyFont="1" applyFill="1" applyBorder="1" applyAlignment="1">
      <alignment horizontal="center" vertical="center"/>
    </xf>
    <xf numFmtId="41" fontId="4" fillId="4" borderId="35" xfId="15" applyFont="1" applyFill="1" applyBorder="1" applyAlignment="1">
      <alignment horizontal="center" vertical="center"/>
    </xf>
    <xf numFmtId="41" fontId="28" fillId="4" borderId="34" xfId="15" applyFont="1" applyFill="1" applyBorder="1" applyAlignment="1">
      <alignment horizontal="center" vertical="center"/>
    </xf>
    <xf numFmtId="41" fontId="28" fillId="4" borderId="2" xfId="15" applyFont="1" applyFill="1" applyBorder="1" applyAlignment="1">
      <alignment horizontal="center" vertical="center"/>
    </xf>
    <xf numFmtId="186" fontId="28" fillId="4" borderId="0" xfId="15" applyNumberFormat="1" applyFont="1" applyFill="1" applyBorder="1" applyAlignment="1">
      <alignment horizontal="center" vertical="center"/>
    </xf>
    <xf numFmtId="0" fontId="3" fillId="3" borderId="22" xfId="15" applyNumberFormat="1" applyFont="1" applyFill="1" applyBorder="1" applyAlignment="1">
      <alignment horizontal="center" vertical="center"/>
    </xf>
    <xf numFmtId="0" fontId="3" fillId="3" borderId="23" xfId="15" applyNumberFormat="1" applyFont="1" applyFill="1" applyBorder="1" applyAlignment="1">
      <alignment horizontal="center" vertical="center"/>
    </xf>
    <xf numFmtId="0" fontId="3" fillId="3" borderId="7" xfId="15" applyNumberFormat="1" applyFont="1" applyFill="1" applyBorder="1" applyAlignment="1">
      <alignment horizontal="center" vertical="center"/>
    </xf>
    <xf numFmtId="186" fontId="28" fillId="4" borderId="2" xfId="15" applyNumberFormat="1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179" fontId="4" fillId="4" borderId="39" xfId="15" applyNumberFormat="1" applyFont="1" applyFill="1" applyBorder="1" applyAlignment="1">
      <alignment horizontal="center" vertical="center"/>
    </xf>
    <xf numFmtId="179" fontId="4" fillId="4" borderId="11" xfId="15" applyNumberFormat="1" applyFont="1" applyFill="1" applyBorder="1" applyAlignment="1">
      <alignment horizontal="center" vertical="center"/>
    </xf>
    <xf numFmtId="179" fontId="4" fillId="4" borderId="58" xfId="15" applyNumberFormat="1" applyFont="1" applyFill="1" applyBorder="1" applyAlignment="1">
      <alignment horizontal="center" vertical="center"/>
    </xf>
    <xf numFmtId="41" fontId="29" fillId="3" borderId="44" xfId="15" applyFont="1" applyFill="1" applyBorder="1" applyAlignment="1">
      <alignment horizontal="center" vertical="center"/>
    </xf>
    <xf numFmtId="41" fontId="29" fillId="3" borderId="6" xfId="15" applyFont="1" applyFill="1" applyBorder="1" applyAlignment="1">
      <alignment horizontal="center" vertical="center"/>
    </xf>
    <xf numFmtId="41" fontId="4" fillId="4" borderId="87" xfId="15" applyFont="1" applyFill="1" applyBorder="1" applyAlignment="1">
      <alignment horizontal="center" vertical="center" wrapText="1"/>
    </xf>
    <xf numFmtId="41" fontId="4" fillId="4" borderId="41" xfId="15" applyFont="1" applyFill="1" applyBorder="1" applyAlignment="1">
      <alignment horizontal="center" vertical="center" wrapText="1"/>
    </xf>
    <xf numFmtId="41" fontId="4" fillId="4" borderId="89" xfId="15" applyFont="1" applyFill="1" applyBorder="1" applyAlignment="1">
      <alignment horizontal="center" vertical="center" wrapText="1"/>
    </xf>
    <xf numFmtId="41" fontId="4" fillId="4" borderId="88" xfId="15" applyFont="1" applyFill="1" applyBorder="1" applyAlignment="1">
      <alignment horizontal="center" vertical="center" wrapText="1"/>
    </xf>
    <xf numFmtId="41" fontId="4" fillId="4" borderId="13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5" fillId="4" borderId="59" xfId="15" applyFont="1" applyFill="1" applyBorder="1" applyAlignment="1">
      <alignment horizontal="center" vertical="center"/>
    </xf>
    <xf numFmtId="41" fontId="29" fillId="3" borderId="44" xfId="15" applyFont="1" applyFill="1" applyBorder="1" applyAlignment="1">
      <alignment horizontal="center" vertical="center" wrapText="1"/>
    </xf>
    <xf numFmtId="41" fontId="5" fillId="4" borderId="0" xfId="15" applyFont="1" applyFill="1" applyBorder="1" applyAlignment="1">
      <alignment horizontal="center" vertical="center"/>
    </xf>
    <xf numFmtId="49" fontId="29" fillId="3" borderId="80" xfId="15" applyNumberFormat="1" applyFont="1" applyFill="1" applyBorder="1" applyAlignment="1">
      <alignment horizontal="center" vertical="center" wrapText="1"/>
    </xf>
    <xf numFmtId="49" fontId="29" fillId="3" borderId="81" xfId="15" applyNumberFormat="1" applyFont="1" applyFill="1" applyBorder="1" applyAlignment="1">
      <alignment horizontal="center" vertical="center" wrapText="1"/>
    </xf>
    <xf numFmtId="41" fontId="3" fillId="3" borderId="77" xfId="15" applyFont="1" applyFill="1" applyBorder="1" applyAlignment="1">
      <alignment horizontal="center" vertical="center"/>
    </xf>
    <xf numFmtId="41" fontId="3" fillId="3" borderId="78" xfId="15" applyFont="1" applyFill="1" applyBorder="1" applyAlignment="1">
      <alignment horizontal="center" vertical="center"/>
    </xf>
    <xf numFmtId="41" fontId="3" fillId="3" borderId="0" xfId="15" applyFont="1" applyFill="1" applyBorder="1" applyAlignment="1">
      <alignment horizontal="center" vertical="center"/>
    </xf>
    <xf numFmtId="41" fontId="29" fillId="3" borderId="75" xfId="15" applyFont="1" applyFill="1" applyBorder="1" applyAlignment="1">
      <alignment horizontal="center" vertical="center"/>
    </xf>
    <xf numFmtId="41" fontId="3" fillId="3" borderId="76" xfId="15" applyFont="1" applyFill="1" applyBorder="1" applyAlignment="1">
      <alignment horizontal="center" vertical="center"/>
    </xf>
    <xf numFmtId="41" fontId="3" fillId="3" borderId="75" xfId="15" applyFont="1" applyFill="1" applyBorder="1" applyAlignment="1">
      <alignment horizontal="center" vertical="center"/>
    </xf>
    <xf numFmtId="41" fontId="3" fillId="3" borderId="82" xfId="15" applyFont="1" applyFill="1" applyBorder="1" applyAlignment="1">
      <alignment horizontal="center" vertical="center"/>
    </xf>
    <xf numFmtId="41" fontId="3" fillId="3" borderId="74" xfId="15" applyFont="1" applyFill="1" applyBorder="1" applyAlignment="1">
      <alignment horizontal="center" vertical="center"/>
    </xf>
    <xf numFmtId="41" fontId="3" fillId="3" borderId="79" xfId="15" applyFont="1" applyFill="1" applyBorder="1" applyAlignment="1">
      <alignment horizontal="center" vertical="center"/>
    </xf>
    <xf numFmtId="41" fontId="3" fillId="3" borderId="81" xfId="15" applyFont="1" applyFill="1" applyBorder="1" applyAlignment="1">
      <alignment horizontal="center" vertical="center"/>
    </xf>
    <xf numFmtId="49" fontId="28" fillId="2" borderId="0" xfId="15" applyNumberFormat="1" applyFont="1" applyFill="1" applyBorder="1" applyAlignment="1">
      <alignment horizontal="left" vertical="center" wrapText="1"/>
    </xf>
    <xf numFmtId="41" fontId="3" fillId="3" borderId="71" xfId="15" applyFont="1" applyFill="1" applyBorder="1" applyAlignment="1">
      <alignment horizontal="center" vertical="center" wrapText="1"/>
    </xf>
    <xf numFmtId="41" fontId="3" fillId="3" borderId="72" xfId="15" applyFont="1" applyFill="1" applyBorder="1" applyAlignment="1">
      <alignment horizontal="center" vertical="center" wrapText="1"/>
    </xf>
    <xf numFmtId="41" fontId="29" fillId="3" borderId="57" xfId="15" applyFont="1" applyFill="1" applyBorder="1" applyAlignment="1">
      <alignment horizontal="center" vertical="center"/>
    </xf>
    <xf numFmtId="41" fontId="29" fillId="3" borderId="55" xfId="15" applyFont="1" applyFill="1" applyBorder="1" applyAlignment="1">
      <alignment horizontal="center" vertical="center"/>
    </xf>
    <xf numFmtId="41" fontId="29" fillId="3" borderId="22" xfId="15" applyFont="1" applyFill="1" applyBorder="1" applyAlignment="1">
      <alignment horizontal="center" vertical="center"/>
    </xf>
    <xf numFmtId="41" fontId="29" fillId="3" borderId="7" xfId="15" applyFont="1" applyFill="1" applyBorder="1" applyAlignment="1">
      <alignment horizontal="center" vertical="center"/>
    </xf>
    <xf numFmtId="49" fontId="28" fillId="2" borderId="0" xfId="15" applyNumberFormat="1" applyFont="1" applyFill="1" applyBorder="1" applyAlignment="1">
      <alignment vertical="center" wrapText="1"/>
    </xf>
    <xf numFmtId="41" fontId="5" fillId="4" borderId="42" xfId="15" applyFont="1" applyFill="1" applyBorder="1" applyAlignment="1">
      <alignment horizontal="center" vertical="center"/>
    </xf>
    <xf numFmtId="41" fontId="5" fillId="4" borderId="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left" vertical="center"/>
    </xf>
    <xf numFmtId="41" fontId="3" fillId="3" borderId="5" xfId="15" applyFont="1" applyFill="1" applyBorder="1" applyAlignment="1">
      <alignment horizontal="left" vertical="center"/>
    </xf>
    <xf numFmtId="41" fontId="29" fillId="3" borderId="57" xfId="15" applyFont="1" applyFill="1" applyBorder="1" applyAlignment="1">
      <alignment horizontal="center" vertical="center" wrapText="1"/>
    </xf>
    <xf numFmtId="41" fontId="29" fillId="3" borderId="56" xfId="15" applyFont="1" applyFill="1" applyBorder="1" applyAlignment="1">
      <alignment horizontal="center" vertical="center" wrapText="1"/>
    </xf>
    <xf numFmtId="41" fontId="29" fillId="3" borderId="55" xfId="15" applyFont="1" applyFill="1" applyBorder="1" applyAlignment="1">
      <alignment horizontal="center" vertical="center" wrapText="1"/>
    </xf>
    <xf numFmtId="41" fontId="3" fillId="3" borderId="49" xfId="15" applyFont="1" applyFill="1" applyBorder="1" applyAlignment="1">
      <alignment horizontal="center" vertical="center"/>
    </xf>
    <xf numFmtId="0" fontId="29" fillId="3" borderId="22" xfId="15" applyNumberFormat="1" applyFont="1" applyFill="1" applyBorder="1" applyAlignment="1">
      <alignment horizontal="center" vertical="center"/>
    </xf>
    <xf numFmtId="0" fontId="29" fillId="3" borderId="7" xfId="15" applyNumberFormat="1" applyFont="1" applyFill="1" applyBorder="1" applyAlignment="1">
      <alignment horizontal="center" vertical="center"/>
    </xf>
    <xf numFmtId="41" fontId="4" fillId="2" borderId="0" xfId="15" applyFont="1" applyFill="1" applyBorder="1" applyAlignment="1">
      <alignment horizontal="left" vertical="center" wrapText="1"/>
    </xf>
    <xf numFmtId="41" fontId="29" fillId="3" borderId="60" xfId="15" applyFont="1" applyFill="1" applyBorder="1" applyAlignment="1">
      <alignment horizontal="center" vertical="center"/>
    </xf>
    <xf numFmtId="41" fontId="29" fillId="3" borderId="16" xfId="15" applyFont="1" applyFill="1" applyBorder="1" applyAlignment="1">
      <alignment horizontal="center" vertical="center"/>
    </xf>
    <xf numFmtId="41" fontId="3" fillId="3" borderId="61" xfId="15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30" fillId="4" borderId="8" xfId="15" applyFont="1" applyFill="1" applyBorder="1" applyAlignment="1">
      <alignment horizontal="center" vertical="center"/>
    </xf>
  </cellXfs>
  <cellStyles count="1909">
    <cellStyle name="MSTRStyle.모두.c1_4a801905-27e1-4746-8b90-f21588fb2c35" xfId="1"/>
    <cellStyle name="MSTRStyle.모두.c12_068755cb-e5df-4f22-9f27-1ce61947a0a7" xfId="2"/>
    <cellStyle name="MSTRStyle.모두.c13_8d4fe46d-11b8-40b5-9fe7-b81c8002dfc4" xfId="1907"/>
    <cellStyle name="MSTRStyle.모두.c14_278c89bd-f639-4ae2-94e5-18b0f633b565" xfId="3"/>
    <cellStyle name="MSTRStyle.모두.c15_330dd188-2891-4ac4-8e40-5fd96f9f70f0" xfId="4"/>
    <cellStyle name="MSTRStyle.모두.c16_15a130a0-2cef-4888-bb55-e4fef7330b44" xfId="5"/>
    <cellStyle name="MSTRStyle.모두.c2_23e2b42d-ea8e-4f8f-a363-e36cba5b20c2" xfId="6"/>
    <cellStyle name="MSTRStyle.모두.c23_8b492d4d-5c44-43e5-adbf-bcd01ca85ee6" xfId="7"/>
    <cellStyle name="MSTRStyle.모두.c3_22266c06-827c-406c-929d-05a283e5c964" xfId="8"/>
    <cellStyle name="MSTRStyle.모두.c6_d0f0a723-dcd6-4592-af91-84e52c56db30" xfId="9"/>
    <cellStyle name="MSTRStyle.모두.c7_744ba182-5a14-4d57-b65e-a5ab6e200c30" xfId="10"/>
    <cellStyle name="MSTRStyle.모두.c8_9213e522-3cc5-41bd-b397-e8319152dfda" xfId="11"/>
    <cellStyle name="MSTRStyle.모두.c9_122e140c-8d90-4a18-bccf-aa70412bcce3" xfId="12"/>
    <cellStyle name="백분율" xfId="13" builtinId="5"/>
    <cellStyle name="백분율 8" xfId="14"/>
    <cellStyle name="쉼표 [0]" xfId="15" builtinId="6"/>
    <cellStyle name="쉼표 [0] 11 2" xfId="1908"/>
    <cellStyle name="쉼표 [0] 2" xfId="16"/>
    <cellStyle name="쉼표 [0] 2 10" xfId="17"/>
    <cellStyle name="쉼표 [0] 2 11" xfId="18"/>
    <cellStyle name="쉼표 [0] 2 12" xfId="19"/>
    <cellStyle name="쉼표 [0] 2 13" xfId="20"/>
    <cellStyle name="쉼표 [0] 2 2" xfId="21"/>
    <cellStyle name="쉼표 [0] 2 2 10" xfId="22"/>
    <cellStyle name="쉼표 [0] 2 2 10 2" xfId="23"/>
    <cellStyle name="쉼표 [0] 2 2 10 3" xfId="24"/>
    <cellStyle name="쉼표 [0] 2 2 10 4" xfId="25"/>
    <cellStyle name="쉼표 [0] 2 2 10 5" xfId="26"/>
    <cellStyle name="쉼표 [0] 2 2 10 6" xfId="27"/>
    <cellStyle name="쉼표 [0] 2 2 11" xfId="28"/>
    <cellStyle name="쉼표 [0] 2 2 11 2" xfId="29"/>
    <cellStyle name="쉼표 [0] 2 2 11 3" xfId="30"/>
    <cellStyle name="쉼표 [0] 2 2 11 4" xfId="31"/>
    <cellStyle name="쉼표 [0] 2 2 12" xfId="32"/>
    <cellStyle name="쉼표 [0] 2 2 12 2" xfId="33"/>
    <cellStyle name="쉼표 [0] 2 2 12 3" xfId="34"/>
    <cellStyle name="쉼표 [0] 2 2 12 4" xfId="35"/>
    <cellStyle name="쉼표 [0] 2 2 13" xfId="36"/>
    <cellStyle name="쉼표 [0] 2 2 13 2" xfId="37"/>
    <cellStyle name="쉼표 [0] 2 2 13 3" xfId="38"/>
    <cellStyle name="쉼표 [0] 2 2 13 4" xfId="39"/>
    <cellStyle name="쉼표 [0] 2 2 14" xfId="40"/>
    <cellStyle name="쉼표 [0] 2 2 14 2" xfId="41"/>
    <cellStyle name="쉼표 [0] 2 2 15" xfId="42"/>
    <cellStyle name="쉼표 [0] 2 2 15 2" xfId="43"/>
    <cellStyle name="쉼표 [0] 2 2 16" xfId="44"/>
    <cellStyle name="쉼표 [0] 2 2 16 2" xfId="45"/>
    <cellStyle name="쉼표 [0] 2 2 17" xfId="46"/>
    <cellStyle name="쉼표 [0] 2 2 18" xfId="47"/>
    <cellStyle name="쉼표 [0] 2 2 19" xfId="48"/>
    <cellStyle name="쉼표 [0] 2 2 2" xfId="49"/>
    <cellStyle name="쉼표 [0] 2 2 2 10" xfId="50"/>
    <cellStyle name="쉼표 [0] 2 2 2 11" xfId="51"/>
    <cellStyle name="쉼표 [0] 2 2 2 12" xfId="52"/>
    <cellStyle name="쉼표 [0] 2 2 2 13" xfId="53"/>
    <cellStyle name="쉼표 [0] 2 2 2 14" xfId="54"/>
    <cellStyle name="쉼표 [0] 2 2 2 15" xfId="55"/>
    <cellStyle name="쉼표 [0] 2 2 2 16" xfId="56"/>
    <cellStyle name="쉼표 [0] 2 2 2 17" xfId="57"/>
    <cellStyle name="쉼표 [0] 2 2 2 18" xfId="58"/>
    <cellStyle name="쉼표 [0] 2 2 2 19" xfId="59"/>
    <cellStyle name="쉼표 [0] 2 2 2 2" xfId="60"/>
    <cellStyle name="쉼표 [0] 2 2 2 2 2" xfId="61"/>
    <cellStyle name="쉼표 [0] 2 2 2 2 2 10" xfId="62"/>
    <cellStyle name="쉼표 [0] 2 2 2 2 2 11" xfId="63"/>
    <cellStyle name="쉼표 [0] 2 2 2 2 2 12" xfId="64"/>
    <cellStyle name="쉼표 [0] 2 2 2 2 2 2" xfId="65"/>
    <cellStyle name="쉼표 [0] 2 2 2 2 2 2 2" xfId="66"/>
    <cellStyle name="쉼표 [0] 2 2 2 2 2 2 2 10" xfId="67"/>
    <cellStyle name="쉼표 [0] 2 2 2 2 2 2 2 11" xfId="68"/>
    <cellStyle name="쉼표 [0] 2 2 2 2 2 2 2 2" xfId="69"/>
    <cellStyle name="쉼표 [0] 2 2 2 2 2 2 2 3" xfId="70"/>
    <cellStyle name="쉼표 [0] 2 2 2 2 2 2 2 4" xfId="71"/>
    <cellStyle name="쉼표 [0] 2 2 2 2 2 2 2 5" xfId="72"/>
    <cellStyle name="쉼표 [0] 2 2 2 2 2 2 2 6" xfId="73"/>
    <cellStyle name="쉼표 [0] 2 2 2 2 2 2 2 7" xfId="74"/>
    <cellStyle name="쉼표 [0] 2 2 2 2 2 2 2 8" xfId="75"/>
    <cellStyle name="쉼표 [0] 2 2 2 2 2 2 2 9" xfId="76"/>
    <cellStyle name="쉼표 [0] 2 2 2 2 2 2 3" xfId="77"/>
    <cellStyle name="쉼표 [0] 2 2 2 2 2 2 3 2" xfId="78"/>
    <cellStyle name="쉼표 [0] 2 2 2 2 2 2 3 3" xfId="79"/>
    <cellStyle name="쉼표 [0] 2 2 2 2 2 2 3 4" xfId="80"/>
    <cellStyle name="쉼표 [0] 2 2 2 2 2 2 4" xfId="81"/>
    <cellStyle name="쉼표 [0] 2 2 2 2 2 2 4 2" xfId="82"/>
    <cellStyle name="쉼표 [0] 2 2 2 2 2 2 4 3" xfId="83"/>
    <cellStyle name="쉼표 [0] 2 2 2 2 2 2 4 4" xfId="84"/>
    <cellStyle name="쉼표 [0] 2 2 2 2 2 2 5" xfId="85"/>
    <cellStyle name="쉼표 [0] 2 2 2 2 2 2 5 2" xfId="86"/>
    <cellStyle name="쉼표 [0] 2 2 2 2 2 2 5 3" xfId="87"/>
    <cellStyle name="쉼표 [0] 2 2 2 2 2 2 5 4" xfId="88"/>
    <cellStyle name="쉼표 [0] 2 2 2 2 2 2 6" xfId="89"/>
    <cellStyle name="쉼표 [0] 2 2 2 2 2 2 6 2" xfId="90"/>
    <cellStyle name="쉼표 [0] 2 2 2 2 2 2 7" xfId="91"/>
    <cellStyle name="쉼표 [0] 2 2 2 2 2 2 7 2" xfId="92"/>
    <cellStyle name="쉼표 [0] 2 2 2 2 2 2 8" xfId="93"/>
    <cellStyle name="쉼표 [0] 2 2 2 2 2 2 8 2" xfId="94"/>
    <cellStyle name="쉼표 [0] 2 2 2 2 2 3" xfId="95"/>
    <cellStyle name="쉼표 [0] 2 2 2 2 2 4" xfId="96"/>
    <cellStyle name="쉼표 [0] 2 2 2 2 2 5" xfId="97"/>
    <cellStyle name="쉼표 [0] 2 2 2 2 2 6" xfId="98"/>
    <cellStyle name="쉼표 [0] 2 2 2 2 2 7" xfId="99"/>
    <cellStyle name="쉼표 [0] 2 2 2 2 2 8" xfId="100"/>
    <cellStyle name="쉼표 [0] 2 2 2 2 2 9" xfId="101"/>
    <cellStyle name="쉼표 [0] 2 2 2 2 3" xfId="102"/>
    <cellStyle name="쉼표 [0] 2 2 2 2 3 10" xfId="103"/>
    <cellStyle name="쉼표 [0] 2 2 2 2 3 11" xfId="104"/>
    <cellStyle name="쉼표 [0] 2 2 2 2 3 2" xfId="105"/>
    <cellStyle name="쉼표 [0] 2 2 2 2 3 3" xfId="106"/>
    <cellStyle name="쉼표 [0] 2 2 2 2 3 4" xfId="107"/>
    <cellStyle name="쉼표 [0] 2 2 2 2 3 5" xfId="108"/>
    <cellStyle name="쉼표 [0] 2 2 2 2 3 6" xfId="109"/>
    <cellStyle name="쉼표 [0] 2 2 2 2 3 7" xfId="110"/>
    <cellStyle name="쉼표 [0] 2 2 2 2 3 8" xfId="111"/>
    <cellStyle name="쉼표 [0] 2 2 2 2 3 9" xfId="112"/>
    <cellStyle name="쉼표 [0] 2 2 2 2 4" xfId="113"/>
    <cellStyle name="쉼표 [0] 2 2 2 2 4 2" xfId="114"/>
    <cellStyle name="쉼표 [0] 2 2 2 2 4 3" xfId="115"/>
    <cellStyle name="쉼표 [0] 2 2 2 2 4 4" xfId="116"/>
    <cellStyle name="쉼표 [0] 2 2 2 2 5" xfId="117"/>
    <cellStyle name="쉼표 [0] 2 2 2 2 5 2" xfId="118"/>
    <cellStyle name="쉼표 [0] 2 2 2 2 5 3" xfId="119"/>
    <cellStyle name="쉼표 [0] 2 2 2 2 5 4" xfId="120"/>
    <cellStyle name="쉼표 [0] 2 2 2 2 6" xfId="121"/>
    <cellStyle name="쉼표 [0] 2 2 2 2 6 2" xfId="122"/>
    <cellStyle name="쉼표 [0] 2 2 2 2 6 3" xfId="123"/>
    <cellStyle name="쉼표 [0] 2 2 2 2 6 4" xfId="124"/>
    <cellStyle name="쉼표 [0] 2 2 2 2 7" xfId="125"/>
    <cellStyle name="쉼표 [0] 2 2 2 2 7 2" xfId="126"/>
    <cellStyle name="쉼표 [0] 2 2 2 2 8" xfId="127"/>
    <cellStyle name="쉼표 [0] 2 2 2 2 8 2" xfId="128"/>
    <cellStyle name="쉼표 [0] 2 2 2 2 9" xfId="129"/>
    <cellStyle name="쉼표 [0] 2 2 2 2 9 2" xfId="130"/>
    <cellStyle name="쉼표 [0] 2 2 2 20" xfId="131"/>
    <cellStyle name="쉼표 [0] 2 2 2 21" xfId="132"/>
    <cellStyle name="쉼표 [0] 2 2 2 22" xfId="133"/>
    <cellStyle name="쉼표 [0] 2 2 2 23" xfId="134"/>
    <cellStyle name="쉼표 [0] 2 2 2 24" xfId="135"/>
    <cellStyle name="쉼표 [0] 2 2 2 25" xfId="136"/>
    <cellStyle name="쉼표 [0] 2 2 2 26" xfId="137"/>
    <cellStyle name="쉼표 [0] 2 2 2 27" xfId="138"/>
    <cellStyle name="쉼표 [0] 2 2 2 28" xfId="139"/>
    <cellStyle name="쉼표 [0] 2 2 2 29" xfId="140"/>
    <cellStyle name="쉼표 [0] 2 2 2 3" xfId="141"/>
    <cellStyle name="쉼표 [0] 2 2 2 30" xfId="142"/>
    <cellStyle name="쉼표 [0] 2 2 2 31" xfId="143"/>
    <cellStyle name="쉼표 [0] 2 2 2 31 2" xfId="144"/>
    <cellStyle name="쉼표 [0] 2 2 2 32" xfId="145"/>
    <cellStyle name="쉼표 [0] 2 2 2 4" xfId="146"/>
    <cellStyle name="쉼표 [0] 2 2 2 5" xfId="147"/>
    <cellStyle name="쉼표 [0] 2 2 2 6" xfId="148"/>
    <cellStyle name="쉼표 [0] 2 2 2 7" xfId="149"/>
    <cellStyle name="쉼표 [0] 2 2 2 8" xfId="150"/>
    <cellStyle name="쉼표 [0] 2 2 2 9" xfId="151"/>
    <cellStyle name="쉼표 [0] 2 2 2 9 2" xfId="152"/>
    <cellStyle name="쉼표 [0] 2 2 2 9 2 10" xfId="153"/>
    <cellStyle name="쉼표 [0] 2 2 2 9 2 11" xfId="154"/>
    <cellStyle name="쉼표 [0] 2 2 2 9 2 2" xfId="155"/>
    <cellStyle name="쉼표 [0] 2 2 2 9 2 3" xfId="156"/>
    <cellStyle name="쉼표 [0] 2 2 2 9 2 4" xfId="157"/>
    <cellStyle name="쉼표 [0] 2 2 2 9 2 5" xfId="158"/>
    <cellStyle name="쉼표 [0] 2 2 2 9 2 6" xfId="159"/>
    <cellStyle name="쉼표 [0] 2 2 2 9 2 7" xfId="160"/>
    <cellStyle name="쉼표 [0] 2 2 2 9 2 8" xfId="161"/>
    <cellStyle name="쉼표 [0] 2 2 2 9 2 9" xfId="162"/>
    <cellStyle name="쉼표 [0] 2 2 2 9 3" xfId="163"/>
    <cellStyle name="쉼표 [0] 2 2 2 9 3 2" xfId="164"/>
    <cellStyle name="쉼표 [0] 2 2 2 9 3 3" xfId="165"/>
    <cellStyle name="쉼표 [0] 2 2 2 9 3 4" xfId="166"/>
    <cellStyle name="쉼표 [0] 2 2 2 9 4" xfId="167"/>
    <cellStyle name="쉼표 [0] 2 2 2 9 4 2" xfId="168"/>
    <cellStyle name="쉼표 [0] 2 2 2 9 4 3" xfId="169"/>
    <cellStyle name="쉼표 [0] 2 2 2 9 4 4" xfId="170"/>
    <cellStyle name="쉼표 [0] 2 2 2 9 5" xfId="171"/>
    <cellStyle name="쉼표 [0] 2 2 2 9 5 2" xfId="172"/>
    <cellStyle name="쉼표 [0] 2 2 2 9 5 3" xfId="173"/>
    <cellStyle name="쉼표 [0] 2 2 2 9 5 4" xfId="174"/>
    <cellStyle name="쉼표 [0] 2 2 2 9 6" xfId="175"/>
    <cellStyle name="쉼표 [0] 2 2 2 9 6 2" xfId="176"/>
    <cellStyle name="쉼표 [0] 2 2 2 9 7" xfId="177"/>
    <cellStyle name="쉼표 [0] 2 2 2 9 7 2" xfId="178"/>
    <cellStyle name="쉼표 [0] 2 2 2 9 8" xfId="179"/>
    <cellStyle name="쉼표 [0] 2 2 2 9 8 2" xfId="180"/>
    <cellStyle name="쉼표 [0] 2 2 20" xfId="181"/>
    <cellStyle name="쉼표 [0] 2 2 21" xfId="182"/>
    <cellStyle name="쉼표 [0] 2 2 22" xfId="183"/>
    <cellStyle name="쉼표 [0] 2 2 23" xfId="184"/>
    <cellStyle name="쉼표 [0] 2 2 24" xfId="185"/>
    <cellStyle name="쉼표 [0] 2 2 25" xfId="186"/>
    <cellStyle name="쉼표 [0] 2 2 26" xfId="187"/>
    <cellStyle name="쉼표 [0] 2 2 27" xfId="188"/>
    <cellStyle name="쉼표 [0] 2 2 28" xfId="189"/>
    <cellStyle name="쉼표 [0] 2 2 29" xfId="190"/>
    <cellStyle name="쉼표 [0] 2 2 3" xfId="191"/>
    <cellStyle name="쉼표 [0] 2 2 3 10" xfId="192"/>
    <cellStyle name="쉼표 [0] 2 2 3 11" xfId="193"/>
    <cellStyle name="쉼표 [0] 2 2 3 12" xfId="194"/>
    <cellStyle name="쉼표 [0] 2 2 3 13" xfId="195"/>
    <cellStyle name="쉼표 [0] 2 2 3 14" xfId="196"/>
    <cellStyle name="쉼표 [0] 2 2 3 15" xfId="197"/>
    <cellStyle name="쉼표 [0] 2 2 3 16" xfId="198"/>
    <cellStyle name="쉼표 [0] 2 2 3 17" xfId="199"/>
    <cellStyle name="쉼표 [0] 2 2 3 18" xfId="200"/>
    <cellStyle name="쉼표 [0] 2 2 3 19" xfId="201"/>
    <cellStyle name="쉼표 [0] 2 2 3 2" xfId="202"/>
    <cellStyle name="쉼표 [0] 2 2 3 2 2" xfId="203"/>
    <cellStyle name="쉼표 [0] 2 2 3 2 2 10" xfId="204"/>
    <cellStyle name="쉼표 [0] 2 2 3 2 2 11" xfId="205"/>
    <cellStyle name="쉼표 [0] 2 2 3 2 2 2" xfId="206"/>
    <cellStyle name="쉼표 [0] 2 2 3 2 2 2 2" xfId="207"/>
    <cellStyle name="쉼표 [0] 2 2 3 2 2 2 2 2" xfId="208"/>
    <cellStyle name="쉼표 [0] 2 2 3 2 2 2 2 3" xfId="209"/>
    <cellStyle name="쉼표 [0] 2 2 3 2 2 2 2 4" xfId="210"/>
    <cellStyle name="쉼표 [0] 2 2 3 2 2 2 3" xfId="211"/>
    <cellStyle name="쉼표 [0] 2 2 3 2 2 2 3 2" xfId="212"/>
    <cellStyle name="쉼표 [0] 2 2 3 2 2 2 3 3" xfId="213"/>
    <cellStyle name="쉼표 [0] 2 2 3 2 2 2 3 4" xfId="214"/>
    <cellStyle name="쉼표 [0] 2 2 3 2 2 2 4" xfId="215"/>
    <cellStyle name="쉼표 [0] 2 2 3 2 2 2 4 2" xfId="216"/>
    <cellStyle name="쉼표 [0] 2 2 3 2 2 2 4 3" xfId="217"/>
    <cellStyle name="쉼표 [0] 2 2 3 2 2 2 4 4" xfId="218"/>
    <cellStyle name="쉼표 [0] 2 2 3 2 2 2 5" xfId="219"/>
    <cellStyle name="쉼표 [0] 2 2 3 2 2 2 5 2" xfId="220"/>
    <cellStyle name="쉼표 [0] 2 2 3 2 2 2 5 3" xfId="221"/>
    <cellStyle name="쉼표 [0] 2 2 3 2 2 2 5 4" xfId="222"/>
    <cellStyle name="쉼표 [0] 2 2 3 2 2 2 6" xfId="223"/>
    <cellStyle name="쉼표 [0] 2 2 3 2 2 2 6 2" xfId="224"/>
    <cellStyle name="쉼표 [0] 2 2 3 2 2 2 7" xfId="225"/>
    <cellStyle name="쉼표 [0] 2 2 3 2 2 2 7 2" xfId="226"/>
    <cellStyle name="쉼표 [0] 2 2 3 2 2 2 8" xfId="227"/>
    <cellStyle name="쉼표 [0] 2 2 3 2 2 2 8 2" xfId="228"/>
    <cellStyle name="쉼표 [0] 2 2 3 2 2 3" xfId="229"/>
    <cellStyle name="쉼표 [0] 2 2 3 2 2 4" xfId="230"/>
    <cellStyle name="쉼표 [0] 2 2 3 2 2 5" xfId="231"/>
    <cellStyle name="쉼표 [0] 2 2 3 2 2 6" xfId="232"/>
    <cellStyle name="쉼표 [0] 2 2 3 2 2 7" xfId="233"/>
    <cellStyle name="쉼표 [0] 2 2 3 2 2 8" xfId="234"/>
    <cellStyle name="쉼표 [0] 2 2 3 2 2 9" xfId="235"/>
    <cellStyle name="쉼표 [0] 2 2 3 2 3" xfId="236"/>
    <cellStyle name="쉼표 [0] 2 2 3 2 3 2" xfId="237"/>
    <cellStyle name="쉼표 [0] 2 2 3 2 3 3" xfId="238"/>
    <cellStyle name="쉼표 [0] 2 2 3 2 3 4" xfId="239"/>
    <cellStyle name="쉼표 [0] 2 2 3 2 4" xfId="240"/>
    <cellStyle name="쉼표 [0] 2 2 3 2 4 2" xfId="241"/>
    <cellStyle name="쉼표 [0] 2 2 3 2 4 3" xfId="242"/>
    <cellStyle name="쉼표 [0] 2 2 3 2 4 4" xfId="243"/>
    <cellStyle name="쉼표 [0] 2 2 3 2 5" xfId="244"/>
    <cellStyle name="쉼표 [0] 2 2 3 2 5 2" xfId="245"/>
    <cellStyle name="쉼표 [0] 2 2 3 2 5 3" xfId="246"/>
    <cellStyle name="쉼표 [0] 2 2 3 2 5 4" xfId="247"/>
    <cellStyle name="쉼표 [0] 2 2 3 2 6" xfId="248"/>
    <cellStyle name="쉼표 [0] 2 2 3 2 6 2" xfId="249"/>
    <cellStyle name="쉼표 [0] 2 2 3 2 6 3" xfId="250"/>
    <cellStyle name="쉼표 [0] 2 2 3 2 6 4" xfId="251"/>
    <cellStyle name="쉼표 [0] 2 2 3 2 7" xfId="252"/>
    <cellStyle name="쉼표 [0] 2 2 3 2 7 2" xfId="253"/>
    <cellStyle name="쉼표 [0] 2 2 3 2 8" xfId="254"/>
    <cellStyle name="쉼표 [0] 2 2 3 2 8 2" xfId="255"/>
    <cellStyle name="쉼표 [0] 2 2 3 2 9" xfId="256"/>
    <cellStyle name="쉼표 [0] 2 2 3 2 9 2" xfId="257"/>
    <cellStyle name="쉼표 [0] 2 2 3 20" xfId="258"/>
    <cellStyle name="쉼표 [0] 2 2 3 21" xfId="259"/>
    <cellStyle name="쉼표 [0] 2 2 3 22" xfId="260"/>
    <cellStyle name="쉼표 [0] 2 2 3 23" xfId="261"/>
    <cellStyle name="쉼표 [0] 2 2 3 24" xfId="262"/>
    <cellStyle name="쉼표 [0] 2 2 3 24 2" xfId="263"/>
    <cellStyle name="쉼표 [0] 2 2 3 25" xfId="264"/>
    <cellStyle name="쉼표 [0] 2 2 3 3" xfId="265"/>
    <cellStyle name="쉼표 [0] 2 2 3 3 2" xfId="266"/>
    <cellStyle name="쉼표 [0] 2 2 3 3 2 2" xfId="267"/>
    <cellStyle name="쉼표 [0] 2 2 3 3 2 3" xfId="268"/>
    <cellStyle name="쉼표 [0] 2 2 3 3 2 4" xfId="269"/>
    <cellStyle name="쉼표 [0] 2 2 3 3 3" xfId="270"/>
    <cellStyle name="쉼표 [0] 2 2 3 3 3 2" xfId="271"/>
    <cellStyle name="쉼표 [0] 2 2 3 3 3 3" xfId="272"/>
    <cellStyle name="쉼표 [0] 2 2 3 3 3 4" xfId="273"/>
    <cellStyle name="쉼표 [0] 2 2 3 3 4" xfId="274"/>
    <cellStyle name="쉼표 [0] 2 2 3 3 4 2" xfId="275"/>
    <cellStyle name="쉼표 [0] 2 2 3 3 4 3" xfId="276"/>
    <cellStyle name="쉼표 [0] 2 2 3 3 4 4" xfId="277"/>
    <cellStyle name="쉼표 [0] 2 2 3 3 5" xfId="278"/>
    <cellStyle name="쉼표 [0] 2 2 3 3 5 2" xfId="279"/>
    <cellStyle name="쉼표 [0] 2 2 3 3 5 3" xfId="280"/>
    <cellStyle name="쉼표 [0] 2 2 3 3 5 4" xfId="281"/>
    <cellStyle name="쉼표 [0] 2 2 3 3 6" xfId="282"/>
    <cellStyle name="쉼표 [0] 2 2 3 3 6 2" xfId="283"/>
    <cellStyle name="쉼표 [0] 2 2 3 3 7" xfId="284"/>
    <cellStyle name="쉼표 [0] 2 2 3 3 7 2" xfId="285"/>
    <cellStyle name="쉼표 [0] 2 2 3 3 8" xfId="286"/>
    <cellStyle name="쉼표 [0] 2 2 3 3 8 2" xfId="287"/>
    <cellStyle name="쉼표 [0] 2 2 3 4" xfId="288"/>
    <cellStyle name="쉼표 [0] 2 2 3 5" xfId="289"/>
    <cellStyle name="쉼표 [0] 2 2 3 6" xfId="290"/>
    <cellStyle name="쉼표 [0] 2 2 3 7" xfId="291"/>
    <cellStyle name="쉼표 [0] 2 2 3 8" xfId="292"/>
    <cellStyle name="쉼표 [0] 2 2 3 9" xfId="293"/>
    <cellStyle name="쉼표 [0] 2 2 30" xfId="294"/>
    <cellStyle name="쉼표 [0] 2 2 31" xfId="295"/>
    <cellStyle name="쉼표 [0] 2 2 4" xfId="296"/>
    <cellStyle name="쉼표 [0] 2 2 4 10" xfId="297"/>
    <cellStyle name="쉼표 [0] 2 2 4 11" xfId="298"/>
    <cellStyle name="쉼표 [0] 2 2 4 12" xfId="299"/>
    <cellStyle name="쉼표 [0] 2 2 4 13" xfId="300"/>
    <cellStyle name="쉼표 [0] 2 2 4 14" xfId="301"/>
    <cellStyle name="쉼표 [0] 2 2 4 15" xfId="302"/>
    <cellStyle name="쉼표 [0] 2 2 4 16" xfId="303"/>
    <cellStyle name="쉼표 [0] 2 2 4 17" xfId="304"/>
    <cellStyle name="쉼표 [0] 2 2 4 17 2" xfId="305"/>
    <cellStyle name="쉼표 [0] 2 2 4 18" xfId="306"/>
    <cellStyle name="쉼표 [0] 2 2 4 19" xfId="307"/>
    <cellStyle name="쉼표 [0] 2 2 4 2" xfId="308"/>
    <cellStyle name="쉼표 [0] 2 2 4 3" xfId="309"/>
    <cellStyle name="쉼표 [0] 2 2 4 4" xfId="310"/>
    <cellStyle name="쉼표 [0] 2 2 4 5" xfId="311"/>
    <cellStyle name="쉼표 [0] 2 2 4 6" xfId="312"/>
    <cellStyle name="쉼표 [0] 2 2 4 7" xfId="313"/>
    <cellStyle name="쉼표 [0] 2 2 4 8" xfId="314"/>
    <cellStyle name="쉼표 [0] 2 2 4 9" xfId="315"/>
    <cellStyle name="쉼표 [0] 2 2 5" xfId="316"/>
    <cellStyle name="쉼표 [0] 2 2 5 10" xfId="317"/>
    <cellStyle name="쉼표 [0] 2 2 5 11" xfId="318"/>
    <cellStyle name="쉼표 [0] 2 2 5 12" xfId="319"/>
    <cellStyle name="쉼표 [0] 2 2 5 13" xfId="320"/>
    <cellStyle name="쉼표 [0] 2 2 5 14" xfId="321"/>
    <cellStyle name="쉼표 [0] 2 2 5 15" xfId="322"/>
    <cellStyle name="쉼표 [0] 2 2 5 16" xfId="323"/>
    <cellStyle name="쉼표 [0] 2 2 5 17" xfId="324"/>
    <cellStyle name="쉼표 [0] 2 2 5 17 2" xfId="325"/>
    <cellStyle name="쉼표 [0] 2 2 5 18" xfId="326"/>
    <cellStyle name="쉼표 [0] 2 2 5 19" xfId="327"/>
    <cellStyle name="쉼표 [0] 2 2 5 2" xfId="328"/>
    <cellStyle name="쉼표 [0] 2 2 5 3" xfId="329"/>
    <cellStyle name="쉼표 [0] 2 2 5 4" xfId="330"/>
    <cellStyle name="쉼표 [0] 2 2 5 5" xfId="331"/>
    <cellStyle name="쉼표 [0] 2 2 5 6" xfId="332"/>
    <cellStyle name="쉼표 [0] 2 2 5 7" xfId="333"/>
    <cellStyle name="쉼표 [0] 2 2 5 8" xfId="334"/>
    <cellStyle name="쉼표 [0] 2 2 5 9" xfId="335"/>
    <cellStyle name="쉼표 [0] 2 2 6" xfId="336"/>
    <cellStyle name="쉼표 [0] 2 2 6 10" xfId="337"/>
    <cellStyle name="쉼표 [0] 2 2 6 11" xfId="338"/>
    <cellStyle name="쉼표 [0] 2 2 6 12" xfId="339"/>
    <cellStyle name="쉼표 [0] 2 2 6 13" xfId="340"/>
    <cellStyle name="쉼표 [0] 2 2 6 14" xfId="341"/>
    <cellStyle name="쉼표 [0] 2 2 6 15" xfId="342"/>
    <cellStyle name="쉼표 [0] 2 2 6 16" xfId="343"/>
    <cellStyle name="쉼표 [0] 2 2 6 17" xfId="344"/>
    <cellStyle name="쉼표 [0] 2 2 6 17 2" xfId="345"/>
    <cellStyle name="쉼표 [0] 2 2 6 18" xfId="346"/>
    <cellStyle name="쉼표 [0] 2 2 6 19" xfId="347"/>
    <cellStyle name="쉼표 [0] 2 2 6 2" xfId="348"/>
    <cellStyle name="쉼표 [0] 2 2 6 3" xfId="349"/>
    <cellStyle name="쉼표 [0] 2 2 6 4" xfId="350"/>
    <cellStyle name="쉼표 [0] 2 2 6 5" xfId="351"/>
    <cellStyle name="쉼표 [0] 2 2 6 6" xfId="352"/>
    <cellStyle name="쉼표 [0] 2 2 6 7" xfId="353"/>
    <cellStyle name="쉼표 [0] 2 2 6 8" xfId="354"/>
    <cellStyle name="쉼표 [0] 2 2 6 9" xfId="355"/>
    <cellStyle name="쉼표 [0] 2 2 7" xfId="356"/>
    <cellStyle name="쉼표 [0] 2 2 7 10" xfId="357"/>
    <cellStyle name="쉼표 [0] 2 2 7 11" xfId="358"/>
    <cellStyle name="쉼표 [0] 2 2 7 12" xfId="359"/>
    <cellStyle name="쉼표 [0] 2 2 7 13" xfId="360"/>
    <cellStyle name="쉼표 [0] 2 2 7 14" xfId="361"/>
    <cellStyle name="쉼표 [0] 2 2 7 15" xfId="362"/>
    <cellStyle name="쉼표 [0] 2 2 7 16" xfId="363"/>
    <cellStyle name="쉼표 [0] 2 2 7 17" xfId="364"/>
    <cellStyle name="쉼표 [0] 2 2 7 17 2" xfId="365"/>
    <cellStyle name="쉼표 [0] 2 2 7 18" xfId="366"/>
    <cellStyle name="쉼표 [0] 2 2 7 19" xfId="367"/>
    <cellStyle name="쉼표 [0] 2 2 7 2" xfId="368"/>
    <cellStyle name="쉼표 [0] 2 2 7 3" xfId="369"/>
    <cellStyle name="쉼표 [0] 2 2 7 4" xfId="370"/>
    <cellStyle name="쉼표 [0] 2 2 7 5" xfId="371"/>
    <cellStyle name="쉼표 [0] 2 2 7 6" xfId="372"/>
    <cellStyle name="쉼표 [0] 2 2 7 7" xfId="373"/>
    <cellStyle name="쉼표 [0] 2 2 7 8" xfId="374"/>
    <cellStyle name="쉼표 [0] 2 2 7 9" xfId="375"/>
    <cellStyle name="쉼표 [0] 2 2 8" xfId="376"/>
    <cellStyle name="쉼표 [0] 2 2 8 10" xfId="377"/>
    <cellStyle name="쉼표 [0] 2 2 8 11" xfId="378"/>
    <cellStyle name="쉼표 [0] 2 2 8 12" xfId="379"/>
    <cellStyle name="쉼표 [0] 2 2 8 13" xfId="380"/>
    <cellStyle name="쉼표 [0] 2 2 8 14" xfId="381"/>
    <cellStyle name="쉼표 [0] 2 2 8 15" xfId="382"/>
    <cellStyle name="쉼표 [0] 2 2 8 16" xfId="383"/>
    <cellStyle name="쉼표 [0] 2 2 8 17" xfId="384"/>
    <cellStyle name="쉼표 [0] 2 2 8 17 2" xfId="385"/>
    <cellStyle name="쉼표 [0] 2 2 8 18" xfId="386"/>
    <cellStyle name="쉼표 [0] 2 2 8 19" xfId="387"/>
    <cellStyle name="쉼표 [0] 2 2 8 2" xfId="388"/>
    <cellStyle name="쉼표 [0] 2 2 8 3" xfId="389"/>
    <cellStyle name="쉼표 [0] 2 2 8 4" xfId="390"/>
    <cellStyle name="쉼표 [0] 2 2 8 5" xfId="391"/>
    <cellStyle name="쉼표 [0] 2 2 8 6" xfId="392"/>
    <cellStyle name="쉼표 [0] 2 2 8 7" xfId="393"/>
    <cellStyle name="쉼표 [0] 2 2 8 8" xfId="394"/>
    <cellStyle name="쉼표 [0] 2 2 8 9" xfId="395"/>
    <cellStyle name="쉼표 [0] 2 2 9" xfId="396"/>
    <cellStyle name="쉼표 [0] 2 2 9 10" xfId="397"/>
    <cellStyle name="쉼표 [0] 2 2 9 11" xfId="398"/>
    <cellStyle name="쉼표 [0] 2 2 9 2" xfId="399"/>
    <cellStyle name="쉼표 [0] 2 2 9 2 2" xfId="400"/>
    <cellStyle name="쉼표 [0] 2 2 9 2 2 2" xfId="401"/>
    <cellStyle name="쉼표 [0] 2 2 9 2 2 3" xfId="402"/>
    <cellStyle name="쉼표 [0] 2 2 9 2 2 4" xfId="403"/>
    <cellStyle name="쉼표 [0] 2 2 9 2 3" xfId="404"/>
    <cellStyle name="쉼표 [0] 2 2 9 2 3 2" xfId="405"/>
    <cellStyle name="쉼표 [0] 2 2 9 2 3 3" xfId="406"/>
    <cellStyle name="쉼표 [0] 2 2 9 2 3 4" xfId="407"/>
    <cellStyle name="쉼표 [0] 2 2 9 2 4" xfId="408"/>
    <cellStyle name="쉼표 [0] 2 2 9 2 4 2" xfId="409"/>
    <cellStyle name="쉼표 [0] 2 2 9 2 4 3" xfId="410"/>
    <cellStyle name="쉼표 [0] 2 2 9 2 4 4" xfId="411"/>
    <cellStyle name="쉼표 [0] 2 2 9 2 5" xfId="412"/>
    <cellStyle name="쉼표 [0] 2 2 9 2 5 2" xfId="413"/>
    <cellStyle name="쉼표 [0] 2 2 9 2 5 3" xfId="414"/>
    <cellStyle name="쉼표 [0] 2 2 9 2 5 4" xfId="415"/>
    <cellStyle name="쉼표 [0] 2 2 9 2 6" xfId="416"/>
    <cellStyle name="쉼표 [0] 2 2 9 2 6 2" xfId="417"/>
    <cellStyle name="쉼표 [0] 2 2 9 2 7" xfId="418"/>
    <cellStyle name="쉼표 [0] 2 2 9 2 7 2" xfId="419"/>
    <cellStyle name="쉼표 [0] 2 2 9 2 8" xfId="420"/>
    <cellStyle name="쉼표 [0] 2 2 9 2 8 2" xfId="421"/>
    <cellStyle name="쉼표 [0] 2 2 9 3" xfId="422"/>
    <cellStyle name="쉼표 [0] 2 2 9 4" xfId="423"/>
    <cellStyle name="쉼표 [0] 2 2 9 5" xfId="424"/>
    <cellStyle name="쉼표 [0] 2 2 9 6" xfId="425"/>
    <cellStyle name="쉼표 [0] 2 2 9 7" xfId="426"/>
    <cellStyle name="쉼표 [0] 2 2 9 8" xfId="427"/>
    <cellStyle name="쉼표 [0] 2 2 9 9" xfId="428"/>
    <cellStyle name="쉼표 [0] 2 3" xfId="429"/>
    <cellStyle name="쉼표 [0] 2 3 10" xfId="430"/>
    <cellStyle name="쉼표 [0] 2 3 11" xfId="431"/>
    <cellStyle name="쉼표 [0] 2 3 12" xfId="432"/>
    <cellStyle name="쉼표 [0] 2 3 13" xfId="433"/>
    <cellStyle name="쉼표 [0] 2 3 14" xfId="434"/>
    <cellStyle name="쉼표 [0] 2 3 15" xfId="435"/>
    <cellStyle name="쉼표 [0] 2 3 16" xfId="436"/>
    <cellStyle name="쉼표 [0] 2 3 17" xfId="437"/>
    <cellStyle name="쉼표 [0] 2 3 17 2" xfId="438"/>
    <cellStyle name="쉼표 [0] 2 3 18" xfId="439"/>
    <cellStyle name="쉼표 [0] 2 3 19" xfId="440"/>
    <cellStyle name="쉼표 [0] 2 3 2" xfId="441"/>
    <cellStyle name="쉼표 [0] 2 3 3" xfId="442"/>
    <cellStyle name="쉼표 [0] 2 3 4" xfId="443"/>
    <cellStyle name="쉼표 [0] 2 3 5" xfId="444"/>
    <cellStyle name="쉼표 [0] 2 3 6" xfId="445"/>
    <cellStyle name="쉼표 [0] 2 3 7" xfId="446"/>
    <cellStyle name="쉼표 [0] 2 3 8" xfId="447"/>
    <cellStyle name="쉼표 [0] 2 3 9" xfId="448"/>
    <cellStyle name="쉼표 [0] 2 4" xfId="449"/>
    <cellStyle name="쉼표 [0] 2 4 10" xfId="450"/>
    <cellStyle name="쉼표 [0] 2 4 11" xfId="451"/>
    <cellStyle name="쉼표 [0] 2 4 12" xfId="452"/>
    <cellStyle name="쉼표 [0] 2 4 13" xfId="453"/>
    <cellStyle name="쉼표 [0] 2 4 14" xfId="454"/>
    <cellStyle name="쉼표 [0] 2 4 15" xfId="455"/>
    <cellStyle name="쉼표 [0] 2 4 16" xfId="456"/>
    <cellStyle name="쉼표 [0] 2 4 17" xfId="457"/>
    <cellStyle name="쉼표 [0] 2 4 18" xfId="458"/>
    <cellStyle name="쉼표 [0] 2 4 2" xfId="459"/>
    <cellStyle name="쉼표 [0] 2 4 3" xfId="460"/>
    <cellStyle name="쉼표 [0] 2 4 4" xfId="461"/>
    <cellStyle name="쉼표 [0] 2 4 5" xfId="462"/>
    <cellStyle name="쉼표 [0] 2 4 6" xfId="463"/>
    <cellStyle name="쉼표 [0] 2 4 7" xfId="464"/>
    <cellStyle name="쉼표 [0] 2 4 8" xfId="465"/>
    <cellStyle name="쉼표 [0] 2 4 9" xfId="466"/>
    <cellStyle name="쉼표 [0] 2 5" xfId="467"/>
    <cellStyle name="쉼표 [0] 2 5 10" xfId="468"/>
    <cellStyle name="쉼표 [0] 2 5 11" xfId="469"/>
    <cellStyle name="쉼표 [0] 2 5 12" xfId="470"/>
    <cellStyle name="쉼표 [0] 2 5 13" xfId="471"/>
    <cellStyle name="쉼표 [0] 2 5 14" xfId="472"/>
    <cellStyle name="쉼표 [0] 2 5 15" xfId="473"/>
    <cellStyle name="쉼표 [0] 2 5 16" xfId="474"/>
    <cellStyle name="쉼표 [0] 2 5 17" xfId="475"/>
    <cellStyle name="쉼표 [0] 2 5 18" xfId="476"/>
    <cellStyle name="쉼표 [0] 2 5 19" xfId="477"/>
    <cellStyle name="쉼표 [0] 2 5 2" xfId="478"/>
    <cellStyle name="쉼표 [0] 2 5 2 2" xfId="479"/>
    <cellStyle name="쉼표 [0] 2 5 2 3" xfId="480"/>
    <cellStyle name="쉼표 [0] 2 5 2 4" xfId="481"/>
    <cellStyle name="쉼표 [0] 2 5 3" xfId="482"/>
    <cellStyle name="쉼표 [0] 2 5 4" xfId="483"/>
    <cellStyle name="쉼표 [0] 2 5 5" xfId="484"/>
    <cellStyle name="쉼표 [0] 2 5 6" xfId="485"/>
    <cellStyle name="쉼표 [0] 2 5 7" xfId="486"/>
    <cellStyle name="쉼표 [0] 2 5 8" xfId="487"/>
    <cellStyle name="쉼표 [0] 2 5 9" xfId="488"/>
    <cellStyle name="쉼표 [0] 2 6" xfId="489"/>
    <cellStyle name="쉼표 [0] 2 6 10" xfId="490"/>
    <cellStyle name="쉼표 [0] 2 6 11" xfId="491"/>
    <cellStyle name="쉼표 [0] 2 6 12" xfId="492"/>
    <cellStyle name="쉼표 [0] 2 6 13" xfId="493"/>
    <cellStyle name="쉼표 [0] 2 6 14" xfId="494"/>
    <cellStyle name="쉼표 [0] 2 6 15" xfId="495"/>
    <cellStyle name="쉼표 [0] 2 6 16" xfId="496"/>
    <cellStyle name="쉼표 [0] 2 6 17" xfId="497"/>
    <cellStyle name="쉼표 [0] 2 6 18" xfId="498"/>
    <cellStyle name="쉼표 [0] 2 6 19" xfId="499"/>
    <cellStyle name="쉼표 [0] 2 6 19 2" xfId="500"/>
    <cellStyle name="쉼표 [0] 2 6 2" xfId="501"/>
    <cellStyle name="쉼표 [0] 2 6 3" xfId="502"/>
    <cellStyle name="쉼표 [0] 2 6 4" xfId="503"/>
    <cellStyle name="쉼표 [0] 2 6 5" xfId="504"/>
    <cellStyle name="쉼표 [0] 2 6 6" xfId="505"/>
    <cellStyle name="쉼표 [0] 2 6 7" xfId="506"/>
    <cellStyle name="쉼표 [0] 2 6 8" xfId="507"/>
    <cellStyle name="쉼표 [0] 2 6 9" xfId="508"/>
    <cellStyle name="쉼표 [0] 2 7" xfId="509"/>
    <cellStyle name="쉼표 [0] 2 8" xfId="510"/>
    <cellStyle name="쉼표 [0] 2 9" xfId="511"/>
    <cellStyle name="쉼표 [0] 21" xfId="512"/>
    <cellStyle name="쉼표 [0] 3" xfId="513"/>
    <cellStyle name="쉼표 [0] 3 10" xfId="514"/>
    <cellStyle name="쉼표 [0] 3 10 2" xfId="515"/>
    <cellStyle name="쉼표 [0] 3 11" xfId="516"/>
    <cellStyle name="쉼표 [0] 3 11 2" xfId="517"/>
    <cellStyle name="쉼표 [0] 3 12" xfId="518"/>
    <cellStyle name="쉼표 [0] 3 12 2" xfId="519"/>
    <cellStyle name="쉼표 [0] 3 13" xfId="520"/>
    <cellStyle name="쉼표 [0] 3 13 2" xfId="521"/>
    <cellStyle name="쉼표 [0] 3 14" xfId="522"/>
    <cellStyle name="쉼표 [0] 3 14 2" xfId="523"/>
    <cellStyle name="쉼표 [0] 3 15" xfId="524"/>
    <cellStyle name="쉼표 [0] 3 15 2" xfId="525"/>
    <cellStyle name="쉼표 [0] 3 16" xfId="526"/>
    <cellStyle name="쉼표 [0] 3 16 2" xfId="527"/>
    <cellStyle name="쉼표 [0] 3 17" xfId="528"/>
    <cellStyle name="쉼표 [0] 3 17 2" xfId="529"/>
    <cellStyle name="쉼표 [0] 3 18" xfId="530"/>
    <cellStyle name="쉼표 [0] 3 18 2" xfId="531"/>
    <cellStyle name="쉼표 [0] 3 19" xfId="532"/>
    <cellStyle name="쉼표 [0] 3 19 2" xfId="533"/>
    <cellStyle name="쉼표 [0] 3 2" xfId="534"/>
    <cellStyle name="쉼표 [0] 3 2 2" xfId="535"/>
    <cellStyle name="쉼표 [0] 3 2 3" xfId="536"/>
    <cellStyle name="쉼표 [0] 3 2 4" xfId="537"/>
    <cellStyle name="쉼표 [0] 3 2 5" xfId="538"/>
    <cellStyle name="쉼표 [0] 3 2 6" xfId="539"/>
    <cellStyle name="쉼표 [0] 3 2 7" xfId="540"/>
    <cellStyle name="쉼표 [0] 3 20" xfId="541"/>
    <cellStyle name="쉼표 [0] 3 21" xfId="542"/>
    <cellStyle name="쉼표 [0] 3 22" xfId="543"/>
    <cellStyle name="쉼표 [0] 3 23" xfId="544"/>
    <cellStyle name="쉼표 [0] 3 23 2" xfId="545"/>
    <cellStyle name="쉼표 [0] 3 24" xfId="546"/>
    <cellStyle name="쉼표 [0] 3 3" xfId="547"/>
    <cellStyle name="쉼표 [0] 3 3 2" xfId="548"/>
    <cellStyle name="쉼표 [0] 3 3 2 2" xfId="549"/>
    <cellStyle name="쉼표 [0] 3 3 3" xfId="550"/>
    <cellStyle name="쉼표 [0] 3 3 3 2" xfId="551"/>
    <cellStyle name="쉼표 [0] 3 3 4" xfId="552"/>
    <cellStyle name="쉼표 [0] 3 3 4 2" xfId="553"/>
    <cellStyle name="쉼표 [0] 3 4" xfId="554"/>
    <cellStyle name="쉼표 [0] 3 5" xfId="555"/>
    <cellStyle name="쉼표 [0] 3 6" xfId="556"/>
    <cellStyle name="쉼표 [0] 3 7" xfId="557"/>
    <cellStyle name="쉼표 [0] 3 8" xfId="558"/>
    <cellStyle name="쉼표 [0] 3 9" xfId="559"/>
    <cellStyle name="쉼표 [0] 3 9 2" xfId="560"/>
    <cellStyle name="쉼표 [0] 4" xfId="561"/>
    <cellStyle name="쉼표 [0] 4 2" xfId="562"/>
    <cellStyle name="쉼표 [0] 4 3" xfId="563"/>
    <cellStyle name="쉼표 [0] 4 3 2" xfId="564"/>
    <cellStyle name="쉼표 [0] 4 3 3" xfId="565"/>
    <cellStyle name="쉼표 [0] 4 3 4" xfId="566"/>
    <cellStyle name="쉼표 [0] 4 4" xfId="567"/>
    <cellStyle name="쉼표 [0] 4 5" xfId="568"/>
    <cellStyle name="쉼표 [0] 4 6" xfId="569"/>
    <cellStyle name="쉼표 [0] 4 7" xfId="570"/>
    <cellStyle name="쉼표 [0] 5" xfId="571"/>
    <cellStyle name="쉼표 [0] 5 2" xfId="572"/>
    <cellStyle name="쉼표 [0] 5 2 2" xfId="573"/>
    <cellStyle name="쉼표 [0] 5 2 3" xfId="574"/>
    <cellStyle name="쉼표 [0] 5 2 4" xfId="575"/>
    <cellStyle name="쉼표 [0] 5 3" xfId="576"/>
    <cellStyle name="쉼표 [0] 5 4" xfId="577"/>
    <cellStyle name="쉼표 [0] 5 5" xfId="578"/>
    <cellStyle name="쉼표 [0] 5 6" xfId="579"/>
    <cellStyle name="쉼표 [0] 5 7" xfId="580"/>
    <cellStyle name="쉼표 [0] 6 10" xfId="581"/>
    <cellStyle name="쉼표 [0] 6 11" xfId="582"/>
    <cellStyle name="쉼표 [0] 6 12" xfId="583"/>
    <cellStyle name="쉼표 [0] 6 13" xfId="584"/>
    <cellStyle name="쉼표 [0] 6 14" xfId="585"/>
    <cellStyle name="쉼표 [0] 6 15" xfId="586"/>
    <cellStyle name="쉼표 [0] 6 16" xfId="587"/>
    <cellStyle name="쉼표 [0] 6 17" xfId="588"/>
    <cellStyle name="쉼표 [0] 6 18" xfId="589"/>
    <cellStyle name="쉼표 [0] 6 18 2" xfId="590"/>
    <cellStyle name="쉼표 [0] 6 19" xfId="591"/>
    <cellStyle name="쉼표 [0] 6 2" xfId="592"/>
    <cellStyle name="쉼표 [0] 6 3" xfId="593"/>
    <cellStyle name="쉼표 [0] 6 4" xfId="594"/>
    <cellStyle name="쉼표 [0] 6 5" xfId="595"/>
    <cellStyle name="쉼표 [0] 6 6" xfId="596"/>
    <cellStyle name="쉼표 [0] 6 7" xfId="597"/>
    <cellStyle name="쉼표 [0] 6 8" xfId="598"/>
    <cellStyle name="쉼표 [0] 6 9" xfId="599"/>
    <cellStyle name="콤마 [0]_98jeug" xfId="600"/>
    <cellStyle name="콤마_98jeug" xfId="601"/>
    <cellStyle name="표준" xfId="0" builtinId="0"/>
    <cellStyle name="표준 10" xfId="602"/>
    <cellStyle name="표준 10 2" xfId="603"/>
    <cellStyle name="표준 10 2 10" xfId="604"/>
    <cellStyle name="표준 10 2 11" xfId="605"/>
    <cellStyle name="표준 10 2 12" xfId="606"/>
    <cellStyle name="표준 10 2 13" xfId="607"/>
    <cellStyle name="표준 10 2 14" xfId="608"/>
    <cellStyle name="표준 10 2 15" xfId="609"/>
    <cellStyle name="표준 10 2 2" xfId="610"/>
    <cellStyle name="표준 10 2 3" xfId="611"/>
    <cellStyle name="표준 10 2 4" xfId="612"/>
    <cellStyle name="표준 10 2 5" xfId="613"/>
    <cellStyle name="표준 10 2 6" xfId="614"/>
    <cellStyle name="표준 10 2 7" xfId="615"/>
    <cellStyle name="표준 10 2 8" xfId="616"/>
    <cellStyle name="표준 10 2 9" xfId="617"/>
    <cellStyle name="표준 10 3" xfId="618"/>
    <cellStyle name="표준 10 3 10" xfId="619"/>
    <cellStyle name="표준 10 3 11" xfId="620"/>
    <cellStyle name="표준 10 3 12" xfId="621"/>
    <cellStyle name="표준 10 3 13" xfId="622"/>
    <cellStyle name="표준 10 3 14" xfId="623"/>
    <cellStyle name="표준 10 3 15" xfId="624"/>
    <cellStyle name="표준 10 3 16" xfId="625"/>
    <cellStyle name="표준 10 3 17" xfId="626"/>
    <cellStyle name="표준 10 3 2" xfId="627"/>
    <cellStyle name="표준 10 3 3" xfId="628"/>
    <cellStyle name="표준 10 3 4" xfId="629"/>
    <cellStyle name="표준 10 3 5" xfId="630"/>
    <cellStyle name="표준 10 3 6" xfId="631"/>
    <cellStyle name="표준 10 3 7" xfId="632"/>
    <cellStyle name="표준 10 3 8" xfId="633"/>
    <cellStyle name="표준 10 3 9" xfId="634"/>
    <cellStyle name="표준 10 4" xfId="635"/>
    <cellStyle name="표준 10 4 10" xfId="636"/>
    <cellStyle name="표준 10 4 11" xfId="637"/>
    <cellStyle name="표준 10 4 12" xfId="638"/>
    <cellStyle name="표준 10 4 13" xfId="639"/>
    <cellStyle name="표준 10 4 14" xfId="640"/>
    <cellStyle name="표준 10 4 15" xfId="641"/>
    <cellStyle name="표준 10 4 16" xfId="642"/>
    <cellStyle name="표준 10 4 17" xfId="643"/>
    <cellStyle name="표준 10 4 2" xfId="644"/>
    <cellStyle name="표준 10 4 3" xfId="645"/>
    <cellStyle name="표준 10 4 4" xfId="646"/>
    <cellStyle name="표준 10 4 5" xfId="647"/>
    <cellStyle name="표준 10 4 6" xfId="648"/>
    <cellStyle name="표준 10 4 7" xfId="649"/>
    <cellStyle name="표준 10 4 8" xfId="650"/>
    <cellStyle name="표준 10 4 9" xfId="651"/>
    <cellStyle name="표준 10 5" xfId="652"/>
    <cellStyle name="표준 10 5 10" xfId="653"/>
    <cellStyle name="표준 10 5 11" xfId="654"/>
    <cellStyle name="표준 10 5 12" xfId="655"/>
    <cellStyle name="표준 10 5 13" xfId="656"/>
    <cellStyle name="표준 10 5 14" xfId="657"/>
    <cellStyle name="표준 10 5 15" xfId="658"/>
    <cellStyle name="표준 10 5 16" xfId="659"/>
    <cellStyle name="표준 10 5 17" xfId="660"/>
    <cellStyle name="표준 10 5 2" xfId="661"/>
    <cellStyle name="표준 10 5 3" xfId="662"/>
    <cellStyle name="표준 10 5 4" xfId="663"/>
    <cellStyle name="표준 10 5 5" xfId="664"/>
    <cellStyle name="표준 10 5 6" xfId="665"/>
    <cellStyle name="표준 10 5 7" xfId="666"/>
    <cellStyle name="표준 10 5 8" xfId="667"/>
    <cellStyle name="표준 10 5 9" xfId="668"/>
    <cellStyle name="표준 10 6" xfId="669"/>
    <cellStyle name="표준 10 6 10" xfId="670"/>
    <cellStyle name="표준 10 6 11" xfId="671"/>
    <cellStyle name="표준 10 6 12" xfId="672"/>
    <cellStyle name="표준 10 6 13" xfId="673"/>
    <cellStyle name="표준 10 6 14" xfId="674"/>
    <cellStyle name="표준 10 6 15" xfId="675"/>
    <cellStyle name="표준 10 6 16" xfId="676"/>
    <cellStyle name="표준 10 6 17" xfId="677"/>
    <cellStyle name="표준 10 6 2" xfId="678"/>
    <cellStyle name="표준 10 6 3" xfId="679"/>
    <cellStyle name="표준 10 6 4" xfId="680"/>
    <cellStyle name="표준 10 6 5" xfId="681"/>
    <cellStyle name="표준 10 6 6" xfId="682"/>
    <cellStyle name="표준 10 6 7" xfId="683"/>
    <cellStyle name="표준 10 6 8" xfId="684"/>
    <cellStyle name="표준 10 6 9" xfId="685"/>
    <cellStyle name="표준 10 7" xfId="686"/>
    <cellStyle name="표준 10 8" xfId="687"/>
    <cellStyle name="표준 11" xfId="688"/>
    <cellStyle name="표준 11 2" xfId="689"/>
    <cellStyle name="표준 11 2 10" xfId="690"/>
    <cellStyle name="표준 11 2 11" xfId="691"/>
    <cellStyle name="표준 11 2 12" xfId="692"/>
    <cellStyle name="표준 11 2 13" xfId="693"/>
    <cellStyle name="표준 11 2 14" xfId="694"/>
    <cellStyle name="표준 11 2 15" xfId="695"/>
    <cellStyle name="표준 11 2 2" xfId="696"/>
    <cellStyle name="표준 11 2 3" xfId="697"/>
    <cellStyle name="표준 11 2 4" xfId="698"/>
    <cellStyle name="표준 11 2 5" xfId="699"/>
    <cellStyle name="표준 11 2 6" xfId="700"/>
    <cellStyle name="표준 11 2 7" xfId="701"/>
    <cellStyle name="표준 11 2 8" xfId="702"/>
    <cellStyle name="표준 11 2 9" xfId="703"/>
    <cellStyle name="표준 11 3" xfId="704"/>
    <cellStyle name="표준 11 3 10" xfId="705"/>
    <cellStyle name="표준 11 3 11" xfId="706"/>
    <cellStyle name="표준 11 3 12" xfId="707"/>
    <cellStyle name="표준 11 3 13" xfId="708"/>
    <cellStyle name="표준 11 3 14" xfId="709"/>
    <cellStyle name="표준 11 3 15" xfId="710"/>
    <cellStyle name="표준 11 3 16" xfId="711"/>
    <cellStyle name="표준 11 3 17" xfId="712"/>
    <cellStyle name="표준 11 3 2" xfId="713"/>
    <cellStyle name="표준 11 3 3" xfId="714"/>
    <cellStyle name="표준 11 3 4" xfId="715"/>
    <cellStyle name="표준 11 3 5" xfId="716"/>
    <cellStyle name="표준 11 3 6" xfId="717"/>
    <cellStyle name="표준 11 3 7" xfId="718"/>
    <cellStyle name="표준 11 3 8" xfId="719"/>
    <cellStyle name="표준 11 3 9" xfId="720"/>
    <cellStyle name="표준 11 4" xfId="721"/>
    <cellStyle name="표준 11 4 10" xfId="722"/>
    <cellStyle name="표준 11 4 11" xfId="723"/>
    <cellStyle name="표준 11 4 12" xfId="724"/>
    <cellStyle name="표준 11 4 13" xfId="725"/>
    <cellStyle name="표준 11 4 14" xfId="726"/>
    <cellStyle name="표준 11 4 15" xfId="727"/>
    <cellStyle name="표준 11 4 16" xfId="728"/>
    <cellStyle name="표준 11 4 17" xfId="729"/>
    <cellStyle name="표준 11 4 2" xfId="730"/>
    <cellStyle name="표준 11 4 3" xfId="731"/>
    <cellStyle name="표준 11 4 4" xfId="732"/>
    <cellStyle name="표준 11 4 5" xfId="733"/>
    <cellStyle name="표준 11 4 6" xfId="734"/>
    <cellStyle name="표준 11 4 7" xfId="735"/>
    <cellStyle name="표준 11 4 8" xfId="736"/>
    <cellStyle name="표준 11 4 9" xfId="737"/>
    <cellStyle name="표준 11 5" xfId="738"/>
    <cellStyle name="표준 11 5 10" xfId="739"/>
    <cellStyle name="표준 11 5 11" xfId="740"/>
    <cellStyle name="표준 11 5 12" xfId="741"/>
    <cellStyle name="표준 11 5 13" xfId="742"/>
    <cellStyle name="표준 11 5 14" xfId="743"/>
    <cellStyle name="표준 11 5 15" xfId="744"/>
    <cellStyle name="표준 11 5 16" xfId="745"/>
    <cellStyle name="표준 11 5 17" xfId="746"/>
    <cellStyle name="표준 11 5 2" xfId="747"/>
    <cellStyle name="표준 11 5 3" xfId="748"/>
    <cellStyle name="표준 11 5 4" xfId="749"/>
    <cellStyle name="표준 11 5 5" xfId="750"/>
    <cellStyle name="표준 11 5 6" xfId="751"/>
    <cellStyle name="표준 11 5 7" xfId="752"/>
    <cellStyle name="표준 11 5 8" xfId="753"/>
    <cellStyle name="표준 11 5 9" xfId="754"/>
    <cellStyle name="표준 11 6" xfId="755"/>
    <cellStyle name="표준 11 6 10" xfId="756"/>
    <cellStyle name="표준 11 6 11" xfId="757"/>
    <cellStyle name="표준 11 6 12" xfId="758"/>
    <cellStyle name="표준 11 6 13" xfId="759"/>
    <cellStyle name="표준 11 6 14" xfId="760"/>
    <cellStyle name="표준 11 6 15" xfId="761"/>
    <cellStyle name="표준 11 6 16" xfId="762"/>
    <cellStyle name="표준 11 6 17" xfId="763"/>
    <cellStyle name="표준 11 6 2" xfId="764"/>
    <cellStyle name="표준 11 6 3" xfId="765"/>
    <cellStyle name="표준 11 6 4" xfId="766"/>
    <cellStyle name="표준 11 6 5" xfId="767"/>
    <cellStyle name="표준 11 6 6" xfId="768"/>
    <cellStyle name="표준 11 6 7" xfId="769"/>
    <cellStyle name="표준 11 6 8" xfId="770"/>
    <cellStyle name="표준 11 6 9" xfId="771"/>
    <cellStyle name="표준 11 7" xfId="772"/>
    <cellStyle name="표준 11 8" xfId="773"/>
    <cellStyle name="표준 12" xfId="774"/>
    <cellStyle name="표준 12 2" xfId="775"/>
    <cellStyle name="표준 12 2 10" xfId="776"/>
    <cellStyle name="표준 12 2 11" xfId="777"/>
    <cellStyle name="표준 12 2 12" xfId="778"/>
    <cellStyle name="표준 12 2 13" xfId="779"/>
    <cellStyle name="표준 12 2 14" xfId="780"/>
    <cellStyle name="표준 12 2 15" xfId="781"/>
    <cellStyle name="표준 12 2 2" xfId="782"/>
    <cellStyle name="표준 12 2 3" xfId="783"/>
    <cellStyle name="표준 12 2 4" xfId="784"/>
    <cellStyle name="표준 12 2 5" xfId="785"/>
    <cellStyle name="표준 12 2 6" xfId="786"/>
    <cellStyle name="표준 12 2 7" xfId="787"/>
    <cellStyle name="표준 12 2 8" xfId="788"/>
    <cellStyle name="표준 12 2 9" xfId="789"/>
    <cellStyle name="표준 12 3" xfId="790"/>
    <cellStyle name="표준 12 3 10" xfId="791"/>
    <cellStyle name="표준 12 3 11" xfId="792"/>
    <cellStyle name="표준 12 3 12" xfId="793"/>
    <cellStyle name="표준 12 3 13" xfId="794"/>
    <cellStyle name="표준 12 3 14" xfId="795"/>
    <cellStyle name="표준 12 3 15" xfId="796"/>
    <cellStyle name="표준 12 3 16" xfId="797"/>
    <cellStyle name="표준 12 3 17" xfId="798"/>
    <cellStyle name="표준 12 3 2" xfId="799"/>
    <cellStyle name="표준 12 3 3" xfId="800"/>
    <cellStyle name="표준 12 3 4" xfId="801"/>
    <cellStyle name="표준 12 3 5" xfId="802"/>
    <cellStyle name="표준 12 3 6" xfId="803"/>
    <cellStyle name="표준 12 3 7" xfId="804"/>
    <cellStyle name="표준 12 3 8" xfId="805"/>
    <cellStyle name="표준 12 3 9" xfId="806"/>
    <cellStyle name="표준 12 4" xfId="807"/>
    <cellStyle name="표준 12 4 10" xfId="808"/>
    <cellStyle name="표준 12 4 11" xfId="809"/>
    <cellStyle name="표준 12 4 12" xfId="810"/>
    <cellStyle name="표준 12 4 13" xfId="811"/>
    <cellStyle name="표준 12 4 14" xfId="812"/>
    <cellStyle name="표준 12 4 15" xfId="813"/>
    <cellStyle name="표준 12 4 16" xfId="814"/>
    <cellStyle name="표준 12 4 17" xfId="815"/>
    <cellStyle name="표준 12 4 2" xfId="816"/>
    <cellStyle name="표준 12 4 3" xfId="817"/>
    <cellStyle name="표준 12 4 4" xfId="818"/>
    <cellStyle name="표준 12 4 5" xfId="819"/>
    <cellStyle name="표준 12 4 6" xfId="820"/>
    <cellStyle name="표준 12 4 7" xfId="821"/>
    <cellStyle name="표준 12 4 8" xfId="822"/>
    <cellStyle name="표준 12 4 9" xfId="823"/>
    <cellStyle name="표준 12 5" xfId="824"/>
    <cellStyle name="표준 12 5 10" xfId="825"/>
    <cellStyle name="표준 12 5 11" xfId="826"/>
    <cellStyle name="표준 12 5 12" xfId="827"/>
    <cellStyle name="표준 12 5 13" xfId="828"/>
    <cellStyle name="표준 12 5 14" xfId="829"/>
    <cellStyle name="표준 12 5 15" xfId="830"/>
    <cellStyle name="표준 12 5 16" xfId="831"/>
    <cellStyle name="표준 12 5 17" xfId="832"/>
    <cellStyle name="표준 12 5 2" xfId="833"/>
    <cellStyle name="표준 12 5 3" xfId="834"/>
    <cellStyle name="표준 12 5 4" xfId="835"/>
    <cellStyle name="표준 12 5 5" xfId="836"/>
    <cellStyle name="표준 12 5 6" xfId="837"/>
    <cellStyle name="표준 12 5 7" xfId="838"/>
    <cellStyle name="표준 12 5 8" xfId="839"/>
    <cellStyle name="표준 12 5 9" xfId="840"/>
    <cellStyle name="표준 12 6" xfId="841"/>
    <cellStyle name="표준 12 6 10" xfId="842"/>
    <cellStyle name="표준 12 6 11" xfId="843"/>
    <cellStyle name="표준 12 6 12" xfId="844"/>
    <cellStyle name="표준 12 6 13" xfId="845"/>
    <cellStyle name="표준 12 6 14" xfId="846"/>
    <cellStyle name="표준 12 6 15" xfId="847"/>
    <cellStyle name="표준 12 6 16" xfId="848"/>
    <cellStyle name="표준 12 6 17" xfId="849"/>
    <cellStyle name="표준 12 6 2" xfId="850"/>
    <cellStyle name="표준 12 6 3" xfId="851"/>
    <cellStyle name="표준 12 6 4" xfId="852"/>
    <cellStyle name="표준 12 6 5" xfId="853"/>
    <cellStyle name="표준 12 6 6" xfId="854"/>
    <cellStyle name="표준 12 6 7" xfId="855"/>
    <cellStyle name="표준 12 6 8" xfId="856"/>
    <cellStyle name="표준 12 6 9" xfId="857"/>
    <cellStyle name="표준 12 7" xfId="858"/>
    <cellStyle name="표준 12 8" xfId="859"/>
    <cellStyle name="표준 13" xfId="860"/>
    <cellStyle name="표준 13 2" xfId="861"/>
    <cellStyle name="표준 13 2 10" xfId="862"/>
    <cellStyle name="표준 13 2 11" xfId="863"/>
    <cellStyle name="표준 13 2 12" xfId="864"/>
    <cellStyle name="표준 13 2 13" xfId="865"/>
    <cellStyle name="표준 13 2 14" xfId="866"/>
    <cellStyle name="표준 13 2 15" xfId="867"/>
    <cellStyle name="표준 13 2 16" xfId="868"/>
    <cellStyle name="표준 13 2 17" xfId="869"/>
    <cellStyle name="표준 13 2 18" xfId="870"/>
    <cellStyle name="표준 13 2 19" xfId="871"/>
    <cellStyle name="표준 13 2 2" xfId="872"/>
    <cellStyle name="표준 13 2 2 2" xfId="873"/>
    <cellStyle name="표준 13 2 2 3" xfId="874"/>
    <cellStyle name="표준 13 2 2 4" xfId="875"/>
    <cellStyle name="표준 13 2 2 5" xfId="876"/>
    <cellStyle name="표준 13 2 2 6" xfId="877"/>
    <cellStyle name="표준 13 2 20" xfId="878"/>
    <cellStyle name="표준 13 2 21" xfId="879"/>
    <cellStyle name="표준 13 2 22" xfId="880"/>
    <cellStyle name="표준 13 2 23" xfId="881"/>
    <cellStyle name="표준 13 2 23 2" xfId="882"/>
    <cellStyle name="표준 13 2 24" xfId="883"/>
    <cellStyle name="표준 13 2 3" xfId="884"/>
    <cellStyle name="표준 13 2 3 2" xfId="885"/>
    <cellStyle name="표준 13 2 3 3" xfId="886"/>
    <cellStyle name="표준 13 2 4" xfId="887"/>
    <cellStyle name="표준 13 2 4 2" xfId="888"/>
    <cellStyle name="표준 13 2 4 3" xfId="889"/>
    <cellStyle name="표준 13 2 5" xfId="890"/>
    <cellStyle name="표준 13 2 5 2" xfId="891"/>
    <cellStyle name="표준 13 2 5 3" xfId="892"/>
    <cellStyle name="표준 13 2 6" xfId="893"/>
    <cellStyle name="표준 13 2 7" xfId="894"/>
    <cellStyle name="표준 13 2 8" xfId="895"/>
    <cellStyle name="표준 13 2 9" xfId="896"/>
    <cellStyle name="표준 13 3" xfId="897"/>
    <cellStyle name="표준 13 3 10" xfId="898"/>
    <cellStyle name="표준 13 3 11" xfId="899"/>
    <cellStyle name="표준 13 3 12" xfId="900"/>
    <cellStyle name="표준 13 3 13" xfId="901"/>
    <cellStyle name="표준 13 3 14" xfId="902"/>
    <cellStyle name="표준 13 3 15" xfId="903"/>
    <cellStyle name="표준 13 3 16" xfId="904"/>
    <cellStyle name="표준 13 3 17" xfId="905"/>
    <cellStyle name="표준 13 3 18" xfId="906"/>
    <cellStyle name="표준 13 3 19" xfId="907"/>
    <cellStyle name="표준 13 3 19 2" xfId="908"/>
    <cellStyle name="표준 13 3 2" xfId="909"/>
    <cellStyle name="표준 13 3 20" xfId="910"/>
    <cellStyle name="표준 13 3 3" xfId="911"/>
    <cellStyle name="표준 13 3 4" xfId="912"/>
    <cellStyle name="표준 13 3 5" xfId="913"/>
    <cellStyle name="표준 13 3 6" xfId="914"/>
    <cellStyle name="표준 13 3 7" xfId="915"/>
    <cellStyle name="표준 13 3 8" xfId="916"/>
    <cellStyle name="표준 13 3 9" xfId="917"/>
    <cellStyle name="표준 13 4" xfId="918"/>
    <cellStyle name="표준 13 4 10" xfId="919"/>
    <cellStyle name="표준 13 4 11" xfId="920"/>
    <cellStyle name="표준 13 4 12" xfId="921"/>
    <cellStyle name="표준 13 4 13" xfId="922"/>
    <cellStyle name="표준 13 4 14" xfId="923"/>
    <cellStyle name="표준 13 4 15" xfId="924"/>
    <cellStyle name="표준 13 4 16" xfId="925"/>
    <cellStyle name="표준 13 4 17" xfId="926"/>
    <cellStyle name="표준 13 4 18" xfId="927"/>
    <cellStyle name="표준 13 4 19" xfId="928"/>
    <cellStyle name="표준 13 4 19 2" xfId="929"/>
    <cellStyle name="표준 13 4 2" xfId="930"/>
    <cellStyle name="표준 13 4 20" xfId="931"/>
    <cellStyle name="표준 13 4 3" xfId="932"/>
    <cellStyle name="표준 13 4 4" xfId="933"/>
    <cellStyle name="표준 13 4 5" xfId="934"/>
    <cellStyle name="표준 13 4 6" xfId="935"/>
    <cellStyle name="표준 13 4 7" xfId="936"/>
    <cellStyle name="표준 13 4 8" xfId="937"/>
    <cellStyle name="표준 13 4 9" xfId="938"/>
    <cellStyle name="표준 13 5" xfId="939"/>
    <cellStyle name="표준 13 5 10" xfId="940"/>
    <cellStyle name="표준 13 5 11" xfId="941"/>
    <cellStyle name="표준 13 5 12" xfId="942"/>
    <cellStyle name="표준 13 5 13" xfId="943"/>
    <cellStyle name="표준 13 5 14" xfId="944"/>
    <cellStyle name="표준 13 5 15" xfId="945"/>
    <cellStyle name="표준 13 5 16" xfId="946"/>
    <cellStyle name="표준 13 5 17" xfId="947"/>
    <cellStyle name="표준 13 5 18" xfId="948"/>
    <cellStyle name="표준 13 5 19" xfId="949"/>
    <cellStyle name="표준 13 5 19 2" xfId="950"/>
    <cellStyle name="표준 13 5 2" xfId="951"/>
    <cellStyle name="표준 13 5 20" xfId="952"/>
    <cellStyle name="표준 13 5 3" xfId="953"/>
    <cellStyle name="표준 13 5 4" xfId="954"/>
    <cellStyle name="표준 13 5 5" xfId="955"/>
    <cellStyle name="표준 13 5 6" xfId="956"/>
    <cellStyle name="표준 13 5 7" xfId="957"/>
    <cellStyle name="표준 13 5 8" xfId="958"/>
    <cellStyle name="표준 13 5 9" xfId="959"/>
    <cellStyle name="표준 13 6" xfId="960"/>
    <cellStyle name="표준 13 7" xfId="961"/>
    <cellStyle name="표준 13 8" xfId="962"/>
    <cellStyle name="표준 13 9" xfId="963"/>
    <cellStyle name="표준 14 2" xfId="964"/>
    <cellStyle name="표준 14 3" xfId="965"/>
    <cellStyle name="표준 14 4" xfId="966"/>
    <cellStyle name="표준 14 5" xfId="967"/>
    <cellStyle name="표준 14 6" xfId="968"/>
    <cellStyle name="표준 14 7" xfId="969"/>
    <cellStyle name="표준 14 8" xfId="970"/>
    <cellStyle name="표준 14 9" xfId="971"/>
    <cellStyle name="표준 15 2" xfId="972"/>
    <cellStyle name="표준 15 3" xfId="973"/>
    <cellStyle name="표준 15 4" xfId="974"/>
    <cellStyle name="표준 15 5" xfId="975"/>
    <cellStyle name="표준 15 6" xfId="976"/>
    <cellStyle name="표준 15 7" xfId="977"/>
    <cellStyle name="표준 15 8" xfId="978"/>
    <cellStyle name="표준 16 2" xfId="979"/>
    <cellStyle name="표준 16 3" xfId="980"/>
    <cellStyle name="표준 16 4" xfId="981"/>
    <cellStyle name="표준 16 5" xfId="982"/>
    <cellStyle name="표준 16 6" xfId="983"/>
    <cellStyle name="표준 16 7" xfId="984"/>
    <cellStyle name="표준 16 8" xfId="985"/>
    <cellStyle name="표준 17 2" xfId="986"/>
    <cellStyle name="표준 17 3" xfId="987"/>
    <cellStyle name="표준 17 4" xfId="988"/>
    <cellStyle name="표준 17 5" xfId="989"/>
    <cellStyle name="표준 17 6" xfId="990"/>
    <cellStyle name="표준 17 7" xfId="991"/>
    <cellStyle name="표준 17 8" xfId="992"/>
    <cellStyle name="표준 18 2" xfId="993"/>
    <cellStyle name="표준 18 3" xfId="994"/>
    <cellStyle name="표준 18 4" xfId="995"/>
    <cellStyle name="표준 18 5" xfId="996"/>
    <cellStyle name="표준 18 6" xfId="997"/>
    <cellStyle name="표준 18 7" xfId="998"/>
    <cellStyle name="표준 18 8" xfId="999"/>
    <cellStyle name="표준 19 2" xfId="1000"/>
    <cellStyle name="표준 19 3" xfId="1001"/>
    <cellStyle name="표준 19 4" xfId="1002"/>
    <cellStyle name="표준 19 5" xfId="1003"/>
    <cellStyle name="표준 19 6" xfId="1004"/>
    <cellStyle name="표준 19 7" xfId="1005"/>
    <cellStyle name="표준 19 8" xfId="1006"/>
    <cellStyle name="표준 2" xfId="1007"/>
    <cellStyle name="표준 2 10" xfId="1008"/>
    <cellStyle name="표준 2 10 2" xfId="1009"/>
    <cellStyle name="표준 2 10 2 2" xfId="1010"/>
    <cellStyle name="표준 2 10 2 3" xfId="1011"/>
    <cellStyle name="표준 2 10 2 4" xfId="1012"/>
    <cellStyle name="표준 2 10 2 5" xfId="1013"/>
    <cellStyle name="표준 2 10 2 6" xfId="1014"/>
    <cellStyle name="표준 2 10 2 7" xfId="1015"/>
    <cellStyle name="표준 2 10 2 8" xfId="1016"/>
    <cellStyle name="표준 2 10 3" xfId="1017"/>
    <cellStyle name="표준 2 10 4" xfId="1018"/>
    <cellStyle name="표준 2 10 5" xfId="1019"/>
    <cellStyle name="표준 2 10 6" xfId="1020"/>
    <cellStyle name="표준 2 10 7" xfId="1021"/>
    <cellStyle name="표준 2 10 8" xfId="1022"/>
    <cellStyle name="표준 2 11" xfId="1023"/>
    <cellStyle name="표준 2 11 2" xfId="1024"/>
    <cellStyle name="표준 2 11 3" xfId="1025"/>
    <cellStyle name="표준 2 11 4" xfId="1026"/>
    <cellStyle name="표준 2 12" xfId="1027"/>
    <cellStyle name="표준 2 13" xfId="1028"/>
    <cellStyle name="표준 2 14" xfId="1029"/>
    <cellStyle name="표준 2 15" xfId="1030"/>
    <cellStyle name="표준 2 16" xfId="1031"/>
    <cellStyle name="표준 2 17" xfId="1032"/>
    <cellStyle name="표준 2 18" xfId="1033"/>
    <cellStyle name="표준 2 19" xfId="1034"/>
    <cellStyle name="표준 2 2" xfId="1035"/>
    <cellStyle name="표준 2 2 10" xfId="1036"/>
    <cellStyle name="표준 2 2 11" xfId="1037"/>
    <cellStyle name="표준 2 2 12" xfId="1038"/>
    <cellStyle name="표준 2 2 13" xfId="1039"/>
    <cellStyle name="표준 2 2 14" xfId="1040"/>
    <cellStyle name="표준 2 2 15" xfId="1041"/>
    <cellStyle name="표준 2 2 16" xfId="1042"/>
    <cellStyle name="표준 2 2 2" xfId="1043"/>
    <cellStyle name="표준 2 2 2 10" xfId="1044"/>
    <cellStyle name="표준 2 2 2 11" xfId="1045"/>
    <cellStyle name="표준 2 2 2 12" xfId="1046"/>
    <cellStyle name="표준 2 2 2 13" xfId="1047"/>
    <cellStyle name="표준 2 2 2 14" xfId="1048"/>
    <cellStyle name="표준 2 2 2 15" xfId="1049"/>
    <cellStyle name="표준 2 2 2 2" xfId="1050"/>
    <cellStyle name="표준 2 2 2 2 2" xfId="1051"/>
    <cellStyle name="표준 2 2 2 2 2 2" xfId="1052"/>
    <cellStyle name="표준 2 2 2 2 2 2 2" xfId="1053"/>
    <cellStyle name="표준 2 2 2 2 2 2 2 2" xfId="1054"/>
    <cellStyle name="표준 2 2 2 2 2 2 2 2 2" xfId="1055"/>
    <cellStyle name="표준 2 2 2 2 2 2 2 2 2 2" xfId="1056"/>
    <cellStyle name="표준 2 2 2 2 2 2 2 2 2 3" xfId="1057"/>
    <cellStyle name="표준 2 2 2 2 2 2 2 2 2 4" xfId="1058"/>
    <cellStyle name="표준 2 2 2 2 2 2 2 2 3" xfId="1059"/>
    <cellStyle name="표준 2 2 2 2 2 2 2 2 4" xfId="1060"/>
    <cellStyle name="표준 2 2 2 2 2 2 2 3" xfId="1061"/>
    <cellStyle name="표준 2 2 2 2 2 2 2 4" xfId="1062"/>
    <cellStyle name="표준 2 2 2 2 2 2 2 5" xfId="1063"/>
    <cellStyle name="표준 2 2 2 2 2 2 2 6" xfId="1064"/>
    <cellStyle name="표준 2 2 2 2 2 2 2 7" xfId="1065"/>
    <cellStyle name="표준 2 2 2 2 2 2 3" xfId="1066"/>
    <cellStyle name="표준 2 2 2 2 2 2 4" xfId="1067"/>
    <cellStyle name="표준 2 2 2 2 2 2 5" xfId="1068"/>
    <cellStyle name="표준 2 2 2 2 2 2 6" xfId="1069"/>
    <cellStyle name="표준 2 2 2 2 2 2 7" xfId="1070"/>
    <cellStyle name="표준 2 2 2 2 2 3" xfId="1071"/>
    <cellStyle name="표준 2 2 2 2 2 4" xfId="1072"/>
    <cellStyle name="표준 2 2 2 2 2 5" xfId="1073"/>
    <cellStyle name="표준 2 2 2 2 2 6" xfId="1074"/>
    <cellStyle name="표준 2 2 2 2 2 7" xfId="1075"/>
    <cellStyle name="표준 2 2 2 2 2 8" xfId="1076"/>
    <cellStyle name="표준 2 2 2 2 3" xfId="1077"/>
    <cellStyle name="표준 2 2 2 2 3 2" xfId="1078"/>
    <cellStyle name="표준 2 2 2 2 3 3" xfId="1079"/>
    <cellStyle name="표준 2 2 2 2 3 4" xfId="1080"/>
    <cellStyle name="표준 2 2 2 2 3 5" xfId="1081"/>
    <cellStyle name="표준 2 2 2 2 3 6" xfId="1082"/>
    <cellStyle name="표준 2 2 2 2 3 7" xfId="1083"/>
    <cellStyle name="표준 2 2 2 2 3 8" xfId="1084"/>
    <cellStyle name="표준 2 2 2 2 4" xfId="1085"/>
    <cellStyle name="표준 2 2 2 2 5" xfId="1086"/>
    <cellStyle name="표준 2 2 2 2 6" xfId="1087"/>
    <cellStyle name="표준 2 2 2 2 7" xfId="1088"/>
    <cellStyle name="표준 2 2 2 2 8" xfId="1089"/>
    <cellStyle name="표준 2 2 2 3" xfId="1090"/>
    <cellStyle name="표준 2 2 2 4" xfId="1091"/>
    <cellStyle name="표준 2 2 2 5" xfId="1092"/>
    <cellStyle name="표준 2 2 2 6" xfId="1093"/>
    <cellStyle name="표준 2 2 2 7" xfId="1094"/>
    <cellStyle name="표준 2 2 2 8" xfId="1095"/>
    <cellStyle name="표준 2 2 2 9" xfId="1096"/>
    <cellStyle name="표준 2 2 2 9 2" xfId="1097"/>
    <cellStyle name="표준 2 2 2 9 2 2" xfId="1098"/>
    <cellStyle name="표준 2 2 2 9 2 3" xfId="1099"/>
    <cellStyle name="표준 2 2 2 9 2 4" xfId="1100"/>
    <cellStyle name="표준 2 2 2 9 2 5" xfId="1101"/>
    <cellStyle name="표준 2 2 2 9 2 6" xfId="1102"/>
    <cellStyle name="표준 2 2 2 9 2 7" xfId="1103"/>
    <cellStyle name="표준 2 2 2 9 2 8" xfId="1104"/>
    <cellStyle name="표준 2 2 2 9 3" xfId="1105"/>
    <cellStyle name="표준 2 2 2 9 4" xfId="1106"/>
    <cellStyle name="표준 2 2 2 9 5" xfId="1107"/>
    <cellStyle name="표준 2 2 2 9 6" xfId="1108"/>
    <cellStyle name="표준 2 2 2 9 7" xfId="1109"/>
    <cellStyle name="표준 2 2 2 9 8" xfId="1110"/>
    <cellStyle name="표준 2 2 3" xfId="1111"/>
    <cellStyle name="표준 2 2 3 2" xfId="1112"/>
    <cellStyle name="표준 2 2 3 2 2" xfId="1113"/>
    <cellStyle name="표준 2 2 3 2 2 2" xfId="1114"/>
    <cellStyle name="표준 2 2 3 2 2 2 2" xfId="1115"/>
    <cellStyle name="표준 2 2 3 2 2 2 2 2" xfId="1116"/>
    <cellStyle name="표준 2 2 3 2 2 2 2 3" xfId="1117"/>
    <cellStyle name="표준 2 2 3 2 2 2 2 4" xfId="1118"/>
    <cellStyle name="표준 2 2 3 2 2 2 3" xfId="1119"/>
    <cellStyle name="표준 2 2 3 2 2 2 4" xfId="1120"/>
    <cellStyle name="표준 2 2 3 2 2 2 5" xfId="1121"/>
    <cellStyle name="표준 2 2 3 2 2 2 6" xfId="1122"/>
    <cellStyle name="표준 2 2 3 2 2 3" xfId="1123"/>
    <cellStyle name="표준 2 2 3 2 2 4" xfId="1124"/>
    <cellStyle name="표준 2 2 3 2 2 5" xfId="1125"/>
    <cellStyle name="표준 2 2 3 2 2 6" xfId="1126"/>
    <cellStyle name="표준 2 2 3 2 3" xfId="1127"/>
    <cellStyle name="표준 2 2 3 2 4" xfId="1128"/>
    <cellStyle name="표준 2 2 3 2 5" xfId="1129"/>
    <cellStyle name="표준 2 2 3 2 6" xfId="1130"/>
    <cellStyle name="표준 2 2 3 2 7" xfId="1131"/>
    <cellStyle name="표준 2 2 3 3" xfId="1132"/>
    <cellStyle name="표준 2 2 3 3 2" xfId="1133"/>
    <cellStyle name="표준 2 2 3 3 3" xfId="1134"/>
    <cellStyle name="표준 2 2 3 3 4" xfId="1135"/>
    <cellStyle name="표준 2 2 3 3 5" xfId="1136"/>
    <cellStyle name="표준 2 2 3 3 6" xfId="1137"/>
    <cellStyle name="표준 2 2 3 3 7" xfId="1138"/>
    <cellStyle name="표준 2 2 3 3 8" xfId="1139"/>
    <cellStyle name="표준 2 2 3 4" xfId="1140"/>
    <cellStyle name="표준 2 2 3 5" xfId="1141"/>
    <cellStyle name="표준 2 2 3 6" xfId="1142"/>
    <cellStyle name="표준 2 2 3 7" xfId="1143"/>
    <cellStyle name="표준 2 2 4" xfId="1144"/>
    <cellStyle name="표준 2 2 5" xfId="1145"/>
    <cellStyle name="표준 2 2 6" xfId="1146"/>
    <cellStyle name="표준 2 2 7" xfId="1147"/>
    <cellStyle name="표준 2 2 8" xfId="1148"/>
    <cellStyle name="표준 2 2 9" xfId="1149"/>
    <cellStyle name="표준 2 2 9 2" xfId="1150"/>
    <cellStyle name="표준 2 2 9 2 2" xfId="1151"/>
    <cellStyle name="표준 2 2 9 2 3" xfId="1152"/>
    <cellStyle name="표준 2 2 9 2 4" xfId="1153"/>
    <cellStyle name="표준 2 2 9 2 5" xfId="1154"/>
    <cellStyle name="표준 2 2 9 2 6" xfId="1155"/>
    <cellStyle name="표준 2 2 9 2 7" xfId="1156"/>
    <cellStyle name="표준 2 2 9 2 8" xfId="1157"/>
    <cellStyle name="표준 2 2 9 3" xfId="1158"/>
    <cellStyle name="표준 2 2 9 4" xfId="1159"/>
    <cellStyle name="표준 2 2 9 5" xfId="1160"/>
    <cellStyle name="표준 2 2 9 6" xfId="1161"/>
    <cellStyle name="표준 2 2 9 7" xfId="1162"/>
    <cellStyle name="표준 2 2 9 8" xfId="1163"/>
    <cellStyle name="표준 2 20" xfId="1164"/>
    <cellStyle name="표준 2 21" xfId="1165"/>
    <cellStyle name="표준 2 22" xfId="1166"/>
    <cellStyle name="표준 2 23" xfId="1167"/>
    <cellStyle name="표준 2 24" xfId="1168"/>
    <cellStyle name="표준 2 25" xfId="1169"/>
    <cellStyle name="표준 2 26" xfId="1170"/>
    <cellStyle name="표준 2 27" xfId="1171"/>
    <cellStyle name="표준 2 28" xfId="1172"/>
    <cellStyle name="표준 2 29" xfId="1173"/>
    <cellStyle name="표준 2 3" xfId="1174"/>
    <cellStyle name="표준 2 3 2" xfId="1175"/>
    <cellStyle name="표준 2 3 2 2" xfId="1176"/>
    <cellStyle name="표준 2 3 2 2 2" xfId="1177"/>
    <cellStyle name="표준 2 3 2 2 2 2" xfId="1178"/>
    <cellStyle name="표준 2 3 2 2 2 2 2" xfId="1179"/>
    <cellStyle name="표준 2 3 2 2 2 2 3" xfId="1180"/>
    <cellStyle name="표준 2 3 2 2 2 2 4" xfId="1181"/>
    <cellStyle name="표준 2 3 2 2 2 3" xfId="1182"/>
    <cellStyle name="표준 2 3 2 2 2 4" xfId="1183"/>
    <cellStyle name="표준 2 3 2 2 2 5" xfId="1184"/>
    <cellStyle name="표준 2 3 2 2 2 6" xfId="1185"/>
    <cellStyle name="표준 2 3 2 2 3" xfId="1186"/>
    <cellStyle name="표준 2 3 2 2 4" xfId="1187"/>
    <cellStyle name="표준 2 3 2 2 5" xfId="1188"/>
    <cellStyle name="표준 2 3 2 2 6" xfId="1189"/>
    <cellStyle name="표준 2 3 2 3" xfId="1190"/>
    <cellStyle name="표준 2 3 2 4" xfId="1191"/>
    <cellStyle name="표준 2 3 2 5" xfId="1192"/>
    <cellStyle name="표준 2 3 2 6" xfId="1193"/>
    <cellStyle name="표준 2 3 2 7" xfId="1194"/>
    <cellStyle name="표준 2 3 3" xfId="1195"/>
    <cellStyle name="표준 2 3 3 2" xfId="1196"/>
    <cellStyle name="표준 2 3 3 3" xfId="1197"/>
    <cellStyle name="표준 2 3 3 4" xfId="1198"/>
    <cellStyle name="표준 2 3 3 5" xfId="1199"/>
    <cellStyle name="표준 2 3 3 6" xfId="1200"/>
    <cellStyle name="표준 2 3 3 7" xfId="1201"/>
    <cellStyle name="표준 2 3 3 8" xfId="1202"/>
    <cellStyle name="표준 2 3 4" xfId="1203"/>
    <cellStyle name="표준 2 3 5" xfId="1204"/>
    <cellStyle name="표준 2 3 6" xfId="1205"/>
    <cellStyle name="표준 2 3 7" xfId="1206"/>
    <cellStyle name="표준 2 30" xfId="1207"/>
    <cellStyle name="표준 2 30 2" xfId="1208"/>
    <cellStyle name="표준 2 4" xfId="1209"/>
    <cellStyle name="표준 2 5" xfId="1210"/>
    <cellStyle name="표준 2 6" xfId="1211"/>
    <cellStyle name="표준 2 7" xfId="1212"/>
    <cellStyle name="표준 2 8" xfId="1213"/>
    <cellStyle name="표준 2 9" xfId="1214"/>
    <cellStyle name="표준 20 2" xfId="1215"/>
    <cellStyle name="표준 20 3" xfId="1216"/>
    <cellStyle name="표준 20 4" xfId="1217"/>
    <cellStyle name="표준 20 5" xfId="1218"/>
    <cellStyle name="표준 20 6" xfId="1219"/>
    <cellStyle name="표준 20 7" xfId="1220"/>
    <cellStyle name="표준 20 8" xfId="1221"/>
    <cellStyle name="표준 21 2" xfId="1222"/>
    <cellStyle name="표준 21 3" xfId="1223"/>
    <cellStyle name="표준 21 4" xfId="1224"/>
    <cellStyle name="표준 21 5" xfId="1225"/>
    <cellStyle name="표준 21 6" xfId="1226"/>
    <cellStyle name="표준 21 7" xfId="1227"/>
    <cellStyle name="표준 21 8" xfId="1228"/>
    <cellStyle name="표준 24 2" xfId="1229"/>
    <cellStyle name="표준 24 3" xfId="1230"/>
    <cellStyle name="표준 24 4" xfId="1231"/>
    <cellStyle name="표준 24 5" xfId="1232"/>
    <cellStyle name="표준 24 6" xfId="1233"/>
    <cellStyle name="표준 24 7" xfId="1234"/>
    <cellStyle name="표준 24 8" xfId="1235"/>
    <cellStyle name="표준 25 2" xfId="1236"/>
    <cellStyle name="표준 25 3" xfId="1237"/>
    <cellStyle name="표준 25 4" xfId="1238"/>
    <cellStyle name="표준 25 5" xfId="1239"/>
    <cellStyle name="표준 25 6" xfId="1240"/>
    <cellStyle name="표준 25 7" xfId="1241"/>
    <cellStyle name="표준 25 8" xfId="1242"/>
    <cellStyle name="표준 26 2" xfId="1243"/>
    <cellStyle name="표준 26 3" xfId="1244"/>
    <cellStyle name="표준 26 4" xfId="1245"/>
    <cellStyle name="표준 26 5" xfId="1246"/>
    <cellStyle name="표준 26 6" xfId="1247"/>
    <cellStyle name="표준 26 7" xfId="1248"/>
    <cellStyle name="표준 26 8" xfId="1249"/>
    <cellStyle name="표준 27 2" xfId="1250"/>
    <cellStyle name="표준 27 3" xfId="1251"/>
    <cellStyle name="표준 27 4" xfId="1252"/>
    <cellStyle name="표준 27 5" xfId="1253"/>
    <cellStyle name="표준 27 6" xfId="1254"/>
    <cellStyle name="표준 27 7" xfId="1255"/>
    <cellStyle name="표준 27 8" xfId="1256"/>
    <cellStyle name="표준 29 2" xfId="1257"/>
    <cellStyle name="표준 29 3" xfId="1258"/>
    <cellStyle name="표준 29 4" xfId="1259"/>
    <cellStyle name="표준 29 5" xfId="1260"/>
    <cellStyle name="표준 29 6" xfId="1261"/>
    <cellStyle name="표준 29 7" xfId="1262"/>
    <cellStyle name="표준 29 8" xfId="1263"/>
    <cellStyle name="표준 3" xfId="1264"/>
    <cellStyle name="표준 3 10" xfId="1265"/>
    <cellStyle name="표준 3 11" xfId="1266"/>
    <cellStyle name="표준 3 12" xfId="1267"/>
    <cellStyle name="표준 3 13" xfId="1268"/>
    <cellStyle name="표준 3 14" xfId="1269"/>
    <cellStyle name="표준 3 15" xfId="1270"/>
    <cellStyle name="표준 3 16" xfId="1271"/>
    <cellStyle name="표준 3 17" xfId="1272"/>
    <cellStyle name="표준 3 18" xfId="1273"/>
    <cellStyle name="표준 3 19" xfId="1274"/>
    <cellStyle name="표준 3 2" xfId="1275"/>
    <cellStyle name="표준 3 2 2" xfId="1276"/>
    <cellStyle name="표준 3 2 3" xfId="1277"/>
    <cellStyle name="표준 3 2 4" xfId="1278"/>
    <cellStyle name="표준 3 2 5" xfId="1279"/>
    <cellStyle name="표준 3 2 6" xfId="1280"/>
    <cellStyle name="표준 3 2 7" xfId="1281"/>
    <cellStyle name="표준 3 2 8" xfId="1282"/>
    <cellStyle name="표준 3 20" xfId="1283"/>
    <cellStyle name="표준 3 21" xfId="1284"/>
    <cellStyle name="표준 3 22" xfId="1285"/>
    <cellStyle name="표준 3 23" xfId="1286"/>
    <cellStyle name="표준 3 23 2" xfId="1287"/>
    <cellStyle name="표준 3 24" xfId="1288"/>
    <cellStyle name="표준 3 3" xfId="1289"/>
    <cellStyle name="표준 3 3 2" xfId="1290"/>
    <cellStyle name="표준 3 3 3" xfId="1291"/>
    <cellStyle name="표준 3 3 4" xfId="1292"/>
    <cellStyle name="표준 3 4" xfId="1293"/>
    <cellStyle name="표준 3 5" xfId="1294"/>
    <cellStyle name="표준 3 6" xfId="1295"/>
    <cellStyle name="표준 3 7" xfId="1296"/>
    <cellStyle name="표준 3 8" xfId="1297"/>
    <cellStyle name="표준 3 9" xfId="1298"/>
    <cellStyle name="표준 30 2" xfId="1299"/>
    <cellStyle name="표준 30 3" xfId="1300"/>
    <cellStyle name="표준 30 4" xfId="1301"/>
    <cellStyle name="표준 30 5" xfId="1302"/>
    <cellStyle name="표준 30 6" xfId="1303"/>
    <cellStyle name="표준 30 7" xfId="1304"/>
    <cellStyle name="표준 30 8" xfId="1305"/>
    <cellStyle name="표준 31 2" xfId="1306"/>
    <cellStyle name="표준 31 3" xfId="1307"/>
    <cellStyle name="표준 31 4" xfId="1308"/>
    <cellStyle name="표준 31 5" xfId="1309"/>
    <cellStyle name="표준 31 6" xfId="1310"/>
    <cellStyle name="표준 31 7" xfId="1311"/>
    <cellStyle name="표준 31 8" xfId="1312"/>
    <cellStyle name="표준 32 2" xfId="1313"/>
    <cellStyle name="표준 32 3" xfId="1314"/>
    <cellStyle name="표준 32 4" xfId="1315"/>
    <cellStyle name="표준 32 5" xfId="1316"/>
    <cellStyle name="표준 32 6" xfId="1317"/>
    <cellStyle name="표준 32 7" xfId="1318"/>
    <cellStyle name="표준 32 8" xfId="1319"/>
    <cellStyle name="표준 33 2" xfId="1320"/>
    <cellStyle name="표준 33 3" xfId="1321"/>
    <cellStyle name="표준 33 4" xfId="1322"/>
    <cellStyle name="표준 33 5" xfId="1323"/>
    <cellStyle name="표준 33 6" xfId="1324"/>
    <cellStyle name="표준 33 7" xfId="1325"/>
    <cellStyle name="표준 33 8" xfId="1326"/>
    <cellStyle name="표준 34 2" xfId="1327"/>
    <cellStyle name="표준 34 3" xfId="1328"/>
    <cellStyle name="표준 34 4" xfId="1329"/>
    <cellStyle name="표준 34 5" xfId="1330"/>
    <cellStyle name="표준 34 6" xfId="1331"/>
    <cellStyle name="표준 34 7" xfId="1332"/>
    <cellStyle name="표준 34 8" xfId="1333"/>
    <cellStyle name="표준 35 2" xfId="1334"/>
    <cellStyle name="표준 35 3" xfId="1335"/>
    <cellStyle name="표준 35 4" xfId="1336"/>
    <cellStyle name="표준 35 5" xfId="1337"/>
    <cellStyle name="표준 35 6" xfId="1338"/>
    <cellStyle name="표준 35 7" xfId="1339"/>
    <cellStyle name="표준 35 8" xfId="1340"/>
    <cellStyle name="표준 36 2" xfId="1341"/>
    <cellStyle name="표준 36 3" xfId="1342"/>
    <cellStyle name="표준 36 4" xfId="1343"/>
    <cellStyle name="표준 36 5" xfId="1344"/>
    <cellStyle name="표준 36 6" xfId="1345"/>
    <cellStyle name="표준 36 7" xfId="1346"/>
    <cellStyle name="표준 36 8" xfId="1347"/>
    <cellStyle name="표준 37" xfId="1348"/>
    <cellStyle name="표준 37 2" xfId="1349"/>
    <cellStyle name="표준 37 3" xfId="1350"/>
    <cellStyle name="표준 37 4" xfId="1351"/>
    <cellStyle name="표준 37 5" xfId="1352"/>
    <cellStyle name="표준 37 6" xfId="1353"/>
    <cellStyle name="표준 37 7" xfId="1354"/>
    <cellStyle name="표준 37 8" xfId="1355"/>
    <cellStyle name="표준 39 2" xfId="1356"/>
    <cellStyle name="표준 39 3" xfId="1357"/>
    <cellStyle name="표준 39 4" xfId="1358"/>
    <cellStyle name="표준 39 5" xfId="1359"/>
    <cellStyle name="표준 39 6" xfId="1360"/>
    <cellStyle name="표준 39 7" xfId="1361"/>
    <cellStyle name="표준 39 8" xfId="1362"/>
    <cellStyle name="표준 4" xfId="1363"/>
    <cellStyle name="표준 4 10" xfId="1364"/>
    <cellStyle name="표준 4 11" xfId="1365"/>
    <cellStyle name="표준 4 12" xfId="1366"/>
    <cellStyle name="표준 4 13" xfId="1367"/>
    <cellStyle name="표준 4 14" xfId="1368"/>
    <cellStyle name="표준 4 15" xfId="1369"/>
    <cellStyle name="표준 4 16" xfId="1370"/>
    <cellStyle name="표준 4 17" xfId="1371"/>
    <cellStyle name="표준 4 17 2" xfId="1372"/>
    <cellStyle name="표준 4 18" xfId="1373"/>
    <cellStyle name="표준 4 2" xfId="1374"/>
    <cellStyle name="표준 4 3" xfId="1375"/>
    <cellStyle name="표준 4 4" xfId="1376"/>
    <cellStyle name="표준 4 5" xfId="1377"/>
    <cellStyle name="표준 4 6" xfId="1378"/>
    <cellStyle name="표준 4 7" xfId="1379"/>
    <cellStyle name="표준 4 8" xfId="1380"/>
    <cellStyle name="표준 4 9" xfId="1381"/>
    <cellStyle name="표준 41 2" xfId="1382"/>
    <cellStyle name="표준 41 3" xfId="1383"/>
    <cellStyle name="표준 41 4" xfId="1384"/>
    <cellStyle name="표준 41 5" xfId="1385"/>
    <cellStyle name="표준 41 6" xfId="1386"/>
    <cellStyle name="표준 41 7" xfId="1387"/>
    <cellStyle name="표준 41 8" xfId="1388"/>
    <cellStyle name="표준 42 2" xfId="1389"/>
    <cellStyle name="표준 42 3" xfId="1390"/>
    <cellStyle name="표준 42 4" xfId="1391"/>
    <cellStyle name="표준 42 5" xfId="1392"/>
    <cellStyle name="표준 42 6" xfId="1393"/>
    <cellStyle name="표준 42 7" xfId="1394"/>
    <cellStyle name="표준 42 8" xfId="1395"/>
    <cellStyle name="표준 44 2" xfId="1396"/>
    <cellStyle name="표준 44 3" xfId="1397"/>
    <cellStyle name="표준 44 4" xfId="1398"/>
    <cellStyle name="표준 44 5" xfId="1399"/>
    <cellStyle name="표준 44 6" xfId="1400"/>
    <cellStyle name="표준 44 7" xfId="1401"/>
    <cellStyle name="표준 44 8" xfId="1402"/>
    <cellStyle name="표준 45 2" xfId="1403"/>
    <cellStyle name="표준 45 3" xfId="1404"/>
    <cellStyle name="표준 45 4" xfId="1405"/>
    <cellStyle name="표준 45 5" xfId="1406"/>
    <cellStyle name="표준 45 6" xfId="1407"/>
    <cellStyle name="표준 45 7" xfId="1408"/>
    <cellStyle name="표준 45 8" xfId="1409"/>
    <cellStyle name="표준 46 2" xfId="1410"/>
    <cellStyle name="표준 46 3" xfId="1411"/>
    <cellStyle name="표준 46 4" xfId="1412"/>
    <cellStyle name="표준 46 5" xfId="1413"/>
    <cellStyle name="표준 46 6" xfId="1414"/>
    <cellStyle name="표준 46 7" xfId="1415"/>
    <cellStyle name="표준 46 8" xfId="1416"/>
    <cellStyle name="표준 47 2" xfId="1417"/>
    <cellStyle name="표준 47 3" xfId="1418"/>
    <cellStyle name="표준 47 4" xfId="1419"/>
    <cellStyle name="표준 47 5" xfId="1420"/>
    <cellStyle name="표준 47 6" xfId="1421"/>
    <cellStyle name="표준 47 7" xfId="1422"/>
    <cellStyle name="표준 47 8" xfId="1423"/>
    <cellStyle name="표준 48 2" xfId="1424"/>
    <cellStyle name="표준 48 3" xfId="1425"/>
    <cellStyle name="표준 48 4" xfId="1426"/>
    <cellStyle name="표준 48 5" xfId="1427"/>
    <cellStyle name="표준 48 6" xfId="1428"/>
    <cellStyle name="표준 48 7" xfId="1429"/>
    <cellStyle name="표준 48 8" xfId="1430"/>
    <cellStyle name="표준 5" xfId="1431"/>
    <cellStyle name="표준 5 10" xfId="1432"/>
    <cellStyle name="표준 5 10 2" xfId="1433"/>
    <cellStyle name="표준 5 10 3" xfId="1434"/>
    <cellStyle name="표준 5 10 4" xfId="1435"/>
    <cellStyle name="표준 5 10 5" xfId="1436"/>
    <cellStyle name="표준 5 10 6" xfId="1437"/>
    <cellStyle name="표준 5 11" xfId="1438"/>
    <cellStyle name="표준 5 11 2" xfId="1439"/>
    <cellStyle name="표준 5 11 3" xfId="1440"/>
    <cellStyle name="표준 5 12" xfId="1441"/>
    <cellStyle name="표준 5 12 2" xfId="1442"/>
    <cellStyle name="표준 5 12 3" xfId="1443"/>
    <cellStyle name="표준 5 13" xfId="1444"/>
    <cellStyle name="표준 5 13 2" xfId="1445"/>
    <cellStyle name="표준 5 13 3" xfId="1446"/>
    <cellStyle name="표준 5 14" xfId="1447"/>
    <cellStyle name="표준 5 15" xfId="1448"/>
    <cellStyle name="표준 5 16" xfId="1449"/>
    <cellStyle name="표준 5 17" xfId="1450"/>
    <cellStyle name="표준 5 18" xfId="1451"/>
    <cellStyle name="표준 5 19" xfId="1452"/>
    <cellStyle name="표준 5 2" xfId="1453"/>
    <cellStyle name="표준 5 2 2" xfId="1454"/>
    <cellStyle name="표준 5 2 3" xfId="1455"/>
    <cellStyle name="표준 5 2 4" xfId="1456"/>
    <cellStyle name="표준 5 2 5" xfId="1457"/>
    <cellStyle name="표준 5 2 6" xfId="1458"/>
    <cellStyle name="표준 5 2 7" xfId="1459"/>
    <cellStyle name="표준 5 2 8" xfId="1460"/>
    <cellStyle name="표준 5 20" xfId="1461"/>
    <cellStyle name="표준 5 21" xfId="1462"/>
    <cellStyle name="표준 5 22" xfId="1463"/>
    <cellStyle name="표준 5 23" xfId="1464"/>
    <cellStyle name="표준 5 24" xfId="1465"/>
    <cellStyle name="표준 5 25" xfId="1466"/>
    <cellStyle name="표준 5 26" xfId="1467"/>
    <cellStyle name="표준 5 27" xfId="1468"/>
    <cellStyle name="표준 5 28" xfId="1469"/>
    <cellStyle name="표준 5 29" xfId="1470"/>
    <cellStyle name="표준 5 3" xfId="1471"/>
    <cellStyle name="표준 5 3 2" xfId="1472"/>
    <cellStyle name="표준 5 3 3" xfId="1473"/>
    <cellStyle name="표준 5 3 4" xfId="1474"/>
    <cellStyle name="표준 5 3 5" xfId="1475"/>
    <cellStyle name="표준 5 3 6" xfId="1476"/>
    <cellStyle name="표준 5 3 7" xfId="1477"/>
    <cellStyle name="표준 5 3 8" xfId="1478"/>
    <cellStyle name="표준 5 30" xfId="1479"/>
    <cellStyle name="표준 5 31" xfId="1480"/>
    <cellStyle name="표준 5 32" xfId="1481"/>
    <cellStyle name="표준 5 32 2" xfId="1482"/>
    <cellStyle name="표준 5 33" xfId="1483"/>
    <cellStyle name="표준 5 34" xfId="1484"/>
    <cellStyle name="표준 5 4" xfId="1485"/>
    <cellStyle name="표준 5 4 2" xfId="1486"/>
    <cellStyle name="표준 5 4 3" xfId="1487"/>
    <cellStyle name="표준 5 5" xfId="1488"/>
    <cellStyle name="표준 5 5 2" xfId="1489"/>
    <cellStyle name="표준 5 5 3" xfId="1490"/>
    <cellStyle name="표준 5 6" xfId="1491"/>
    <cellStyle name="표준 5 6 2" xfId="1492"/>
    <cellStyle name="표준 5 6 3" xfId="1493"/>
    <cellStyle name="표준 5 7" xfId="1494"/>
    <cellStyle name="표준 5 7 2" xfId="1495"/>
    <cellStyle name="표준 5 7 3" xfId="1496"/>
    <cellStyle name="표준 5 8" xfId="1497"/>
    <cellStyle name="표준 5 8 2" xfId="1498"/>
    <cellStyle name="표준 5 8 3" xfId="1499"/>
    <cellStyle name="표준 5 9" xfId="1500"/>
    <cellStyle name="표준 5 9 2" xfId="1501"/>
    <cellStyle name="표준 5 9 3" xfId="1502"/>
    <cellStyle name="표준 52 2" xfId="1503"/>
    <cellStyle name="표준 52 3" xfId="1504"/>
    <cellStyle name="표준 52 4" xfId="1505"/>
    <cellStyle name="표준 52 5" xfId="1506"/>
    <cellStyle name="표준 52 6" xfId="1507"/>
    <cellStyle name="표준 52 7" xfId="1508"/>
    <cellStyle name="표준 52 8" xfId="1509"/>
    <cellStyle name="표준 53 2" xfId="1510"/>
    <cellStyle name="표준 53 3" xfId="1511"/>
    <cellStyle name="표준 53 4" xfId="1512"/>
    <cellStyle name="표준 53 5" xfId="1513"/>
    <cellStyle name="표준 53 6" xfId="1514"/>
    <cellStyle name="표준 53 7" xfId="1515"/>
    <cellStyle name="표준 53 8" xfId="1516"/>
    <cellStyle name="표준 55 2" xfId="1517"/>
    <cellStyle name="표준 55 3" xfId="1518"/>
    <cellStyle name="표준 55 4" xfId="1519"/>
    <cellStyle name="표준 55 5" xfId="1520"/>
    <cellStyle name="표준 55 6" xfId="1521"/>
    <cellStyle name="표준 55 7" xfId="1522"/>
    <cellStyle name="표준 55 8" xfId="1523"/>
    <cellStyle name="표준 56 2" xfId="1524"/>
    <cellStyle name="표준 56 3" xfId="1525"/>
    <cellStyle name="표준 56 4" xfId="1526"/>
    <cellStyle name="표준 56 5" xfId="1527"/>
    <cellStyle name="표준 56 6" xfId="1528"/>
    <cellStyle name="표준 56 7" xfId="1529"/>
    <cellStyle name="표준 56 8" xfId="1530"/>
    <cellStyle name="표준 58 2" xfId="1531"/>
    <cellStyle name="표준 58 3" xfId="1532"/>
    <cellStyle name="표준 58 4" xfId="1533"/>
    <cellStyle name="표준 58 5" xfId="1534"/>
    <cellStyle name="표준 58 6" xfId="1535"/>
    <cellStyle name="표준 58 7" xfId="1536"/>
    <cellStyle name="표준 58 8" xfId="1537"/>
    <cellStyle name="표준 59 2" xfId="1538"/>
    <cellStyle name="표준 59 3" xfId="1539"/>
    <cellStyle name="표준 59 4" xfId="1540"/>
    <cellStyle name="표준 59 5" xfId="1541"/>
    <cellStyle name="표준 59 6" xfId="1542"/>
    <cellStyle name="표준 59 7" xfId="1543"/>
    <cellStyle name="표준 59 8" xfId="1544"/>
    <cellStyle name="표준 6 2" xfId="1545"/>
    <cellStyle name="표준 6 2 10" xfId="1546"/>
    <cellStyle name="표준 6 2 11" xfId="1547"/>
    <cellStyle name="표준 6 2 12" xfId="1548"/>
    <cellStyle name="표준 6 2 13" xfId="1549"/>
    <cellStyle name="표준 6 2 14" xfId="1550"/>
    <cellStyle name="표준 6 2 15" xfId="1551"/>
    <cellStyle name="표준 6 2 2" xfId="1552"/>
    <cellStyle name="표준 6 2 3" xfId="1553"/>
    <cellStyle name="표준 6 2 4" xfId="1554"/>
    <cellStyle name="표준 6 2 5" xfId="1555"/>
    <cellStyle name="표준 6 2 6" xfId="1556"/>
    <cellStyle name="표준 6 2 7" xfId="1557"/>
    <cellStyle name="표준 6 2 8" xfId="1558"/>
    <cellStyle name="표준 6 2 9" xfId="1559"/>
    <cellStyle name="표준 6 3" xfId="1560"/>
    <cellStyle name="표준 6 3 10" xfId="1561"/>
    <cellStyle name="표준 6 3 11" xfId="1562"/>
    <cellStyle name="표준 6 3 12" xfId="1563"/>
    <cellStyle name="표준 6 3 13" xfId="1564"/>
    <cellStyle name="표준 6 3 14" xfId="1565"/>
    <cellStyle name="표준 6 3 15" xfId="1566"/>
    <cellStyle name="표준 6 3 2" xfId="1567"/>
    <cellStyle name="표준 6 3 3" xfId="1568"/>
    <cellStyle name="표준 6 3 4" xfId="1569"/>
    <cellStyle name="표준 6 3 5" xfId="1570"/>
    <cellStyle name="표준 6 3 6" xfId="1571"/>
    <cellStyle name="표준 6 3 7" xfId="1572"/>
    <cellStyle name="표준 6 3 8" xfId="1573"/>
    <cellStyle name="표준 6 3 9" xfId="1574"/>
    <cellStyle name="표준 6 4" xfId="1575"/>
    <cellStyle name="표준 6 5" xfId="1576"/>
    <cellStyle name="표준 6 6" xfId="1577"/>
    <cellStyle name="표준 6 7" xfId="1578"/>
    <cellStyle name="표준 6 8" xfId="1579"/>
    <cellStyle name="표준 6 9" xfId="1580"/>
    <cellStyle name="표준 61 2" xfId="1581"/>
    <cellStyle name="표준 61 3" xfId="1582"/>
    <cellStyle name="표준 61 4" xfId="1583"/>
    <cellStyle name="표준 61 5" xfId="1584"/>
    <cellStyle name="표준 61 6" xfId="1585"/>
    <cellStyle name="표준 61 7" xfId="1586"/>
    <cellStyle name="표준 61 8" xfId="1587"/>
    <cellStyle name="표준 62 2" xfId="1588"/>
    <cellStyle name="표준 62 3" xfId="1589"/>
    <cellStyle name="표준 62 4" xfId="1590"/>
    <cellStyle name="표준 62 5" xfId="1591"/>
    <cellStyle name="표준 62 6" xfId="1592"/>
    <cellStyle name="표준 62 7" xfId="1593"/>
    <cellStyle name="표준 62 8" xfId="1594"/>
    <cellStyle name="표준 63 2" xfId="1595"/>
    <cellStyle name="표준 63 3" xfId="1596"/>
    <cellStyle name="표준 63 4" xfId="1597"/>
    <cellStyle name="표준 63 5" xfId="1598"/>
    <cellStyle name="표준 63 6" xfId="1599"/>
    <cellStyle name="표준 63 7" xfId="1600"/>
    <cellStyle name="표준 63 8" xfId="1601"/>
    <cellStyle name="표준 64 2" xfId="1602"/>
    <cellStyle name="표준 64 3" xfId="1603"/>
    <cellStyle name="표준 64 4" xfId="1604"/>
    <cellStyle name="표준 64 5" xfId="1605"/>
    <cellStyle name="표준 64 6" xfId="1606"/>
    <cellStyle name="표준 64 7" xfId="1607"/>
    <cellStyle name="표준 64 8" xfId="1608"/>
    <cellStyle name="표준 65 2" xfId="1609"/>
    <cellStyle name="표준 65 3" xfId="1610"/>
    <cellStyle name="표준 65 4" xfId="1611"/>
    <cellStyle name="표준 65 5" xfId="1612"/>
    <cellStyle name="표준 65 6" xfId="1613"/>
    <cellStyle name="표준 65 7" xfId="1614"/>
    <cellStyle name="표준 65 8" xfId="1615"/>
    <cellStyle name="표준 66 2" xfId="1616"/>
    <cellStyle name="표준 66 3" xfId="1617"/>
    <cellStyle name="표준 66 4" xfId="1618"/>
    <cellStyle name="표준 66 5" xfId="1619"/>
    <cellStyle name="표준 66 6" xfId="1620"/>
    <cellStyle name="표준 66 7" xfId="1621"/>
    <cellStyle name="표준 66 8" xfId="1622"/>
    <cellStyle name="표준 67 2" xfId="1623"/>
    <cellStyle name="표준 67 3" xfId="1624"/>
    <cellStyle name="표준 67 4" xfId="1625"/>
    <cellStyle name="표준 67 5" xfId="1626"/>
    <cellStyle name="표준 67 6" xfId="1627"/>
    <cellStyle name="표준 67 7" xfId="1628"/>
    <cellStyle name="표준 67 8" xfId="1629"/>
    <cellStyle name="표준 68 2" xfId="1630"/>
    <cellStyle name="표준 68 3" xfId="1631"/>
    <cellStyle name="표준 68 4" xfId="1632"/>
    <cellStyle name="표준 68 5" xfId="1633"/>
    <cellStyle name="표준 68 6" xfId="1634"/>
    <cellStyle name="표준 68 7" xfId="1635"/>
    <cellStyle name="표준 68 8" xfId="1636"/>
    <cellStyle name="표준 69 2" xfId="1637"/>
    <cellStyle name="표준 69 3" xfId="1638"/>
    <cellStyle name="표준 69 4" xfId="1639"/>
    <cellStyle name="표준 69 5" xfId="1640"/>
    <cellStyle name="표준 69 6" xfId="1641"/>
    <cellStyle name="표준 69 7" xfId="1642"/>
    <cellStyle name="표준 69 8" xfId="1643"/>
    <cellStyle name="표준 7" xfId="1644"/>
    <cellStyle name="표준 7 2" xfId="1645"/>
    <cellStyle name="표준 7 2 10" xfId="1646"/>
    <cellStyle name="표준 7 2 11" xfId="1647"/>
    <cellStyle name="표준 7 2 12" xfId="1648"/>
    <cellStyle name="표준 7 2 13" xfId="1649"/>
    <cellStyle name="표준 7 2 14" xfId="1650"/>
    <cellStyle name="표준 7 2 15" xfId="1651"/>
    <cellStyle name="표준 7 2 2" xfId="1652"/>
    <cellStyle name="표준 7 2 3" xfId="1653"/>
    <cellStyle name="표준 7 2 4" xfId="1654"/>
    <cellStyle name="표준 7 2 5" xfId="1655"/>
    <cellStyle name="표준 7 2 6" xfId="1656"/>
    <cellStyle name="표준 7 2 7" xfId="1657"/>
    <cellStyle name="표준 7 2 8" xfId="1658"/>
    <cellStyle name="표준 7 2 9" xfId="1659"/>
    <cellStyle name="표준 7 3" xfId="1660"/>
    <cellStyle name="표준 7 3 10" xfId="1661"/>
    <cellStyle name="표준 7 3 11" xfId="1662"/>
    <cellStyle name="표준 7 3 12" xfId="1663"/>
    <cellStyle name="표준 7 3 13" xfId="1664"/>
    <cellStyle name="표준 7 3 14" xfId="1665"/>
    <cellStyle name="표준 7 3 15" xfId="1666"/>
    <cellStyle name="표준 7 3 16" xfId="1667"/>
    <cellStyle name="표준 7 3 17" xfId="1668"/>
    <cellStyle name="표준 7 3 2" xfId="1669"/>
    <cellStyle name="표준 7 3 3" xfId="1670"/>
    <cellStyle name="표준 7 3 4" xfId="1671"/>
    <cellStyle name="표준 7 3 5" xfId="1672"/>
    <cellStyle name="표준 7 3 6" xfId="1673"/>
    <cellStyle name="표준 7 3 7" xfId="1674"/>
    <cellStyle name="표준 7 3 8" xfId="1675"/>
    <cellStyle name="표준 7 3 9" xfId="1676"/>
    <cellStyle name="표준 7 4" xfId="1677"/>
    <cellStyle name="표준 7 4 10" xfId="1678"/>
    <cellStyle name="표준 7 4 11" xfId="1679"/>
    <cellStyle name="표준 7 4 12" xfId="1680"/>
    <cellStyle name="표준 7 4 13" xfId="1681"/>
    <cellStyle name="표준 7 4 14" xfId="1682"/>
    <cellStyle name="표준 7 4 15" xfId="1683"/>
    <cellStyle name="표준 7 4 16" xfId="1684"/>
    <cellStyle name="표준 7 4 17" xfId="1685"/>
    <cellStyle name="표준 7 4 2" xfId="1686"/>
    <cellStyle name="표준 7 4 3" xfId="1687"/>
    <cellStyle name="표준 7 4 4" xfId="1688"/>
    <cellStyle name="표준 7 4 5" xfId="1689"/>
    <cellStyle name="표준 7 4 6" xfId="1690"/>
    <cellStyle name="표준 7 4 7" xfId="1691"/>
    <cellStyle name="표준 7 4 8" xfId="1692"/>
    <cellStyle name="표준 7 4 9" xfId="1693"/>
    <cellStyle name="표준 7 5" xfId="1694"/>
    <cellStyle name="표준 7 5 10" xfId="1695"/>
    <cellStyle name="표준 7 5 11" xfId="1696"/>
    <cellStyle name="표준 7 5 12" xfId="1697"/>
    <cellStyle name="표준 7 5 13" xfId="1698"/>
    <cellStyle name="표준 7 5 14" xfId="1699"/>
    <cellStyle name="표준 7 5 15" xfId="1700"/>
    <cellStyle name="표준 7 5 16" xfId="1701"/>
    <cellStyle name="표준 7 5 17" xfId="1702"/>
    <cellStyle name="표준 7 5 2" xfId="1703"/>
    <cellStyle name="표준 7 5 3" xfId="1704"/>
    <cellStyle name="표준 7 5 4" xfId="1705"/>
    <cellStyle name="표준 7 5 5" xfId="1706"/>
    <cellStyle name="표준 7 5 6" xfId="1707"/>
    <cellStyle name="표준 7 5 7" xfId="1708"/>
    <cellStyle name="표준 7 5 8" xfId="1709"/>
    <cellStyle name="표준 7 5 9" xfId="1710"/>
    <cellStyle name="표준 7 6" xfId="1711"/>
    <cellStyle name="표준 7 6 10" xfId="1712"/>
    <cellStyle name="표준 7 6 11" xfId="1713"/>
    <cellStyle name="표준 7 6 12" xfId="1714"/>
    <cellStyle name="표준 7 6 13" xfId="1715"/>
    <cellStyle name="표준 7 6 14" xfId="1716"/>
    <cellStyle name="표준 7 6 15" xfId="1717"/>
    <cellStyle name="표준 7 6 16" xfId="1718"/>
    <cellStyle name="표준 7 6 17" xfId="1719"/>
    <cellStyle name="표준 7 6 2" xfId="1720"/>
    <cellStyle name="표준 7 6 3" xfId="1721"/>
    <cellStyle name="표준 7 6 4" xfId="1722"/>
    <cellStyle name="표준 7 6 5" xfId="1723"/>
    <cellStyle name="표준 7 6 6" xfId="1724"/>
    <cellStyle name="표준 7 6 7" xfId="1725"/>
    <cellStyle name="표준 7 6 8" xfId="1726"/>
    <cellStyle name="표준 7 6 9" xfId="1727"/>
    <cellStyle name="표준 7 7" xfId="1728"/>
    <cellStyle name="표준 7 8" xfId="1729"/>
    <cellStyle name="표준 7 9" xfId="1730"/>
    <cellStyle name="표준 70 2" xfId="1731"/>
    <cellStyle name="표준 70 3" xfId="1732"/>
    <cellStyle name="표준 70 4" xfId="1733"/>
    <cellStyle name="표준 70 5" xfId="1734"/>
    <cellStyle name="표준 70 6" xfId="1735"/>
    <cellStyle name="표준 70 7" xfId="1736"/>
    <cellStyle name="표준 70 8" xfId="1737"/>
    <cellStyle name="표준 71 2" xfId="1738"/>
    <cellStyle name="표준 71 3" xfId="1739"/>
    <cellStyle name="표준 71 4" xfId="1740"/>
    <cellStyle name="표준 71 5" xfId="1741"/>
    <cellStyle name="표준 71 6" xfId="1742"/>
    <cellStyle name="표준 71 7" xfId="1743"/>
    <cellStyle name="표준 71 8" xfId="1744"/>
    <cellStyle name="표준 72 2" xfId="1745"/>
    <cellStyle name="표준 72 3" xfId="1746"/>
    <cellStyle name="표준 72 4" xfId="1747"/>
    <cellStyle name="표준 72 5" xfId="1748"/>
    <cellStyle name="표준 72 6" xfId="1749"/>
    <cellStyle name="표준 72 7" xfId="1750"/>
    <cellStyle name="표준 72 8" xfId="1751"/>
    <cellStyle name="표준 73 2" xfId="1752"/>
    <cellStyle name="표준 73 3" xfId="1753"/>
    <cellStyle name="표준 73 4" xfId="1754"/>
    <cellStyle name="표준 73 5" xfId="1755"/>
    <cellStyle name="표준 73 6" xfId="1756"/>
    <cellStyle name="표준 73 7" xfId="1757"/>
    <cellStyle name="표준 73 8" xfId="1758"/>
    <cellStyle name="표준 74 2" xfId="1759"/>
    <cellStyle name="표준 74 3" xfId="1760"/>
    <cellStyle name="표준 74 4" xfId="1761"/>
    <cellStyle name="표준 74 5" xfId="1762"/>
    <cellStyle name="표준 74 6" xfId="1763"/>
    <cellStyle name="표준 74 7" xfId="1764"/>
    <cellStyle name="표준 74 8" xfId="1765"/>
    <cellStyle name="표준 75 2" xfId="1766"/>
    <cellStyle name="표준 75 3" xfId="1767"/>
    <cellStyle name="표준 75 4" xfId="1768"/>
    <cellStyle name="표준 75 5" xfId="1769"/>
    <cellStyle name="표준 75 6" xfId="1770"/>
    <cellStyle name="표준 75 7" xfId="1771"/>
    <cellStyle name="표준 75 8" xfId="1772"/>
    <cellStyle name="표준 76 2" xfId="1773"/>
    <cellStyle name="표준 76 3" xfId="1774"/>
    <cellStyle name="표준 76 4" xfId="1775"/>
    <cellStyle name="표준 76 5" xfId="1776"/>
    <cellStyle name="표준 76 6" xfId="1777"/>
    <cellStyle name="표준 76 7" xfId="1778"/>
    <cellStyle name="표준 76 8" xfId="1779"/>
    <cellStyle name="표준 77 2" xfId="1780"/>
    <cellStyle name="표준 77 3" xfId="1781"/>
    <cellStyle name="표준 77 4" xfId="1782"/>
    <cellStyle name="표준 77 5" xfId="1783"/>
    <cellStyle name="표준 77 6" xfId="1784"/>
    <cellStyle name="표준 77 7" xfId="1785"/>
    <cellStyle name="표준 77 8" xfId="1786"/>
    <cellStyle name="표준 78 2" xfId="1787"/>
    <cellStyle name="표준 78 3" xfId="1788"/>
    <cellStyle name="표준 78 4" xfId="1789"/>
    <cellStyle name="표준 78 5" xfId="1790"/>
    <cellStyle name="표준 78 6" xfId="1791"/>
    <cellStyle name="표준 78 7" xfId="1792"/>
    <cellStyle name="표준 78 8" xfId="1793"/>
    <cellStyle name="표준 79 2" xfId="1794"/>
    <cellStyle name="표준 79 3" xfId="1795"/>
    <cellStyle name="표준 79 4" xfId="1796"/>
    <cellStyle name="표준 79 5" xfId="1797"/>
    <cellStyle name="표준 79 6" xfId="1798"/>
    <cellStyle name="표준 79 7" xfId="1799"/>
    <cellStyle name="표준 79 8" xfId="1800"/>
    <cellStyle name="표준 8" xfId="1801"/>
    <cellStyle name="표준 8 2" xfId="1802"/>
    <cellStyle name="표준 8 2 10" xfId="1803"/>
    <cellStyle name="표준 8 2 11" xfId="1804"/>
    <cellStyle name="표준 8 2 12" xfId="1805"/>
    <cellStyle name="표준 8 2 13" xfId="1806"/>
    <cellStyle name="표준 8 2 14" xfId="1807"/>
    <cellStyle name="표준 8 2 15" xfId="1808"/>
    <cellStyle name="표준 8 2 2" xfId="1809"/>
    <cellStyle name="표준 8 2 3" xfId="1810"/>
    <cellStyle name="표준 8 2 4" xfId="1811"/>
    <cellStyle name="표준 8 2 5" xfId="1812"/>
    <cellStyle name="표준 8 2 6" xfId="1813"/>
    <cellStyle name="표준 8 2 7" xfId="1814"/>
    <cellStyle name="표준 8 2 8" xfId="1815"/>
    <cellStyle name="표준 8 2 9" xfId="1816"/>
    <cellStyle name="표준 8 3" xfId="1817"/>
    <cellStyle name="표준 8 3 10" xfId="1818"/>
    <cellStyle name="표준 8 3 11" xfId="1819"/>
    <cellStyle name="표준 8 3 12" xfId="1820"/>
    <cellStyle name="표준 8 3 13" xfId="1821"/>
    <cellStyle name="표준 8 3 14" xfId="1822"/>
    <cellStyle name="표준 8 3 15" xfId="1823"/>
    <cellStyle name="표준 8 3 16" xfId="1824"/>
    <cellStyle name="표준 8 3 17" xfId="1825"/>
    <cellStyle name="표준 8 3 2" xfId="1826"/>
    <cellStyle name="표준 8 3 3" xfId="1827"/>
    <cellStyle name="표준 8 3 4" xfId="1828"/>
    <cellStyle name="표준 8 3 5" xfId="1829"/>
    <cellStyle name="표준 8 3 6" xfId="1830"/>
    <cellStyle name="표준 8 3 7" xfId="1831"/>
    <cellStyle name="표준 8 3 8" xfId="1832"/>
    <cellStyle name="표준 8 3 9" xfId="1833"/>
    <cellStyle name="표준 8 4" xfId="1834"/>
    <cellStyle name="표준 8 4 10" xfId="1835"/>
    <cellStyle name="표준 8 4 11" xfId="1836"/>
    <cellStyle name="표준 8 4 12" xfId="1837"/>
    <cellStyle name="표준 8 4 13" xfId="1838"/>
    <cellStyle name="표준 8 4 14" xfId="1839"/>
    <cellStyle name="표준 8 4 15" xfId="1840"/>
    <cellStyle name="표준 8 4 16" xfId="1841"/>
    <cellStyle name="표준 8 4 17" xfId="1842"/>
    <cellStyle name="표준 8 4 2" xfId="1843"/>
    <cellStyle name="표준 8 4 3" xfId="1844"/>
    <cellStyle name="표준 8 4 4" xfId="1845"/>
    <cellStyle name="표준 8 4 5" xfId="1846"/>
    <cellStyle name="표준 8 4 6" xfId="1847"/>
    <cellStyle name="표준 8 4 7" xfId="1848"/>
    <cellStyle name="표준 8 4 8" xfId="1849"/>
    <cellStyle name="표준 8 4 9" xfId="1850"/>
    <cellStyle name="표준 8 5" xfId="1851"/>
    <cellStyle name="표준 8 5 10" xfId="1852"/>
    <cellStyle name="표준 8 5 11" xfId="1853"/>
    <cellStyle name="표준 8 5 12" xfId="1854"/>
    <cellStyle name="표준 8 5 13" xfId="1855"/>
    <cellStyle name="표준 8 5 14" xfId="1856"/>
    <cellStyle name="표준 8 5 15" xfId="1857"/>
    <cellStyle name="표준 8 5 16" xfId="1858"/>
    <cellStyle name="표준 8 5 17" xfId="1859"/>
    <cellStyle name="표준 8 5 2" xfId="1860"/>
    <cellStyle name="표준 8 5 3" xfId="1861"/>
    <cellStyle name="표준 8 5 4" xfId="1862"/>
    <cellStyle name="표준 8 5 5" xfId="1863"/>
    <cellStyle name="표준 8 5 6" xfId="1864"/>
    <cellStyle name="표준 8 5 7" xfId="1865"/>
    <cellStyle name="표준 8 5 8" xfId="1866"/>
    <cellStyle name="표준 8 5 9" xfId="1867"/>
    <cellStyle name="표준 8 6" xfId="1868"/>
    <cellStyle name="표준 8 6 10" xfId="1869"/>
    <cellStyle name="표준 8 6 11" xfId="1870"/>
    <cellStyle name="표준 8 6 12" xfId="1871"/>
    <cellStyle name="표준 8 6 13" xfId="1872"/>
    <cellStyle name="표준 8 6 14" xfId="1873"/>
    <cellStyle name="표준 8 6 15" xfId="1874"/>
    <cellStyle name="표준 8 6 16" xfId="1875"/>
    <cellStyle name="표준 8 6 17" xfId="1876"/>
    <cellStyle name="표준 8 6 2" xfId="1877"/>
    <cellStyle name="표준 8 6 3" xfId="1878"/>
    <cellStyle name="표준 8 6 4" xfId="1879"/>
    <cellStyle name="표준 8 6 5" xfId="1880"/>
    <cellStyle name="표준 8 6 6" xfId="1881"/>
    <cellStyle name="표준 8 6 7" xfId="1882"/>
    <cellStyle name="표준 8 6 8" xfId="1883"/>
    <cellStyle name="표준 8 6 9" xfId="1884"/>
    <cellStyle name="표준 8 7" xfId="1885"/>
    <cellStyle name="표준 8 8" xfId="1886"/>
    <cellStyle name="표준 87" xfId="1887"/>
    <cellStyle name="표준 88" xfId="1888"/>
    <cellStyle name="표준 9" xfId="1889"/>
    <cellStyle name="표준 9 2" xfId="1890"/>
    <cellStyle name="표준 9 2 2" xfId="1891"/>
    <cellStyle name="표준 9 2 3" xfId="1892"/>
    <cellStyle name="표준 9 3" xfId="1893"/>
    <cellStyle name="표준 9 3 2" xfId="1894"/>
    <cellStyle name="표준 9 3 3" xfId="1895"/>
    <cellStyle name="표준 9 4" xfId="1896"/>
    <cellStyle name="표준 9 4 2" xfId="1897"/>
    <cellStyle name="표준 9 4 3" xfId="1898"/>
    <cellStyle name="표준 9 5" xfId="1899"/>
    <cellStyle name="표준 9 5 2" xfId="1900"/>
    <cellStyle name="표준 9 5 3" xfId="1901"/>
    <cellStyle name="표준 9 6" xfId="1902"/>
    <cellStyle name="표준 9 6 2" xfId="1903"/>
    <cellStyle name="표준 9 6 3" xfId="1904"/>
    <cellStyle name="표준 9 7" xfId="1905"/>
    <cellStyle name="표준_제1장총괄(526~593)" xfId="19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행정사건 내용별 구성-접수(도표 23)</a:t>
            </a:r>
          </a:p>
        </c:rich>
      </c:tx>
      <c:layout>
        <c:manualLayout>
          <c:xMode val="edge"/>
          <c:yMode val="edge"/>
          <c:x val="0.32779453238985962"/>
          <c:y val="2.831402831402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302060230548675"/>
          <c:y val="0.16988457523890593"/>
          <c:w val="0.31097895177409829"/>
          <c:h val="0.78378337842904777"/>
        </c:manualLayout>
      </c:layout>
      <c:doughnut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E1A-4BB1-B532-FBA340D30C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BB1-B532-FBA340D30CEB}"/>
              </c:ext>
            </c:extLst>
          </c:dPt>
          <c:dLbls>
            <c:dLbl>
              <c:idx val="0"/>
              <c:layout>
                <c:manualLayout>
                  <c:x val="0.11960571247521035"/>
                  <c:y val="-0.21902410847292736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33,258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(66,6%)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1A-4BB1-B532-FBA340D30CEB}"/>
                </c:ext>
              </c:extLst>
            </c:dLbl>
            <c:dLbl>
              <c:idx val="1"/>
              <c:layout>
                <c:manualLayout>
                  <c:x val="-0.17685047193243913"/>
                  <c:y val="-4.1184041184041183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16,642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(33.4%)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1A-4BB1-B532-FBA340D30CE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'1'!$D$27:$D$28</c:f>
              <c:strCache>
                <c:ptCount val="2"/>
                <c:pt idx="0">
                  <c:v>본안사건</c:v>
                </c:pt>
                <c:pt idx="1">
                  <c:v>본안외사건</c:v>
                </c:pt>
              </c:strCache>
            </c:strRef>
          </c:cat>
          <c:val>
            <c:numRef>
              <c:f>'1'!$E$27:$E$28</c:f>
              <c:numCache>
                <c:formatCode>_(* #,##0_);_(* \(#,##0\);_(* "-"_);_(@_)</c:formatCode>
                <c:ptCount val="2"/>
                <c:pt idx="0">
                  <c:v>33258</c:v>
                </c:pt>
                <c:pt idx="1">
                  <c:v>16642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A-4BB1-B532-FBA340D3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chemeClr val="tx1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chemeClr val="tx1"/>
                </a:solidFill>
                <a:latin typeface="돋움"/>
                <a:ea typeface="돋움"/>
              </a:rPr>
              <a:t>지식재산사건 내용별 구성-접수(도표 24)</a:t>
            </a:r>
          </a:p>
        </c:rich>
      </c:tx>
      <c:layout>
        <c:manualLayout>
          <c:xMode val="edge"/>
          <c:yMode val="edge"/>
          <c:x val="0.29779392465647675"/>
          <c:y val="3.7037037037037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924154701250579"/>
          <c:y val="0.19382832701467873"/>
          <c:w val="0.38541608769492047"/>
          <c:h val="0.77654204335569166"/>
        </c:manualLayout>
      </c:layout>
      <c:doughnut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F0-4DF1-B250-FC69DAFB6B1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9F0-4DF1-B250-FC69DAFB6B1A}"/>
              </c:ext>
            </c:extLst>
          </c:dPt>
          <c:dLbls>
            <c:dLbl>
              <c:idx val="0"/>
              <c:layout>
                <c:manualLayout>
                  <c:x val="0.19132449436467497"/>
                  <c:y val="-0.22486186448916104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688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(66.4%)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8113710050949"/>
                      <c:h val="0.221234567901234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F0-4DF1-B250-FC69DAFB6B1A}"/>
                </c:ext>
              </c:extLst>
            </c:dLbl>
            <c:dLbl>
              <c:idx val="1"/>
              <c:layout>
                <c:manualLayout>
                  <c:x val="-0.15348676084607074"/>
                  <c:y val="-0.1068013998250219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348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(33.6%)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66666666666666"/>
                      <c:h val="0.23308641975308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F0-4DF1-B250-FC69DAFB6B1A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'7'!$D$17:$D$18</c:f>
              <c:strCache>
                <c:ptCount val="2"/>
                <c:pt idx="0">
                  <c:v>본안사건</c:v>
                </c:pt>
                <c:pt idx="1">
                  <c:v>본안외사건 </c:v>
                </c:pt>
              </c:strCache>
            </c:strRef>
          </c:cat>
          <c:val>
            <c:numRef>
              <c:f>'7'!$E$17:$E$18</c:f>
              <c:numCache>
                <c:formatCode>_(* #,##0_);_(* \(#,##0\);_(* "-"_);_(@_)</c:formatCode>
                <c:ptCount val="2"/>
                <c:pt idx="0">
                  <c:v>688</c:v>
                </c:pt>
                <c:pt idx="1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0-4DF1-B250-FC69DAFB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chemeClr val="bg1"/>
    </a:solidFill>
    <a:ln w="9525">
      <a:solidFill>
        <a:schemeClr val="bg1"/>
      </a:solidFill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0</xdr:rowOff>
    </xdr:from>
    <xdr:to>
      <xdr:col>8</xdr:col>
      <xdr:colOff>371475</xdr:colOff>
      <xdr:row>36</xdr:row>
      <xdr:rowOff>114300</xdr:rowOff>
    </xdr:to>
    <xdr:graphicFrame macro="">
      <xdr:nvGraphicFramePr>
        <xdr:cNvPr id="151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647700</xdr:colOff>
      <xdr:row>27</xdr:row>
      <xdr:rowOff>28575</xdr:rowOff>
    </xdr:from>
    <xdr:ext cx="692626" cy="680699"/>
    <xdr:sp macro="" textlink="">
      <xdr:nvSpPr>
        <xdr:cNvPr id="2" name="TextBox 1"/>
        <xdr:cNvSpPr txBox="1"/>
      </xdr:nvSpPr>
      <xdr:spPr>
        <a:xfrm>
          <a:off x="2933700" y="8067675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49,900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1</xdr:col>
      <xdr:colOff>19050</xdr:colOff>
      <xdr:row>3</xdr:row>
      <xdr:rowOff>0</xdr:rowOff>
    </xdr:to>
    <xdr:sp macro="" textlink="">
      <xdr:nvSpPr>
        <xdr:cNvPr id="3033" name="Line 1"/>
        <xdr:cNvSpPr>
          <a:spLocks noChangeShapeType="1"/>
        </xdr:cNvSpPr>
      </xdr:nvSpPr>
      <xdr:spPr bwMode="auto">
        <a:xfrm>
          <a:off x="19050" y="361950"/>
          <a:ext cx="7620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9525</xdr:colOff>
      <xdr:row>19</xdr:row>
      <xdr:rowOff>9525</xdr:rowOff>
    </xdr:to>
    <xdr:sp macro="" textlink="">
      <xdr:nvSpPr>
        <xdr:cNvPr id="3034" name="Line 4"/>
        <xdr:cNvSpPr>
          <a:spLocks noChangeShapeType="1"/>
        </xdr:cNvSpPr>
      </xdr:nvSpPr>
      <xdr:spPr bwMode="auto">
        <a:xfrm>
          <a:off x="0" y="4848225"/>
          <a:ext cx="161925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19050</xdr:colOff>
      <xdr:row>13</xdr:row>
      <xdr:rowOff>0</xdr:rowOff>
    </xdr:to>
    <xdr:sp macro="" textlink="">
      <xdr:nvSpPr>
        <xdr:cNvPr id="640702" name="Line 1"/>
        <xdr:cNvSpPr>
          <a:spLocks noChangeShapeType="1"/>
        </xdr:cNvSpPr>
      </xdr:nvSpPr>
      <xdr:spPr bwMode="auto">
        <a:xfrm>
          <a:off x="0" y="3028950"/>
          <a:ext cx="18573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21</xdr:row>
      <xdr:rowOff>19050</xdr:rowOff>
    </xdr:from>
    <xdr:to>
      <xdr:col>1</xdr:col>
      <xdr:colOff>0</xdr:colOff>
      <xdr:row>23</xdr:row>
      <xdr:rowOff>0</xdr:rowOff>
    </xdr:to>
    <xdr:sp macro="" textlink="">
      <xdr:nvSpPr>
        <xdr:cNvPr id="640703" name="Line 2"/>
        <xdr:cNvSpPr>
          <a:spLocks noChangeShapeType="1"/>
        </xdr:cNvSpPr>
      </xdr:nvSpPr>
      <xdr:spPr bwMode="auto">
        <a:xfrm>
          <a:off x="57150" y="5334000"/>
          <a:ext cx="1076325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47625</xdr:rowOff>
    </xdr:from>
    <xdr:to>
      <xdr:col>0</xdr:col>
      <xdr:colOff>1276350</xdr:colOff>
      <xdr:row>30</xdr:row>
      <xdr:rowOff>0</xdr:rowOff>
    </xdr:to>
    <xdr:sp macro="" textlink="">
      <xdr:nvSpPr>
        <xdr:cNvPr id="640704" name="Line 3"/>
        <xdr:cNvSpPr>
          <a:spLocks noChangeShapeType="1"/>
        </xdr:cNvSpPr>
      </xdr:nvSpPr>
      <xdr:spPr bwMode="auto">
        <a:xfrm>
          <a:off x="28575" y="7000875"/>
          <a:ext cx="110490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34</xdr:row>
      <xdr:rowOff>47625</xdr:rowOff>
    </xdr:from>
    <xdr:to>
      <xdr:col>1</xdr:col>
      <xdr:colOff>0</xdr:colOff>
      <xdr:row>37</xdr:row>
      <xdr:rowOff>0</xdr:rowOff>
    </xdr:to>
    <xdr:sp macro="" textlink="">
      <xdr:nvSpPr>
        <xdr:cNvPr id="640705" name="Line 1"/>
        <xdr:cNvSpPr>
          <a:spLocks noChangeShapeType="1"/>
        </xdr:cNvSpPr>
      </xdr:nvSpPr>
      <xdr:spPr bwMode="auto">
        <a:xfrm>
          <a:off x="28575" y="8743950"/>
          <a:ext cx="110490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238125</xdr:rowOff>
    </xdr:from>
    <xdr:to>
      <xdr:col>0</xdr:col>
      <xdr:colOff>1181100</xdr:colOff>
      <xdr:row>4</xdr:row>
      <xdr:rowOff>209550</xdr:rowOff>
    </xdr:to>
    <xdr:sp macro="" textlink="">
      <xdr:nvSpPr>
        <xdr:cNvPr id="4950" name="Line 2"/>
        <xdr:cNvSpPr>
          <a:spLocks noChangeShapeType="1"/>
        </xdr:cNvSpPr>
      </xdr:nvSpPr>
      <xdr:spPr bwMode="auto">
        <a:xfrm>
          <a:off x="0" y="742950"/>
          <a:ext cx="11811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2</xdr:col>
      <xdr:colOff>9525</xdr:colOff>
      <xdr:row>5</xdr:row>
      <xdr:rowOff>0</xdr:rowOff>
    </xdr:to>
    <xdr:sp macro="" textlink="">
      <xdr:nvSpPr>
        <xdr:cNvPr id="6091" name="Line 1"/>
        <xdr:cNvSpPr>
          <a:spLocks noChangeShapeType="1"/>
        </xdr:cNvSpPr>
      </xdr:nvSpPr>
      <xdr:spPr bwMode="auto">
        <a:xfrm>
          <a:off x="19050" y="847725"/>
          <a:ext cx="1419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17</xdr:row>
      <xdr:rowOff>0</xdr:rowOff>
    </xdr:from>
    <xdr:to>
      <xdr:col>2</xdr:col>
      <xdr:colOff>19050</xdr:colOff>
      <xdr:row>19</xdr:row>
      <xdr:rowOff>9525</xdr:rowOff>
    </xdr:to>
    <xdr:sp macro="" textlink="">
      <xdr:nvSpPr>
        <xdr:cNvPr id="6092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0</xdr:rowOff>
    </xdr:from>
    <xdr:to>
      <xdr:col>2</xdr:col>
      <xdr:colOff>19050</xdr:colOff>
      <xdr:row>4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0</xdr:rowOff>
    </xdr:from>
    <xdr:to>
      <xdr:col>1</xdr:col>
      <xdr:colOff>1028701</xdr:colOff>
      <xdr:row>4</xdr:row>
      <xdr:rowOff>228600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6" y="438150"/>
          <a:ext cx="20002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37</xdr:row>
      <xdr:rowOff>19050</xdr:rowOff>
    </xdr:from>
    <xdr:to>
      <xdr:col>1</xdr:col>
      <xdr:colOff>0</xdr:colOff>
      <xdr:row>38</xdr:row>
      <xdr:rowOff>171450</xdr:rowOff>
    </xdr:to>
    <xdr:sp macro="" textlink="">
      <xdr:nvSpPr>
        <xdr:cNvPr id="999447" name="Line 2"/>
        <xdr:cNvSpPr>
          <a:spLocks noChangeShapeType="1"/>
        </xdr:cNvSpPr>
      </xdr:nvSpPr>
      <xdr:spPr bwMode="auto">
        <a:xfrm>
          <a:off x="28575" y="8963025"/>
          <a:ext cx="9239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828675</xdr:colOff>
      <xdr:row>12</xdr:row>
      <xdr:rowOff>142875</xdr:rowOff>
    </xdr:from>
    <xdr:to>
      <xdr:col>7</xdr:col>
      <xdr:colOff>438150</xdr:colOff>
      <xdr:row>22</xdr:row>
      <xdr:rowOff>238125</xdr:rowOff>
    </xdr:to>
    <xdr:graphicFrame macro="">
      <xdr:nvGraphicFramePr>
        <xdr:cNvPr id="99944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619125</xdr:colOff>
      <xdr:row>17</xdr:row>
      <xdr:rowOff>19050</xdr:rowOff>
    </xdr:from>
    <xdr:ext cx="692626" cy="680699"/>
    <xdr:sp macro="" textlink="">
      <xdr:nvSpPr>
        <xdr:cNvPr id="2" name="TextBox 1"/>
        <xdr:cNvSpPr txBox="1"/>
      </xdr:nvSpPr>
      <xdr:spPr>
        <a:xfrm>
          <a:off x="3095625" y="4476750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1,036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1</xdr:col>
      <xdr:colOff>9525</xdr:colOff>
      <xdr:row>5</xdr:row>
      <xdr:rowOff>9525</xdr:rowOff>
    </xdr:to>
    <xdr:sp macro="" textlink="">
      <xdr:nvSpPr>
        <xdr:cNvPr id="543642" name="Line 1"/>
        <xdr:cNvSpPr>
          <a:spLocks noChangeShapeType="1"/>
        </xdr:cNvSpPr>
      </xdr:nvSpPr>
      <xdr:spPr bwMode="auto">
        <a:xfrm>
          <a:off x="19050" y="714375"/>
          <a:ext cx="1038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</xdr:row>
      <xdr:rowOff>0</xdr:rowOff>
    </xdr:from>
    <xdr:to>
      <xdr:col>1</xdr:col>
      <xdr:colOff>9525</xdr:colOff>
      <xdr:row>12</xdr:row>
      <xdr:rowOff>0</xdr:rowOff>
    </xdr:to>
    <xdr:sp macro="" textlink="">
      <xdr:nvSpPr>
        <xdr:cNvPr id="543643" name="Line 2"/>
        <xdr:cNvSpPr>
          <a:spLocks noChangeShapeType="1"/>
        </xdr:cNvSpPr>
      </xdr:nvSpPr>
      <xdr:spPr bwMode="auto">
        <a:xfrm>
          <a:off x="28575" y="2428875"/>
          <a:ext cx="102870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4" name="Line 3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5" name="Line 4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28575</xdr:rowOff>
    </xdr:from>
    <xdr:to>
      <xdr:col>1</xdr:col>
      <xdr:colOff>19050</xdr:colOff>
      <xdr:row>27</xdr:row>
      <xdr:rowOff>0</xdr:rowOff>
    </xdr:to>
    <xdr:sp macro="" textlink="">
      <xdr:nvSpPr>
        <xdr:cNvPr id="1019947" name="Line 2"/>
        <xdr:cNvSpPr>
          <a:spLocks noChangeShapeType="1"/>
        </xdr:cNvSpPr>
      </xdr:nvSpPr>
      <xdr:spPr bwMode="auto">
        <a:xfrm>
          <a:off x="19050" y="5676900"/>
          <a:ext cx="128587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8" name="Line 11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9" name="Line 13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0" name="Line 14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1" name="Line 15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2" name="Line 17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3" name="Line 19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4" name="Line 21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5" name="Line 28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6" name="Line 29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7" name="Line 31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8" name="Line 34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504825</xdr:colOff>
      <xdr:row>34</xdr:row>
      <xdr:rowOff>0</xdr:rowOff>
    </xdr:from>
    <xdr:to>
      <xdr:col>0</xdr:col>
      <xdr:colOff>533400</xdr:colOff>
      <xdr:row>34</xdr:row>
      <xdr:rowOff>0</xdr:rowOff>
    </xdr:to>
    <xdr:sp macro="" textlink="">
      <xdr:nvSpPr>
        <xdr:cNvPr id="1019959" name="Line 44"/>
        <xdr:cNvSpPr>
          <a:spLocks noChangeShapeType="1"/>
        </xdr:cNvSpPr>
      </xdr:nvSpPr>
      <xdr:spPr bwMode="auto">
        <a:xfrm>
          <a:off x="504825" y="7639050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0" name="Line 45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1" name="Line 46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2" name="Line 50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3" name="Line 51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36</xdr:row>
      <xdr:rowOff>28575</xdr:rowOff>
    </xdr:from>
    <xdr:to>
      <xdr:col>2</xdr:col>
      <xdr:colOff>9525</xdr:colOff>
      <xdr:row>38</xdr:row>
      <xdr:rowOff>9525</xdr:rowOff>
    </xdr:to>
    <xdr:sp macro="" textlink="">
      <xdr:nvSpPr>
        <xdr:cNvPr id="1019964" name="Line 107"/>
        <xdr:cNvSpPr>
          <a:spLocks noChangeShapeType="1"/>
        </xdr:cNvSpPr>
      </xdr:nvSpPr>
      <xdr:spPr bwMode="auto">
        <a:xfrm>
          <a:off x="9525" y="8029575"/>
          <a:ext cx="20478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5" name="Line 108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019966" name="Line 109"/>
        <xdr:cNvSpPr>
          <a:spLocks noChangeShapeType="1"/>
        </xdr:cNvSpPr>
      </xdr:nvSpPr>
      <xdr:spPr bwMode="auto">
        <a:xfrm>
          <a:off x="28575" y="2505075"/>
          <a:ext cx="12573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7" name="Line 111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D6"/>
  <sheetViews>
    <sheetView workbookViewId="0"/>
  </sheetViews>
  <sheetFormatPr defaultRowHeight="13.5" x14ac:dyDescent="0.15"/>
  <cols>
    <col min="2" max="2" width="36.44140625" customWidth="1"/>
    <col min="3" max="3" width="8" customWidth="1"/>
  </cols>
  <sheetData>
    <row r="5" spans="1:4" x14ac:dyDescent="0.15">
      <c r="A5" s="197" t="s">
        <v>273</v>
      </c>
      <c r="B5" s="197" t="s">
        <v>274</v>
      </c>
      <c r="C5" s="197" t="s">
        <v>275</v>
      </c>
      <c r="D5" s="197" t="s">
        <v>276</v>
      </c>
    </row>
    <row r="6" spans="1:4" x14ac:dyDescent="0.15">
      <c r="A6" s="198">
        <v>6</v>
      </c>
      <c r="B6" s="199" t="s">
        <v>279</v>
      </c>
      <c r="C6" s="200" t="s">
        <v>277</v>
      </c>
      <c r="D6" s="201" t="s">
        <v>278</v>
      </c>
    </row>
  </sheetData>
  <sheetProtection algorithmName="SHA-512" hashValue="A7esYyK91yCkRGUdrnj200vGl680S4/xbWI533zCMubI5q85L1Bg9NEq+wactF+FvnQH/X29c3b83OxXWovcWQ==" saltValue="8Nvl96UDAajw8lYqmlfZGQ==" spinCount="100000" sheet="1" objects="1" scenarios="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34"/>
  <sheetViews>
    <sheetView showGridLines="0" tabSelected="1" zoomScaleNormal="100" zoomScaleSheetLayoutView="100" workbookViewId="0"/>
  </sheetViews>
  <sheetFormatPr defaultRowHeight="11.25" x14ac:dyDescent="0.15"/>
  <cols>
    <col min="1" max="9" width="8.88671875" style="16"/>
    <col min="10" max="12" width="8.88671875" style="85"/>
    <col min="13" max="16384" width="8.88671875" style="16"/>
  </cols>
  <sheetData>
    <row r="1" spans="1:12" s="9" customFormat="1" ht="14.65" customHeight="1" x14ac:dyDescent="0.15">
      <c r="A1" s="7"/>
      <c r="B1" s="1"/>
      <c r="C1" s="6"/>
      <c r="D1" s="8"/>
      <c r="E1" s="8"/>
      <c r="F1" s="8"/>
      <c r="J1" s="81"/>
      <c r="K1" s="81"/>
      <c r="L1" s="81"/>
    </row>
    <row r="2" spans="1:12" s="9" customFormat="1" ht="14.65" customHeight="1" x14ac:dyDescent="0.15">
      <c r="A2" s="7"/>
      <c r="B2" s="1"/>
      <c r="C2" s="6"/>
      <c r="D2" s="8"/>
      <c r="E2" s="8"/>
      <c r="F2" s="8"/>
      <c r="G2" s="8"/>
      <c r="J2" s="81"/>
      <c r="K2" s="81"/>
      <c r="L2" s="81"/>
    </row>
    <row r="3" spans="1:12" s="12" customFormat="1" ht="15.75" customHeight="1" x14ac:dyDescent="0.15">
      <c r="A3" s="229" t="s">
        <v>287</v>
      </c>
      <c r="B3" s="2"/>
      <c r="C3" s="10"/>
      <c r="D3" s="11"/>
      <c r="E3" s="11"/>
      <c r="F3" s="11"/>
      <c r="G3" s="11"/>
      <c r="J3" s="82"/>
      <c r="K3" s="82"/>
      <c r="L3" s="82"/>
    </row>
    <row r="4" spans="1:12" s="12" customFormat="1" ht="14.65" customHeight="1" x14ac:dyDescent="0.15">
      <c r="A4" s="2"/>
      <c r="B4" s="2"/>
      <c r="C4" s="10"/>
      <c r="D4" s="11"/>
      <c r="E4" s="11"/>
      <c r="F4" s="11"/>
      <c r="G4" s="11"/>
      <c r="J4" s="82"/>
      <c r="K4" s="82"/>
      <c r="L4" s="82"/>
    </row>
    <row r="5" spans="1:12" s="12" customFormat="1" ht="14.65" customHeight="1" x14ac:dyDescent="0.15">
      <c r="A5" s="13" t="s">
        <v>162</v>
      </c>
      <c r="B5" s="2"/>
      <c r="C5" s="10"/>
      <c r="D5" s="11"/>
      <c r="E5" s="11"/>
      <c r="F5" s="11"/>
      <c r="G5" s="11"/>
      <c r="J5" s="82"/>
      <c r="K5" s="82"/>
      <c r="L5" s="82"/>
    </row>
    <row r="6" spans="1:12" s="12" customFormat="1" ht="62.25" customHeight="1" x14ac:dyDescent="0.15">
      <c r="A6" s="247" t="s">
        <v>324</v>
      </c>
      <c r="B6" s="247"/>
      <c r="C6" s="247"/>
      <c r="D6" s="247"/>
      <c r="E6" s="247"/>
      <c r="F6" s="247"/>
      <c r="G6" s="247"/>
      <c r="H6" s="247"/>
      <c r="I6" s="247"/>
      <c r="J6" s="82"/>
      <c r="K6" s="82"/>
      <c r="L6" s="82"/>
    </row>
    <row r="7" spans="1:12" s="12" customFormat="1" ht="14.65" customHeight="1" x14ac:dyDescent="0.15">
      <c r="A7" s="2"/>
      <c r="B7" s="2"/>
      <c r="C7" s="2"/>
      <c r="D7" s="2"/>
      <c r="E7" s="2"/>
      <c r="F7" s="2"/>
      <c r="G7" s="2"/>
      <c r="J7" s="82"/>
      <c r="K7" s="82"/>
      <c r="L7" s="82"/>
    </row>
    <row r="8" spans="1:12" s="9" customFormat="1" ht="14.65" customHeight="1" x14ac:dyDescent="0.15">
      <c r="A8" s="14" t="s">
        <v>288</v>
      </c>
      <c r="B8" s="1"/>
      <c r="C8" s="1"/>
      <c r="D8" s="1"/>
      <c r="E8" s="1"/>
      <c r="F8" s="1"/>
      <c r="G8" s="1"/>
      <c r="J8" s="81"/>
      <c r="K8" s="81"/>
      <c r="L8" s="81"/>
    </row>
    <row r="9" spans="1:12" s="15" customFormat="1" ht="34.5" customHeight="1" x14ac:dyDescent="0.15">
      <c r="A9" s="75"/>
      <c r="B9" s="75"/>
      <c r="C9" s="89" t="s">
        <v>196</v>
      </c>
      <c r="D9" s="248" t="s">
        <v>319</v>
      </c>
      <c r="E9" s="248"/>
      <c r="F9" s="248" t="s">
        <v>270</v>
      </c>
      <c r="G9" s="248"/>
      <c r="H9" s="249" t="s">
        <v>256</v>
      </c>
      <c r="I9" s="250"/>
      <c r="J9" s="83"/>
      <c r="K9" s="83"/>
      <c r="L9" s="83"/>
    </row>
    <row r="10" spans="1:12" s="15" customFormat="1" ht="34.5" customHeight="1" x14ac:dyDescent="0.15">
      <c r="A10" s="153" t="s">
        <v>248</v>
      </c>
      <c r="B10" s="41"/>
      <c r="C10" s="90"/>
      <c r="D10" s="88" t="s">
        <v>327</v>
      </c>
      <c r="E10" s="88" t="s">
        <v>328</v>
      </c>
      <c r="F10" s="88" t="s">
        <v>327</v>
      </c>
      <c r="G10" s="88" t="s">
        <v>328</v>
      </c>
      <c r="H10" s="88" t="s">
        <v>327</v>
      </c>
      <c r="I10" s="88" t="s">
        <v>328</v>
      </c>
      <c r="J10" s="83"/>
      <c r="K10" s="83"/>
      <c r="L10" s="83"/>
    </row>
    <row r="11" spans="1:12" s="15" customFormat="1" ht="34.5" customHeight="1" x14ac:dyDescent="0.15">
      <c r="A11" s="244" t="s">
        <v>49</v>
      </c>
      <c r="B11" s="245"/>
      <c r="C11" s="246"/>
      <c r="D11" s="92">
        <v>49900</v>
      </c>
      <c r="E11" s="93">
        <v>49613</v>
      </c>
      <c r="F11" s="92">
        <v>50753</v>
      </c>
      <c r="G11" s="93">
        <v>48637</v>
      </c>
      <c r="H11" s="92">
        <v>48788</v>
      </c>
      <c r="I11" s="93">
        <v>45488</v>
      </c>
      <c r="J11" s="83"/>
      <c r="K11" s="83"/>
      <c r="L11" s="83"/>
    </row>
    <row r="12" spans="1:12" s="15" customFormat="1" ht="34.5" customHeight="1" x14ac:dyDescent="0.15">
      <c r="A12" s="257" t="s">
        <v>50</v>
      </c>
      <c r="B12" s="258"/>
      <c r="C12" s="259"/>
      <c r="D12" s="94">
        <v>33258</v>
      </c>
      <c r="E12" s="95">
        <v>33751</v>
      </c>
      <c r="F12" s="94">
        <v>35054</v>
      </c>
      <c r="G12" s="95">
        <v>33129</v>
      </c>
      <c r="H12" s="94">
        <v>32075</v>
      </c>
      <c r="I12" s="95">
        <v>29582</v>
      </c>
      <c r="J12" s="83"/>
      <c r="K12" s="83"/>
      <c r="L12" s="83"/>
    </row>
    <row r="13" spans="1:12" s="15" customFormat="1" ht="34.5" customHeight="1" x14ac:dyDescent="0.15">
      <c r="A13" s="257" t="s">
        <v>51</v>
      </c>
      <c r="B13" s="258"/>
      <c r="C13" s="259"/>
      <c r="D13" s="94">
        <v>16642</v>
      </c>
      <c r="E13" s="95">
        <v>15862</v>
      </c>
      <c r="F13" s="94">
        <v>15699</v>
      </c>
      <c r="G13" s="95">
        <v>15508</v>
      </c>
      <c r="H13" s="94">
        <v>16713</v>
      </c>
      <c r="I13" s="95">
        <v>15906</v>
      </c>
      <c r="J13" s="84"/>
      <c r="K13" s="83"/>
      <c r="L13" s="83"/>
    </row>
    <row r="14" spans="1:12" s="15" customFormat="1" ht="34.5" customHeight="1" x14ac:dyDescent="0.15">
      <c r="A14" s="251" t="s">
        <v>21</v>
      </c>
      <c r="B14" s="253" t="s">
        <v>167</v>
      </c>
      <c r="C14" s="254"/>
      <c r="D14" s="96">
        <v>4126</v>
      </c>
      <c r="E14" s="97">
        <v>4172</v>
      </c>
      <c r="F14" s="96">
        <v>3406</v>
      </c>
      <c r="G14" s="97">
        <v>3255</v>
      </c>
      <c r="H14" s="96">
        <v>3053</v>
      </c>
      <c r="I14" s="97">
        <v>3187</v>
      </c>
      <c r="J14" s="84"/>
      <c r="K14" s="83"/>
      <c r="L14" s="83"/>
    </row>
    <row r="15" spans="1:12" s="15" customFormat="1" ht="34.5" customHeight="1" x14ac:dyDescent="0.15">
      <c r="A15" s="251"/>
      <c r="B15" s="253" t="s">
        <v>166</v>
      </c>
      <c r="C15" s="254"/>
      <c r="D15" s="96">
        <v>7226</v>
      </c>
      <c r="E15" s="97">
        <v>7559</v>
      </c>
      <c r="F15" s="96">
        <v>7780</v>
      </c>
      <c r="G15" s="97">
        <v>6758</v>
      </c>
      <c r="H15" s="96">
        <v>6513</v>
      </c>
      <c r="I15" s="97">
        <v>5819</v>
      </c>
      <c r="J15" s="84"/>
    </row>
    <row r="16" spans="1:12" s="15" customFormat="1" ht="34.5" customHeight="1" x14ac:dyDescent="0.15">
      <c r="A16" s="251"/>
      <c r="B16" s="253" t="s">
        <v>173</v>
      </c>
      <c r="C16" s="254"/>
      <c r="D16" s="96">
        <v>21906</v>
      </c>
      <c r="E16" s="97">
        <v>22020</v>
      </c>
      <c r="F16" s="96">
        <v>23868</v>
      </c>
      <c r="G16" s="97">
        <v>23116</v>
      </c>
      <c r="H16" s="96">
        <v>22509</v>
      </c>
      <c r="I16" s="97">
        <v>20576</v>
      </c>
      <c r="J16" s="84"/>
    </row>
    <row r="17" spans="1:22" s="15" customFormat="1" ht="34.5" customHeight="1" x14ac:dyDescent="0.15">
      <c r="A17" s="251" t="s">
        <v>52</v>
      </c>
      <c r="B17" s="253" t="s">
        <v>179</v>
      </c>
      <c r="C17" s="254"/>
      <c r="D17" s="96">
        <v>2601</v>
      </c>
      <c r="E17" s="97">
        <v>1816</v>
      </c>
      <c r="F17" s="96">
        <v>969</v>
      </c>
      <c r="G17" s="97">
        <v>994</v>
      </c>
      <c r="H17" s="96">
        <v>2251</v>
      </c>
      <c r="I17" s="97">
        <v>1618</v>
      </c>
      <c r="J17" s="84"/>
    </row>
    <row r="18" spans="1:22" s="15" customFormat="1" ht="34.5" customHeight="1" x14ac:dyDescent="0.15">
      <c r="A18" s="251"/>
      <c r="B18" s="253" t="s">
        <v>22</v>
      </c>
      <c r="C18" s="254"/>
      <c r="D18" s="96">
        <v>2264</v>
      </c>
      <c r="E18" s="97">
        <v>2277</v>
      </c>
      <c r="F18" s="96">
        <v>2335</v>
      </c>
      <c r="G18" s="97">
        <v>2266</v>
      </c>
      <c r="H18" s="96">
        <v>2203</v>
      </c>
      <c r="I18" s="97">
        <v>2260</v>
      </c>
      <c r="J18" s="83"/>
      <c r="K18" s="83"/>
      <c r="L18" s="83"/>
    </row>
    <row r="19" spans="1:22" s="15" customFormat="1" ht="34.5" customHeight="1" x14ac:dyDescent="0.15">
      <c r="A19" s="252"/>
      <c r="B19" s="255" t="s">
        <v>23</v>
      </c>
      <c r="C19" s="256"/>
      <c r="D19" s="98">
        <v>11777</v>
      </c>
      <c r="E19" s="99">
        <v>11769</v>
      </c>
      <c r="F19" s="98">
        <v>12395</v>
      </c>
      <c r="G19" s="99">
        <v>12248</v>
      </c>
      <c r="H19" s="98">
        <v>12259</v>
      </c>
      <c r="I19" s="99">
        <v>12028</v>
      </c>
      <c r="J19" s="83"/>
      <c r="K19" s="83"/>
      <c r="L19" s="83"/>
    </row>
    <row r="20" spans="1:22" s="15" customFormat="1" x14ac:dyDescent="0.15">
      <c r="A20" s="5"/>
      <c r="B20" s="5"/>
      <c r="C20" s="5"/>
      <c r="D20" s="5"/>
      <c r="E20" s="5"/>
      <c r="F20" s="5"/>
      <c r="G20" s="6"/>
      <c r="H20" s="6"/>
      <c r="I20" s="6"/>
      <c r="J20" s="83"/>
      <c r="K20" s="83"/>
      <c r="L20" s="83"/>
    </row>
    <row r="21" spans="1:22" s="15" customFormat="1" x14ac:dyDescent="0.15">
      <c r="A21" s="5"/>
      <c r="B21" s="5"/>
      <c r="C21" s="5"/>
      <c r="D21" s="5"/>
      <c r="E21" s="5"/>
      <c r="F21" s="5"/>
      <c r="G21" s="6"/>
      <c r="H21" s="6"/>
      <c r="I21" s="6"/>
      <c r="J21" s="6"/>
      <c r="K21" s="83"/>
      <c r="L21" s="83"/>
      <c r="M21" s="83"/>
    </row>
    <row r="22" spans="1:22" s="15" customFormat="1" x14ac:dyDescent="0.15">
      <c r="K22" s="5"/>
      <c r="L22" s="6"/>
      <c r="M22" s="6"/>
      <c r="N22" s="6"/>
      <c r="O22" s="83"/>
      <c r="P22" s="83"/>
      <c r="Q22" s="83"/>
      <c r="R22" s="83"/>
      <c r="S22" s="83"/>
      <c r="T22" s="83"/>
      <c r="U22" s="83"/>
      <c r="V22" s="83"/>
    </row>
    <row r="23" spans="1:22" s="15" customFormat="1" x14ac:dyDescent="0.15">
      <c r="K23" s="5"/>
      <c r="L23" s="6"/>
      <c r="M23" s="6"/>
      <c r="N23" s="6"/>
      <c r="O23" s="83"/>
      <c r="P23" s="83"/>
      <c r="Q23" s="83"/>
      <c r="R23" s="83"/>
      <c r="S23" s="83"/>
      <c r="T23" s="83"/>
      <c r="U23" s="83"/>
      <c r="V23" s="83"/>
    </row>
    <row r="24" spans="1:22" s="15" customFormat="1" x14ac:dyDescent="0.15">
      <c r="K24" s="5"/>
      <c r="L24" s="6"/>
      <c r="M24" s="6"/>
      <c r="N24" s="6"/>
      <c r="O24" s="83"/>
      <c r="P24" s="83"/>
      <c r="Q24" s="83"/>
      <c r="R24" s="83"/>
      <c r="S24" s="83"/>
      <c r="T24" s="83"/>
      <c r="U24" s="83"/>
      <c r="V24" s="83"/>
    </row>
    <row r="25" spans="1:22" s="15" customFormat="1" x14ac:dyDescent="0.15">
      <c r="D25" s="5"/>
      <c r="E25" s="5"/>
      <c r="F25" s="5"/>
      <c r="K25" s="5"/>
      <c r="L25" s="6"/>
      <c r="M25" s="6"/>
      <c r="N25" s="6"/>
      <c r="O25" s="83"/>
      <c r="P25" s="83"/>
      <c r="Q25" s="83"/>
      <c r="R25" s="83"/>
      <c r="S25" s="83"/>
      <c r="T25" s="83"/>
      <c r="U25" s="83"/>
      <c r="V25" s="83"/>
    </row>
    <row r="26" spans="1:22" s="15" customFormat="1" x14ac:dyDescent="0.15">
      <c r="D26" s="5"/>
      <c r="E26" s="5"/>
      <c r="F26" s="5"/>
      <c r="K26" s="5"/>
      <c r="L26" s="6"/>
      <c r="M26" s="6"/>
      <c r="N26" s="6"/>
      <c r="O26" s="83"/>
      <c r="P26" s="83"/>
      <c r="Q26" s="83"/>
      <c r="R26" s="83"/>
      <c r="S26" s="83"/>
      <c r="T26" s="83"/>
      <c r="U26" s="83"/>
      <c r="V26" s="83"/>
    </row>
    <row r="27" spans="1:22" s="15" customFormat="1" x14ac:dyDescent="0.15">
      <c r="D27" s="5" t="s">
        <v>191</v>
      </c>
      <c r="E27" s="4">
        <v>33258</v>
      </c>
      <c r="F27" s="80">
        <v>0.66649298597194384</v>
      </c>
      <c r="K27" s="5"/>
      <c r="L27" s="6"/>
      <c r="M27" s="6"/>
      <c r="N27" s="6"/>
      <c r="O27" s="83"/>
      <c r="P27" s="83"/>
      <c r="Q27" s="83"/>
      <c r="R27" s="83"/>
      <c r="S27" s="83"/>
      <c r="T27" s="83"/>
      <c r="U27" s="83"/>
      <c r="V27" s="83"/>
    </row>
    <row r="28" spans="1:22" s="15" customFormat="1" x14ac:dyDescent="0.15">
      <c r="D28" s="5" t="s">
        <v>192</v>
      </c>
      <c r="E28" s="4">
        <v>16642</v>
      </c>
      <c r="F28" s="80">
        <v>0.3335070140280561</v>
      </c>
      <c r="K28" s="5"/>
      <c r="L28" s="6"/>
      <c r="M28" s="6"/>
      <c r="N28" s="6"/>
      <c r="O28" s="83"/>
      <c r="P28" s="83"/>
      <c r="Q28" s="83"/>
      <c r="R28" s="83"/>
      <c r="S28" s="83"/>
      <c r="T28" s="83"/>
      <c r="U28" s="83"/>
      <c r="V28" s="83"/>
    </row>
    <row r="29" spans="1:22" s="15" customFormat="1" x14ac:dyDescent="0.15">
      <c r="D29" s="5"/>
      <c r="E29" s="5"/>
      <c r="F29" s="5"/>
      <c r="K29" s="5"/>
      <c r="L29" s="6"/>
      <c r="M29" s="6"/>
      <c r="N29" s="6"/>
      <c r="O29" s="83"/>
      <c r="P29" s="83"/>
      <c r="Q29" s="83"/>
      <c r="R29" s="83"/>
      <c r="S29" s="83"/>
      <c r="T29" s="83"/>
      <c r="U29" s="83"/>
      <c r="V29" s="83"/>
    </row>
    <row r="30" spans="1:22" s="15" customFormat="1" x14ac:dyDescent="0.15">
      <c r="D30" s="5"/>
      <c r="E30" s="5"/>
      <c r="F30" s="5"/>
      <c r="K30" s="5"/>
      <c r="L30" s="6"/>
      <c r="M30" s="6"/>
      <c r="N30" s="6"/>
      <c r="O30" s="83"/>
      <c r="P30" s="83"/>
      <c r="Q30" s="83"/>
      <c r="R30" s="83"/>
      <c r="S30" s="83"/>
      <c r="T30" s="83"/>
      <c r="U30" s="83"/>
      <c r="V30" s="83"/>
    </row>
    <row r="31" spans="1:22" s="15" customFormat="1" x14ac:dyDescent="0.15">
      <c r="D31" s="5"/>
      <c r="E31" s="5"/>
      <c r="F31" s="5"/>
      <c r="K31" s="5"/>
      <c r="L31" s="6"/>
      <c r="M31" s="6"/>
      <c r="N31" s="6"/>
      <c r="O31" s="83"/>
      <c r="P31" s="83"/>
      <c r="Q31" s="83"/>
      <c r="R31" s="83"/>
      <c r="S31" s="83"/>
      <c r="T31" s="83"/>
      <c r="U31" s="83"/>
      <c r="V31" s="83"/>
    </row>
    <row r="32" spans="1:22" s="15" customFormat="1" x14ac:dyDescent="0.15">
      <c r="D32" s="5"/>
      <c r="E32" s="5"/>
      <c r="F32" s="5"/>
      <c r="J32" s="5"/>
      <c r="K32" s="6"/>
      <c r="L32" s="6"/>
      <c r="M32" s="6"/>
      <c r="N32" s="83"/>
      <c r="O32" s="83"/>
      <c r="P32" s="83"/>
      <c r="Q32" s="83"/>
      <c r="R32" s="83"/>
      <c r="S32" s="83"/>
      <c r="T32" s="83"/>
      <c r="U32" s="83"/>
    </row>
    <row r="33" spans="1:21" s="15" customFormat="1" ht="16.5" customHeight="1" x14ac:dyDescent="0.15">
      <c r="J33" s="5"/>
      <c r="K33" s="6"/>
      <c r="L33" s="6"/>
      <c r="M33" s="6"/>
      <c r="N33" s="83"/>
      <c r="O33" s="83"/>
      <c r="P33" s="83"/>
      <c r="Q33" s="83"/>
      <c r="R33" s="83"/>
      <c r="S33" s="83"/>
      <c r="T33" s="83"/>
      <c r="U33" s="83"/>
    </row>
    <row r="34" spans="1:21" s="15" customFormat="1" x14ac:dyDescent="0.15">
      <c r="A34" s="5"/>
      <c r="B34" s="5"/>
      <c r="C34" s="5"/>
      <c r="D34" s="5"/>
      <c r="E34" s="5"/>
      <c r="F34" s="5"/>
      <c r="G34" s="6"/>
      <c r="H34" s="6"/>
      <c r="I34" s="6"/>
      <c r="J34" s="83"/>
      <c r="K34" s="83"/>
      <c r="L34" s="83"/>
    </row>
  </sheetData>
  <sheetProtection algorithmName="SHA-512" hashValue="F4Xgv4QIzEK5kbXow5+m3b28JYIXg9Obygy6oJPaKJ7z1q49ERef3lb0AMr4NTBxRuTZ2d5nDudrEKd+AILYGw==" saltValue="HobcdPt5ZtnquLrDLrsEXA==" spinCount="100000" sheet="1" objects="1" scenarios="1"/>
  <mergeCells count="15">
    <mergeCell ref="A17:A19"/>
    <mergeCell ref="B17:C17"/>
    <mergeCell ref="B18:C18"/>
    <mergeCell ref="B19:C19"/>
    <mergeCell ref="A12:C12"/>
    <mergeCell ref="A13:C13"/>
    <mergeCell ref="A14:A16"/>
    <mergeCell ref="B14:C14"/>
    <mergeCell ref="B15:C15"/>
    <mergeCell ref="B16:C16"/>
    <mergeCell ref="A11:C11"/>
    <mergeCell ref="A6:I6"/>
    <mergeCell ref="D9:E9"/>
    <mergeCell ref="F9:G9"/>
    <mergeCell ref="H9:I9"/>
  </mergeCells>
  <phoneticPr fontId="2" type="noConversion"/>
  <pageMargins left="0.39" right="0.18" top="0.54" bottom="0.18" header="0.5" footer="0.22"/>
  <pageSetup paperSize="9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5"/>
  <sheetViews>
    <sheetView showGridLines="0" zoomScaleNormal="100" zoomScaleSheetLayoutView="100" workbookViewId="0"/>
  </sheetViews>
  <sheetFormatPr defaultRowHeight="11.25" x14ac:dyDescent="0.15"/>
  <cols>
    <col min="1" max="1" width="8.88671875" style="16"/>
    <col min="2" max="2" width="9.88671875" style="16" customWidth="1"/>
    <col min="3" max="3" width="8.77734375" style="16" customWidth="1"/>
    <col min="4" max="4" width="7.44140625" style="16" customWidth="1"/>
    <col min="5" max="5" width="8.44140625" style="16" customWidth="1"/>
    <col min="6" max="6" width="8" style="16" customWidth="1"/>
    <col min="7" max="7" width="7.88671875" style="16" customWidth="1"/>
    <col min="8" max="8" width="7.6640625" style="16" customWidth="1"/>
    <col min="9" max="9" width="6.21875" style="16" customWidth="1"/>
    <col min="10" max="10" width="7.77734375" style="16" customWidth="1"/>
    <col min="11" max="11" width="7.21875" style="16" customWidth="1"/>
    <col min="12" max="16384" width="8.88671875" style="16"/>
  </cols>
  <sheetData>
    <row r="1" spans="1:11" s="9" customFormat="1" ht="27" customHeight="1" x14ac:dyDescent="0.15">
      <c r="A1" s="14" t="s">
        <v>289</v>
      </c>
    </row>
    <row r="2" spans="1:11" s="9" customFormat="1" ht="20.25" customHeight="1" x14ac:dyDescent="0.15">
      <c r="A2" s="17" t="s">
        <v>185</v>
      </c>
      <c r="B2" s="269" t="s">
        <v>186</v>
      </c>
      <c r="C2" s="269"/>
      <c r="D2" s="269" t="s">
        <v>187</v>
      </c>
      <c r="E2" s="269"/>
      <c r="F2" s="269"/>
      <c r="G2" s="269"/>
      <c r="H2" s="269"/>
      <c r="I2" s="269"/>
      <c r="J2" s="269" t="s">
        <v>59</v>
      </c>
      <c r="K2" s="270"/>
    </row>
    <row r="3" spans="1:11" s="9" customFormat="1" ht="20.25" customHeight="1" x14ac:dyDescent="0.15">
      <c r="A3" s="18" t="s">
        <v>161</v>
      </c>
      <c r="B3" s="19" t="s">
        <v>188</v>
      </c>
      <c r="C3" s="19" t="s">
        <v>189</v>
      </c>
      <c r="D3" s="19" t="s">
        <v>53</v>
      </c>
      <c r="E3" s="19" t="s">
        <v>148</v>
      </c>
      <c r="F3" s="19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20" t="s">
        <v>148</v>
      </c>
    </row>
    <row r="4" spans="1:11" s="9" customFormat="1" ht="20.25" customHeight="1" x14ac:dyDescent="0.15">
      <c r="A4" s="131" t="s">
        <v>206</v>
      </c>
      <c r="B4" s="101">
        <v>38502</v>
      </c>
      <c r="C4" s="102">
        <v>100</v>
      </c>
      <c r="D4" s="21">
        <v>2854</v>
      </c>
      <c r="E4" s="100">
        <v>100</v>
      </c>
      <c r="F4" s="21">
        <v>6084</v>
      </c>
      <c r="G4" s="100">
        <v>100</v>
      </c>
      <c r="H4" s="21">
        <v>17777</v>
      </c>
      <c r="I4" s="100">
        <v>100</v>
      </c>
      <c r="J4" s="206">
        <v>11787</v>
      </c>
      <c r="K4" s="100">
        <v>100</v>
      </c>
    </row>
    <row r="5" spans="1:11" s="9" customFormat="1" ht="20.25" customHeight="1" x14ac:dyDescent="0.15">
      <c r="A5" s="22" t="s">
        <v>211</v>
      </c>
      <c r="B5" s="103">
        <v>40124</v>
      </c>
      <c r="C5" s="104">
        <v>104.21276816788738</v>
      </c>
      <c r="D5" s="23">
        <v>2954</v>
      </c>
      <c r="E5" s="31">
        <v>103.50385423966364</v>
      </c>
      <c r="F5" s="23">
        <v>6431</v>
      </c>
      <c r="G5" s="31">
        <v>105.7034845496384</v>
      </c>
      <c r="H5" s="23">
        <v>17630</v>
      </c>
      <c r="I5" s="31">
        <v>99.173088822635989</v>
      </c>
      <c r="J5" s="207">
        <v>13109</v>
      </c>
      <c r="K5" s="31">
        <v>111.21574616102485</v>
      </c>
    </row>
    <row r="6" spans="1:11" s="9" customFormat="1" ht="20.25" customHeight="1" x14ac:dyDescent="0.15">
      <c r="A6" s="22" t="s">
        <v>212</v>
      </c>
      <c r="B6" s="103">
        <v>42521</v>
      </c>
      <c r="C6" s="104">
        <v>110.43841878343983</v>
      </c>
      <c r="D6" s="23">
        <v>3093</v>
      </c>
      <c r="E6" s="31">
        <v>108.37421163279608</v>
      </c>
      <c r="F6" s="23">
        <v>6813</v>
      </c>
      <c r="G6" s="31">
        <v>111.98224852071006</v>
      </c>
      <c r="H6" s="23">
        <v>18271</v>
      </c>
      <c r="I6" s="31">
        <v>102.77887157563144</v>
      </c>
      <c r="J6" s="207">
        <v>14344</v>
      </c>
      <c r="K6" s="31">
        <v>121.69339102400951</v>
      </c>
    </row>
    <row r="7" spans="1:11" s="9" customFormat="1" ht="20.25" customHeight="1" x14ac:dyDescent="0.15">
      <c r="A7" s="22" t="s">
        <v>210</v>
      </c>
      <c r="B7" s="103">
        <v>46702</v>
      </c>
      <c r="C7" s="104">
        <v>121.2975949301335</v>
      </c>
      <c r="D7" s="23">
        <v>3778</v>
      </c>
      <c r="E7" s="31">
        <v>132.37561317449195</v>
      </c>
      <c r="F7" s="23">
        <v>7515</v>
      </c>
      <c r="G7" s="31">
        <v>123.52071005917161</v>
      </c>
      <c r="H7" s="23">
        <v>19541</v>
      </c>
      <c r="I7" s="31">
        <v>109.92293412836811</v>
      </c>
      <c r="J7" s="207">
        <v>15868</v>
      </c>
      <c r="K7" s="31">
        <v>134.62288962416221</v>
      </c>
    </row>
    <row r="8" spans="1:11" s="9" customFormat="1" ht="20.25" customHeight="1" x14ac:dyDescent="0.15">
      <c r="A8" s="22" t="s">
        <v>213</v>
      </c>
      <c r="B8" s="103">
        <v>49777</v>
      </c>
      <c r="C8" s="104">
        <v>129.28419302893357</v>
      </c>
      <c r="D8" s="23">
        <v>4731</v>
      </c>
      <c r="E8" s="31">
        <v>165.76734407848633</v>
      </c>
      <c r="F8" s="23">
        <v>8506</v>
      </c>
      <c r="G8" s="31">
        <v>139.80933596318212</v>
      </c>
      <c r="H8" s="23">
        <v>21743</v>
      </c>
      <c r="I8" s="31">
        <v>122.30972605051471</v>
      </c>
      <c r="J8" s="207">
        <v>14797</v>
      </c>
      <c r="K8" s="31">
        <v>125.53660812759819</v>
      </c>
    </row>
    <row r="9" spans="1:11" s="9" customFormat="1" ht="20.25" customHeight="1" x14ac:dyDescent="0.15">
      <c r="A9" s="22" t="s">
        <v>246</v>
      </c>
      <c r="B9" s="103">
        <v>47930</v>
      </c>
      <c r="C9" s="104">
        <v>124.48703963430472</v>
      </c>
      <c r="D9" s="23">
        <v>3866</v>
      </c>
      <c r="E9" s="31">
        <v>135.45900490539594</v>
      </c>
      <c r="F9" s="23">
        <v>7133</v>
      </c>
      <c r="G9" s="31">
        <v>117.24194608809992</v>
      </c>
      <c r="H9" s="23">
        <v>21442</v>
      </c>
      <c r="I9" s="31">
        <v>120.61652697305507</v>
      </c>
      <c r="J9" s="207">
        <v>15489</v>
      </c>
      <c r="K9" s="31">
        <v>131.40748282005598</v>
      </c>
    </row>
    <row r="10" spans="1:11" s="9" customFormat="1" ht="20.25" customHeight="1" x14ac:dyDescent="0.15">
      <c r="A10" s="22" t="s">
        <v>257</v>
      </c>
      <c r="B10" s="103">
        <v>47617</v>
      </c>
      <c r="C10" s="104">
        <v>123.67409485221548</v>
      </c>
      <c r="D10" s="23">
        <v>3437</v>
      </c>
      <c r="E10" s="31">
        <v>120.42747021723896</v>
      </c>
      <c r="F10" s="23">
        <v>6729</v>
      </c>
      <c r="G10" s="31">
        <v>110.6015779092702</v>
      </c>
      <c r="H10" s="23">
        <v>21849</v>
      </c>
      <c r="I10" s="31">
        <v>122.90600213759353</v>
      </c>
      <c r="J10" s="207">
        <v>15602</v>
      </c>
      <c r="K10" s="31">
        <v>132.36616611521168</v>
      </c>
    </row>
    <row r="11" spans="1:11" s="9" customFormat="1" ht="20.25" customHeight="1" x14ac:dyDescent="0.15">
      <c r="A11" s="22" t="s">
        <v>268</v>
      </c>
      <c r="B11" s="103">
        <v>48788</v>
      </c>
      <c r="C11" s="104">
        <v>126.7154952989455</v>
      </c>
      <c r="D11" s="23">
        <v>3053</v>
      </c>
      <c r="E11" s="31">
        <v>106.97266993693061</v>
      </c>
      <c r="F11" s="23">
        <v>6513</v>
      </c>
      <c r="G11" s="31">
        <v>107.05128205128204</v>
      </c>
      <c r="H11" s="23">
        <v>22509</v>
      </c>
      <c r="I11" s="31">
        <v>126.61866456657478</v>
      </c>
      <c r="J11" s="207">
        <v>16713</v>
      </c>
      <c r="K11" s="31">
        <v>141.79180453041488</v>
      </c>
    </row>
    <row r="12" spans="1:11" s="9" customFormat="1" ht="20.25" customHeight="1" x14ac:dyDescent="0.15">
      <c r="A12" s="22" t="s">
        <v>321</v>
      </c>
      <c r="B12" s="103">
        <v>50753</v>
      </c>
      <c r="C12" s="104">
        <v>131.81912627915432</v>
      </c>
      <c r="D12" s="23">
        <v>3406</v>
      </c>
      <c r="E12" s="31">
        <v>119.34127540294324</v>
      </c>
      <c r="F12" s="23">
        <v>7780</v>
      </c>
      <c r="G12" s="31">
        <v>127.87639710716634</v>
      </c>
      <c r="H12" s="23">
        <v>23868</v>
      </c>
      <c r="I12" s="31">
        <v>134.26337402261348</v>
      </c>
      <c r="J12" s="207">
        <v>15699</v>
      </c>
      <c r="K12" s="31">
        <v>133.18910664291167</v>
      </c>
    </row>
    <row r="13" spans="1:11" s="9" customFormat="1" ht="20.25" customHeight="1" x14ac:dyDescent="0.15">
      <c r="A13" s="228" t="s">
        <v>322</v>
      </c>
      <c r="B13" s="105">
        <v>49900</v>
      </c>
      <c r="C13" s="106">
        <v>129.60365695288556</v>
      </c>
      <c r="D13" s="24">
        <v>4126</v>
      </c>
      <c r="E13" s="32">
        <v>144.56902592852137</v>
      </c>
      <c r="F13" s="24">
        <v>7226</v>
      </c>
      <c r="G13" s="32">
        <v>118.77054569362262</v>
      </c>
      <c r="H13" s="24">
        <v>21906</v>
      </c>
      <c r="I13" s="32">
        <v>123.226641165551</v>
      </c>
      <c r="J13" s="208">
        <v>16642</v>
      </c>
      <c r="K13" s="32">
        <v>141.18944599983033</v>
      </c>
    </row>
    <row r="14" spans="1:11" s="9" customFormat="1" ht="14.65" customHeight="1" x14ac:dyDescent="0.15">
      <c r="A14" s="8"/>
      <c r="B14" s="6"/>
      <c r="C14" s="25"/>
      <c r="D14" s="8"/>
      <c r="E14" s="26"/>
      <c r="F14" s="8"/>
      <c r="G14" s="8"/>
      <c r="H14" s="26"/>
      <c r="I14" s="8"/>
      <c r="J14" s="26"/>
    </row>
    <row r="15" spans="1:11" s="9" customFormat="1" ht="23.25" customHeight="1" x14ac:dyDescent="0.15">
      <c r="A15" s="6" t="s">
        <v>144</v>
      </c>
      <c r="B15" s="6"/>
      <c r="C15" s="25"/>
      <c r="D15" s="8"/>
      <c r="E15" s="26"/>
      <c r="F15" s="8"/>
      <c r="G15" s="8"/>
      <c r="H15" s="26"/>
      <c r="I15" s="8"/>
      <c r="J15" s="26"/>
    </row>
    <row r="16" spans="1:11" s="9" customFormat="1" ht="58.5" customHeight="1" x14ac:dyDescent="0.15">
      <c r="A16" s="271" t="s">
        <v>323</v>
      </c>
      <c r="B16" s="271"/>
      <c r="C16" s="271"/>
      <c r="D16" s="271"/>
      <c r="E16" s="271"/>
      <c r="F16" s="271"/>
      <c r="G16" s="271"/>
      <c r="H16" s="271"/>
      <c r="I16" s="271"/>
      <c r="J16" s="271"/>
      <c r="K16" s="271"/>
    </row>
    <row r="17" spans="1:11" s="9" customFormat="1" ht="15.75" customHeight="1" x14ac:dyDescent="0.15">
      <c r="A17" s="14" t="s">
        <v>290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</row>
    <row r="18" spans="1:11" s="15" customFormat="1" ht="17.25" customHeight="1" x14ac:dyDescent="0.15">
      <c r="A18" s="43"/>
      <c r="B18" s="35" t="s">
        <v>46</v>
      </c>
      <c r="C18" s="265" t="s">
        <v>173</v>
      </c>
      <c r="D18" s="266"/>
      <c r="E18" s="266"/>
      <c r="F18" s="265" t="s">
        <v>166</v>
      </c>
      <c r="G18" s="266"/>
      <c r="H18" s="266"/>
    </row>
    <row r="19" spans="1:11" s="15" customFormat="1" ht="17.25" customHeight="1" x14ac:dyDescent="0.15">
      <c r="A19" s="44" t="s">
        <v>104</v>
      </c>
      <c r="B19" s="45"/>
      <c r="C19" s="267"/>
      <c r="D19" s="268"/>
      <c r="E19" s="268"/>
      <c r="F19" s="267"/>
      <c r="G19" s="268"/>
      <c r="H19" s="268"/>
    </row>
    <row r="20" spans="1:11" s="15" customFormat="1" ht="17.25" customHeight="1" x14ac:dyDescent="0.15">
      <c r="A20" s="264" t="s">
        <v>168</v>
      </c>
      <c r="B20" s="264"/>
      <c r="C20" s="101"/>
      <c r="D20" s="48"/>
      <c r="E20" s="141">
        <v>21906</v>
      </c>
      <c r="F20" s="101"/>
      <c r="G20" s="48"/>
      <c r="H20" s="48">
        <v>7226</v>
      </c>
      <c r="I20" s="107"/>
    </row>
    <row r="21" spans="1:11" s="15" customFormat="1" ht="17.25" customHeight="1" x14ac:dyDescent="0.15">
      <c r="A21" s="260" t="s">
        <v>67</v>
      </c>
      <c r="B21" s="261"/>
      <c r="C21" s="140"/>
      <c r="D21" s="23"/>
      <c r="E21" s="142">
        <v>8493</v>
      </c>
      <c r="F21" s="140"/>
      <c r="G21" s="23"/>
      <c r="H21" s="23">
        <v>4528</v>
      </c>
      <c r="I21" s="108"/>
    </row>
    <row r="22" spans="1:11" s="15" customFormat="1" ht="17.25" customHeight="1" x14ac:dyDescent="0.15">
      <c r="A22" s="260" t="s">
        <v>68</v>
      </c>
      <c r="B22" s="261"/>
      <c r="C22" s="140"/>
      <c r="D22" s="23"/>
      <c r="E22" s="142">
        <v>1053</v>
      </c>
      <c r="F22" s="140"/>
      <c r="G22" s="23"/>
      <c r="H22" s="23">
        <v>0</v>
      </c>
      <c r="I22" s="108"/>
    </row>
    <row r="23" spans="1:11" s="15" customFormat="1" ht="17.25" customHeight="1" x14ac:dyDescent="0.15">
      <c r="A23" s="260" t="s">
        <v>149</v>
      </c>
      <c r="B23" s="261"/>
      <c r="C23" s="140"/>
      <c r="D23" s="23"/>
      <c r="E23" s="142">
        <v>1801</v>
      </c>
      <c r="F23" s="140"/>
      <c r="G23" s="23"/>
      <c r="H23" s="23">
        <v>0</v>
      </c>
      <c r="I23" s="108"/>
    </row>
    <row r="24" spans="1:11" s="15" customFormat="1" ht="17.25" customHeight="1" x14ac:dyDescent="0.15">
      <c r="A24" s="260" t="s">
        <v>150</v>
      </c>
      <c r="B24" s="261"/>
      <c r="C24" s="140"/>
      <c r="D24" s="23"/>
      <c r="E24" s="142">
        <v>3282</v>
      </c>
      <c r="F24" s="140"/>
      <c r="G24" s="23"/>
      <c r="H24" s="23">
        <v>610</v>
      </c>
      <c r="I24" s="108"/>
    </row>
    <row r="25" spans="1:11" s="15" customFormat="1" ht="17.25" customHeight="1" x14ac:dyDescent="0.15">
      <c r="A25" s="260" t="s">
        <v>151</v>
      </c>
      <c r="B25" s="261"/>
      <c r="C25" s="140"/>
      <c r="D25" s="23"/>
      <c r="E25" s="142">
        <v>413</v>
      </c>
      <c r="F25" s="140"/>
      <c r="G25" s="23"/>
      <c r="H25" s="23">
        <v>0</v>
      </c>
      <c r="I25" s="108"/>
    </row>
    <row r="26" spans="1:11" s="15" customFormat="1" ht="17.25" customHeight="1" x14ac:dyDescent="0.15">
      <c r="A26" s="260" t="s">
        <v>152</v>
      </c>
      <c r="B26" s="261"/>
      <c r="C26" s="140"/>
      <c r="D26" s="23"/>
      <c r="E26" s="142">
        <v>1257</v>
      </c>
      <c r="F26" s="140"/>
      <c r="G26" s="23"/>
      <c r="H26" s="23">
        <v>494</v>
      </c>
      <c r="I26" s="108"/>
    </row>
    <row r="27" spans="1:11" s="15" customFormat="1" ht="17.25" customHeight="1" x14ac:dyDescent="0.15">
      <c r="A27" s="260" t="s">
        <v>153</v>
      </c>
      <c r="B27" s="261"/>
      <c r="C27" s="140"/>
      <c r="D27" s="23"/>
      <c r="E27" s="142">
        <v>368</v>
      </c>
      <c r="F27" s="140"/>
      <c r="G27" s="23"/>
      <c r="H27" s="23">
        <v>0</v>
      </c>
      <c r="I27" s="108"/>
    </row>
    <row r="28" spans="1:11" s="15" customFormat="1" ht="17.25" customHeight="1" x14ac:dyDescent="0.15">
      <c r="A28" s="260" t="s">
        <v>154</v>
      </c>
      <c r="B28" s="261"/>
      <c r="C28" s="140"/>
      <c r="D28" s="23"/>
      <c r="E28" s="142">
        <v>1183</v>
      </c>
      <c r="F28" s="140"/>
      <c r="G28" s="23"/>
      <c r="H28" s="23">
        <v>341</v>
      </c>
      <c r="I28" s="108"/>
    </row>
    <row r="29" spans="1:11" s="15" customFormat="1" ht="17.25" customHeight="1" x14ac:dyDescent="0.15">
      <c r="A29" s="260" t="s">
        <v>155</v>
      </c>
      <c r="B29" s="261"/>
      <c r="C29" s="140"/>
      <c r="D29" s="23"/>
      <c r="E29" s="142">
        <v>980</v>
      </c>
      <c r="F29" s="140"/>
      <c r="G29" s="23"/>
      <c r="H29" s="23">
        <v>659</v>
      </c>
      <c r="I29" s="108"/>
    </row>
    <row r="30" spans="1:11" s="15" customFormat="1" ht="17.25" customHeight="1" x14ac:dyDescent="0.15">
      <c r="A30" s="260" t="s">
        <v>156</v>
      </c>
      <c r="B30" s="261"/>
      <c r="C30" s="140"/>
      <c r="D30" s="23"/>
      <c r="E30" s="142">
        <v>619</v>
      </c>
      <c r="F30" s="140"/>
      <c r="G30" s="23"/>
      <c r="H30" s="23">
        <v>0</v>
      </c>
      <c r="I30" s="108"/>
    </row>
    <row r="31" spans="1:11" s="15" customFormat="1" ht="17.25" customHeight="1" x14ac:dyDescent="0.15">
      <c r="A31" s="260" t="s">
        <v>157</v>
      </c>
      <c r="B31" s="261"/>
      <c r="C31" s="140"/>
      <c r="D31" s="23"/>
      <c r="E31" s="142">
        <v>901</v>
      </c>
      <c r="F31" s="140"/>
      <c r="G31" s="23"/>
      <c r="H31" s="23">
        <v>0</v>
      </c>
      <c r="I31" s="108"/>
    </row>
    <row r="32" spans="1:11" s="15" customFormat="1" ht="17.25" customHeight="1" x14ac:dyDescent="0.15">
      <c r="A32" s="260" t="s">
        <v>158</v>
      </c>
      <c r="B32" s="261"/>
      <c r="C32" s="140"/>
      <c r="D32" s="23"/>
      <c r="E32" s="142">
        <v>971</v>
      </c>
      <c r="F32" s="140"/>
      <c r="G32" s="23"/>
      <c r="H32" s="23">
        <v>594</v>
      </c>
      <c r="I32" s="108"/>
    </row>
    <row r="33" spans="1:9" s="15" customFormat="1" ht="17.25" customHeight="1" x14ac:dyDescent="0.15">
      <c r="A33" s="260" t="s">
        <v>159</v>
      </c>
      <c r="B33" s="261"/>
      <c r="C33" s="140"/>
      <c r="D33" s="23"/>
      <c r="E33" s="142">
        <v>405</v>
      </c>
      <c r="F33" s="140"/>
      <c r="G33" s="23"/>
      <c r="H33" s="23">
        <v>0</v>
      </c>
      <c r="I33" s="108"/>
    </row>
    <row r="34" spans="1:9" s="15" customFormat="1" ht="17.25" customHeight="1" x14ac:dyDescent="0.15">
      <c r="A34" s="262" t="s">
        <v>160</v>
      </c>
      <c r="B34" s="263"/>
      <c r="C34" s="130"/>
      <c r="D34" s="24"/>
      <c r="E34" s="144">
        <v>180</v>
      </c>
      <c r="F34" s="130"/>
      <c r="G34" s="24"/>
      <c r="H34" s="24">
        <v>0</v>
      </c>
      <c r="I34" s="108"/>
    </row>
    <row r="35" spans="1:9" s="9" customFormat="1" ht="18.75" customHeight="1" x14ac:dyDescent="0.15">
      <c r="A35" s="73"/>
      <c r="B35" s="74"/>
    </row>
  </sheetData>
  <sheetProtection algorithmName="SHA-512" hashValue="Hv4vXcPYEzeixRRSQFt8m0CUGpupEUehq66uyfXBTtulYiepDsQP6xvoZiuSDy6T4FH1tUAZnCJ5sgvko4l6aw==" saltValue="DAHhK2E57Hl4b6LQGA/wlg==" spinCount="100000" sheet="1" objects="1" scenarios="1"/>
  <mergeCells count="21">
    <mergeCell ref="F18:H19"/>
    <mergeCell ref="C18:E19"/>
    <mergeCell ref="J2:K2"/>
    <mergeCell ref="A16:K16"/>
    <mergeCell ref="B2:C2"/>
    <mergeCell ref="D2:I2"/>
    <mergeCell ref="A20:B20"/>
    <mergeCell ref="A21:B21"/>
    <mergeCell ref="A24:B24"/>
    <mergeCell ref="A22:B22"/>
    <mergeCell ref="A23:B23"/>
    <mergeCell ref="A27:B27"/>
    <mergeCell ref="A25:B25"/>
    <mergeCell ref="A28:B28"/>
    <mergeCell ref="A29:B29"/>
    <mergeCell ref="A34:B34"/>
    <mergeCell ref="A30:B30"/>
    <mergeCell ref="A31:B31"/>
    <mergeCell ref="A32:B32"/>
    <mergeCell ref="A33:B33"/>
    <mergeCell ref="A26:B26"/>
  </mergeCells>
  <phoneticPr fontId="2" type="noConversion"/>
  <pageMargins left="0.36" right="0.15" top="1" bottom="1" header="0.5" footer="0.5"/>
  <pageSetup paperSize="9" scale="9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42"/>
  <sheetViews>
    <sheetView showGridLines="0" zoomScaleNormal="100" zoomScaleSheetLayoutView="100" workbookViewId="0"/>
  </sheetViews>
  <sheetFormatPr defaultRowHeight="11.25" x14ac:dyDescent="0.15"/>
  <cols>
    <col min="1" max="1" width="13.21875" style="16" customWidth="1"/>
    <col min="2" max="3" width="8.21875" style="16" customWidth="1"/>
    <col min="4" max="4" width="7.109375" style="16" customWidth="1"/>
    <col min="5" max="6" width="7.33203125" style="16" customWidth="1"/>
    <col min="7" max="7" width="6.77734375" style="16" customWidth="1"/>
    <col min="8" max="8" width="6.109375" style="16" customWidth="1"/>
    <col min="9" max="9" width="7.109375" style="16" customWidth="1"/>
    <col min="10" max="10" width="6.21875" style="16" customWidth="1"/>
    <col min="11" max="11" width="6.44140625" style="16" customWidth="1"/>
    <col min="12" max="12" width="6" style="16" customWidth="1"/>
    <col min="13" max="13" width="6.44140625" style="16" customWidth="1"/>
    <col min="14" max="14" width="6" style="16" customWidth="1"/>
    <col min="15" max="16384" width="8.88671875" style="16"/>
  </cols>
  <sheetData>
    <row r="1" spans="1:15" s="9" customFormat="1" ht="14.65" customHeight="1" x14ac:dyDescent="0.15">
      <c r="A1" s="14" t="s">
        <v>291</v>
      </c>
    </row>
    <row r="2" spans="1:15" s="9" customFormat="1" ht="21.75" customHeight="1" x14ac:dyDescent="0.15">
      <c r="A2" s="17" t="s">
        <v>190</v>
      </c>
      <c r="B2" s="287" t="s">
        <v>110</v>
      </c>
      <c r="C2" s="288" t="s">
        <v>197</v>
      </c>
      <c r="D2" s="288" t="s">
        <v>198</v>
      </c>
      <c r="E2" s="288" t="s">
        <v>199</v>
      </c>
      <c r="F2" s="288" t="s">
        <v>200</v>
      </c>
      <c r="G2" s="272" t="s">
        <v>252</v>
      </c>
      <c r="H2" s="289" t="s">
        <v>253</v>
      </c>
      <c r="I2" s="289" t="s">
        <v>254</v>
      </c>
      <c r="J2" s="289" t="s">
        <v>255</v>
      </c>
      <c r="K2" s="288" t="s">
        <v>201</v>
      </c>
      <c r="L2" s="272" t="s">
        <v>251</v>
      </c>
      <c r="M2" s="272" t="s">
        <v>241</v>
      </c>
      <c r="N2" s="272" t="s">
        <v>266</v>
      </c>
      <c r="O2" s="288" t="s">
        <v>202</v>
      </c>
    </row>
    <row r="3" spans="1:15" s="9" customFormat="1" ht="30" customHeight="1" x14ac:dyDescent="0.15">
      <c r="A3" s="18" t="s">
        <v>107</v>
      </c>
      <c r="B3" s="278"/>
      <c r="C3" s="288"/>
      <c r="D3" s="288"/>
      <c r="E3" s="288"/>
      <c r="F3" s="288"/>
      <c r="G3" s="272"/>
      <c r="H3" s="288"/>
      <c r="I3" s="288"/>
      <c r="J3" s="288"/>
      <c r="K3" s="288"/>
      <c r="L3" s="272"/>
      <c r="M3" s="272"/>
      <c r="N3" s="272"/>
      <c r="O3" s="288"/>
    </row>
    <row r="4" spans="1:15" s="9" customFormat="1" ht="21.75" customHeight="1" x14ac:dyDescent="0.15">
      <c r="A4" s="22" t="s">
        <v>61</v>
      </c>
      <c r="B4" s="112">
        <v>21906</v>
      </c>
      <c r="C4" s="23">
        <v>2099</v>
      </c>
      <c r="D4" s="23">
        <v>2861</v>
      </c>
      <c r="E4" s="23">
        <v>2983</v>
      </c>
      <c r="F4" s="23">
        <v>328</v>
      </c>
      <c r="G4" s="23">
        <v>2006</v>
      </c>
      <c r="H4" s="23">
        <v>8249</v>
      </c>
      <c r="I4" s="23">
        <v>960</v>
      </c>
      <c r="J4" s="23">
        <v>464</v>
      </c>
      <c r="K4" s="23">
        <v>397</v>
      </c>
      <c r="L4" s="23">
        <v>935</v>
      </c>
      <c r="M4" s="23">
        <v>624</v>
      </c>
      <c r="N4" s="23">
        <v>0</v>
      </c>
      <c r="O4" s="23">
        <v>0</v>
      </c>
    </row>
    <row r="5" spans="1:15" s="28" customFormat="1" ht="21.75" customHeight="1" x14ac:dyDescent="0.15">
      <c r="A5" s="109" t="s">
        <v>60</v>
      </c>
      <c r="B5" s="113">
        <v>100</v>
      </c>
      <c r="C5" s="149">
        <v>9.5818497215374787</v>
      </c>
      <c r="D5" s="149">
        <v>13.060348762896009</v>
      </c>
      <c r="E5" s="149">
        <v>13.617273806263125</v>
      </c>
      <c r="F5" s="149">
        <v>1.4973066739706018</v>
      </c>
      <c r="G5" s="149">
        <v>9.1573084999543504</v>
      </c>
      <c r="H5" s="149">
        <v>37.6</v>
      </c>
      <c r="I5" s="149">
        <v>4.3823609969871269</v>
      </c>
      <c r="J5" s="149">
        <v>2.1181411485437782</v>
      </c>
      <c r="K5" s="149">
        <v>1.8122888706290512</v>
      </c>
      <c r="L5" s="149">
        <v>4.2682370126905873</v>
      </c>
      <c r="M5" s="149">
        <v>2.8485346480416323</v>
      </c>
      <c r="N5" s="109" t="s">
        <v>267</v>
      </c>
      <c r="O5" s="109" t="s">
        <v>208</v>
      </c>
    </row>
    <row r="6" spans="1:15" s="9" customFormat="1" ht="21.75" customHeight="1" x14ac:dyDescent="0.15">
      <c r="A6" s="22" t="s">
        <v>105</v>
      </c>
      <c r="B6" s="114">
        <v>7226</v>
      </c>
      <c r="C6" s="23">
        <v>811</v>
      </c>
      <c r="D6" s="23">
        <v>260</v>
      </c>
      <c r="E6" s="23">
        <v>2120</v>
      </c>
      <c r="F6" s="23">
        <v>137</v>
      </c>
      <c r="G6" s="23">
        <v>356</v>
      </c>
      <c r="H6" s="23">
        <v>2196</v>
      </c>
      <c r="I6" s="23">
        <v>384</v>
      </c>
      <c r="J6" s="23">
        <v>166</v>
      </c>
      <c r="K6" s="23">
        <v>185</v>
      </c>
      <c r="L6" s="23">
        <v>171</v>
      </c>
      <c r="M6" s="23">
        <v>316</v>
      </c>
      <c r="N6" s="23">
        <v>114</v>
      </c>
      <c r="O6" s="23">
        <v>10</v>
      </c>
    </row>
    <row r="7" spans="1:15" s="29" customFormat="1" ht="21.75" customHeight="1" x14ac:dyDescent="0.15">
      <c r="A7" s="110" t="s">
        <v>60</v>
      </c>
      <c r="B7" s="115">
        <v>100</v>
      </c>
      <c r="C7" s="149">
        <v>11.223360088569056</v>
      </c>
      <c r="D7" s="149">
        <v>3.5981179075560474</v>
      </c>
      <c r="E7" s="149">
        <v>29.338499861610849</v>
      </c>
      <c r="F7" s="149">
        <v>1.8959313589814559</v>
      </c>
      <c r="G7" s="149">
        <v>4.9266537503459729</v>
      </c>
      <c r="H7" s="149">
        <v>30.390257403819543</v>
      </c>
      <c r="I7" s="149">
        <v>5.3141433711597008</v>
      </c>
      <c r="J7" s="149">
        <v>2.2972598948242458</v>
      </c>
      <c r="K7" s="149">
        <v>2.5601992803764184</v>
      </c>
      <c r="L7" s="149">
        <v>2.3664544699695544</v>
      </c>
      <c r="M7" s="149">
        <v>4.3730971491835042</v>
      </c>
      <c r="N7" s="149">
        <v>1.5776363133130362</v>
      </c>
      <c r="O7" s="195">
        <v>0.13838915029061721</v>
      </c>
    </row>
    <row r="8" spans="1:15" s="9" customFormat="1" ht="21.75" customHeight="1" x14ac:dyDescent="0.15">
      <c r="A8" s="22" t="s">
        <v>62</v>
      </c>
      <c r="B8" s="114">
        <v>4126</v>
      </c>
      <c r="C8" s="23">
        <v>435</v>
      </c>
      <c r="D8" s="23">
        <v>86</v>
      </c>
      <c r="E8" s="23">
        <v>1771</v>
      </c>
      <c r="F8" s="23">
        <v>55</v>
      </c>
      <c r="G8" s="23">
        <v>149</v>
      </c>
      <c r="H8" s="23">
        <v>988</v>
      </c>
      <c r="I8" s="23">
        <v>154</v>
      </c>
      <c r="J8" s="23">
        <v>86</v>
      </c>
      <c r="K8" s="23">
        <v>89</v>
      </c>
      <c r="L8" s="23">
        <v>79</v>
      </c>
      <c r="M8" s="23">
        <v>158</v>
      </c>
      <c r="N8" s="23">
        <v>49</v>
      </c>
      <c r="O8" s="23">
        <v>27</v>
      </c>
    </row>
    <row r="9" spans="1:15" s="28" customFormat="1" ht="21.75" customHeight="1" x14ac:dyDescent="0.15">
      <c r="A9" s="111" t="s">
        <v>60</v>
      </c>
      <c r="B9" s="116">
        <v>100</v>
      </c>
      <c r="C9" s="148">
        <v>10.54289869122637</v>
      </c>
      <c r="D9" s="148">
        <v>2.084343189529811</v>
      </c>
      <c r="E9" s="148">
        <v>42.92292777508483</v>
      </c>
      <c r="F9" s="148">
        <v>1.3330101793504605</v>
      </c>
      <c r="G9" s="148">
        <v>3.6112457586039746</v>
      </c>
      <c r="H9" s="148">
        <v>24</v>
      </c>
      <c r="I9" s="148">
        <v>3.7324285021812891</v>
      </c>
      <c r="J9" s="148">
        <v>2.084343189529811</v>
      </c>
      <c r="K9" s="148">
        <v>2.1570528356761995</v>
      </c>
      <c r="L9" s="148">
        <v>1.9146873485215705</v>
      </c>
      <c r="M9" s="148">
        <v>3.829374697043141</v>
      </c>
      <c r="N9" s="148">
        <v>1.187590887057683</v>
      </c>
      <c r="O9" s="37">
        <v>0.65438681531749876</v>
      </c>
    </row>
    <row r="10" spans="1:15" s="28" customFormat="1" ht="21.75" customHeight="1" x14ac:dyDescent="0.15">
      <c r="A10" s="78"/>
      <c r="B10" s="79"/>
    </row>
    <row r="11" spans="1:15" s="9" customFormat="1" ht="20.25" customHeight="1" x14ac:dyDescent="0.15">
      <c r="A11" s="14" t="s">
        <v>292</v>
      </c>
    </row>
    <row r="12" spans="1:15" s="9" customFormat="1" ht="14.65" customHeight="1" x14ac:dyDescent="0.15">
      <c r="A12" s="40"/>
      <c r="B12" s="17" t="s">
        <v>70</v>
      </c>
      <c r="C12" s="301" t="s">
        <v>219</v>
      </c>
      <c r="D12" s="302"/>
      <c r="E12" s="290" t="s">
        <v>101</v>
      </c>
      <c r="F12" s="291"/>
      <c r="G12" s="290" t="s">
        <v>29</v>
      </c>
      <c r="H12" s="305"/>
      <c r="I12" s="290" t="s">
        <v>145</v>
      </c>
      <c r="J12" s="291"/>
    </row>
    <row r="13" spans="1:15" s="9" customFormat="1" ht="14.65" customHeight="1" x14ac:dyDescent="0.15">
      <c r="A13" s="41" t="s">
        <v>71</v>
      </c>
      <c r="B13" s="42"/>
      <c r="C13" s="303"/>
      <c r="D13" s="304"/>
      <c r="E13" s="292"/>
      <c r="F13" s="293"/>
      <c r="G13" s="292"/>
      <c r="H13" s="306"/>
      <c r="I13" s="292"/>
      <c r="J13" s="293"/>
    </row>
    <row r="14" spans="1:15" s="9" customFormat="1" ht="18" customHeight="1" x14ac:dyDescent="0.15">
      <c r="A14" s="283" t="s">
        <v>63</v>
      </c>
      <c r="B14" s="284"/>
      <c r="C14" s="300">
        <v>33258</v>
      </c>
      <c r="D14" s="300"/>
      <c r="E14" s="300">
        <v>33751</v>
      </c>
      <c r="F14" s="300"/>
      <c r="G14" s="300">
        <v>23699</v>
      </c>
      <c r="H14" s="300"/>
      <c r="I14" s="279">
        <v>101.48235011125142</v>
      </c>
      <c r="J14" s="279"/>
      <c r="K14" s="172"/>
      <c r="L14" s="171"/>
    </row>
    <row r="15" spans="1:15" s="9" customFormat="1" ht="18.75" customHeight="1" x14ac:dyDescent="0.15">
      <c r="A15" s="285" t="s">
        <v>64</v>
      </c>
      <c r="B15" s="286"/>
      <c r="C15" s="297">
        <v>21906</v>
      </c>
      <c r="D15" s="297"/>
      <c r="E15" s="297">
        <v>22020</v>
      </c>
      <c r="F15" s="297"/>
      <c r="G15" s="297">
        <v>17056</v>
      </c>
      <c r="H15" s="297"/>
      <c r="I15" s="312">
        <v>100.52040536839222</v>
      </c>
      <c r="J15" s="312"/>
      <c r="K15" s="172"/>
      <c r="L15" s="171"/>
    </row>
    <row r="16" spans="1:15" s="9" customFormat="1" ht="18.75" customHeight="1" x14ac:dyDescent="0.15">
      <c r="A16" s="285" t="s">
        <v>65</v>
      </c>
      <c r="B16" s="286"/>
      <c r="C16" s="297">
        <v>7226</v>
      </c>
      <c r="D16" s="297"/>
      <c r="E16" s="297">
        <v>7559</v>
      </c>
      <c r="F16" s="297"/>
      <c r="G16" s="297">
        <v>5189</v>
      </c>
      <c r="H16" s="297"/>
      <c r="I16" s="312">
        <v>104.60835870467756</v>
      </c>
      <c r="J16" s="312"/>
      <c r="K16" s="172"/>
      <c r="L16" s="171"/>
    </row>
    <row r="17" spans="1:14" s="9" customFormat="1" ht="18.75" customHeight="1" x14ac:dyDescent="0.15">
      <c r="A17" s="308" t="s">
        <v>66</v>
      </c>
      <c r="B17" s="309"/>
      <c r="C17" s="310">
        <v>4126</v>
      </c>
      <c r="D17" s="311"/>
      <c r="E17" s="311">
        <v>4172</v>
      </c>
      <c r="F17" s="311"/>
      <c r="G17" s="311">
        <v>1454</v>
      </c>
      <c r="H17" s="311"/>
      <c r="I17" s="316">
        <v>101.1148812409113</v>
      </c>
      <c r="J17" s="316"/>
      <c r="K17" s="172"/>
      <c r="L17" s="171"/>
    </row>
    <row r="18" spans="1:14" s="9" customFormat="1" ht="15.75" customHeight="1" x14ac:dyDescent="0.15">
      <c r="A18" s="150" t="s">
        <v>272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</row>
    <row r="19" spans="1:14" s="9" customFormat="1" ht="14.65" customHeight="1" x14ac:dyDescent="0.15"/>
    <row r="20" spans="1:14" s="9" customFormat="1" ht="23.25" customHeight="1" x14ac:dyDescent="0.15">
      <c r="A20" s="14" t="s">
        <v>293</v>
      </c>
    </row>
    <row r="21" spans="1:14" s="9" customFormat="1" ht="24" customHeight="1" x14ac:dyDescent="0.15">
      <c r="A21" s="14" t="s">
        <v>164</v>
      </c>
    </row>
    <row r="22" spans="1:14" s="9" customFormat="1" ht="16.5" customHeight="1" x14ac:dyDescent="0.15">
      <c r="A22" s="17" t="s">
        <v>100</v>
      </c>
      <c r="B22" s="296" t="s">
        <v>76</v>
      </c>
      <c r="C22" s="307" t="s">
        <v>75</v>
      </c>
      <c r="D22" s="296" t="s">
        <v>111</v>
      </c>
      <c r="E22" s="296"/>
      <c r="F22" s="296"/>
      <c r="G22" s="296"/>
      <c r="H22" s="296"/>
      <c r="I22" s="296"/>
      <c r="J22" s="280" t="s">
        <v>242</v>
      </c>
      <c r="K22" s="313" t="s">
        <v>112</v>
      </c>
    </row>
    <row r="23" spans="1:14" s="9" customFormat="1" ht="33.75" customHeight="1" x14ac:dyDescent="0.15">
      <c r="A23" s="18" t="s">
        <v>170</v>
      </c>
      <c r="B23" s="299"/>
      <c r="C23" s="299"/>
      <c r="D23" s="46" t="s">
        <v>74</v>
      </c>
      <c r="E23" s="46" t="s">
        <v>113</v>
      </c>
      <c r="F23" s="47" t="s">
        <v>79</v>
      </c>
      <c r="G23" s="46" t="s">
        <v>17</v>
      </c>
      <c r="H23" s="46" t="s">
        <v>80</v>
      </c>
      <c r="I23" s="46" t="s">
        <v>81</v>
      </c>
      <c r="J23" s="282"/>
      <c r="K23" s="315"/>
    </row>
    <row r="24" spans="1:14" s="9" customFormat="1" ht="21.75" customHeight="1" x14ac:dyDescent="0.15">
      <c r="A24" s="23" t="s">
        <v>72</v>
      </c>
      <c r="B24" s="112">
        <v>22020</v>
      </c>
      <c r="C24" s="21">
        <v>541</v>
      </c>
      <c r="D24" s="21">
        <v>13770</v>
      </c>
      <c r="E24" s="21">
        <v>1858</v>
      </c>
      <c r="F24" s="21">
        <v>933</v>
      </c>
      <c r="G24" s="21">
        <v>9766</v>
      </c>
      <c r="H24" s="21">
        <v>1176</v>
      </c>
      <c r="I24" s="21">
        <v>37</v>
      </c>
      <c r="J24" s="21">
        <v>4525</v>
      </c>
      <c r="K24" s="21">
        <v>3184</v>
      </c>
    </row>
    <row r="25" spans="1:14" s="38" customFormat="1" ht="21.75" customHeight="1" x14ac:dyDescent="0.15">
      <c r="A25" s="117" t="s">
        <v>73</v>
      </c>
      <c r="B25" s="118">
        <v>100</v>
      </c>
      <c r="C25" s="37">
        <v>2.4568574023614893</v>
      </c>
      <c r="D25" s="37">
        <v>62.534059945504083</v>
      </c>
      <c r="E25" s="37">
        <v>8.4377838328791999</v>
      </c>
      <c r="F25" s="37">
        <v>4.2370572207084471</v>
      </c>
      <c r="G25" s="37">
        <v>44.350590372388737</v>
      </c>
      <c r="H25" s="37">
        <v>5.3405994550408717</v>
      </c>
      <c r="I25" s="37">
        <v>0.16802906448683017</v>
      </c>
      <c r="J25" s="37">
        <v>20.549500454132609</v>
      </c>
      <c r="K25" s="37">
        <v>14.459582198001817</v>
      </c>
    </row>
    <row r="26" spans="1:14" s="9" customFormat="1" ht="14.65" customHeight="1" x14ac:dyDescent="0.15">
      <c r="C26" s="29"/>
      <c r="D26" s="29"/>
      <c r="E26" s="29"/>
      <c r="F26" s="29"/>
      <c r="G26" s="29"/>
      <c r="H26" s="29"/>
      <c r="I26" s="29"/>
      <c r="J26" s="29"/>
      <c r="K26" s="29"/>
    </row>
    <row r="27" spans="1:14" s="9" customFormat="1" ht="21" customHeight="1" x14ac:dyDescent="0.15">
      <c r="A27" s="14" t="s">
        <v>165</v>
      </c>
    </row>
    <row r="28" spans="1:14" s="9" customFormat="1" ht="14.65" customHeight="1" x14ac:dyDescent="0.15">
      <c r="A28" s="17" t="s">
        <v>100</v>
      </c>
      <c r="B28" s="296" t="s">
        <v>77</v>
      </c>
      <c r="C28" s="307" t="s">
        <v>78</v>
      </c>
      <c r="D28" s="296" t="s">
        <v>115</v>
      </c>
      <c r="E28" s="296"/>
      <c r="F28" s="296"/>
      <c r="G28" s="296"/>
      <c r="H28" s="296"/>
      <c r="I28" s="296"/>
      <c r="J28" s="296"/>
      <c r="K28" s="296"/>
      <c r="L28" s="296"/>
      <c r="M28" s="280" t="s">
        <v>243</v>
      </c>
      <c r="N28" s="313" t="s">
        <v>84</v>
      </c>
    </row>
    <row r="29" spans="1:14" s="9" customFormat="1" ht="14.65" customHeight="1" x14ac:dyDescent="0.15">
      <c r="A29" s="39"/>
      <c r="B29" s="298"/>
      <c r="C29" s="298"/>
      <c r="D29" s="298" t="s">
        <v>24</v>
      </c>
      <c r="E29" s="298" t="s">
        <v>108</v>
      </c>
      <c r="F29" s="298" t="s">
        <v>146</v>
      </c>
      <c r="G29" s="298"/>
      <c r="H29" s="298"/>
      <c r="I29" s="298"/>
      <c r="J29" s="298"/>
      <c r="K29" s="298"/>
      <c r="L29" s="298" t="s">
        <v>83</v>
      </c>
      <c r="M29" s="281"/>
      <c r="N29" s="314"/>
    </row>
    <row r="30" spans="1:14" s="9" customFormat="1" ht="33.75" customHeight="1" x14ac:dyDescent="0.15">
      <c r="A30" s="18" t="s">
        <v>170</v>
      </c>
      <c r="B30" s="299"/>
      <c r="C30" s="299"/>
      <c r="D30" s="299"/>
      <c r="E30" s="299"/>
      <c r="F30" s="46" t="s">
        <v>15</v>
      </c>
      <c r="G30" s="47" t="s">
        <v>79</v>
      </c>
      <c r="H30" s="46" t="s">
        <v>17</v>
      </c>
      <c r="I30" s="46" t="s">
        <v>18</v>
      </c>
      <c r="J30" s="46" t="s">
        <v>109</v>
      </c>
      <c r="K30" s="46" t="s">
        <v>20</v>
      </c>
      <c r="L30" s="299"/>
      <c r="M30" s="282"/>
      <c r="N30" s="315"/>
    </row>
    <row r="31" spans="1:14" s="9" customFormat="1" ht="21" customHeight="1" x14ac:dyDescent="0.15">
      <c r="A31" s="23" t="s">
        <v>72</v>
      </c>
      <c r="B31" s="112">
        <v>7559</v>
      </c>
      <c r="C31" s="21">
        <v>37</v>
      </c>
      <c r="D31" s="21">
        <v>6794</v>
      </c>
      <c r="E31" s="21">
        <v>5788</v>
      </c>
      <c r="F31" s="21">
        <v>232</v>
      </c>
      <c r="G31" s="21">
        <v>205</v>
      </c>
      <c r="H31" s="21">
        <v>325</v>
      </c>
      <c r="I31" s="21">
        <v>183</v>
      </c>
      <c r="J31" s="21">
        <v>4</v>
      </c>
      <c r="K31" s="21">
        <v>0</v>
      </c>
      <c r="L31" s="21">
        <v>57</v>
      </c>
      <c r="M31" s="21">
        <v>677</v>
      </c>
      <c r="N31" s="21">
        <v>51</v>
      </c>
    </row>
    <row r="32" spans="1:14" s="38" customFormat="1" ht="21" customHeight="1" x14ac:dyDescent="0.15">
      <c r="A32" s="117" t="s">
        <v>73</v>
      </c>
      <c r="B32" s="118">
        <v>100</v>
      </c>
      <c r="C32" s="37">
        <v>0.48948273581161533</v>
      </c>
      <c r="D32" s="37">
        <v>89.879613705516604</v>
      </c>
      <c r="E32" s="37">
        <v>76.570974996692684</v>
      </c>
      <c r="F32" s="37">
        <v>3.0691890461701283</v>
      </c>
      <c r="G32" s="37">
        <v>2.7119989416589494</v>
      </c>
      <c r="H32" s="37">
        <v>4.2995105172641885</v>
      </c>
      <c r="I32" s="37">
        <v>2.4209551527979891</v>
      </c>
      <c r="J32" s="37">
        <v>0</v>
      </c>
      <c r="K32" s="117" t="s">
        <v>208</v>
      </c>
      <c r="L32" s="37">
        <v>0.7540679984124885</v>
      </c>
      <c r="M32" s="37">
        <v>8.9</v>
      </c>
      <c r="N32" s="37">
        <v>0.67469241963222648</v>
      </c>
    </row>
    <row r="34" spans="1:12" ht="21.75" customHeight="1" x14ac:dyDescent="0.15">
      <c r="A34" s="14" t="s">
        <v>53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1.25" customHeight="1" x14ac:dyDescent="0.15">
      <c r="A35" s="17" t="s">
        <v>100</v>
      </c>
      <c r="B35" s="269" t="s">
        <v>87</v>
      </c>
      <c r="C35" s="269" t="s">
        <v>32</v>
      </c>
      <c r="D35" s="270" t="s">
        <v>115</v>
      </c>
      <c r="E35" s="275"/>
      <c r="F35" s="275"/>
      <c r="G35" s="275"/>
      <c r="H35" s="275"/>
      <c r="I35" s="276"/>
      <c r="J35" s="280" t="s">
        <v>244</v>
      </c>
      <c r="K35" s="270" t="s">
        <v>41</v>
      </c>
      <c r="L35" s="9"/>
    </row>
    <row r="36" spans="1:12" x14ac:dyDescent="0.15">
      <c r="A36" s="39"/>
      <c r="B36" s="273"/>
      <c r="C36" s="273"/>
      <c r="D36" s="273" t="s">
        <v>24</v>
      </c>
      <c r="E36" s="273" t="s">
        <v>33</v>
      </c>
      <c r="F36" s="277" t="s">
        <v>85</v>
      </c>
      <c r="G36" s="277" t="s">
        <v>109</v>
      </c>
      <c r="H36" s="277" t="s">
        <v>20</v>
      </c>
      <c r="I36" s="273" t="s">
        <v>81</v>
      </c>
      <c r="J36" s="281"/>
      <c r="K36" s="294"/>
      <c r="L36" s="9"/>
    </row>
    <row r="37" spans="1:12" x14ac:dyDescent="0.15">
      <c r="A37" s="18" t="s">
        <v>170</v>
      </c>
      <c r="B37" s="274"/>
      <c r="C37" s="274"/>
      <c r="D37" s="274"/>
      <c r="E37" s="274"/>
      <c r="F37" s="278"/>
      <c r="G37" s="278"/>
      <c r="H37" s="278"/>
      <c r="I37" s="274"/>
      <c r="J37" s="282"/>
      <c r="K37" s="295"/>
      <c r="L37" s="9"/>
    </row>
    <row r="38" spans="1:12" ht="15" customHeight="1" x14ac:dyDescent="0.15">
      <c r="A38" s="36" t="s">
        <v>14</v>
      </c>
      <c r="B38" s="112">
        <v>4172</v>
      </c>
      <c r="C38" s="48">
        <v>43</v>
      </c>
      <c r="D38" s="48">
        <v>4033</v>
      </c>
      <c r="E38" s="48">
        <v>3811</v>
      </c>
      <c r="F38" s="48">
        <v>21</v>
      </c>
      <c r="G38" s="48">
        <v>115</v>
      </c>
      <c r="H38" s="48">
        <v>0</v>
      </c>
      <c r="I38" s="48">
        <v>86</v>
      </c>
      <c r="J38" s="48">
        <v>73</v>
      </c>
      <c r="K38" s="48">
        <v>23</v>
      </c>
      <c r="L38" s="9"/>
    </row>
    <row r="39" spans="1:12" ht="15" customHeight="1" x14ac:dyDescent="0.15">
      <c r="A39" s="119" t="s">
        <v>69</v>
      </c>
      <c r="B39" s="115">
        <v>100</v>
      </c>
      <c r="C39" s="49">
        <v>1.0306807286673059</v>
      </c>
      <c r="D39" s="49">
        <v>96.668264621284763</v>
      </c>
      <c r="E39" s="49">
        <v>91.347075743048904</v>
      </c>
      <c r="F39" s="49">
        <v>0.50335570469798652</v>
      </c>
      <c r="G39" s="49">
        <v>2.7564717162032597</v>
      </c>
      <c r="H39" s="110" t="s">
        <v>208</v>
      </c>
      <c r="I39" s="49">
        <v>2.0613614573346117</v>
      </c>
      <c r="J39" s="49">
        <v>1.7497603068072867</v>
      </c>
      <c r="K39" s="49">
        <v>0.55129434324065196</v>
      </c>
      <c r="L39" s="174"/>
    </row>
    <row r="40" spans="1:12" ht="15" customHeight="1" x14ac:dyDescent="0.15">
      <c r="A40" s="22" t="s">
        <v>86</v>
      </c>
      <c r="B40" s="120">
        <v>4151</v>
      </c>
      <c r="C40" s="23">
        <v>40</v>
      </c>
      <c r="D40" s="23">
        <v>4025</v>
      </c>
      <c r="E40" s="23">
        <v>3811</v>
      </c>
      <c r="F40" s="23">
        <v>13</v>
      </c>
      <c r="G40" s="23">
        <v>115</v>
      </c>
      <c r="H40" s="23">
        <v>0</v>
      </c>
      <c r="I40" s="23">
        <v>86</v>
      </c>
      <c r="J40" s="23">
        <v>63</v>
      </c>
      <c r="K40" s="23">
        <v>23</v>
      </c>
      <c r="L40" s="9"/>
    </row>
    <row r="41" spans="1:12" ht="15" customHeight="1" x14ac:dyDescent="0.15">
      <c r="A41" s="86" t="s">
        <v>99</v>
      </c>
      <c r="B41" s="121">
        <v>21</v>
      </c>
      <c r="C41" s="24">
        <v>3</v>
      </c>
      <c r="D41" s="24">
        <v>8</v>
      </c>
      <c r="E41" s="24">
        <v>0</v>
      </c>
      <c r="F41" s="24">
        <v>8</v>
      </c>
      <c r="G41" s="24">
        <v>0</v>
      </c>
      <c r="H41" s="24">
        <v>0</v>
      </c>
      <c r="I41" s="24">
        <v>0</v>
      </c>
      <c r="J41" s="24">
        <v>10</v>
      </c>
      <c r="K41" s="24">
        <v>0</v>
      </c>
      <c r="L41" s="9"/>
    </row>
    <row r="42" spans="1:12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sheetProtection algorithmName="SHA-512" hashValue="3qTWb8S9sl75a/D7R6siZ8GfIWqJx6GL9lihXSeTqOFzpUXy2bffjqmvSz6CrDH05HNShcfetFtCOSdQAwP57w==" saltValue="j5nBNNqDQ5VJSwZdyyQM7A==" spinCount="100000" sheet="1" objects="1" scenarios="1"/>
  <mergeCells count="63">
    <mergeCell ref="I15:J15"/>
    <mergeCell ref="I16:J16"/>
    <mergeCell ref="M28:M30"/>
    <mergeCell ref="N28:N30"/>
    <mergeCell ref="L29:L30"/>
    <mergeCell ref="I17:J17"/>
    <mergeCell ref="F29:K29"/>
    <mergeCell ref="K22:K23"/>
    <mergeCell ref="G17:H17"/>
    <mergeCell ref="E14:F14"/>
    <mergeCell ref="E15:F15"/>
    <mergeCell ref="A16:B16"/>
    <mergeCell ref="A17:B17"/>
    <mergeCell ref="C17:D17"/>
    <mergeCell ref="E17:F17"/>
    <mergeCell ref="E16:F16"/>
    <mergeCell ref="B28:B30"/>
    <mergeCell ref="C28:C30"/>
    <mergeCell ref="D28:L28"/>
    <mergeCell ref="B22:B23"/>
    <mergeCell ref="C22:C23"/>
    <mergeCell ref="J22:J23"/>
    <mergeCell ref="E29:E30"/>
    <mergeCell ref="K35:K37"/>
    <mergeCell ref="K2:K3"/>
    <mergeCell ref="D22:I22"/>
    <mergeCell ref="G16:H16"/>
    <mergeCell ref="D29:D30"/>
    <mergeCell ref="G14:H14"/>
    <mergeCell ref="G15:H15"/>
    <mergeCell ref="C12:D13"/>
    <mergeCell ref="E12:F13"/>
    <mergeCell ref="G12:H13"/>
    <mergeCell ref="D2:D3"/>
    <mergeCell ref="E2:E3"/>
    <mergeCell ref="F2:F3"/>
    <mergeCell ref="C14:D14"/>
    <mergeCell ref="C15:D15"/>
    <mergeCell ref="C16:D16"/>
    <mergeCell ref="O2:O3"/>
    <mergeCell ref="H2:H3"/>
    <mergeCell ref="I2:I3"/>
    <mergeCell ref="I12:J13"/>
    <mergeCell ref="L2:L3"/>
    <mergeCell ref="M2:M3"/>
    <mergeCell ref="J2:J3"/>
    <mergeCell ref="N2:N3"/>
    <mergeCell ref="G2:G3"/>
    <mergeCell ref="I36:I37"/>
    <mergeCell ref="B35:B37"/>
    <mergeCell ref="C35:C37"/>
    <mergeCell ref="D35:I35"/>
    <mergeCell ref="D36:D37"/>
    <mergeCell ref="E36:E37"/>
    <mergeCell ref="F36:F37"/>
    <mergeCell ref="G36:G37"/>
    <mergeCell ref="I14:J14"/>
    <mergeCell ref="H36:H37"/>
    <mergeCell ref="J35:J37"/>
    <mergeCell ref="A14:B14"/>
    <mergeCell ref="A15:B15"/>
    <mergeCell ref="B2:B3"/>
    <mergeCell ref="C2:C3"/>
  </mergeCells>
  <phoneticPr fontId="2" type="noConversion"/>
  <pageMargins left="0.2" right="0.3" top="0.63" bottom="0.18" header="0.5" footer="0.04"/>
  <pageSetup paperSize="9" scale="78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9"/>
  <sheetViews>
    <sheetView showGridLines="0" zoomScaleNormal="100" zoomScaleSheetLayoutView="100" workbookViewId="0"/>
  </sheetViews>
  <sheetFormatPr defaultRowHeight="11.25" x14ac:dyDescent="0.15"/>
  <cols>
    <col min="1" max="1" width="14" style="16" customWidth="1"/>
    <col min="2" max="2" width="8" style="16" customWidth="1"/>
    <col min="3" max="3" width="6.88671875" style="16" customWidth="1"/>
    <col min="4" max="4" width="6.5546875" style="16" customWidth="1"/>
    <col min="5" max="6" width="7" style="16" customWidth="1"/>
    <col min="7" max="7" width="6.33203125" style="16" customWidth="1"/>
    <col min="8" max="8" width="7.109375" style="16" customWidth="1"/>
    <col min="9" max="9" width="7.44140625" style="16" customWidth="1"/>
    <col min="10" max="10" width="7.33203125" style="16" customWidth="1"/>
    <col min="11" max="11" width="6.21875" style="16" customWidth="1"/>
    <col min="12" max="16384" width="8.88671875" style="16"/>
  </cols>
  <sheetData>
    <row r="1" spans="1:11" s="9" customFormat="1" ht="25.5" customHeight="1" x14ac:dyDescent="0.15">
      <c r="A1" s="8" t="s">
        <v>295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9" customFormat="1" ht="14.65" customHeight="1" x14ac:dyDescent="0.15"/>
    <row r="3" spans="1:11" s="9" customFormat="1" ht="20.25" customHeight="1" x14ac:dyDescent="0.15">
      <c r="A3" s="14" t="s">
        <v>294</v>
      </c>
    </row>
    <row r="4" spans="1:11" s="9" customFormat="1" ht="20.25" customHeight="1" x14ac:dyDescent="0.15">
      <c r="A4" s="17" t="s">
        <v>40</v>
      </c>
      <c r="B4" s="287" t="s">
        <v>76</v>
      </c>
      <c r="C4" s="287" t="s">
        <v>36</v>
      </c>
      <c r="D4" s="287" t="s">
        <v>180</v>
      </c>
      <c r="E4" s="287" t="s">
        <v>181</v>
      </c>
      <c r="F4" s="287" t="s">
        <v>182</v>
      </c>
      <c r="G4" s="287" t="s">
        <v>183</v>
      </c>
      <c r="H4" s="287" t="s">
        <v>184</v>
      </c>
      <c r="I4" s="287" t="s">
        <v>37</v>
      </c>
      <c r="J4" s="287" t="s">
        <v>38</v>
      </c>
      <c r="K4" s="290" t="s">
        <v>39</v>
      </c>
    </row>
    <row r="5" spans="1:11" s="9" customFormat="1" ht="20.25" customHeight="1" x14ac:dyDescent="0.15">
      <c r="A5" s="18" t="s">
        <v>107</v>
      </c>
      <c r="B5" s="278"/>
      <c r="C5" s="278"/>
      <c r="D5" s="278"/>
      <c r="E5" s="278"/>
      <c r="F5" s="278"/>
      <c r="G5" s="278"/>
      <c r="H5" s="278"/>
      <c r="I5" s="317"/>
      <c r="J5" s="317"/>
      <c r="K5" s="292"/>
    </row>
    <row r="6" spans="1:11" s="9" customFormat="1" ht="20.25" customHeight="1" x14ac:dyDescent="0.15">
      <c r="A6" s="48"/>
      <c r="B6" s="122"/>
      <c r="C6" s="23"/>
      <c r="D6" s="23"/>
      <c r="E6" s="23"/>
      <c r="F6" s="23"/>
      <c r="G6" s="23"/>
      <c r="H6" s="23"/>
      <c r="I6" s="23"/>
      <c r="J6" s="23"/>
      <c r="K6" s="21"/>
    </row>
    <row r="7" spans="1:11" s="9" customFormat="1" ht="20.25" customHeight="1" x14ac:dyDescent="0.15">
      <c r="A7" s="164" t="s">
        <v>234</v>
      </c>
      <c r="B7" s="151">
        <v>22020</v>
      </c>
      <c r="C7" s="36">
        <v>1571</v>
      </c>
      <c r="D7" s="36">
        <v>943</v>
      </c>
      <c r="E7" s="36">
        <v>1400</v>
      </c>
      <c r="F7" s="36">
        <v>1776</v>
      </c>
      <c r="G7" s="36">
        <v>1730</v>
      </c>
      <c r="H7" s="36">
        <v>1585</v>
      </c>
      <c r="I7" s="36">
        <v>7183</v>
      </c>
      <c r="J7" s="36">
        <v>5011</v>
      </c>
      <c r="K7" s="36">
        <v>821</v>
      </c>
    </row>
    <row r="8" spans="1:11" s="9" customFormat="1" ht="20.25" customHeight="1" x14ac:dyDescent="0.15">
      <c r="A8" s="162" t="s">
        <v>235</v>
      </c>
      <c r="B8" s="123">
        <v>13770</v>
      </c>
      <c r="C8" s="23">
        <v>7</v>
      </c>
      <c r="D8" s="23">
        <v>196</v>
      </c>
      <c r="E8" s="23">
        <v>798</v>
      </c>
      <c r="F8" s="23">
        <v>1105</v>
      </c>
      <c r="G8" s="23">
        <v>1095</v>
      </c>
      <c r="H8" s="23">
        <v>965</v>
      </c>
      <c r="I8" s="23">
        <v>4894</v>
      </c>
      <c r="J8" s="23">
        <v>4067</v>
      </c>
      <c r="K8" s="23">
        <v>643</v>
      </c>
    </row>
    <row r="9" spans="1:11" s="9" customFormat="1" ht="20.25" customHeight="1" x14ac:dyDescent="0.15">
      <c r="A9" s="162" t="s">
        <v>236</v>
      </c>
      <c r="B9" s="123">
        <v>8250</v>
      </c>
      <c r="C9" s="23">
        <v>1564</v>
      </c>
      <c r="D9" s="23">
        <v>747</v>
      </c>
      <c r="E9" s="23">
        <v>602</v>
      </c>
      <c r="F9" s="23">
        <v>671</v>
      </c>
      <c r="G9" s="23">
        <v>635</v>
      </c>
      <c r="H9" s="23">
        <v>620</v>
      </c>
      <c r="I9" s="23">
        <v>2289</v>
      </c>
      <c r="J9" s="23">
        <v>944</v>
      </c>
      <c r="K9" s="23">
        <v>178</v>
      </c>
    </row>
    <row r="10" spans="1:11" s="9" customFormat="1" ht="20.25" customHeight="1" x14ac:dyDescent="0.15">
      <c r="A10" s="164"/>
      <c r="B10" s="1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s="9" customFormat="1" ht="20.25" customHeight="1" x14ac:dyDescent="0.15">
      <c r="A11" s="164" t="s">
        <v>237</v>
      </c>
      <c r="B11" s="151">
        <v>7559</v>
      </c>
      <c r="C11" s="36">
        <v>66</v>
      </c>
      <c r="D11" s="36">
        <v>79</v>
      </c>
      <c r="E11" s="36">
        <v>235</v>
      </c>
      <c r="F11" s="36">
        <v>520</v>
      </c>
      <c r="G11" s="36">
        <v>808</v>
      </c>
      <c r="H11" s="36">
        <v>996</v>
      </c>
      <c r="I11" s="36">
        <v>3837</v>
      </c>
      <c r="J11" s="36">
        <v>859</v>
      </c>
      <c r="K11" s="36">
        <v>159</v>
      </c>
    </row>
    <row r="12" spans="1:11" s="9" customFormat="1" ht="20.25" customHeight="1" x14ac:dyDescent="0.15">
      <c r="A12" s="162" t="s">
        <v>238</v>
      </c>
      <c r="B12" s="123">
        <v>6794</v>
      </c>
      <c r="C12" s="23">
        <v>3</v>
      </c>
      <c r="D12" s="23">
        <v>23</v>
      </c>
      <c r="E12" s="23">
        <v>181</v>
      </c>
      <c r="F12" s="23">
        <v>469</v>
      </c>
      <c r="G12" s="23">
        <v>758</v>
      </c>
      <c r="H12" s="23">
        <v>936</v>
      </c>
      <c r="I12" s="23">
        <v>3574</v>
      </c>
      <c r="J12" s="23">
        <v>753</v>
      </c>
      <c r="K12" s="23">
        <v>97</v>
      </c>
    </row>
    <row r="13" spans="1:11" s="9" customFormat="1" ht="20.25" customHeight="1" x14ac:dyDescent="0.15">
      <c r="A13" s="162" t="s">
        <v>239</v>
      </c>
      <c r="B13" s="123">
        <v>765</v>
      </c>
      <c r="C13" s="23">
        <v>63</v>
      </c>
      <c r="D13" s="23">
        <v>56</v>
      </c>
      <c r="E13" s="23">
        <v>54</v>
      </c>
      <c r="F13" s="23">
        <v>51</v>
      </c>
      <c r="G13" s="23">
        <v>50</v>
      </c>
      <c r="H13" s="23">
        <v>60</v>
      </c>
      <c r="I13" s="23">
        <v>263</v>
      </c>
      <c r="J13" s="23">
        <v>106</v>
      </c>
      <c r="K13" s="23">
        <v>62</v>
      </c>
    </row>
    <row r="14" spans="1:11" s="9" customFormat="1" ht="20.25" customHeight="1" x14ac:dyDescent="0.15">
      <c r="A14" s="164"/>
      <c r="B14" s="1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s="9" customFormat="1" ht="20.25" customHeight="1" x14ac:dyDescent="0.15">
      <c r="A15" s="164" t="s">
        <v>240</v>
      </c>
      <c r="B15" s="151">
        <v>4172</v>
      </c>
      <c r="C15" s="67">
        <v>38</v>
      </c>
      <c r="D15" s="67">
        <v>165</v>
      </c>
      <c r="E15" s="67">
        <v>1314</v>
      </c>
      <c r="F15" s="67">
        <v>2276</v>
      </c>
      <c r="G15" s="67">
        <v>54</v>
      </c>
      <c r="H15" s="67">
        <v>26</v>
      </c>
      <c r="I15" s="67">
        <v>76</v>
      </c>
      <c r="J15" s="67">
        <v>106</v>
      </c>
      <c r="K15" s="67">
        <v>117</v>
      </c>
    </row>
    <row r="16" spans="1:11" s="9" customFormat="1" ht="20.25" customHeight="1" x14ac:dyDescent="0.15">
      <c r="A16" s="162" t="s">
        <v>238</v>
      </c>
      <c r="B16" s="123">
        <v>4033</v>
      </c>
      <c r="C16" s="68">
        <v>0</v>
      </c>
      <c r="D16" s="68">
        <v>146</v>
      </c>
      <c r="E16" s="68">
        <v>1297</v>
      </c>
      <c r="F16" s="68">
        <v>2264</v>
      </c>
      <c r="G16" s="68">
        <v>49</v>
      </c>
      <c r="H16" s="68">
        <v>22</v>
      </c>
      <c r="I16" s="68">
        <v>71</v>
      </c>
      <c r="J16" s="68">
        <v>76</v>
      </c>
      <c r="K16" s="68">
        <v>108</v>
      </c>
    </row>
    <row r="17" spans="1:11" s="9" customFormat="1" ht="20.25" customHeight="1" x14ac:dyDescent="0.15">
      <c r="A17" s="69" t="s">
        <v>121</v>
      </c>
      <c r="B17" s="124">
        <v>139</v>
      </c>
      <c r="C17" s="69">
        <v>38</v>
      </c>
      <c r="D17" s="69">
        <v>19</v>
      </c>
      <c r="E17" s="69">
        <v>17</v>
      </c>
      <c r="F17" s="69">
        <v>12</v>
      </c>
      <c r="G17" s="69">
        <v>5</v>
      </c>
      <c r="H17" s="69">
        <v>4</v>
      </c>
      <c r="I17" s="69">
        <v>5</v>
      </c>
      <c r="J17" s="69">
        <v>30</v>
      </c>
      <c r="K17" s="69">
        <v>9</v>
      </c>
    </row>
    <row r="18" spans="1:11" s="9" customFormat="1" ht="14.65" customHeight="1" x14ac:dyDescent="0.15"/>
    <row r="19" spans="1:11" s="9" customFormat="1" ht="14.65" customHeight="1" x14ac:dyDescent="0.15"/>
    <row r="20" spans="1:11" s="9" customFormat="1" ht="14.65" customHeight="1" x14ac:dyDescent="0.15"/>
    <row r="21" spans="1:11" s="9" customFormat="1" ht="20.25" customHeight="1" x14ac:dyDescent="0.15">
      <c r="A21" s="14" t="s">
        <v>296</v>
      </c>
      <c r="K21" s="242" t="s">
        <v>204</v>
      </c>
    </row>
    <row r="22" spans="1:11" s="9" customFormat="1" ht="23.25" customHeight="1" x14ac:dyDescent="0.15">
      <c r="A22" s="291" t="s">
        <v>116</v>
      </c>
      <c r="B22" s="269" t="s">
        <v>117</v>
      </c>
      <c r="C22" s="269"/>
      <c r="D22" s="269"/>
      <c r="E22" s="269"/>
      <c r="F22" s="269" t="s">
        <v>118</v>
      </c>
      <c r="G22" s="269"/>
      <c r="H22" s="269"/>
      <c r="I22" s="269"/>
      <c r="J22" s="269" t="s">
        <v>88</v>
      </c>
      <c r="K22" s="270"/>
    </row>
    <row r="23" spans="1:11" s="9" customFormat="1" ht="23.25" customHeight="1" x14ac:dyDescent="0.15">
      <c r="A23" s="293"/>
      <c r="B23" s="274" t="s">
        <v>119</v>
      </c>
      <c r="C23" s="274"/>
      <c r="D23" s="274" t="s">
        <v>163</v>
      </c>
      <c r="E23" s="274"/>
      <c r="F23" s="274" t="s">
        <v>120</v>
      </c>
      <c r="G23" s="274"/>
      <c r="H23" s="274" t="s">
        <v>114</v>
      </c>
      <c r="I23" s="274"/>
      <c r="J23" s="19" t="s">
        <v>120</v>
      </c>
      <c r="K23" s="20" t="s">
        <v>41</v>
      </c>
    </row>
    <row r="24" spans="1:11" s="9" customFormat="1" ht="30.75" customHeight="1" x14ac:dyDescent="0.15">
      <c r="A24" s="176" t="s">
        <v>218</v>
      </c>
      <c r="B24" s="318">
        <v>320.86403317330002</v>
      </c>
      <c r="C24" s="319"/>
      <c r="D24" s="319">
        <v>188.12075242719999</v>
      </c>
      <c r="E24" s="320"/>
      <c r="F24" s="319">
        <v>245.49240748930001</v>
      </c>
      <c r="G24" s="319"/>
      <c r="H24" s="319">
        <v>266.5</v>
      </c>
      <c r="I24" s="319"/>
      <c r="J24" s="125">
        <v>132.45964738020001</v>
      </c>
      <c r="K24" s="51">
        <v>228.9856115108</v>
      </c>
    </row>
    <row r="39" ht="11.25" customHeight="1" x14ac:dyDescent="0.15"/>
  </sheetData>
  <sheetProtection algorithmName="SHA-512" hashValue="nRg2iGGnLmrUU++ngDj2M2jzCHGn3cE8I7W98xSPKmS5FeH8Zn7xbfbzNn4ETY3dNtAz1QMjTFAMcLQVLEZ7vw==" saltValue="pGWvQAUEDA2NUj5eL5Qz5g==" spinCount="100000" sheet="1" objects="1" scenarios="1"/>
  <mergeCells count="22">
    <mergeCell ref="H24:I24"/>
    <mergeCell ref="F22:I22"/>
    <mergeCell ref="F23:G23"/>
    <mergeCell ref="H23:I23"/>
    <mergeCell ref="F24:G24"/>
    <mergeCell ref="B24:C24"/>
    <mergeCell ref="D23:E23"/>
    <mergeCell ref="D24:E24"/>
    <mergeCell ref="B4:B5"/>
    <mergeCell ref="B22:E22"/>
    <mergeCell ref="C4:C5"/>
    <mergeCell ref="D4:D5"/>
    <mergeCell ref="E4:E5"/>
    <mergeCell ref="A22:A23"/>
    <mergeCell ref="B23:C23"/>
    <mergeCell ref="J22:K22"/>
    <mergeCell ref="J4:J5"/>
    <mergeCell ref="K4:K5"/>
    <mergeCell ref="I4:I5"/>
    <mergeCell ref="H4:H5"/>
    <mergeCell ref="G4:G5"/>
    <mergeCell ref="F4:F5"/>
  </mergeCells>
  <phoneticPr fontId="2" type="noConversion"/>
  <pageMargins left="0.31" right="0.24" top="0.51" bottom="0.46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6"/>
  <sheetViews>
    <sheetView showGridLines="0" zoomScaleNormal="100" zoomScaleSheetLayoutView="100" workbookViewId="0"/>
  </sheetViews>
  <sheetFormatPr defaultRowHeight="11.25" x14ac:dyDescent="0.15"/>
  <cols>
    <col min="1" max="1" width="5" style="16" customWidth="1"/>
    <col min="2" max="2" width="11.6640625" style="16" customWidth="1"/>
    <col min="3" max="16384" width="8.88671875" style="16"/>
  </cols>
  <sheetData>
    <row r="1" spans="1:10" s="9" customFormat="1" ht="21.75" customHeight="1" x14ac:dyDescent="0.15">
      <c r="A1" s="8" t="s">
        <v>298</v>
      </c>
      <c r="B1" s="8"/>
      <c r="C1" s="8"/>
      <c r="D1" s="8"/>
      <c r="E1" s="8"/>
      <c r="F1" s="8"/>
      <c r="G1" s="8"/>
      <c r="H1" s="8"/>
      <c r="I1" s="8"/>
      <c r="J1" s="8"/>
    </row>
    <row r="2" spans="1:10" s="9" customFormat="1" ht="14.65" customHeight="1" x14ac:dyDescent="0.15">
      <c r="G2" s="8"/>
    </row>
    <row r="3" spans="1:10" s="9" customFormat="1" ht="29.25" customHeight="1" x14ac:dyDescent="0.15">
      <c r="A3" s="14" t="s">
        <v>297</v>
      </c>
      <c r="B3" s="14"/>
    </row>
    <row r="4" spans="1:10" s="9" customFormat="1" ht="24.75" customHeight="1" x14ac:dyDescent="0.15">
      <c r="A4" s="17"/>
      <c r="B4" s="17" t="s">
        <v>40</v>
      </c>
      <c r="C4" s="269" t="s">
        <v>175</v>
      </c>
      <c r="D4" s="269" t="s">
        <v>89</v>
      </c>
      <c r="E4" s="269"/>
      <c r="F4" s="269"/>
      <c r="G4" s="269"/>
      <c r="H4" s="270" t="s">
        <v>207</v>
      </c>
    </row>
    <row r="5" spans="1:10" s="9" customFormat="1" ht="24.75" customHeight="1" x14ac:dyDescent="0.15">
      <c r="A5" s="18" t="s">
        <v>107</v>
      </c>
      <c r="B5" s="18"/>
      <c r="C5" s="274"/>
      <c r="D5" s="33" t="s">
        <v>31</v>
      </c>
      <c r="E5" s="33" t="s">
        <v>43</v>
      </c>
      <c r="F5" s="33" t="s">
        <v>44</v>
      </c>
      <c r="G5" s="33" t="s">
        <v>45</v>
      </c>
      <c r="H5" s="295"/>
    </row>
    <row r="6" spans="1:10" s="9" customFormat="1" ht="25.5" customHeight="1" x14ac:dyDescent="0.15">
      <c r="A6" s="283" t="s">
        <v>63</v>
      </c>
      <c r="B6" s="329"/>
      <c r="C6" s="27">
        <v>23699</v>
      </c>
      <c r="D6" s="36">
        <v>11639</v>
      </c>
      <c r="E6" s="36">
        <v>7259</v>
      </c>
      <c r="F6" s="36">
        <v>3487</v>
      </c>
      <c r="G6" s="36">
        <v>1299</v>
      </c>
      <c r="H6" s="48">
        <v>15</v>
      </c>
    </row>
    <row r="7" spans="1:10" s="9" customFormat="1" ht="25.5" customHeight="1" x14ac:dyDescent="0.15">
      <c r="A7" s="328" t="s">
        <v>90</v>
      </c>
      <c r="B7" s="285"/>
      <c r="C7" s="209">
        <v>17056</v>
      </c>
      <c r="D7" s="23">
        <v>7386</v>
      </c>
      <c r="E7" s="23">
        <v>5687</v>
      </c>
      <c r="F7" s="23">
        <v>2952</v>
      </c>
      <c r="G7" s="23">
        <v>1020</v>
      </c>
      <c r="H7" s="23">
        <v>11</v>
      </c>
    </row>
    <row r="8" spans="1:10" s="9" customFormat="1" ht="25.5" customHeight="1" x14ac:dyDescent="0.15">
      <c r="A8" s="328" t="s">
        <v>91</v>
      </c>
      <c r="B8" s="285"/>
      <c r="C8" s="209">
        <v>5189</v>
      </c>
      <c r="D8" s="23">
        <v>3075</v>
      </c>
      <c r="E8" s="23">
        <v>1492</v>
      </c>
      <c r="F8" s="23">
        <v>445</v>
      </c>
      <c r="G8" s="23">
        <v>173</v>
      </c>
      <c r="H8" s="23">
        <v>4</v>
      </c>
    </row>
    <row r="9" spans="1:10" s="9" customFormat="1" ht="25.5" customHeight="1" x14ac:dyDescent="0.15">
      <c r="A9" s="308" t="s">
        <v>92</v>
      </c>
      <c r="B9" s="327"/>
      <c r="C9" s="210">
        <v>1454</v>
      </c>
      <c r="D9" s="69">
        <v>1178</v>
      </c>
      <c r="E9" s="69">
        <v>80</v>
      </c>
      <c r="F9" s="69">
        <v>90</v>
      </c>
      <c r="G9" s="69">
        <v>106</v>
      </c>
      <c r="H9" s="24">
        <v>0</v>
      </c>
    </row>
    <row r="10" spans="1:10" s="9" customFormat="1" ht="14.65" customHeight="1" x14ac:dyDescent="0.15">
      <c r="A10" s="8"/>
      <c r="B10" s="8"/>
      <c r="C10" s="8"/>
      <c r="D10" s="8"/>
      <c r="E10" s="8"/>
      <c r="F10" s="8"/>
      <c r="G10" s="8"/>
      <c r="H10" s="8"/>
    </row>
    <row r="11" spans="1:10" s="9" customFormat="1" ht="14.65" customHeight="1" x14ac:dyDescent="0.15">
      <c r="A11" s="8"/>
      <c r="B11" s="8"/>
      <c r="C11" s="6"/>
      <c r="D11" s="8"/>
      <c r="E11" s="8"/>
      <c r="F11" s="8"/>
      <c r="G11" s="8"/>
      <c r="H11" s="8"/>
    </row>
    <row r="12" spans="1:10" s="9" customFormat="1" ht="14.65" customHeight="1" x14ac:dyDescent="0.15">
      <c r="A12" s="8"/>
      <c r="B12" s="8"/>
      <c r="C12" s="6"/>
      <c r="D12" s="8"/>
      <c r="E12" s="8"/>
      <c r="F12" s="8"/>
      <c r="G12" s="8"/>
      <c r="H12" s="8"/>
    </row>
    <row r="13" spans="1:10" s="9" customFormat="1" ht="14.65" customHeight="1" x14ac:dyDescent="0.15">
      <c r="A13" s="8"/>
      <c r="B13" s="8"/>
      <c r="C13" s="6"/>
      <c r="D13" s="8"/>
      <c r="E13" s="8"/>
      <c r="F13" s="8"/>
      <c r="G13" s="8"/>
      <c r="H13" s="8"/>
    </row>
    <row r="14" spans="1:10" s="9" customFormat="1" ht="24.75" customHeight="1" x14ac:dyDescent="0.15">
      <c r="A14" s="6" t="s">
        <v>42</v>
      </c>
      <c r="B14" s="6"/>
      <c r="C14" s="6"/>
      <c r="D14" s="8"/>
      <c r="E14" s="8"/>
      <c r="F14" s="8"/>
      <c r="G14" s="8"/>
      <c r="H14" s="8"/>
    </row>
    <row r="15" spans="1:10" s="9" customFormat="1" ht="24.75" customHeight="1" x14ac:dyDescent="0.15">
      <c r="A15" s="8" t="s">
        <v>299</v>
      </c>
      <c r="B15" s="8"/>
      <c r="C15" s="6"/>
      <c r="D15" s="8"/>
      <c r="E15" s="8"/>
      <c r="F15" s="8"/>
      <c r="G15" s="8"/>
      <c r="H15" s="8"/>
    </row>
    <row r="16" spans="1:10" s="9" customFormat="1" ht="14.65" customHeight="1" x14ac:dyDescent="0.15">
      <c r="A16" s="8"/>
      <c r="B16" s="8"/>
      <c r="C16" s="6"/>
      <c r="D16" s="8"/>
      <c r="E16" s="8"/>
      <c r="F16" s="8"/>
      <c r="G16" s="8"/>
      <c r="H16" s="8"/>
    </row>
    <row r="17" spans="1:9" s="9" customFormat="1" ht="20.25" customHeight="1" x14ac:dyDescent="0.15">
      <c r="A17" s="52" t="s">
        <v>300</v>
      </c>
      <c r="B17" s="52"/>
    </row>
    <row r="18" spans="1:9" s="9" customFormat="1" ht="20.25" customHeight="1" x14ac:dyDescent="0.15">
      <c r="A18" s="17"/>
      <c r="B18" s="17" t="s">
        <v>100</v>
      </c>
      <c r="C18" s="321" t="s">
        <v>219</v>
      </c>
      <c r="D18" s="269" t="s">
        <v>93</v>
      </c>
      <c r="E18" s="269"/>
      <c r="F18" s="269"/>
      <c r="G18" s="269"/>
      <c r="H18" s="269"/>
      <c r="I18" s="270"/>
    </row>
    <row r="19" spans="1:9" s="9" customFormat="1" ht="20.25" customHeight="1" x14ac:dyDescent="0.15">
      <c r="A19" s="18" t="s">
        <v>170</v>
      </c>
      <c r="B19" s="18"/>
      <c r="C19" s="322"/>
      <c r="D19" s="19" t="s">
        <v>24</v>
      </c>
      <c r="E19" s="19" t="s">
        <v>34</v>
      </c>
      <c r="F19" s="19" t="s">
        <v>35</v>
      </c>
      <c r="G19" s="19" t="s">
        <v>94</v>
      </c>
      <c r="H19" s="19" t="s">
        <v>82</v>
      </c>
      <c r="I19" s="20" t="s">
        <v>163</v>
      </c>
    </row>
    <row r="20" spans="1:9" s="9" customFormat="1" ht="20.25" customHeight="1" x14ac:dyDescent="0.15">
      <c r="A20" s="323" t="s">
        <v>147</v>
      </c>
      <c r="B20" s="236" t="s">
        <v>205</v>
      </c>
      <c r="C20" s="235">
        <v>11777</v>
      </c>
      <c r="D20" s="21">
        <v>11769</v>
      </c>
      <c r="E20" s="21">
        <v>8703</v>
      </c>
      <c r="F20" s="21">
        <v>1946</v>
      </c>
      <c r="G20" s="21">
        <v>376</v>
      </c>
      <c r="H20" s="21">
        <v>632</v>
      </c>
      <c r="I20" s="21">
        <v>112</v>
      </c>
    </row>
    <row r="21" spans="1:9" s="9" customFormat="1" ht="20.25" customHeight="1" x14ac:dyDescent="0.15">
      <c r="A21" s="326"/>
      <c r="B21" s="237" t="s">
        <v>122</v>
      </c>
      <c r="C21" s="209">
        <v>1284</v>
      </c>
      <c r="D21" s="23">
        <v>1263</v>
      </c>
      <c r="E21" s="23">
        <v>692</v>
      </c>
      <c r="F21" s="23">
        <v>385</v>
      </c>
      <c r="G21" s="23">
        <v>51</v>
      </c>
      <c r="H21" s="23">
        <v>81</v>
      </c>
      <c r="I21" s="23">
        <v>54</v>
      </c>
    </row>
    <row r="22" spans="1:9" s="9" customFormat="1" ht="20.25" customHeight="1" x14ac:dyDescent="0.15">
      <c r="A22" s="325"/>
      <c r="B22" s="238" t="s">
        <v>123</v>
      </c>
      <c r="C22" s="217">
        <v>256</v>
      </c>
      <c r="D22" s="24">
        <v>275</v>
      </c>
      <c r="E22" s="24">
        <v>81</v>
      </c>
      <c r="F22" s="24">
        <v>100</v>
      </c>
      <c r="G22" s="24">
        <v>36</v>
      </c>
      <c r="H22" s="24">
        <v>57</v>
      </c>
      <c r="I22" s="24">
        <v>1</v>
      </c>
    </row>
    <row r="23" spans="1:9" s="9" customFormat="1" ht="20.25" customHeight="1" x14ac:dyDescent="0.15">
      <c r="A23" s="323" t="s">
        <v>97</v>
      </c>
      <c r="B23" s="236" t="s">
        <v>95</v>
      </c>
      <c r="C23" s="235">
        <v>980</v>
      </c>
      <c r="D23" s="21">
        <v>1014</v>
      </c>
      <c r="E23" s="21">
        <v>105</v>
      </c>
      <c r="F23" s="21">
        <v>793</v>
      </c>
      <c r="G23" s="21">
        <v>60</v>
      </c>
      <c r="H23" s="21">
        <v>47</v>
      </c>
      <c r="I23" s="21">
        <v>9</v>
      </c>
    </row>
    <row r="24" spans="1:9" s="9" customFormat="1" ht="20.25" customHeight="1" x14ac:dyDescent="0.15">
      <c r="A24" s="324"/>
      <c r="B24" s="237" t="s">
        <v>96</v>
      </c>
      <c r="C24" s="209">
        <v>2345</v>
      </c>
      <c r="D24" s="23">
        <v>1541</v>
      </c>
      <c r="E24" s="23">
        <v>2</v>
      </c>
      <c r="F24" s="23">
        <v>498</v>
      </c>
      <c r="G24" s="23">
        <v>1029</v>
      </c>
      <c r="H24" s="23">
        <v>12</v>
      </c>
      <c r="I24" s="23">
        <v>0</v>
      </c>
    </row>
    <row r="25" spans="1:9" s="9" customFormat="1" ht="20.25" customHeight="1" x14ac:dyDescent="0.15">
      <c r="A25" s="325"/>
      <c r="B25" s="238"/>
      <c r="C25" s="240">
        <v>500</v>
      </c>
      <c r="D25" s="239">
        <v>497</v>
      </c>
      <c r="E25" s="239">
        <v>2</v>
      </c>
      <c r="F25" s="239">
        <v>451</v>
      </c>
      <c r="G25" s="239">
        <v>32</v>
      </c>
      <c r="H25" s="239">
        <v>12</v>
      </c>
      <c r="I25" s="241" t="s">
        <v>326</v>
      </c>
    </row>
    <row r="26" spans="1:9" ht="12" x14ac:dyDescent="0.15">
      <c r="A26" s="243" t="s">
        <v>325</v>
      </c>
    </row>
  </sheetData>
  <sheetProtection algorithmName="SHA-512" hashValue="QmKKrJGls8AP7TqirQb83eeXNWBJPHAgP6+dvaji8lCyqH4MmA6u2QluCRFFmwgi3P6kfjBnGrZiYQ+9MV481Q==" saltValue="uaF4Tfp6ZUoB/TkxcwP0aQ==" spinCount="100000" sheet="1" objects="1" scenarios="1"/>
  <mergeCells count="11">
    <mergeCell ref="A8:B8"/>
    <mergeCell ref="C4:C5"/>
    <mergeCell ref="D4:G4"/>
    <mergeCell ref="H4:H5"/>
    <mergeCell ref="A6:B6"/>
    <mergeCell ref="A7:B7"/>
    <mergeCell ref="C18:C19"/>
    <mergeCell ref="D18:I18"/>
    <mergeCell ref="A23:A25"/>
    <mergeCell ref="A20:A22"/>
    <mergeCell ref="A9:B9"/>
  </mergeCells>
  <phoneticPr fontId="2" type="noConversion"/>
  <pageMargins left="0.49" right="0.26" top="0.72" bottom="1" header="0.5" footer="0.5"/>
  <pageSetup paperSize="9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6"/>
  <sheetViews>
    <sheetView view="pageBreakPreview" zoomScaleNormal="100" zoomScaleSheetLayoutView="100" workbookViewId="0">
      <selection activeCell="A2" sqref="A2"/>
    </sheetView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1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1" s="9" customFormat="1" ht="20.25" customHeight="1" x14ac:dyDescent="0.15">
      <c r="A2" s="184" t="s">
        <v>265</v>
      </c>
      <c r="B2" s="52"/>
    </row>
    <row r="3" spans="1:11" s="9" customFormat="1" ht="20.25" customHeight="1" x14ac:dyDescent="0.15">
      <c r="A3" s="17"/>
      <c r="B3" s="17" t="s">
        <v>100</v>
      </c>
      <c r="C3" s="321" t="s">
        <v>216</v>
      </c>
      <c r="D3" s="269" t="s">
        <v>93</v>
      </c>
      <c r="E3" s="287"/>
      <c r="F3" s="287"/>
      <c r="G3" s="269"/>
      <c r="H3" s="269"/>
      <c r="I3" s="269"/>
      <c r="J3" s="270"/>
      <c r="K3" s="330" t="s">
        <v>263</v>
      </c>
    </row>
    <row r="4" spans="1:11" s="9" customFormat="1" ht="20.25" customHeight="1" x14ac:dyDescent="0.15">
      <c r="A4" s="18" t="s">
        <v>258</v>
      </c>
      <c r="B4" s="18"/>
      <c r="C4" s="322"/>
      <c r="D4" s="179" t="s">
        <v>24</v>
      </c>
      <c r="E4" s="178" t="s">
        <v>34</v>
      </c>
      <c r="F4" s="180" t="s">
        <v>264</v>
      </c>
      <c r="G4" s="180" t="s">
        <v>35</v>
      </c>
      <c r="H4" s="179" t="s">
        <v>94</v>
      </c>
      <c r="I4" s="179" t="s">
        <v>82</v>
      </c>
      <c r="J4" s="178" t="s">
        <v>163</v>
      </c>
      <c r="K4" s="322"/>
    </row>
    <row r="5" spans="1:11" s="9" customFormat="1" ht="20.25" customHeight="1" x14ac:dyDescent="0.15">
      <c r="A5" s="126" t="s">
        <v>4</v>
      </c>
      <c r="B5" s="126" t="s">
        <v>233</v>
      </c>
      <c r="C5" s="122">
        <v>12395</v>
      </c>
      <c r="D5" s="23">
        <v>12248</v>
      </c>
      <c r="E5" s="23">
        <v>8612</v>
      </c>
      <c r="F5" s="149">
        <f>E5/D5*100</f>
        <v>70.313520574787731</v>
      </c>
      <c r="G5" s="23">
        <v>2511</v>
      </c>
      <c r="H5" s="23">
        <v>449</v>
      </c>
      <c r="I5" s="23">
        <v>556</v>
      </c>
      <c r="J5" s="21">
        <v>120</v>
      </c>
      <c r="K5" s="192">
        <v>65.248081006042796</v>
      </c>
    </row>
    <row r="6" spans="1:11" s="9" customFormat="1" ht="20.25" customHeight="1" x14ac:dyDescent="0.15">
      <c r="A6" s="127"/>
      <c r="B6" s="127" t="s">
        <v>259</v>
      </c>
      <c r="C6" s="120">
        <v>3398</v>
      </c>
      <c r="D6" s="23">
        <v>3394</v>
      </c>
      <c r="E6" s="23">
        <v>1785</v>
      </c>
      <c r="F6" s="149">
        <f t="shared" ref="F6:F16" si="0">E6/D6*100</f>
        <v>52.592810842663532</v>
      </c>
      <c r="G6" s="23">
        <v>1176</v>
      </c>
      <c r="H6" s="23">
        <v>163</v>
      </c>
      <c r="I6" s="23">
        <v>241</v>
      </c>
      <c r="J6" s="23">
        <v>29</v>
      </c>
      <c r="K6" s="193">
        <v>23.0774896876841</v>
      </c>
    </row>
    <row r="7" spans="1:11" s="9" customFormat="1" ht="20.25" customHeight="1" x14ac:dyDescent="0.15">
      <c r="A7" s="127"/>
      <c r="B7" s="127" t="s">
        <v>260</v>
      </c>
      <c r="C7" s="120">
        <v>5</v>
      </c>
      <c r="D7" s="23">
        <v>5</v>
      </c>
      <c r="E7" s="23">
        <v>0</v>
      </c>
      <c r="F7" s="190" t="s">
        <v>245</v>
      </c>
      <c r="G7" s="23">
        <v>1</v>
      </c>
      <c r="H7" s="23">
        <v>0</v>
      </c>
      <c r="I7" s="23">
        <v>2</v>
      </c>
      <c r="J7" s="23">
        <v>2</v>
      </c>
      <c r="K7" s="193">
        <v>8</v>
      </c>
    </row>
    <row r="8" spans="1:11" s="9" customFormat="1" ht="20.25" customHeight="1" x14ac:dyDescent="0.15">
      <c r="A8" s="128"/>
      <c r="B8" s="128" t="s">
        <v>262</v>
      </c>
      <c r="C8" s="129">
        <v>162</v>
      </c>
      <c r="D8" s="23">
        <v>194</v>
      </c>
      <c r="E8" s="23">
        <v>41</v>
      </c>
      <c r="F8" s="111">
        <f t="shared" si="0"/>
        <v>21.134020618556701</v>
      </c>
      <c r="G8" s="23">
        <v>48</v>
      </c>
      <c r="H8" s="23">
        <v>63</v>
      </c>
      <c r="I8" s="23">
        <v>33</v>
      </c>
      <c r="J8" s="23">
        <v>9</v>
      </c>
      <c r="K8" s="194">
        <v>71.319587628866003</v>
      </c>
    </row>
    <row r="9" spans="1:11" s="9" customFormat="1" ht="20.25" customHeight="1" x14ac:dyDescent="0.15">
      <c r="A9" s="126" t="s">
        <v>54</v>
      </c>
      <c r="B9" s="126" t="s">
        <v>233</v>
      </c>
      <c r="C9" s="122">
        <v>1294</v>
      </c>
      <c r="D9" s="185">
        <v>1277</v>
      </c>
      <c r="E9" s="21">
        <v>691</v>
      </c>
      <c r="F9" s="149">
        <f t="shared" si="0"/>
        <v>54.111198120595148</v>
      </c>
      <c r="G9" s="21">
        <v>374</v>
      </c>
      <c r="H9" s="21">
        <v>51</v>
      </c>
      <c r="I9" s="21">
        <v>122</v>
      </c>
      <c r="J9" s="21">
        <v>39</v>
      </c>
      <c r="K9" s="192">
        <v>29.778386844166</v>
      </c>
    </row>
    <row r="10" spans="1:11" s="9" customFormat="1" ht="20.25" customHeight="1" x14ac:dyDescent="0.15">
      <c r="A10" s="127"/>
      <c r="B10" s="127" t="s">
        <v>259</v>
      </c>
      <c r="C10" s="120">
        <v>477</v>
      </c>
      <c r="D10" s="140">
        <v>470</v>
      </c>
      <c r="E10" s="23">
        <v>339</v>
      </c>
      <c r="F10" s="149">
        <f t="shared" si="0"/>
        <v>72.127659574468083</v>
      </c>
      <c r="G10" s="23">
        <v>110</v>
      </c>
      <c r="H10" s="23">
        <v>5</v>
      </c>
      <c r="I10" s="23">
        <v>15</v>
      </c>
      <c r="J10" s="23">
        <v>1</v>
      </c>
      <c r="K10" s="193">
        <v>18.7893617021277</v>
      </c>
    </row>
    <row r="11" spans="1:11" s="9" customFormat="1" ht="20.25" customHeight="1" x14ac:dyDescent="0.15">
      <c r="A11" s="127"/>
      <c r="B11" s="127" t="s">
        <v>260</v>
      </c>
      <c r="C11" s="120">
        <v>0</v>
      </c>
      <c r="D11" s="140">
        <v>0</v>
      </c>
      <c r="E11" s="23">
        <v>0</v>
      </c>
      <c r="F11" s="109" t="s">
        <v>208</v>
      </c>
      <c r="G11" s="23">
        <v>0</v>
      </c>
      <c r="H11" s="23">
        <v>0</v>
      </c>
      <c r="I11" s="23">
        <v>0</v>
      </c>
      <c r="J11" s="23">
        <v>0</v>
      </c>
      <c r="K11" s="193">
        <v>0</v>
      </c>
    </row>
    <row r="12" spans="1:11" s="9" customFormat="1" ht="20.25" customHeight="1" x14ac:dyDescent="0.15">
      <c r="A12" s="128"/>
      <c r="B12" s="128" t="s">
        <v>262</v>
      </c>
      <c r="C12" s="129">
        <v>3</v>
      </c>
      <c r="D12" s="130">
        <v>3</v>
      </c>
      <c r="E12" s="24">
        <v>0</v>
      </c>
      <c r="F12" s="191" t="s">
        <v>245</v>
      </c>
      <c r="G12" s="24">
        <v>1</v>
      </c>
      <c r="H12" s="24">
        <v>2</v>
      </c>
      <c r="I12" s="24">
        <v>0</v>
      </c>
      <c r="J12" s="23">
        <v>0</v>
      </c>
      <c r="K12" s="194">
        <v>52</v>
      </c>
    </row>
    <row r="13" spans="1:11" s="9" customFormat="1" ht="20.25" customHeight="1" x14ac:dyDescent="0.15">
      <c r="A13" s="126" t="s">
        <v>47</v>
      </c>
      <c r="B13" s="126" t="s">
        <v>233</v>
      </c>
      <c r="C13" s="122">
        <v>241</v>
      </c>
      <c r="D13" s="23">
        <v>231</v>
      </c>
      <c r="E13" s="23">
        <v>49</v>
      </c>
      <c r="F13" s="149">
        <f t="shared" si="0"/>
        <v>21.212121212121211</v>
      </c>
      <c r="G13" s="23">
        <v>100</v>
      </c>
      <c r="H13" s="23">
        <v>19</v>
      </c>
      <c r="I13" s="23">
        <v>61</v>
      </c>
      <c r="J13" s="21">
        <v>2</v>
      </c>
      <c r="K13" s="192">
        <v>71.385281385281402</v>
      </c>
    </row>
    <row r="14" spans="1:11" s="9" customFormat="1" ht="20.25" customHeight="1" x14ac:dyDescent="0.15">
      <c r="A14" s="127"/>
      <c r="B14" s="127" t="s">
        <v>259</v>
      </c>
      <c r="C14" s="120">
        <v>66</v>
      </c>
      <c r="D14" s="23">
        <v>64</v>
      </c>
      <c r="E14" s="23">
        <v>39</v>
      </c>
      <c r="F14" s="149">
        <f t="shared" si="0"/>
        <v>60.9375</v>
      </c>
      <c r="G14" s="23">
        <v>21</v>
      </c>
      <c r="H14" s="23">
        <v>1</v>
      </c>
      <c r="I14" s="23">
        <v>3</v>
      </c>
      <c r="J14" s="23">
        <v>0</v>
      </c>
      <c r="K14" s="193">
        <v>29.53125</v>
      </c>
    </row>
    <row r="15" spans="1:11" s="9" customFormat="1" ht="20.25" customHeight="1" x14ac:dyDescent="0.15">
      <c r="A15" s="127"/>
      <c r="B15" s="127" t="s">
        <v>260</v>
      </c>
      <c r="C15" s="120">
        <v>0</v>
      </c>
      <c r="D15" s="140">
        <v>0</v>
      </c>
      <c r="E15" s="23">
        <v>0</v>
      </c>
      <c r="F15" s="109" t="s">
        <v>208</v>
      </c>
      <c r="G15" s="23">
        <v>0</v>
      </c>
      <c r="H15" s="23">
        <v>0</v>
      </c>
      <c r="I15" s="23">
        <v>0</v>
      </c>
      <c r="J15" s="142">
        <v>0</v>
      </c>
      <c r="K15" s="193">
        <v>0</v>
      </c>
    </row>
    <row r="16" spans="1:11" s="9" customFormat="1" ht="20.25" customHeight="1" x14ac:dyDescent="0.15">
      <c r="A16" s="128"/>
      <c r="B16" s="128" t="s">
        <v>262</v>
      </c>
      <c r="C16" s="129">
        <v>1</v>
      </c>
      <c r="D16" s="186">
        <v>1</v>
      </c>
      <c r="E16" s="187">
        <v>1</v>
      </c>
      <c r="F16" s="189">
        <f t="shared" si="0"/>
        <v>100</v>
      </c>
      <c r="G16" s="187">
        <v>0</v>
      </c>
      <c r="H16" s="187">
        <v>0</v>
      </c>
      <c r="I16" s="187">
        <v>0</v>
      </c>
      <c r="J16" s="188">
        <v>0</v>
      </c>
      <c r="K16" s="194">
        <v>2</v>
      </c>
    </row>
  </sheetData>
  <sheetProtection algorithmName="SHA-512" hashValue="BpNW9nK1I+oZYHuw9csx5rmp+bPoagV4Ao0vaguswyhyK4vMQsKcZxeYCh5wtSjxqhF1ss68D3RE5ti87pyjvA==" saltValue="rasFlsvkR2V6mY2a6xKmrg==" spinCount="100000" sheet="1" objects="1" scenarios="1"/>
  <mergeCells count="3">
    <mergeCell ref="C3:C4"/>
    <mergeCell ref="D3:J3"/>
    <mergeCell ref="K3:K4"/>
  </mergeCells>
  <phoneticPr fontId="2" type="noConversion"/>
  <pageMargins left="0.49" right="0.26" top="0.72" bottom="1" header="0.5" footer="0.5"/>
  <pageSetup paperSize="9" scale="74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1"/>
  <sheetViews>
    <sheetView showGridLines="0" zoomScaleNormal="100" zoomScaleSheetLayoutView="100" workbookViewId="0"/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2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2" s="9" customFormat="1" ht="20.25" customHeight="1" x14ac:dyDescent="0.15">
      <c r="A2" s="225" t="s">
        <v>301</v>
      </c>
      <c r="B2" s="52"/>
      <c r="K2" s="205"/>
      <c r="L2" s="173"/>
    </row>
    <row r="3" spans="1:12" s="9" customFormat="1" ht="20.25" customHeight="1" x14ac:dyDescent="0.15">
      <c r="A3" s="202"/>
      <c r="B3" s="203" t="s">
        <v>100</v>
      </c>
      <c r="C3" s="337" t="s">
        <v>216</v>
      </c>
      <c r="D3" s="276" t="s">
        <v>93</v>
      </c>
      <c r="E3" s="287"/>
      <c r="F3" s="287"/>
      <c r="G3" s="269"/>
      <c r="H3" s="269"/>
      <c r="I3" s="269"/>
      <c r="J3" s="270"/>
      <c r="K3" s="332" t="s">
        <v>304</v>
      </c>
    </row>
    <row r="4" spans="1:12" s="9" customFormat="1" ht="20.25" customHeight="1" x14ac:dyDescent="0.15">
      <c r="A4" s="336" t="s">
        <v>282</v>
      </c>
      <c r="B4" s="204"/>
      <c r="C4" s="337"/>
      <c r="D4" s="338" t="s">
        <v>24</v>
      </c>
      <c r="E4" s="334" t="s">
        <v>34</v>
      </c>
      <c r="F4" s="335"/>
      <c r="G4" s="340" t="s">
        <v>35</v>
      </c>
      <c r="H4" s="338" t="s">
        <v>94</v>
      </c>
      <c r="I4" s="338" t="s">
        <v>82</v>
      </c>
      <c r="J4" s="342" t="s">
        <v>163</v>
      </c>
      <c r="K4" s="333"/>
    </row>
    <row r="5" spans="1:12" s="9" customFormat="1" ht="20.25" customHeight="1" x14ac:dyDescent="0.15">
      <c r="A5" s="336"/>
      <c r="B5" s="204"/>
      <c r="C5" s="337"/>
      <c r="D5" s="339"/>
      <c r="E5" s="214" t="s">
        <v>280</v>
      </c>
      <c r="F5" s="214" t="s">
        <v>281</v>
      </c>
      <c r="G5" s="341"/>
      <c r="H5" s="339"/>
      <c r="I5" s="339"/>
      <c r="J5" s="343"/>
      <c r="K5" s="333"/>
    </row>
    <row r="6" spans="1:12" s="9" customFormat="1" ht="20.25" customHeight="1" x14ac:dyDescent="0.15">
      <c r="A6" s="331" t="s">
        <v>285</v>
      </c>
      <c r="B6" s="331"/>
      <c r="C6" s="216">
        <v>11777</v>
      </c>
      <c r="D6" s="218">
        <v>11769</v>
      </c>
      <c r="E6" s="48">
        <v>8703</v>
      </c>
      <c r="F6" s="219">
        <v>73.948508794290078</v>
      </c>
      <c r="G6" s="48">
        <v>1946</v>
      </c>
      <c r="H6" s="48">
        <v>376</v>
      </c>
      <c r="I6" s="48">
        <v>632</v>
      </c>
      <c r="J6" s="220">
        <v>112</v>
      </c>
      <c r="K6" s="215">
        <v>64.121515975500003</v>
      </c>
    </row>
    <row r="7" spans="1:12" s="9" customFormat="1" ht="20.25" customHeight="1" x14ac:dyDescent="0.15">
      <c r="A7" s="213"/>
      <c r="B7" s="213" t="s">
        <v>259</v>
      </c>
      <c r="C7" s="209">
        <v>3143</v>
      </c>
      <c r="D7" s="207">
        <v>3146</v>
      </c>
      <c r="E7" s="23">
        <v>1676</v>
      </c>
      <c r="F7" s="149">
        <v>53.273998728544179</v>
      </c>
      <c r="G7" s="23">
        <v>999</v>
      </c>
      <c r="H7" s="23">
        <v>155</v>
      </c>
      <c r="I7" s="23">
        <v>277</v>
      </c>
      <c r="J7" s="221">
        <v>39</v>
      </c>
      <c r="K7" s="57">
        <v>23.8219961856</v>
      </c>
    </row>
    <row r="8" spans="1:12" s="9" customFormat="1" ht="20.25" customHeight="1" x14ac:dyDescent="0.15">
      <c r="A8" s="213"/>
      <c r="B8" s="213" t="s">
        <v>260</v>
      </c>
      <c r="C8" s="209">
        <v>5</v>
      </c>
      <c r="D8" s="207">
        <v>5</v>
      </c>
      <c r="E8" s="23">
        <v>0</v>
      </c>
      <c r="F8" s="109" t="s">
        <v>303</v>
      </c>
      <c r="G8" s="23">
        <v>2</v>
      </c>
      <c r="H8" s="23">
        <v>0</v>
      </c>
      <c r="I8" s="23">
        <v>3</v>
      </c>
      <c r="J8" s="221">
        <v>0</v>
      </c>
      <c r="K8" s="57">
        <v>22</v>
      </c>
    </row>
    <row r="9" spans="1:12" s="9" customFormat="1" ht="20.25" customHeight="1" x14ac:dyDescent="0.15">
      <c r="A9" s="213"/>
      <c r="B9" s="213" t="s">
        <v>261</v>
      </c>
      <c r="C9" s="209">
        <v>135</v>
      </c>
      <c r="D9" s="207">
        <v>135</v>
      </c>
      <c r="E9" s="23">
        <v>33</v>
      </c>
      <c r="F9" s="149">
        <v>24.444444444444443</v>
      </c>
      <c r="G9" s="23">
        <v>41</v>
      </c>
      <c r="H9" s="23">
        <v>29</v>
      </c>
      <c r="I9" s="23">
        <v>29</v>
      </c>
      <c r="J9" s="221">
        <v>3</v>
      </c>
      <c r="K9" s="57">
        <v>42.2740740741</v>
      </c>
    </row>
    <row r="10" spans="1:12" s="9" customFormat="1" ht="20.25" customHeight="1" x14ac:dyDescent="0.15">
      <c r="A10" s="213"/>
      <c r="B10" s="213" t="s">
        <v>19</v>
      </c>
      <c r="C10" s="209">
        <v>8494</v>
      </c>
      <c r="D10" s="207">
        <v>8483</v>
      </c>
      <c r="E10" s="23">
        <v>6994</v>
      </c>
      <c r="F10" s="109">
        <v>82.447247436048571</v>
      </c>
      <c r="G10" s="23">
        <v>904</v>
      </c>
      <c r="H10" s="23">
        <v>192</v>
      </c>
      <c r="I10" s="23">
        <v>323</v>
      </c>
      <c r="J10" s="221">
        <v>70</v>
      </c>
      <c r="K10" s="57">
        <v>79.441287432199999</v>
      </c>
    </row>
    <row r="11" spans="1:12" s="9" customFormat="1" ht="20.25" customHeight="1" x14ac:dyDescent="0.15">
      <c r="A11" s="331" t="s">
        <v>284</v>
      </c>
      <c r="B11" s="331"/>
      <c r="C11" s="27">
        <v>1284</v>
      </c>
      <c r="D11" s="222">
        <v>1263</v>
      </c>
      <c r="E11" s="36">
        <v>692</v>
      </c>
      <c r="F11" s="211">
        <v>54.790182106096594</v>
      </c>
      <c r="G11" s="36">
        <v>385</v>
      </c>
      <c r="H11" s="36">
        <v>51</v>
      </c>
      <c r="I11" s="36">
        <v>81</v>
      </c>
      <c r="J11" s="223">
        <v>54</v>
      </c>
      <c r="K11" s="215">
        <v>39.6806656101</v>
      </c>
    </row>
    <row r="12" spans="1:12" s="9" customFormat="1" ht="20.25" customHeight="1" x14ac:dyDescent="0.15">
      <c r="A12" s="213"/>
      <c r="B12" s="213" t="s">
        <v>259</v>
      </c>
      <c r="C12" s="209">
        <v>474</v>
      </c>
      <c r="D12" s="207">
        <v>479</v>
      </c>
      <c r="E12" s="23">
        <v>345</v>
      </c>
      <c r="F12" s="149">
        <v>72.025052192066809</v>
      </c>
      <c r="G12" s="23">
        <v>111</v>
      </c>
      <c r="H12" s="23">
        <v>6</v>
      </c>
      <c r="I12" s="23">
        <v>16</v>
      </c>
      <c r="J12" s="221">
        <v>1</v>
      </c>
      <c r="K12" s="57">
        <v>19.997912317299999</v>
      </c>
    </row>
    <row r="13" spans="1:12" s="9" customFormat="1" ht="20.25" customHeight="1" x14ac:dyDescent="0.15">
      <c r="A13" s="213"/>
      <c r="B13" s="213" t="s">
        <v>260</v>
      </c>
      <c r="C13" s="209">
        <v>0</v>
      </c>
      <c r="D13" s="207">
        <v>0</v>
      </c>
      <c r="E13" s="23">
        <v>0</v>
      </c>
      <c r="F13" s="109" t="s">
        <v>303</v>
      </c>
      <c r="G13" s="23">
        <v>0</v>
      </c>
      <c r="H13" s="23">
        <v>0</v>
      </c>
      <c r="I13" s="23">
        <v>0</v>
      </c>
      <c r="J13" s="221">
        <v>0</v>
      </c>
      <c r="K13" s="57">
        <v>0</v>
      </c>
    </row>
    <row r="14" spans="1:12" s="9" customFormat="1" ht="20.25" customHeight="1" x14ac:dyDescent="0.15">
      <c r="A14" s="213"/>
      <c r="B14" s="213" t="s">
        <v>261</v>
      </c>
      <c r="C14" s="209">
        <v>3</v>
      </c>
      <c r="D14" s="207">
        <v>4</v>
      </c>
      <c r="E14" s="23">
        <v>1</v>
      </c>
      <c r="F14" s="109">
        <v>25</v>
      </c>
      <c r="G14" s="23">
        <v>2</v>
      </c>
      <c r="H14" s="23">
        <v>0</v>
      </c>
      <c r="I14" s="23">
        <v>1</v>
      </c>
      <c r="J14" s="221">
        <v>0</v>
      </c>
      <c r="K14" s="57">
        <v>36</v>
      </c>
    </row>
    <row r="15" spans="1:12" s="9" customFormat="1" ht="20.25" customHeight="1" x14ac:dyDescent="0.15">
      <c r="A15" s="213"/>
      <c r="B15" s="213" t="s">
        <v>19</v>
      </c>
      <c r="C15" s="209">
        <v>807</v>
      </c>
      <c r="D15" s="207">
        <v>780</v>
      </c>
      <c r="E15" s="23">
        <v>346</v>
      </c>
      <c r="F15" s="109">
        <v>44.358974358974358</v>
      </c>
      <c r="G15" s="23">
        <v>272</v>
      </c>
      <c r="H15" s="23">
        <v>45</v>
      </c>
      <c r="I15" s="23">
        <v>64</v>
      </c>
      <c r="J15" s="221">
        <v>53</v>
      </c>
      <c r="K15" s="57">
        <v>51.802310654700001</v>
      </c>
    </row>
    <row r="16" spans="1:12" s="9" customFormat="1" ht="20.25" customHeight="1" x14ac:dyDescent="0.15">
      <c r="A16" s="331" t="s">
        <v>286</v>
      </c>
      <c r="B16" s="331"/>
      <c r="C16" s="27">
        <v>256</v>
      </c>
      <c r="D16" s="222">
        <v>275</v>
      </c>
      <c r="E16" s="36">
        <v>81</v>
      </c>
      <c r="F16" s="211">
        <v>29.454545454545457</v>
      </c>
      <c r="G16" s="36">
        <v>100</v>
      </c>
      <c r="H16" s="36">
        <v>36</v>
      </c>
      <c r="I16" s="36">
        <v>57</v>
      </c>
      <c r="J16" s="223">
        <v>1</v>
      </c>
      <c r="K16" s="215">
        <v>209.78181818179999</v>
      </c>
    </row>
    <row r="17" spans="1:11" s="9" customFormat="1" ht="20.25" customHeight="1" x14ac:dyDescent="0.15">
      <c r="A17" s="213"/>
      <c r="B17" s="213" t="s">
        <v>259</v>
      </c>
      <c r="C17" s="209">
        <v>78</v>
      </c>
      <c r="D17" s="207">
        <v>88</v>
      </c>
      <c r="E17" s="23">
        <v>61</v>
      </c>
      <c r="F17" s="149">
        <v>69.318181818181827</v>
      </c>
      <c r="G17" s="23">
        <v>24</v>
      </c>
      <c r="H17" s="23">
        <v>1</v>
      </c>
      <c r="I17" s="23">
        <v>2</v>
      </c>
      <c r="J17" s="221">
        <v>0</v>
      </c>
      <c r="K17" s="57">
        <v>76.431818181799997</v>
      </c>
    </row>
    <row r="18" spans="1:11" s="9" customFormat="1" ht="20.25" customHeight="1" x14ac:dyDescent="0.15">
      <c r="A18" s="213"/>
      <c r="B18" s="213" t="s">
        <v>260</v>
      </c>
      <c r="C18" s="209">
        <v>0</v>
      </c>
      <c r="D18" s="207">
        <v>0</v>
      </c>
      <c r="E18" s="23">
        <v>0</v>
      </c>
      <c r="F18" s="109" t="s">
        <v>303</v>
      </c>
      <c r="G18" s="23">
        <v>0</v>
      </c>
      <c r="H18" s="23">
        <v>0</v>
      </c>
      <c r="I18" s="23">
        <v>0</v>
      </c>
      <c r="J18" s="221">
        <v>0</v>
      </c>
      <c r="K18" s="57">
        <v>0</v>
      </c>
    </row>
    <row r="19" spans="1:11" s="9" customFormat="1" ht="20.25" customHeight="1" x14ac:dyDescent="0.15">
      <c r="A19" s="213"/>
      <c r="B19" s="213" t="s">
        <v>261</v>
      </c>
      <c r="C19" s="209">
        <v>0</v>
      </c>
      <c r="D19" s="207">
        <v>0</v>
      </c>
      <c r="E19" s="23">
        <v>0</v>
      </c>
      <c r="F19" s="109" t="s">
        <v>303</v>
      </c>
      <c r="G19" s="23">
        <v>0</v>
      </c>
      <c r="H19" s="23">
        <v>0</v>
      </c>
      <c r="I19" s="23">
        <v>0</v>
      </c>
      <c r="J19" s="221">
        <v>0</v>
      </c>
      <c r="K19" s="57">
        <v>0</v>
      </c>
    </row>
    <row r="20" spans="1:11" s="9" customFormat="1" ht="20.25" customHeight="1" x14ac:dyDescent="0.15">
      <c r="A20" s="212"/>
      <c r="B20" s="212" t="s">
        <v>19</v>
      </c>
      <c r="C20" s="217">
        <v>178</v>
      </c>
      <c r="D20" s="208">
        <v>187</v>
      </c>
      <c r="E20" s="24">
        <v>20</v>
      </c>
      <c r="F20" s="111">
        <v>10.695187165775401</v>
      </c>
      <c r="G20" s="24">
        <v>76</v>
      </c>
      <c r="H20" s="24">
        <v>35</v>
      </c>
      <c r="I20" s="24">
        <v>55</v>
      </c>
      <c r="J20" s="224">
        <v>1</v>
      </c>
      <c r="K20" s="50">
        <v>272.53475935829999</v>
      </c>
    </row>
    <row r="21" spans="1:11" x14ac:dyDescent="0.15">
      <c r="A21" s="16" t="s">
        <v>283</v>
      </c>
    </row>
  </sheetData>
  <sheetProtection algorithmName="SHA-512" hashValue="cOVYZ2d5g2qAnuJlrbcsu4zrrrkyIO/kmY4UhOvNbeyPY1S6Yj4z6jgIpEYtZNPEgKynxZvC6jy3YgQlysqt3g==" saltValue="Ugyppqm7rW1Jxp0E1n+XgA==" spinCount="100000" sheet="1" objects="1" scenarios="1"/>
  <mergeCells count="13">
    <mergeCell ref="A11:B11"/>
    <mergeCell ref="A6:B6"/>
    <mergeCell ref="A16:B16"/>
    <mergeCell ref="K3:K5"/>
    <mergeCell ref="D3:J3"/>
    <mergeCell ref="E4:F4"/>
    <mergeCell ref="A4:A5"/>
    <mergeCell ref="C3:C5"/>
    <mergeCell ref="D4:D5"/>
    <mergeCell ref="G4:G5"/>
    <mergeCell ref="H4:H5"/>
    <mergeCell ref="I4:I5"/>
    <mergeCell ref="J4:J5"/>
  </mergeCells>
  <phoneticPr fontId="2" type="noConversion"/>
  <pageMargins left="0.49" right="0.26" top="0.72" bottom="1" header="0.5" footer="0.5"/>
  <pageSetup paperSize="9" scale="74" orientation="landscape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43"/>
  <sheetViews>
    <sheetView showGridLines="0" zoomScaleNormal="100" zoomScaleSheetLayoutView="100" workbookViewId="0"/>
  </sheetViews>
  <sheetFormatPr defaultRowHeight="11.25" x14ac:dyDescent="0.15"/>
  <cols>
    <col min="1" max="1" width="11.109375" style="16" customWidth="1"/>
    <col min="2" max="6" width="8.88671875" style="16"/>
    <col min="7" max="7" width="9.44140625" style="16" customWidth="1"/>
    <col min="8" max="16384" width="8.88671875" style="16"/>
  </cols>
  <sheetData>
    <row r="1" spans="1:9" s="9" customFormat="1" ht="18" customHeight="1" x14ac:dyDescent="0.15">
      <c r="A1" s="233" t="s">
        <v>315</v>
      </c>
      <c r="B1" s="8"/>
      <c r="C1" s="8"/>
      <c r="D1" s="8"/>
      <c r="E1" s="8"/>
      <c r="F1" s="8"/>
      <c r="G1" s="8"/>
      <c r="H1" s="8"/>
      <c r="I1" s="8"/>
    </row>
    <row r="2" spans="1:9" s="9" customFormat="1" ht="14.65" customHeight="1" x14ac:dyDescent="0.15">
      <c r="A2" s="8"/>
      <c r="B2" s="8"/>
      <c r="C2" s="8"/>
      <c r="D2" s="8"/>
      <c r="E2" s="8"/>
      <c r="F2" s="8"/>
      <c r="G2" s="8"/>
      <c r="H2" s="8"/>
      <c r="I2" s="8"/>
    </row>
    <row r="3" spans="1:9" s="54" customFormat="1" ht="18" customHeight="1" x14ac:dyDescent="0.15">
      <c r="A3" s="13" t="s">
        <v>162</v>
      </c>
      <c r="B3" s="2"/>
      <c r="C3" s="2"/>
      <c r="D3" s="2"/>
      <c r="E3" s="2"/>
      <c r="F3" s="2"/>
      <c r="G3" s="2"/>
      <c r="H3" s="2"/>
      <c r="I3" s="2"/>
    </row>
    <row r="4" spans="1:9" s="54" customFormat="1" ht="57" customHeight="1" x14ac:dyDescent="0.15">
      <c r="A4" s="344" t="s">
        <v>320</v>
      </c>
      <c r="B4" s="344"/>
      <c r="C4" s="344"/>
      <c r="D4" s="344"/>
      <c r="E4" s="344"/>
      <c r="F4" s="344"/>
      <c r="G4" s="344"/>
      <c r="H4" s="344"/>
      <c r="I4" s="344"/>
    </row>
    <row r="5" spans="1:9" s="54" customFormat="1" ht="15" customHeight="1" x14ac:dyDescent="0.15">
      <c r="A5" s="196"/>
      <c r="B5" s="196"/>
      <c r="C5" s="196"/>
      <c r="D5" s="196"/>
      <c r="E5" s="196"/>
      <c r="F5" s="196"/>
      <c r="G5" s="196"/>
      <c r="H5" s="196"/>
      <c r="I5" s="196"/>
    </row>
    <row r="6" spans="1:9" s="9" customFormat="1" ht="14.65" customHeight="1" x14ac:dyDescent="0.15">
      <c r="A6" s="225" t="s">
        <v>316</v>
      </c>
    </row>
    <row r="7" spans="1:9" s="15" customFormat="1" ht="19.5" customHeight="1" x14ac:dyDescent="0.15">
      <c r="A7" s="75"/>
      <c r="B7" s="75"/>
      <c r="C7" s="76" t="s">
        <v>196</v>
      </c>
      <c r="D7" s="248" t="s">
        <v>319</v>
      </c>
      <c r="E7" s="248"/>
      <c r="F7" s="248" t="s">
        <v>270</v>
      </c>
      <c r="G7" s="248"/>
      <c r="H7" s="345" t="s">
        <v>256</v>
      </c>
      <c r="I7" s="346"/>
    </row>
    <row r="8" spans="1:9" s="15" customFormat="1" ht="19.5" customHeight="1" x14ac:dyDescent="0.15">
      <c r="A8" s="153" t="s">
        <v>214</v>
      </c>
      <c r="B8" s="41"/>
      <c r="C8" s="77"/>
      <c r="D8" s="53" t="s">
        <v>27</v>
      </c>
      <c r="E8" s="53" t="s">
        <v>28</v>
      </c>
      <c r="F8" s="53" t="s">
        <v>27</v>
      </c>
      <c r="G8" s="53" t="s">
        <v>28</v>
      </c>
      <c r="H8" s="53" t="s">
        <v>27</v>
      </c>
      <c r="I8" s="53" t="s">
        <v>28</v>
      </c>
    </row>
    <row r="9" spans="1:9" s="15" customFormat="1" ht="19.5" customHeight="1" x14ac:dyDescent="0.15">
      <c r="A9" s="244" t="s">
        <v>48</v>
      </c>
      <c r="B9" s="245"/>
      <c r="C9" s="246"/>
      <c r="D9" s="92">
        <v>1036</v>
      </c>
      <c r="E9" s="91">
        <v>1275</v>
      </c>
      <c r="F9" s="92">
        <v>1267</v>
      </c>
      <c r="G9" s="226">
        <v>1080</v>
      </c>
      <c r="H9" s="92">
        <v>1324</v>
      </c>
      <c r="I9" s="226">
        <v>1445</v>
      </c>
    </row>
    <row r="10" spans="1:9" s="15" customFormat="1" ht="19.5" customHeight="1" x14ac:dyDescent="0.15">
      <c r="A10" s="251" t="s">
        <v>21</v>
      </c>
      <c r="B10" s="253" t="s">
        <v>167</v>
      </c>
      <c r="C10" s="254"/>
      <c r="D10" s="96">
        <v>126</v>
      </c>
      <c r="E10" s="177">
        <v>138</v>
      </c>
      <c r="F10" s="96">
        <v>156</v>
      </c>
      <c r="G10" s="227">
        <v>161</v>
      </c>
      <c r="H10" s="96">
        <v>211</v>
      </c>
      <c r="I10" s="227">
        <v>233</v>
      </c>
    </row>
    <row r="11" spans="1:9" s="15" customFormat="1" ht="19.5" customHeight="1" x14ac:dyDescent="0.15">
      <c r="A11" s="251"/>
      <c r="B11" s="253" t="s">
        <v>173</v>
      </c>
      <c r="C11" s="254"/>
      <c r="D11" s="96">
        <v>562</v>
      </c>
      <c r="E11" s="177">
        <v>613</v>
      </c>
      <c r="F11" s="96">
        <v>615</v>
      </c>
      <c r="G11" s="227">
        <v>595</v>
      </c>
      <c r="H11" s="96">
        <v>674</v>
      </c>
      <c r="I11" s="227">
        <v>767</v>
      </c>
    </row>
    <row r="12" spans="1:9" s="15" customFormat="1" ht="19.5" customHeight="1" x14ac:dyDescent="0.15">
      <c r="A12" s="252" t="s">
        <v>0</v>
      </c>
      <c r="B12" s="255"/>
      <c r="C12" s="256"/>
      <c r="D12" s="168">
        <v>348</v>
      </c>
      <c r="E12" s="169">
        <v>524</v>
      </c>
      <c r="F12" s="168">
        <v>496</v>
      </c>
      <c r="G12" s="169">
        <v>324</v>
      </c>
      <c r="H12" s="168">
        <v>439</v>
      </c>
      <c r="I12" s="169">
        <v>445</v>
      </c>
    </row>
    <row r="13" spans="1:9" s="15" customFormat="1" ht="19.5" customHeight="1" x14ac:dyDescent="0.15">
      <c r="A13" s="30"/>
      <c r="B13" s="30"/>
      <c r="C13" s="30"/>
      <c r="D13" s="30"/>
      <c r="E13" s="30"/>
      <c r="F13" s="8"/>
      <c r="G13" s="8"/>
    </row>
    <row r="14" spans="1:9" s="15" customFormat="1" ht="19.5" customHeight="1" x14ac:dyDescent="0.15">
      <c r="A14" s="30"/>
      <c r="B14" s="30"/>
      <c r="C14" s="30"/>
      <c r="D14" s="30"/>
      <c r="E14" s="30"/>
      <c r="F14" s="8"/>
      <c r="G14" s="8"/>
    </row>
    <row r="15" spans="1:9" s="15" customFormat="1" ht="19.5" customHeight="1" x14ac:dyDescent="0.15">
      <c r="A15" s="30"/>
      <c r="B15" s="30"/>
      <c r="C15" s="30"/>
      <c r="D15" s="30"/>
      <c r="E15" s="30"/>
      <c r="F15" s="8"/>
      <c r="G15" s="8"/>
    </row>
    <row r="16" spans="1:9" s="15" customFormat="1" ht="19.5" customHeight="1" x14ac:dyDescent="0.15">
      <c r="A16" s="30"/>
      <c r="B16" s="30"/>
      <c r="C16" s="30"/>
      <c r="D16" s="30"/>
      <c r="E16" s="30"/>
      <c r="F16" s="8"/>
      <c r="G16" s="8"/>
    </row>
    <row r="17" spans="1:8" s="15" customFormat="1" ht="19.5" customHeight="1" x14ac:dyDescent="0.15">
      <c r="A17" s="30"/>
      <c r="B17" s="30"/>
      <c r="C17" s="30"/>
      <c r="D17" s="147" t="s">
        <v>191</v>
      </c>
      <c r="E17" s="146">
        <v>688</v>
      </c>
      <c r="F17" s="145">
        <v>0.6640926640926641</v>
      </c>
      <c r="G17" s="8"/>
    </row>
    <row r="18" spans="1:8" s="15" customFormat="1" ht="19.5" customHeight="1" x14ac:dyDescent="0.15">
      <c r="A18" s="30"/>
      <c r="B18" s="30"/>
      <c r="C18" s="30"/>
      <c r="D18" s="147" t="s">
        <v>193</v>
      </c>
      <c r="E18" s="170">
        <v>348</v>
      </c>
      <c r="F18" s="145">
        <v>0.3359073359073359</v>
      </c>
      <c r="G18" s="8"/>
    </row>
    <row r="19" spans="1:8" s="15" customFormat="1" ht="19.5" customHeight="1" x14ac:dyDescent="0.15">
      <c r="A19" s="30"/>
      <c r="B19" s="30"/>
      <c r="C19" s="30"/>
      <c r="D19" s="30"/>
      <c r="E19" s="30"/>
      <c r="F19" s="8"/>
      <c r="G19" s="8"/>
    </row>
    <row r="20" spans="1:8" s="15" customFormat="1" ht="19.5" customHeight="1" x14ac:dyDescent="0.15">
      <c r="A20" s="30"/>
      <c r="B20" s="30"/>
      <c r="C20" s="30"/>
      <c r="D20" s="30"/>
      <c r="E20" s="30"/>
      <c r="F20" s="8"/>
      <c r="G20" s="8"/>
    </row>
    <row r="21" spans="1:8" s="15" customFormat="1" ht="19.5" customHeight="1" x14ac:dyDescent="0.15">
      <c r="A21" s="30"/>
      <c r="B21" s="30"/>
      <c r="C21" s="30"/>
      <c r="D21" s="30"/>
      <c r="E21" s="30"/>
      <c r="F21" s="8"/>
      <c r="G21" s="8"/>
    </row>
    <row r="22" spans="1:8" s="15" customFormat="1" ht="19.5" customHeight="1" x14ac:dyDescent="0.15">
      <c r="A22" s="30"/>
      <c r="B22" s="30"/>
      <c r="C22" s="30"/>
      <c r="D22" s="30"/>
      <c r="E22" s="30"/>
      <c r="F22" s="8"/>
      <c r="G22" s="8"/>
    </row>
    <row r="23" spans="1:8" s="15" customFormat="1" ht="19.5" customHeight="1" x14ac:dyDescent="0.15">
      <c r="A23" s="30"/>
      <c r="B23" s="30"/>
      <c r="C23" s="30"/>
      <c r="D23" s="30"/>
      <c r="E23" s="30"/>
      <c r="F23" s="8"/>
      <c r="G23" s="8"/>
    </row>
    <row r="24" spans="1:8" s="9" customFormat="1" ht="14.65" customHeight="1" x14ac:dyDescent="0.15">
      <c r="A24" s="7"/>
      <c r="B24" s="8"/>
      <c r="C24" s="8"/>
      <c r="D24" s="8"/>
      <c r="E24" s="8"/>
      <c r="F24" s="8"/>
      <c r="G24" s="8"/>
    </row>
    <row r="25" spans="1:8" s="55" customFormat="1" ht="15.75" customHeight="1" x14ac:dyDescent="0.15">
      <c r="A25" s="231" t="s">
        <v>314</v>
      </c>
      <c r="B25" s="30"/>
      <c r="C25" s="30"/>
      <c r="D25" s="30"/>
      <c r="E25" s="30"/>
      <c r="F25" s="8"/>
      <c r="G25" s="8"/>
    </row>
    <row r="26" spans="1:8" s="55" customFormat="1" ht="55.5" customHeight="1" x14ac:dyDescent="0.15">
      <c r="A26" s="351" t="s">
        <v>318</v>
      </c>
      <c r="B26" s="351"/>
      <c r="C26" s="351"/>
      <c r="D26" s="351"/>
      <c r="E26" s="351"/>
      <c r="F26" s="351"/>
      <c r="G26" s="351"/>
      <c r="H26" s="351"/>
    </row>
    <row r="27" spans="1:8" s="9" customFormat="1" ht="14.65" customHeight="1" x14ac:dyDescent="0.15">
      <c r="A27" s="181"/>
      <c r="B27" s="182"/>
      <c r="C27" s="182"/>
      <c r="D27" s="182"/>
      <c r="E27" s="182"/>
      <c r="F27" s="182"/>
      <c r="G27" s="182"/>
      <c r="H27" s="183"/>
    </row>
    <row r="28" spans="1:8" s="9" customFormat="1" ht="14.65" customHeight="1" x14ac:dyDescent="0.15">
      <c r="A28" s="225" t="s">
        <v>313</v>
      </c>
      <c r="B28" s="183"/>
      <c r="C28" s="183"/>
      <c r="D28" s="183"/>
      <c r="E28" s="183"/>
      <c r="F28" s="183"/>
      <c r="G28" s="183"/>
      <c r="H28" s="183"/>
    </row>
    <row r="29" spans="1:8" s="9" customFormat="1" ht="14.65" customHeight="1" x14ac:dyDescent="0.15">
      <c r="A29" s="291" t="s">
        <v>171</v>
      </c>
      <c r="B29" s="305"/>
      <c r="C29" s="287" t="s">
        <v>175</v>
      </c>
      <c r="D29" s="287" t="s">
        <v>124</v>
      </c>
      <c r="E29" s="287" t="s">
        <v>125</v>
      </c>
      <c r="F29" s="287" t="s">
        <v>26</v>
      </c>
      <c r="G29" s="287" t="s">
        <v>126</v>
      </c>
      <c r="H29" s="347" t="s">
        <v>19</v>
      </c>
    </row>
    <row r="30" spans="1:8" s="9" customFormat="1" ht="14.65" customHeight="1" x14ac:dyDescent="0.15">
      <c r="A30" s="354" t="s">
        <v>176</v>
      </c>
      <c r="B30" s="355"/>
      <c r="C30" s="278"/>
      <c r="D30" s="278"/>
      <c r="E30" s="278"/>
      <c r="F30" s="278"/>
      <c r="G30" s="278"/>
      <c r="H30" s="348"/>
    </row>
    <row r="31" spans="1:8" s="9" customFormat="1" ht="16.5" customHeight="1" x14ac:dyDescent="0.15">
      <c r="A31" s="283"/>
      <c r="B31" s="131" t="s">
        <v>173</v>
      </c>
      <c r="C31" s="112">
        <v>562</v>
      </c>
      <c r="D31" s="48">
        <v>295</v>
      </c>
      <c r="E31" s="48">
        <v>14</v>
      </c>
      <c r="F31" s="48">
        <v>80</v>
      </c>
      <c r="G31" s="48">
        <v>170</v>
      </c>
      <c r="H31" s="48">
        <v>3</v>
      </c>
    </row>
    <row r="32" spans="1:8" s="28" customFormat="1" ht="16.5" customHeight="1" x14ac:dyDescent="0.15">
      <c r="A32" s="352"/>
      <c r="B32" s="132" t="s">
        <v>103</v>
      </c>
      <c r="C32" s="134">
        <v>100</v>
      </c>
      <c r="D32" s="143">
        <v>52.491103202846979</v>
      </c>
      <c r="E32" s="143">
        <v>2.4911032028469751</v>
      </c>
      <c r="F32" s="143">
        <v>14.23487544483986</v>
      </c>
      <c r="G32" s="143">
        <v>30.3</v>
      </c>
      <c r="H32" s="143">
        <v>0.53380782918149472</v>
      </c>
    </row>
    <row r="33" spans="1:9" s="9" customFormat="1" ht="16.5" customHeight="1" x14ac:dyDescent="0.15">
      <c r="A33" s="331"/>
      <c r="B33" s="22" t="s">
        <v>167</v>
      </c>
      <c r="C33" s="163">
        <v>126</v>
      </c>
      <c r="D33" s="164">
        <v>75</v>
      </c>
      <c r="E33" s="164">
        <v>2</v>
      </c>
      <c r="F33" s="164">
        <v>16</v>
      </c>
      <c r="G33" s="164">
        <v>33</v>
      </c>
      <c r="H33" s="164">
        <v>0</v>
      </c>
      <c r="I33" s="8"/>
    </row>
    <row r="34" spans="1:9" s="28" customFormat="1" ht="16.5" customHeight="1" x14ac:dyDescent="0.15">
      <c r="A34" s="353"/>
      <c r="B34" s="133" t="s">
        <v>103</v>
      </c>
      <c r="C34" s="116">
        <v>100</v>
      </c>
      <c r="D34" s="148">
        <v>59.523809523809526</v>
      </c>
      <c r="E34" s="148">
        <v>1.5873015873015872</v>
      </c>
      <c r="F34" s="148">
        <v>12.698412698412698</v>
      </c>
      <c r="G34" s="148">
        <v>26.190476190476193</v>
      </c>
      <c r="H34" s="234" t="s">
        <v>317</v>
      </c>
    </row>
    <row r="35" spans="1:9" s="9" customFormat="1" ht="14.65" customHeight="1" x14ac:dyDescent="0.15"/>
    <row r="36" spans="1:9" s="9" customFormat="1" ht="14.65" customHeight="1" x14ac:dyDescent="0.15"/>
    <row r="37" spans="1:9" s="9" customFormat="1" ht="14.65" customHeight="1" x14ac:dyDescent="0.15">
      <c r="A37" s="225" t="s">
        <v>312</v>
      </c>
    </row>
    <row r="38" spans="1:9" s="9" customFormat="1" ht="14.65" customHeight="1" x14ac:dyDescent="0.15">
      <c r="A38" s="17" t="s">
        <v>172</v>
      </c>
      <c r="B38" s="347" t="s">
        <v>219</v>
      </c>
      <c r="C38" s="347" t="s">
        <v>220</v>
      </c>
      <c r="D38" s="321" t="s">
        <v>221</v>
      </c>
      <c r="E38" s="349" t="s">
        <v>222</v>
      </c>
    </row>
    <row r="39" spans="1:9" s="9" customFormat="1" ht="14.65" customHeight="1" x14ac:dyDescent="0.15">
      <c r="A39" s="18" t="s">
        <v>176</v>
      </c>
      <c r="B39" s="348"/>
      <c r="C39" s="348"/>
      <c r="D39" s="322"/>
      <c r="E39" s="350"/>
    </row>
    <row r="40" spans="1:9" s="9" customFormat="1" ht="19.5" customHeight="1" x14ac:dyDescent="0.15">
      <c r="A40" s="135" t="s">
        <v>1</v>
      </c>
      <c r="B40" s="36">
        <v>688</v>
      </c>
      <c r="C40" s="48">
        <v>751</v>
      </c>
      <c r="D40" s="48">
        <v>483</v>
      </c>
      <c r="E40" s="56">
        <v>109.15697674418605</v>
      </c>
    </row>
    <row r="41" spans="1:9" s="9" customFormat="1" ht="19.5" customHeight="1" x14ac:dyDescent="0.15">
      <c r="A41" s="136" t="s">
        <v>106</v>
      </c>
      <c r="B41" s="23">
        <v>562</v>
      </c>
      <c r="C41" s="23">
        <v>613</v>
      </c>
      <c r="D41" s="23">
        <v>396</v>
      </c>
      <c r="E41" s="57">
        <v>109.07473309608542</v>
      </c>
    </row>
    <row r="42" spans="1:9" s="9" customFormat="1" ht="19.5" customHeight="1" x14ac:dyDescent="0.15">
      <c r="A42" s="137" t="s">
        <v>2</v>
      </c>
      <c r="B42" s="24">
        <v>126</v>
      </c>
      <c r="C42" s="24">
        <v>138</v>
      </c>
      <c r="D42" s="24">
        <v>87</v>
      </c>
      <c r="E42" s="50">
        <v>109.52380952380953</v>
      </c>
    </row>
    <row r="43" spans="1:9" s="9" customFormat="1" ht="14.65" customHeight="1" x14ac:dyDescent="0.15">
      <c r="A43" s="150" t="s">
        <v>272</v>
      </c>
    </row>
  </sheetData>
  <sheetProtection algorithmName="SHA-512" hashValue="gaVFiII5wItl9oaIIBGbd+SzSgpEibscAULzTPW5EAOUlsYt+vh3fke+nWR3YsESWPkRMAQO0mrvXrtGteHQ4A==" saltValue="Vodp5f7AIWYl8Ac7yUOStg==" spinCount="100000" sheet="1" objects="1" scenarios="1"/>
  <mergeCells count="24">
    <mergeCell ref="B38:B39"/>
    <mergeCell ref="C38:C39"/>
    <mergeCell ref="D38:D39"/>
    <mergeCell ref="E38:E39"/>
    <mergeCell ref="A26:H26"/>
    <mergeCell ref="C29:C30"/>
    <mergeCell ref="A31:A32"/>
    <mergeCell ref="A29:B29"/>
    <mergeCell ref="A33:A34"/>
    <mergeCell ref="D29:D30"/>
    <mergeCell ref="E29:E30"/>
    <mergeCell ref="F29:F30"/>
    <mergeCell ref="G29:G30"/>
    <mergeCell ref="H29:H30"/>
    <mergeCell ref="A30:B30"/>
    <mergeCell ref="B11:C11"/>
    <mergeCell ref="A12:C12"/>
    <mergeCell ref="A4:I4"/>
    <mergeCell ref="D7:E7"/>
    <mergeCell ref="F7:G7"/>
    <mergeCell ref="B10:C10"/>
    <mergeCell ref="A9:C9"/>
    <mergeCell ref="A10:A11"/>
    <mergeCell ref="H7:I7"/>
  </mergeCells>
  <phoneticPr fontId="2" type="noConversion"/>
  <pageMargins left="0.44" right="0.24" top="0.4" bottom="0.12" header="0.5" footer="0.03"/>
  <pageSetup paperSize="9" scale="92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35"/>
  <sheetViews>
    <sheetView showGridLines="0" zoomScaleNormal="100" zoomScaleSheetLayoutView="100" workbookViewId="0"/>
  </sheetViews>
  <sheetFormatPr defaultRowHeight="11.25" x14ac:dyDescent="0.15"/>
  <cols>
    <col min="1" max="1" width="12.21875" style="16" customWidth="1"/>
    <col min="2" max="2" width="6.77734375" style="16" customWidth="1"/>
    <col min="3" max="3" width="7.44140625" style="16" customWidth="1"/>
    <col min="4" max="4" width="6.88671875" style="16" customWidth="1"/>
    <col min="5" max="5" width="7" style="16" customWidth="1"/>
    <col min="6" max="6" width="10" style="16" customWidth="1"/>
    <col min="7" max="7" width="6.33203125" style="16" customWidth="1"/>
    <col min="8" max="8" width="10" style="16" customWidth="1"/>
    <col min="9" max="9" width="8" style="16" customWidth="1"/>
    <col min="10" max="10" width="5.88671875" style="16" customWidth="1"/>
    <col min="11" max="11" width="7" style="16" customWidth="1"/>
    <col min="12" max="16384" width="8.88671875" style="16"/>
  </cols>
  <sheetData>
    <row r="1" spans="1:12" s="9" customFormat="1" ht="22.5" customHeight="1" x14ac:dyDescent="0.15">
      <c r="A1" s="225" t="s">
        <v>308</v>
      </c>
    </row>
    <row r="2" spans="1:12" s="9" customFormat="1" ht="12.75" customHeight="1" x14ac:dyDescent="0.15">
      <c r="A2" s="14"/>
    </row>
    <row r="3" spans="1:12" s="9" customFormat="1" ht="19.5" customHeight="1" x14ac:dyDescent="0.15">
      <c r="A3" s="14" t="s">
        <v>4</v>
      </c>
    </row>
    <row r="4" spans="1:12" s="9" customFormat="1" ht="24.75" customHeight="1" x14ac:dyDescent="0.15">
      <c r="A4" s="17" t="s">
        <v>100</v>
      </c>
      <c r="B4" s="269" t="s">
        <v>102</v>
      </c>
      <c r="C4" s="269" t="s">
        <v>32</v>
      </c>
      <c r="D4" s="269" t="s">
        <v>127</v>
      </c>
      <c r="E4" s="269"/>
      <c r="F4" s="269"/>
      <c r="G4" s="269"/>
      <c r="H4" s="269"/>
      <c r="I4" s="269"/>
      <c r="J4" s="330" t="s">
        <v>217</v>
      </c>
      <c r="K4" s="270" t="s">
        <v>112</v>
      </c>
    </row>
    <row r="5" spans="1:12" s="9" customFormat="1" ht="24" customHeight="1" x14ac:dyDescent="0.15">
      <c r="A5" s="18" t="s">
        <v>170</v>
      </c>
      <c r="B5" s="274"/>
      <c r="C5" s="274"/>
      <c r="D5" s="19" t="s">
        <v>24</v>
      </c>
      <c r="E5" s="19" t="s">
        <v>15</v>
      </c>
      <c r="F5" s="19" t="s">
        <v>16</v>
      </c>
      <c r="G5" s="19" t="s">
        <v>17</v>
      </c>
      <c r="H5" s="19" t="s">
        <v>18</v>
      </c>
      <c r="I5" s="19" t="s">
        <v>19</v>
      </c>
      <c r="J5" s="322"/>
      <c r="K5" s="295"/>
    </row>
    <row r="6" spans="1:12" s="9" customFormat="1" ht="23.25" customHeight="1" x14ac:dyDescent="0.15">
      <c r="A6" s="232" t="s">
        <v>309</v>
      </c>
      <c r="B6" s="112">
        <v>613</v>
      </c>
      <c r="C6" s="23">
        <v>20</v>
      </c>
      <c r="D6" s="23">
        <v>473</v>
      </c>
      <c r="E6" s="23">
        <v>155</v>
      </c>
      <c r="F6" s="23">
        <v>1</v>
      </c>
      <c r="G6" s="23">
        <v>311</v>
      </c>
      <c r="H6" s="23">
        <v>6</v>
      </c>
      <c r="I6" s="23">
        <v>0</v>
      </c>
      <c r="J6" s="23">
        <v>120</v>
      </c>
      <c r="K6" s="21">
        <v>0</v>
      </c>
    </row>
    <row r="7" spans="1:12" s="38" customFormat="1" ht="23.25" customHeight="1" x14ac:dyDescent="0.15">
      <c r="A7" s="138" t="s">
        <v>5</v>
      </c>
      <c r="B7" s="118">
        <v>100</v>
      </c>
      <c r="C7" s="37">
        <v>3.2</v>
      </c>
      <c r="D7" s="37">
        <v>77.161500815660688</v>
      </c>
      <c r="E7" s="37">
        <v>25.285481239804241</v>
      </c>
      <c r="F7" s="37">
        <v>0.16313213703099511</v>
      </c>
      <c r="G7" s="37">
        <v>50.734094616639482</v>
      </c>
      <c r="H7" s="37">
        <v>0.97879282218597052</v>
      </c>
      <c r="I7" s="117" t="s">
        <v>208</v>
      </c>
      <c r="J7" s="37">
        <v>19.575856443719413</v>
      </c>
      <c r="K7" s="117" t="s">
        <v>208</v>
      </c>
      <c r="L7" s="28"/>
    </row>
    <row r="8" spans="1:12" s="58" customFormat="1" ht="23.25" customHeight="1" x14ac:dyDescent="0.15">
      <c r="A8" s="59"/>
      <c r="B8" s="60"/>
      <c r="I8" s="61"/>
      <c r="K8" s="62"/>
    </row>
    <row r="9" spans="1:12" s="9" customFormat="1" ht="18" customHeight="1" x14ac:dyDescent="0.15">
      <c r="A9" s="14" t="s">
        <v>47</v>
      </c>
    </row>
    <row r="10" spans="1:12" s="9" customFormat="1" ht="19.5" customHeight="1" x14ac:dyDescent="0.15">
      <c r="A10" s="17" t="s">
        <v>169</v>
      </c>
      <c r="B10" s="269" t="s">
        <v>177</v>
      </c>
      <c r="C10" s="269" t="s">
        <v>32</v>
      </c>
      <c r="D10" s="270" t="s">
        <v>128</v>
      </c>
      <c r="E10" s="275"/>
      <c r="F10" s="275"/>
      <c r="G10" s="275"/>
      <c r="H10" s="276"/>
      <c r="I10" s="356" t="s">
        <v>228</v>
      </c>
      <c r="J10" s="270" t="s">
        <v>163</v>
      </c>
    </row>
    <row r="11" spans="1:12" s="9" customFormat="1" ht="16.5" customHeight="1" x14ac:dyDescent="0.15">
      <c r="A11" s="39"/>
      <c r="B11" s="273"/>
      <c r="C11" s="273"/>
      <c r="D11" s="273" t="s">
        <v>24</v>
      </c>
      <c r="E11" s="273" t="s">
        <v>33</v>
      </c>
      <c r="F11" s="277" t="s">
        <v>3</v>
      </c>
      <c r="G11" s="277" t="s">
        <v>129</v>
      </c>
      <c r="H11" s="273" t="s">
        <v>112</v>
      </c>
      <c r="I11" s="357"/>
      <c r="J11" s="294"/>
    </row>
    <row r="12" spans="1:12" s="9" customFormat="1" ht="16.5" customHeight="1" x14ac:dyDescent="0.15">
      <c r="A12" s="18" t="s">
        <v>170</v>
      </c>
      <c r="B12" s="274"/>
      <c r="C12" s="274"/>
      <c r="D12" s="274"/>
      <c r="E12" s="274"/>
      <c r="F12" s="278"/>
      <c r="G12" s="278"/>
      <c r="H12" s="274"/>
      <c r="I12" s="358"/>
      <c r="J12" s="295"/>
    </row>
    <row r="13" spans="1:12" s="9" customFormat="1" ht="23.25" customHeight="1" x14ac:dyDescent="0.15">
      <c r="A13" s="232" t="s">
        <v>309</v>
      </c>
      <c r="B13" s="112">
        <v>138</v>
      </c>
      <c r="C13" s="21">
        <v>1</v>
      </c>
      <c r="D13" s="21">
        <v>129</v>
      </c>
      <c r="E13" s="21">
        <v>116</v>
      </c>
      <c r="F13" s="21">
        <v>2</v>
      </c>
      <c r="G13" s="21">
        <v>6</v>
      </c>
      <c r="H13" s="21">
        <v>5</v>
      </c>
      <c r="I13" s="21">
        <v>7</v>
      </c>
      <c r="J13" s="21">
        <v>1</v>
      </c>
    </row>
    <row r="14" spans="1:12" s="38" customFormat="1" ht="23.25" customHeight="1" x14ac:dyDescent="0.15">
      <c r="A14" s="138" t="s">
        <v>6</v>
      </c>
      <c r="B14" s="118">
        <v>100</v>
      </c>
      <c r="C14" s="37">
        <v>0.72463768115942029</v>
      </c>
      <c r="D14" s="37">
        <v>93.478260869565219</v>
      </c>
      <c r="E14" s="37">
        <v>84.05797101449275</v>
      </c>
      <c r="F14" s="37">
        <v>1.5</v>
      </c>
      <c r="G14" s="37">
        <v>4.3478260869565215</v>
      </c>
      <c r="H14" s="37">
        <v>3.6231884057971016</v>
      </c>
      <c r="I14" s="37">
        <v>5.0724637681159424</v>
      </c>
      <c r="J14" s="37">
        <v>0.72463768115942029</v>
      </c>
    </row>
    <row r="15" spans="1:12" s="9" customFormat="1" ht="14.65" customHeight="1" x14ac:dyDescent="0.15"/>
    <row r="16" spans="1:12" s="9" customFormat="1" ht="14.65" customHeight="1" x14ac:dyDescent="0.15">
      <c r="K16" s="9" t="s">
        <v>209</v>
      </c>
    </row>
    <row r="17" spans="1:11" s="9" customFormat="1" ht="21" customHeight="1" x14ac:dyDescent="0.15">
      <c r="A17" s="225" t="s">
        <v>310</v>
      </c>
    </row>
    <row r="18" spans="1:11" s="9" customFormat="1" ht="16.5" customHeight="1" x14ac:dyDescent="0.15">
      <c r="A18" s="17" t="s">
        <v>174</v>
      </c>
      <c r="B18" s="287" t="s">
        <v>9</v>
      </c>
      <c r="C18" s="287" t="s">
        <v>36</v>
      </c>
      <c r="D18" s="287" t="s">
        <v>180</v>
      </c>
      <c r="E18" s="287" t="s">
        <v>181</v>
      </c>
      <c r="F18" s="287" t="s">
        <v>182</v>
      </c>
      <c r="G18" s="287" t="s">
        <v>183</v>
      </c>
      <c r="H18" s="287" t="s">
        <v>184</v>
      </c>
      <c r="I18" s="287" t="s">
        <v>37</v>
      </c>
      <c r="J18" s="287" t="s">
        <v>38</v>
      </c>
      <c r="K18" s="290" t="s">
        <v>39</v>
      </c>
    </row>
    <row r="19" spans="1:11" s="9" customFormat="1" ht="16.5" customHeight="1" x14ac:dyDescent="0.15">
      <c r="A19" s="18" t="s">
        <v>176</v>
      </c>
      <c r="B19" s="278"/>
      <c r="C19" s="278"/>
      <c r="D19" s="278"/>
      <c r="E19" s="278"/>
      <c r="F19" s="278"/>
      <c r="G19" s="278"/>
      <c r="H19" s="278"/>
      <c r="I19" s="278"/>
      <c r="J19" s="278"/>
      <c r="K19" s="292"/>
    </row>
    <row r="20" spans="1:11" s="9" customFormat="1" ht="18" customHeight="1" x14ac:dyDescent="0.15">
      <c r="A20" s="159"/>
      <c r="B20" s="122"/>
      <c r="C20" s="21"/>
      <c r="D20" s="21"/>
      <c r="E20" s="21"/>
      <c r="F20" s="21"/>
      <c r="G20" s="21"/>
      <c r="H20" s="21"/>
      <c r="I20" s="21"/>
      <c r="J20" s="21"/>
      <c r="K20" s="21"/>
    </row>
    <row r="21" spans="1:11" s="9" customFormat="1" ht="18" customHeight="1" x14ac:dyDescent="0.15">
      <c r="A21" s="164" t="s">
        <v>229</v>
      </c>
      <c r="B21" s="114">
        <v>613</v>
      </c>
      <c r="C21" s="36">
        <v>25</v>
      </c>
      <c r="D21" s="36">
        <v>27</v>
      </c>
      <c r="E21" s="36">
        <v>10</v>
      </c>
      <c r="F21" s="36">
        <v>11</v>
      </c>
      <c r="G21" s="36">
        <v>21</v>
      </c>
      <c r="H21" s="36">
        <v>31</v>
      </c>
      <c r="I21" s="36">
        <v>359</v>
      </c>
      <c r="J21" s="36">
        <v>119</v>
      </c>
      <c r="K21" s="36">
        <v>10</v>
      </c>
    </row>
    <row r="22" spans="1:11" s="9" customFormat="1" ht="18" customHeight="1" x14ac:dyDescent="0.15">
      <c r="A22" s="162" t="s">
        <v>230</v>
      </c>
      <c r="B22" s="120">
        <v>473</v>
      </c>
      <c r="C22" s="23">
        <v>0</v>
      </c>
      <c r="D22" s="23">
        <v>0</v>
      </c>
      <c r="E22" s="23">
        <v>1</v>
      </c>
      <c r="F22" s="23">
        <v>4</v>
      </c>
      <c r="G22" s="23">
        <v>12</v>
      </c>
      <c r="H22" s="23">
        <v>26</v>
      </c>
      <c r="I22" s="23">
        <v>310</v>
      </c>
      <c r="J22" s="23">
        <v>111</v>
      </c>
      <c r="K22" s="23">
        <v>9</v>
      </c>
    </row>
    <row r="23" spans="1:11" s="9" customFormat="1" ht="18" customHeight="1" x14ac:dyDescent="0.15">
      <c r="A23" s="162" t="s">
        <v>231</v>
      </c>
      <c r="B23" s="120">
        <v>140</v>
      </c>
      <c r="C23" s="23">
        <v>25</v>
      </c>
      <c r="D23" s="23">
        <v>27</v>
      </c>
      <c r="E23" s="23">
        <v>9</v>
      </c>
      <c r="F23" s="23">
        <v>7</v>
      </c>
      <c r="G23" s="23">
        <v>9</v>
      </c>
      <c r="H23" s="23">
        <v>5</v>
      </c>
      <c r="I23" s="23">
        <v>49</v>
      </c>
      <c r="J23" s="23">
        <v>8</v>
      </c>
      <c r="K23" s="23">
        <v>1</v>
      </c>
    </row>
    <row r="24" spans="1:11" s="9" customFormat="1" ht="18" customHeight="1" x14ac:dyDescent="0.15">
      <c r="A24" s="164"/>
      <c r="B24" s="120"/>
      <c r="C24" s="23"/>
      <c r="D24" s="23"/>
      <c r="E24" s="23"/>
      <c r="F24" s="23"/>
      <c r="G24" s="23"/>
      <c r="H24" s="23"/>
      <c r="I24" s="23"/>
      <c r="J24" s="23"/>
      <c r="K24" s="23"/>
    </row>
    <row r="25" spans="1:11" s="9" customFormat="1" ht="18" customHeight="1" x14ac:dyDescent="0.15">
      <c r="A25" s="164" t="s">
        <v>232</v>
      </c>
      <c r="B25" s="114">
        <v>138</v>
      </c>
      <c r="C25" s="36">
        <v>3</v>
      </c>
      <c r="D25" s="36">
        <v>1</v>
      </c>
      <c r="E25" s="36">
        <v>11</v>
      </c>
      <c r="F25" s="36">
        <v>94</v>
      </c>
      <c r="G25" s="36">
        <v>2</v>
      </c>
      <c r="H25" s="36">
        <v>2</v>
      </c>
      <c r="I25" s="36">
        <v>8</v>
      </c>
      <c r="J25" s="36">
        <v>7</v>
      </c>
      <c r="K25" s="36">
        <v>10</v>
      </c>
    </row>
    <row r="26" spans="1:11" s="9" customFormat="1" ht="18" customHeight="1" x14ac:dyDescent="0.15">
      <c r="A26" s="162" t="s">
        <v>230</v>
      </c>
      <c r="B26" s="120">
        <v>129</v>
      </c>
      <c r="C26" s="23">
        <v>0</v>
      </c>
      <c r="D26" s="23">
        <v>1</v>
      </c>
      <c r="E26" s="23">
        <v>8</v>
      </c>
      <c r="F26" s="23">
        <v>93</v>
      </c>
      <c r="G26" s="23">
        <v>2</v>
      </c>
      <c r="H26" s="23">
        <v>2</v>
      </c>
      <c r="I26" s="23">
        <v>7</v>
      </c>
      <c r="J26" s="23">
        <v>6</v>
      </c>
      <c r="K26" s="23">
        <v>10</v>
      </c>
    </row>
    <row r="27" spans="1:11" s="9" customFormat="1" ht="18" customHeight="1" x14ac:dyDescent="0.15">
      <c r="A27" s="167" t="s">
        <v>231</v>
      </c>
      <c r="B27" s="121">
        <v>9</v>
      </c>
      <c r="C27" s="24">
        <v>3</v>
      </c>
      <c r="D27" s="24">
        <v>0</v>
      </c>
      <c r="E27" s="24">
        <v>3</v>
      </c>
      <c r="F27" s="24">
        <v>1</v>
      </c>
      <c r="G27" s="24">
        <v>0</v>
      </c>
      <c r="H27" s="24">
        <v>0</v>
      </c>
      <c r="I27" s="24">
        <v>1</v>
      </c>
      <c r="J27" s="24">
        <v>1</v>
      </c>
      <c r="K27" s="24">
        <v>0</v>
      </c>
    </row>
    <row r="28" spans="1:11" s="9" customFormat="1" ht="14.65" customHeight="1" x14ac:dyDescent="0.15"/>
    <row r="29" spans="1:11" s="9" customFormat="1" ht="14.65" customHeight="1" x14ac:dyDescent="0.15"/>
    <row r="30" spans="1:11" s="9" customFormat="1" ht="14.65" customHeight="1" x14ac:dyDescent="0.15"/>
    <row r="31" spans="1:11" s="9" customFormat="1" ht="14.65" customHeight="1" x14ac:dyDescent="0.15">
      <c r="A31" s="225" t="s">
        <v>311</v>
      </c>
      <c r="I31" s="9" t="s">
        <v>204</v>
      </c>
    </row>
    <row r="32" spans="1:11" s="9" customFormat="1" ht="27.75" customHeight="1" x14ac:dyDescent="0.15">
      <c r="A32" s="276" t="s">
        <v>8</v>
      </c>
      <c r="B32" s="269" t="s">
        <v>90</v>
      </c>
      <c r="C32" s="269"/>
      <c r="D32" s="269"/>
      <c r="E32" s="269"/>
      <c r="F32" s="269" t="s">
        <v>66</v>
      </c>
      <c r="G32" s="269"/>
      <c r="H32" s="269"/>
      <c r="I32" s="270"/>
    </row>
    <row r="33" spans="1:15" s="9" customFormat="1" ht="27.75" customHeight="1" x14ac:dyDescent="0.15">
      <c r="A33" s="359"/>
      <c r="B33" s="274" t="s">
        <v>7</v>
      </c>
      <c r="C33" s="274"/>
      <c r="D33" s="274" t="s">
        <v>163</v>
      </c>
      <c r="E33" s="274"/>
      <c r="F33" s="274" t="s">
        <v>7</v>
      </c>
      <c r="G33" s="274"/>
      <c r="H33" s="274" t="s">
        <v>163</v>
      </c>
      <c r="I33" s="295"/>
    </row>
    <row r="34" spans="1:15" s="9" customFormat="1" ht="32.25" customHeight="1" x14ac:dyDescent="0.15">
      <c r="A34" s="176" t="s">
        <v>250</v>
      </c>
      <c r="B34" s="318">
        <v>313.88372093023298</v>
      </c>
      <c r="C34" s="319"/>
      <c r="D34" s="319">
        <v>161.19999999999999</v>
      </c>
      <c r="E34" s="320"/>
      <c r="F34" s="319">
        <v>198.21705426356601</v>
      </c>
      <c r="G34" s="319"/>
      <c r="H34" s="319">
        <v>144.555555555556</v>
      </c>
      <c r="I34" s="319"/>
    </row>
    <row r="35" spans="1:15" x14ac:dyDescent="0.15">
      <c r="H35" s="70"/>
      <c r="I35" s="71"/>
      <c r="J35" s="71"/>
      <c r="K35" s="71"/>
      <c r="O35" s="9"/>
    </row>
  </sheetData>
  <sheetProtection algorithmName="SHA-512" hashValue="66j0BSBUjoh0xuJgj+CeXcmzJGMAY+26QYEXhrIgBVJ74//Uq58Gb5RfyPhxG5RcL3Gvhqzr+eYavS+fiMGqlw==" saltValue="7RR+HmsHoOY0BeIUZhRnNQ==" spinCount="100000" sheet="1" objects="1" scenarios="1"/>
  <mergeCells count="36">
    <mergeCell ref="K18:K19"/>
    <mergeCell ref="J18:J19"/>
    <mergeCell ref="F34:G34"/>
    <mergeCell ref="H33:I33"/>
    <mergeCell ref="H34:I34"/>
    <mergeCell ref="H18:H19"/>
    <mergeCell ref="I18:I19"/>
    <mergeCell ref="F32:I32"/>
    <mergeCell ref="B34:C34"/>
    <mergeCell ref="D33:E33"/>
    <mergeCell ref="D34:E34"/>
    <mergeCell ref="B32:E32"/>
    <mergeCell ref="F11:F12"/>
    <mergeCell ref="E18:E19"/>
    <mergeCell ref="F18:F19"/>
    <mergeCell ref="D11:D12"/>
    <mergeCell ref="E11:E12"/>
    <mergeCell ref="A32:A33"/>
    <mergeCell ref="B33:C33"/>
    <mergeCell ref="F33:G33"/>
    <mergeCell ref="G18:G19"/>
    <mergeCell ref="D4:I4"/>
    <mergeCell ref="H11:H12"/>
    <mergeCell ref="B18:B19"/>
    <mergeCell ref="C18:C19"/>
    <mergeCell ref="D18:D19"/>
    <mergeCell ref="G11:G12"/>
    <mergeCell ref="K4:K5"/>
    <mergeCell ref="B10:B12"/>
    <mergeCell ref="C10:C12"/>
    <mergeCell ref="D10:H10"/>
    <mergeCell ref="I10:I12"/>
    <mergeCell ref="J10:J12"/>
    <mergeCell ref="B4:B5"/>
    <mergeCell ref="C4:C5"/>
    <mergeCell ref="J4:J5"/>
  </mergeCells>
  <phoneticPr fontId="2" type="noConversion"/>
  <pageMargins left="0.4" right="0.08" top="1" bottom="1" header="0.5" footer="0.5"/>
  <pageSetup paperSize="9" scale="97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R41"/>
  <sheetViews>
    <sheetView showGridLines="0" zoomScaleNormal="100" zoomScaleSheetLayoutView="100" workbookViewId="0"/>
  </sheetViews>
  <sheetFormatPr defaultRowHeight="11.25" x14ac:dyDescent="0.15"/>
  <cols>
    <col min="1" max="1" width="15" style="16" customWidth="1"/>
    <col min="2" max="8" width="8.88671875" style="16"/>
    <col min="9" max="9" width="7.6640625" style="16" customWidth="1"/>
    <col min="10" max="16384" width="8.88671875" style="16"/>
  </cols>
  <sheetData>
    <row r="1" spans="1:226" s="9" customFormat="1" ht="22.5" customHeight="1" x14ac:dyDescent="0.15">
      <c r="A1" s="225" t="s">
        <v>307</v>
      </c>
    </row>
    <row r="2" spans="1:226" s="9" customFormat="1" ht="18.75" customHeight="1" x14ac:dyDescent="0.15">
      <c r="A2" s="17" t="s">
        <v>40</v>
      </c>
      <c r="B2" s="269" t="s">
        <v>177</v>
      </c>
      <c r="C2" s="269" t="s">
        <v>178</v>
      </c>
      <c r="D2" s="269"/>
      <c r="E2" s="269"/>
      <c r="F2" s="269"/>
      <c r="G2" s="360" t="s">
        <v>249</v>
      </c>
    </row>
    <row r="3" spans="1:226" s="9" customFormat="1" ht="18.75" customHeight="1" x14ac:dyDescent="0.15">
      <c r="A3" s="18" t="s">
        <v>107</v>
      </c>
      <c r="B3" s="274"/>
      <c r="C3" s="19" t="s">
        <v>31</v>
      </c>
      <c r="D3" s="19" t="s">
        <v>37</v>
      </c>
      <c r="E3" s="19" t="s">
        <v>38</v>
      </c>
      <c r="F3" s="19" t="s">
        <v>39</v>
      </c>
      <c r="G3" s="361"/>
    </row>
    <row r="4" spans="1:226" s="9" customFormat="1" ht="19.5" customHeight="1" x14ac:dyDescent="0.15">
      <c r="A4" s="87" t="s">
        <v>110</v>
      </c>
      <c r="B4" s="112">
        <v>483</v>
      </c>
      <c r="C4" s="36">
        <v>256</v>
      </c>
      <c r="D4" s="36">
        <v>153</v>
      </c>
      <c r="E4" s="36">
        <v>55</v>
      </c>
      <c r="F4" s="48">
        <v>19</v>
      </c>
      <c r="G4" s="101">
        <v>0</v>
      </c>
    </row>
    <row r="5" spans="1:226" s="9" customFormat="1" ht="19.5" customHeight="1" x14ac:dyDescent="0.15">
      <c r="A5" s="22" t="s">
        <v>10</v>
      </c>
      <c r="B5" s="114">
        <v>396</v>
      </c>
      <c r="C5" s="23">
        <v>199</v>
      </c>
      <c r="D5" s="23">
        <v>144</v>
      </c>
      <c r="E5" s="23">
        <v>42</v>
      </c>
      <c r="F5" s="23">
        <v>11</v>
      </c>
      <c r="G5" s="140">
        <v>0</v>
      </c>
    </row>
    <row r="6" spans="1:226" s="9" customFormat="1" ht="19.5" customHeight="1" x14ac:dyDescent="0.15">
      <c r="A6" s="86" t="s">
        <v>11</v>
      </c>
      <c r="B6" s="139">
        <v>87</v>
      </c>
      <c r="C6" s="24">
        <v>57</v>
      </c>
      <c r="D6" s="24">
        <v>9</v>
      </c>
      <c r="E6" s="24">
        <v>13</v>
      </c>
      <c r="F6" s="24">
        <v>8</v>
      </c>
      <c r="G6" s="130">
        <v>0</v>
      </c>
    </row>
    <row r="7" spans="1:226" s="9" customFormat="1" ht="14.65" customHeight="1" x14ac:dyDescent="0.15">
      <c r="A7" s="8"/>
      <c r="B7" s="6"/>
      <c r="C7" s="8"/>
      <c r="D7" s="8"/>
      <c r="E7" s="8"/>
      <c r="F7" s="8"/>
      <c r="G7" s="8"/>
    </row>
    <row r="8" spans="1:226" s="9" customFormat="1" ht="14.65" customHeight="1" x14ac:dyDescent="0.15">
      <c r="A8" s="8"/>
      <c r="B8" s="6"/>
      <c r="C8" s="8"/>
      <c r="D8" s="8"/>
      <c r="E8" s="8"/>
      <c r="F8" s="8"/>
      <c r="G8" s="8"/>
    </row>
    <row r="9" spans="1:226" s="9" customFormat="1" ht="24" customHeight="1" x14ac:dyDescent="0.15">
      <c r="A9" s="231" t="s">
        <v>305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</row>
    <row r="10" spans="1:226" s="9" customFormat="1" ht="24.75" customHeight="1" x14ac:dyDescent="0.15">
      <c r="A10" s="225" t="s">
        <v>306</v>
      </c>
    </row>
    <row r="11" spans="1:226" s="9" customFormat="1" ht="19.5" customHeight="1" x14ac:dyDescent="0.15">
      <c r="A11" s="154" t="s">
        <v>100</v>
      </c>
      <c r="B11" s="321" t="s">
        <v>216</v>
      </c>
      <c r="C11" s="321" t="s">
        <v>130</v>
      </c>
      <c r="D11" s="321"/>
      <c r="E11" s="321"/>
      <c r="F11" s="321"/>
      <c r="G11" s="321"/>
      <c r="H11" s="349"/>
    </row>
    <row r="12" spans="1:226" s="9" customFormat="1" ht="19.5" customHeight="1" x14ac:dyDescent="0.15">
      <c r="A12" s="155" t="s">
        <v>215</v>
      </c>
      <c r="B12" s="322"/>
      <c r="C12" s="152" t="s">
        <v>24</v>
      </c>
      <c r="D12" s="152" t="s">
        <v>131</v>
      </c>
      <c r="E12" s="152" t="s">
        <v>132</v>
      </c>
      <c r="F12" s="152" t="s">
        <v>133</v>
      </c>
      <c r="G12" s="152" t="s">
        <v>134</v>
      </c>
      <c r="H12" s="156" t="s">
        <v>84</v>
      </c>
    </row>
    <row r="13" spans="1:226" s="9" customFormat="1" ht="14.65" customHeight="1" x14ac:dyDescent="0.15">
      <c r="A13" s="157" t="s">
        <v>223</v>
      </c>
      <c r="B13" s="163">
        <v>310</v>
      </c>
      <c r="C13" s="164">
        <v>481</v>
      </c>
      <c r="D13" s="164">
        <v>465</v>
      </c>
      <c r="E13" s="164">
        <v>1</v>
      </c>
      <c r="F13" s="164">
        <v>1</v>
      </c>
      <c r="G13" s="164">
        <v>14</v>
      </c>
      <c r="H13" s="164">
        <v>0</v>
      </c>
      <c r="I13" s="8"/>
    </row>
    <row r="14" spans="1:226" s="9" customFormat="1" ht="14.65" customHeight="1" x14ac:dyDescent="0.15">
      <c r="A14" s="160" t="s">
        <v>224</v>
      </c>
      <c r="B14" s="161">
        <v>257</v>
      </c>
      <c r="C14" s="162">
        <v>431</v>
      </c>
      <c r="D14" s="162">
        <v>421</v>
      </c>
      <c r="E14" s="162">
        <v>0</v>
      </c>
      <c r="F14" s="162">
        <v>0</v>
      </c>
      <c r="G14" s="162">
        <v>10</v>
      </c>
      <c r="H14" s="162">
        <v>0</v>
      </c>
    </row>
    <row r="15" spans="1:226" s="9" customFormat="1" ht="14.65" customHeight="1" x14ac:dyDescent="0.15">
      <c r="A15" s="160" t="s">
        <v>225</v>
      </c>
      <c r="B15" s="161">
        <v>53</v>
      </c>
      <c r="C15" s="162">
        <v>50</v>
      </c>
      <c r="D15" s="162">
        <v>44</v>
      </c>
      <c r="E15" s="162">
        <v>1</v>
      </c>
      <c r="F15" s="162">
        <v>1</v>
      </c>
      <c r="G15" s="162">
        <v>4</v>
      </c>
      <c r="H15" s="162">
        <v>0</v>
      </c>
    </row>
    <row r="16" spans="1:226" s="9" customFormat="1" ht="14.65" customHeight="1" x14ac:dyDescent="0.15">
      <c r="A16" s="157" t="s">
        <v>226</v>
      </c>
      <c r="B16" s="163">
        <v>38</v>
      </c>
      <c r="C16" s="164">
        <v>43</v>
      </c>
      <c r="D16" s="164">
        <v>1</v>
      </c>
      <c r="E16" s="164">
        <v>23</v>
      </c>
      <c r="F16" s="164">
        <v>3</v>
      </c>
      <c r="G16" s="164">
        <v>16</v>
      </c>
      <c r="H16" s="164">
        <v>0</v>
      </c>
    </row>
    <row r="17" spans="1:9" s="9" customFormat="1" ht="14.65" customHeight="1" x14ac:dyDescent="0.15">
      <c r="A17" s="160" t="s">
        <v>227</v>
      </c>
      <c r="B17" s="161">
        <v>17</v>
      </c>
      <c r="C17" s="162">
        <v>18</v>
      </c>
      <c r="D17" s="162">
        <v>0</v>
      </c>
      <c r="E17" s="162">
        <v>16</v>
      </c>
      <c r="F17" s="162">
        <v>2</v>
      </c>
      <c r="G17" s="162">
        <v>0</v>
      </c>
      <c r="H17" s="162">
        <v>0</v>
      </c>
    </row>
    <row r="18" spans="1:9" s="9" customFormat="1" ht="14.65" customHeight="1" x14ac:dyDescent="0.15">
      <c r="A18" s="165" t="s">
        <v>269</v>
      </c>
      <c r="B18" s="166">
        <v>21</v>
      </c>
      <c r="C18" s="167">
        <v>25</v>
      </c>
      <c r="D18" s="167">
        <v>1</v>
      </c>
      <c r="E18" s="167">
        <v>7</v>
      </c>
      <c r="F18" s="167">
        <v>1</v>
      </c>
      <c r="G18" s="167">
        <v>16</v>
      </c>
      <c r="H18" s="167">
        <v>0</v>
      </c>
    </row>
    <row r="19" spans="1:9" s="9" customFormat="1" ht="14.65" customHeight="1" x14ac:dyDescent="0.15">
      <c r="A19" s="8"/>
      <c r="B19" s="8"/>
      <c r="C19" s="8"/>
      <c r="D19" s="8"/>
      <c r="E19" s="8"/>
      <c r="F19" s="8"/>
      <c r="G19" s="8"/>
      <c r="H19" s="8"/>
    </row>
    <row r="20" spans="1:9" s="9" customFormat="1" ht="14.65" customHeight="1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s="9" customFormat="1" ht="18" customHeight="1" x14ac:dyDescent="0.15">
      <c r="A21" s="230" t="s">
        <v>271</v>
      </c>
      <c r="B21" s="8"/>
      <c r="C21" s="8"/>
      <c r="D21" s="8"/>
      <c r="E21" s="8"/>
      <c r="F21" s="8"/>
      <c r="G21" s="8"/>
      <c r="H21" s="8"/>
      <c r="I21" s="8"/>
    </row>
    <row r="22" spans="1:9" s="9" customFormat="1" ht="21.75" customHeight="1" x14ac:dyDescent="0.15">
      <c r="A22" s="362"/>
      <c r="B22" s="362"/>
      <c r="C22" s="362"/>
      <c r="D22" s="362"/>
      <c r="E22" s="362"/>
      <c r="F22" s="362"/>
      <c r="G22" s="362"/>
      <c r="H22" s="362"/>
      <c r="I22" s="362"/>
    </row>
    <row r="23" spans="1:9" s="9" customFormat="1" ht="18" customHeight="1" x14ac:dyDescent="0.15">
      <c r="A23" s="6"/>
      <c r="B23" s="8"/>
      <c r="C23" s="8"/>
      <c r="D23" s="8"/>
      <c r="E23" s="8"/>
      <c r="F23" s="8"/>
      <c r="G23" s="8"/>
      <c r="H23" s="8"/>
      <c r="I23" s="8"/>
    </row>
    <row r="24" spans="1:9" s="9" customFormat="1" ht="18" customHeight="1" x14ac:dyDescent="0.15">
      <c r="A24" s="14" t="s">
        <v>302</v>
      </c>
    </row>
    <row r="25" spans="1:9" s="9" customFormat="1" ht="20.25" customHeight="1" x14ac:dyDescent="0.15">
      <c r="A25" s="14" t="s">
        <v>194</v>
      </c>
    </row>
    <row r="26" spans="1:9" s="9" customFormat="1" ht="18" customHeight="1" x14ac:dyDescent="0.15">
      <c r="A26" s="17" t="s">
        <v>100</v>
      </c>
      <c r="B26" s="321" t="s">
        <v>216</v>
      </c>
      <c r="C26" s="269" t="s">
        <v>135</v>
      </c>
      <c r="D26" s="269"/>
      <c r="E26" s="269"/>
      <c r="F26" s="269"/>
      <c r="G26" s="269"/>
      <c r="H26" s="269"/>
      <c r="I26" s="270" t="s">
        <v>136</v>
      </c>
    </row>
    <row r="27" spans="1:9" s="9" customFormat="1" ht="18" customHeight="1" x14ac:dyDescent="0.15">
      <c r="A27" s="18" t="s">
        <v>137</v>
      </c>
      <c r="B27" s="322"/>
      <c r="C27" s="19" t="s">
        <v>24</v>
      </c>
      <c r="D27" s="19" t="s">
        <v>15</v>
      </c>
      <c r="E27" s="19" t="s">
        <v>17</v>
      </c>
      <c r="F27" s="19" t="s">
        <v>33</v>
      </c>
      <c r="G27" s="19" t="s">
        <v>98</v>
      </c>
      <c r="H27" s="19" t="s">
        <v>19</v>
      </c>
      <c r="I27" s="295"/>
    </row>
    <row r="28" spans="1:9" s="9" customFormat="1" ht="17.25" customHeight="1" x14ac:dyDescent="0.15">
      <c r="A28" s="87" t="s">
        <v>168</v>
      </c>
      <c r="B28" s="112">
        <v>46</v>
      </c>
      <c r="C28" s="36">
        <v>73</v>
      </c>
      <c r="D28" s="36">
        <v>0</v>
      </c>
      <c r="E28" s="36">
        <v>44</v>
      </c>
      <c r="F28" s="36">
        <v>0</v>
      </c>
      <c r="G28" s="36">
        <v>3</v>
      </c>
      <c r="H28" s="48">
        <v>26</v>
      </c>
      <c r="I28" s="101">
        <v>121</v>
      </c>
    </row>
    <row r="29" spans="1:9" s="9" customFormat="1" ht="17.25" customHeight="1" x14ac:dyDescent="0.15">
      <c r="A29" s="22" t="s">
        <v>12</v>
      </c>
      <c r="B29" s="120">
        <v>41</v>
      </c>
      <c r="C29" s="23">
        <v>71</v>
      </c>
      <c r="D29" s="23">
        <v>0</v>
      </c>
      <c r="E29" s="23">
        <v>43</v>
      </c>
      <c r="F29" s="23">
        <v>0</v>
      </c>
      <c r="G29" s="23">
        <v>3</v>
      </c>
      <c r="H29" s="23">
        <v>25</v>
      </c>
      <c r="I29" s="140">
        <v>118</v>
      </c>
    </row>
    <row r="30" spans="1:9" s="9" customFormat="1" ht="17.25" customHeight="1" x14ac:dyDescent="0.15">
      <c r="A30" s="175" t="s">
        <v>247</v>
      </c>
      <c r="B30" s="120"/>
      <c r="C30" s="23"/>
      <c r="D30" s="23"/>
      <c r="E30" s="23"/>
      <c r="F30" s="23"/>
      <c r="G30" s="23"/>
      <c r="H30" s="23"/>
      <c r="I30" s="140"/>
    </row>
    <row r="31" spans="1:9" s="9" customFormat="1" ht="17.25" customHeight="1" x14ac:dyDescent="0.15">
      <c r="A31" s="22" t="s">
        <v>141</v>
      </c>
      <c r="B31" s="120">
        <v>5</v>
      </c>
      <c r="C31" s="23">
        <v>2</v>
      </c>
      <c r="D31" s="23">
        <v>0</v>
      </c>
      <c r="E31" s="23">
        <v>1</v>
      </c>
      <c r="F31" s="23">
        <v>0</v>
      </c>
      <c r="G31" s="23">
        <v>0</v>
      </c>
      <c r="H31" s="23">
        <v>1</v>
      </c>
      <c r="I31" s="140">
        <v>3</v>
      </c>
    </row>
    <row r="32" spans="1:9" s="9" customFormat="1" ht="17.25" customHeight="1" x14ac:dyDescent="0.15">
      <c r="A32" s="22" t="s">
        <v>142</v>
      </c>
      <c r="B32" s="120"/>
      <c r="C32" s="23"/>
      <c r="D32" s="23"/>
      <c r="E32" s="23"/>
      <c r="F32" s="23"/>
      <c r="G32" s="23"/>
      <c r="H32" s="23"/>
      <c r="I32" s="140"/>
    </row>
    <row r="33" spans="1:9" s="9" customFormat="1" ht="17.25" customHeight="1" x14ac:dyDescent="0.15">
      <c r="A33" s="22" t="s">
        <v>143</v>
      </c>
      <c r="B33" s="120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140">
        <v>0</v>
      </c>
    </row>
    <row r="34" spans="1:9" s="9" customFormat="1" ht="17.25" customHeight="1" x14ac:dyDescent="0.15">
      <c r="A34" s="86" t="s">
        <v>142</v>
      </c>
      <c r="B34" s="121"/>
      <c r="C34" s="24"/>
      <c r="D34" s="24"/>
      <c r="E34" s="24"/>
      <c r="F34" s="24"/>
      <c r="G34" s="24"/>
      <c r="H34" s="24"/>
      <c r="I34" s="130"/>
    </row>
    <row r="35" spans="1:9" s="9" customFormat="1" ht="14.65" customHeight="1" x14ac:dyDescent="0.15">
      <c r="A35" s="8"/>
      <c r="B35" s="8"/>
      <c r="C35" s="8"/>
      <c r="D35" s="8"/>
      <c r="E35" s="8"/>
      <c r="F35" s="8"/>
      <c r="G35" s="8"/>
      <c r="H35" s="8"/>
      <c r="I35" s="8"/>
    </row>
    <row r="36" spans="1:9" s="9" customFormat="1" ht="14.65" customHeight="1" x14ac:dyDescent="0.15">
      <c r="A36" s="14" t="s">
        <v>203</v>
      </c>
    </row>
    <row r="37" spans="1:9" s="9" customFormat="1" ht="18.75" customHeight="1" x14ac:dyDescent="0.15">
      <c r="A37" s="63"/>
      <c r="B37" s="63" t="s">
        <v>138</v>
      </c>
      <c r="C37" s="363" t="s">
        <v>216</v>
      </c>
      <c r="D37" s="365" t="s">
        <v>139</v>
      </c>
      <c r="E37" s="366"/>
      <c r="F37" s="366"/>
      <c r="G37" s="366"/>
    </row>
    <row r="38" spans="1:9" s="9" customFormat="1" ht="18.75" customHeight="1" x14ac:dyDescent="0.15">
      <c r="A38" s="41" t="s">
        <v>195</v>
      </c>
      <c r="B38" s="64"/>
      <c r="C38" s="364"/>
      <c r="D38" s="65" t="s">
        <v>24</v>
      </c>
      <c r="E38" s="66" t="s">
        <v>30</v>
      </c>
      <c r="F38" s="66" t="s">
        <v>25</v>
      </c>
      <c r="G38" s="3" t="s">
        <v>19</v>
      </c>
    </row>
    <row r="39" spans="1:9" s="9" customFormat="1" ht="17.25" customHeight="1" x14ac:dyDescent="0.15">
      <c r="A39" s="367" t="s">
        <v>14</v>
      </c>
      <c r="B39" s="367"/>
      <c r="C39" s="158">
        <v>77</v>
      </c>
      <c r="D39" s="164">
        <v>98</v>
      </c>
      <c r="E39" s="164">
        <v>5</v>
      </c>
      <c r="F39" s="164">
        <v>70</v>
      </c>
      <c r="G39" s="164">
        <v>23</v>
      </c>
    </row>
    <row r="40" spans="1:9" s="9" customFormat="1" ht="17.25" customHeight="1" x14ac:dyDescent="0.15">
      <c r="A40" s="297" t="s">
        <v>140</v>
      </c>
      <c r="B40" s="297"/>
      <c r="C40" s="161">
        <v>0</v>
      </c>
      <c r="D40" s="162">
        <v>0</v>
      </c>
      <c r="E40" s="162">
        <v>0</v>
      </c>
      <c r="F40" s="162">
        <v>0</v>
      </c>
      <c r="G40" s="162">
        <v>0</v>
      </c>
    </row>
    <row r="41" spans="1:9" s="9" customFormat="1" ht="17.25" customHeight="1" x14ac:dyDescent="0.15">
      <c r="A41" s="311" t="s">
        <v>13</v>
      </c>
      <c r="B41" s="311"/>
      <c r="C41" s="166">
        <v>77</v>
      </c>
      <c r="D41" s="167">
        <v>98</v>
      </c>
      <c r="E41" s="167">
        <v>5</v>
      </c>
      <c r="F41" s="167">
        <v>70</v>
      </c>
      <c r="G41" s="167">
        <v>23</v>
      </c>
    </row>
  </sheetData>
  <sheetProtection algorithmName="SHA-512" hashValue="lD45UpXum/7fIw1+BVND+IEECM7mPOm13gNzUOLXyu+AMXeK2F39RGU0pt4JrZNBAQrP+q7BWzNHrm5GaWRYwg==" saltValue="cEuf57nNJrpb82iw5i3Sng==" spinCount="100000" sheet="1" objects="1" scenarios="1"/>
  <mergeCells count="14">
    <mergeCell ref="A41:B41"/>
    <mergeCell ref="A22:I22"/>
    <mergeCell ref="C37:C38"/>
    <mergeCell ref="D37:G37"/>
    <mergeCell ref="A39:B39"/>
    <mergeCell ref="A40:B40"/>
    <mergeCell ref="B26:B27"/>
    <mergeCell ref="C26:H26"/>
    <mergeCell ref="I26:I27"/>
    <mergeCell ref="B2:B3"/>
    <mergeCell ref="C2:F2"/>
    <mergeCell ref="G2:G3"/>
    <mergeCell ref="B11:B12"/>
    <mergeCell ref="C11:H11"/>
  </mergeCells>
  <phoneticPr fontId="2" type="noConversion"/>
  <pageMargins left="0.43" right="0.05" top="0.65" bottom="0.33" header="0.5" footer="0.5"/>
  <pageSetup paperSize="9"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</vt:i4>
      </vt:variant>
    </vt:vector>
  </HeadingPairs>
  <TitlesOfParts>
    <vt:vector size="12" baseType="lpstr">
      <vt:lpstr>양식변경사항</vt:lpstr>
      <vt:lpstr>1</vt:lpstr>
      <vt:lpstr>2</vt:lpstr>
      <vt:lpstr>3</vt:lpstr>
      <vt:lpstr>4</vt:lpstr>
      <vt:lpstr>5</vt:lpstr>
      <vt:lpstr>6-추가</vt:lpstr>
      <vt:lpstr>6</vt:lpstr>
      <vt:lpstr>7</vt:lpstr>
      <vt:lpstr>8</vt:lpstr>
      <vt:lpstr>9</vt:lpstr>
      <vt:lpstr>'6-추가'!Print_Area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2023-04-26T02:05:47Z</cp:lastPrinted>
  <dcterms:created xsi:type="dcterms:W3CDTF">2009-03-27T01:23:43Z</dcterms:created>
  <dcterms:modified xsi:type="dcterms:W3CDTF">2023-09-20T04:27:55Z</dcterms:modified>
</cp:coreProperties>
</file>