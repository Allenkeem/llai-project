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drawings/drawing19.xml" ContentType="application/vnd.openxmlformats-officedocument.drawing+xml"/>
  <Override PartName="/xl/charts/chart14.xml" ContentType="application/vnd.openxmlformats-officedocument.drawingml.chart+xml"/>
  <Override PartName="/xl/drawings/drawing20.xml" ContentType="application/vnd.openxmlformats-officedocument.drawing+xml"/>
  <Override PartName="/xl/charts/chart15.xml" ContentType="application/vnd.openxmlformats-officedocument.drawingml.chart+xml"/>
  <Override PartName="/xl/drawings/drawing21.xml" ContentType="application/vnd.openxmlformats-officedocument.drawing+xml"/>
  <Override PartName="/xl/charts/chart16.xml" ContentType="application/vnd.openxmlformats-officedocument.drawingml.chart+xml"/>
  <Override PartName="/xl/drawings/drawing22.xml" ContentType="application/vnd.openxmlformats-officedocument.drawing+xml"/>
  <Override PartName="/xl/charts/chart17.xml" ContentType="application/vnd.openxmlformats-officedocument.drawingml.chart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0" yWindow="0" windowWidth="28800" windowHeight="12885" tabRatio="815" firstSheet="1" activeTab="1"/>
  </bookViews>
  <sheets>
    <sheet name="양식 변경사항" sheetId="1" state="hidden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_수정전" sheetId="22" state="hidden" r:id="rId21"/>
    <sheet name="20" sheetId="21" r:id="rId22"/>
    <sheet name="21" sheetId="23" r:id="rId23"/>
    <sheet name="22" sheetId="24" r:id="rId24"/>
  </sheets>
  <definedNames>
    <definedName name="_xlnm.Print_Area" localSheetId="1">'1'!$A$1:$I$118</definedName>
    <definedName name="_xlnm.Print_Area" localSheetId="10">'10'!$A$1:$I$55</definedName>
    <definedName name="_xlnm.Print_Area" localSheetId="11">'11'!$A$1:$G$52</definedName>
    <definedName name="_xlnm.Print_Area" localSheetId="12">'12'!$A$1:$L$47</definedName>
    <definedName name="_xlnm.Print_Area" localSheetId="13">'13'!$A$1:$J$71</definedName>
    <definedName name="_xlnm.Print_Area" localSheetId="14">'14'!$A$1:$T$36</definedName>
    <definedName name="_xlnm.Print_Area" localSheetId="15">'15'!$A$1:$H$28</definedName>
    <definedName name="_xlnm.Print_Area" localSheetId="16">'16'!$A$1:$L$41</definedName>
    <definedName name="_xlnm.Print_Area" localSheetId="17">'17'!$A$1:$L$24</definedName>
    <definedName name="_xlnm.Print_Area" localSheetId="18">'18'!$A$1:$F$40</definedName>
    <definedName name="_xlnm.Print_Area" localSheetId="19">'19'!$A$1:$J$46</definedName>
    <definedName name="_xlnm.Print_Area" localSheetId="2">'2'!$A$1:$H$87</definedName>
    <definedName name="_xlnm.Print_Area" localSheetId="21">'20'!$A$1:$J$58</definedName>
    <definedName name="_xlnm.Print_Area" localSheetId="20">'20_수정전'!$A$1:$H$45</definedName>
    <definedName name="_xlnm.Print_Area" localSheetId="22">'21'!$A$1:$H$54</definedName>
    <definedName name="_xlnm.Print_Area" localSheetId="23">'22'!$A$1:$I$37</definedName>
    <definedName name="_xlnm.Print_Area" localSheetId="3">'3'!$A$1:$E$45</definedName>
    <definedName name="_xlnm.Print_Area" localSheetId="4">'4'!$A$1:$N$55</definedName>
    <definedName name="_xlnm.Print_Area" localSheetId="5">'5'!$A$1:$K$48</definedName>
    <definedName name="_xlnm.Print_Area" localSheetId="6">'6'!$A$1:$Q$49</definedName>
    <definedName name="_xlnm.Print_Area" localSheetId="7">'7'!$A$1:$M$46</definedName>
    <definedName name="_xlnm.Print_Area" localSheetId="8">'8'!$A$1:$O$38</definedName>
    <definedName name="_xlnm.Print_Area" localSheetId="9">'9'!$A$1:$M$43</definedName>
    <definedName name="Z_4810CB4C_E276_4485_93D3_F920B09A4189_.wvu.PrintArea" localSheetId="1" hidden="1">'1'!$A$1:$I$118</definedName>
    <definedName name="Z_4810CB4C_E276_4485_93D3_F920B09A4189_.wvu.PrintArea" localSheetId="10" hidden="1">'10'!$A$1:$I$55</definedName>
    <definedName name="Z_4810CB4C_E276_4485_93D3_F920B09A4189_.wvu.PrintArea" localSheetId="11" hidden="1">'11'!$A$1:$G$52</definedName>
    <definedName name="Z_4810CB4C_E276_4485_93D3_F920B09A4189_.wvu.PrintArea" localSheetId="12" hidden="1">'12'!$A$1:$L$47</definedName>
    <definedName name="Z_4810CB4C_E276_4485_93D3_F920B09A4189_.wvu.PrintArea" localSheetId="13" hidden="1">'13'!$A$1:$J$71</definedName>
    <definedName name="Z_4810CB4C_E276_4485_93D3_F920B09A4189_.wvu.PrintArea" localSheetId="14" hidden="1">'14'!$A$1:$T$36</definedName>
    <definedName name="Z_4810CB4C_E276_4485_93D3_F920B09A4189_.wvu.PrintArea" localSheetId="15" hidden="1">'15'!$A$1:$H$28</definedName>
    <definedName name="Z_4810CB4C_E276_4485_93D3_F920B09A4189_.wvu.PrintArea" localSheetId="16" hidden="1">'16'!$A$1:$L$41</definedName>
    <definedName name="Z_4810CB4C_E276_4485_93D3_F920B09A4189_.wvu.PrintArea" localSheetId="17" hidden="1">'17'!$A$1:$L$24</definedName>
    <definedName name="Z_4810CB4C_E276_4485_93D3_F920B09A4189_.wvu.PrintArea" localSheetId="18" hidden="1">'18'!$A$1:$F$40</definedName>
    <definedName name="Z_4810CB4C_E276_4485_93D3_F920B09A4189_.wvu.PrintArea" localSheetId="19" hidden="1">'19'!$A$1:$J$46</definedName>
    <definedName name="Z_4810CB4C_E276_4485_93D3_F920B09A4189_.wvu.PrintArea" localSheetId="2" hidden="1">'2'!$A$1:$H$87</definedName>
    <definedName name="Z_4810CB4C_E276_4485_93D3_F920B09A4189_.wvu.PrintArea" localSheetId="21" hidden="1">'20'!$A$1:$J$58</definedName>
    <definedName name="Z_4810CB4C_E276_4485_93D3_F920B09A4189_.wvu.PrintArea" localSheetId="20" hidden="1">'20_수정전'!$A$1:$H$45</definedName>
    <definedName name="Z_4810CB4C_E276_4485_93D3_F920B09A4189_.wvu.PrintArea" localSheetId="22" hidden="1">'21'!$A$1:$H$54</definedName>
    <definedName name="Z_4810CB4C_E276_4485_93D3_F920B09A4189_.wvu.PrintArea" localSheetId="23" hidden="1">'22'!$A$1:$I$37</definedName>
    <definedName name="Z_4810CB4C_E276_4485_93D3_F920B09A4189_.wvu.PrintArea" localSheetId="3" hidden="1">'3'!$A$1:$E$45</definedName>
    <definedName name="Z_4810CB4C_E276_4485_93D3_F920B09A4189_.wvu.PrintArea" localSheetId="4" hidden="1">'4'!$A$1:$N$55</definedName>
    <definedName name="Z_4810CB4C_E276_4485_93D3_F920B09A4189_.wvu.PrintArea" localSheetId="5" hidden="1">'5'!$A$1:$K$48</definedName>
    <definedName name="Z_4810CB4C_E276_4485_93D3_F920B09A4189_.wvu.PrintArea" localSheetId="6" hidden="1">'6'!$A$1:$Q$49</definedName>
    <definedName name="Z_4810CB4C_E276_4485_93D3_F920B09A4189_.wvu.PrintArea" localSheetId="7" hidden="1">'7'!$A$1:$M$46</definedName>
    <definedName name="Z_4810CB4C_E276_4485_93D3_F920B09A4189_.wvu.PrintArea" localSheetId="8" hidden="1">'8'!$A$1:$O$38</definedName>
    <definedName name="Z_4810CB4C_E276_4485_93D3_F920B09A4189_.wvu.PrintArea" localSheetId="9" hidden="1">'9'!$A$1:$M$43</definedName>
  </definedNames>
  <calcPr calcId="162913"/>
  <customWorkbookViews>
    <customWorkbookView name="User - 사용자 보기" guid="{4810CB4C-E276-4485-93D3-F920B09A4189}" mergeInterval="0" personalView="1" maximized="1" xWindow="1912" yWindow="-8" windowWidth="1936" windowHeight="1056" tabRatio="693" activeSheetId="2"/>
  </customWorkbookViews>
</workbook>
</file>

<file path=xl/calcChain.xml><?xml version="1.0" encoding="utf-8"?>
<calcChain xmlns="http://schemas.openxmlformats.org/spreadsheetml/2006/main">
  <c r="C9" i="22" l="1"/>
  <c r="C8" i="22"/>
  <c r="C7" i="22"/>
  <c r="C6" i="22"/>
  <c r="H10" i="22" l="1"/>
  <c r="F10" i="22"/>
  <c r="E10" i="22"/>
  <c r="D10" i="22"/>
  <c r="B10" i="22"/>
  <c r="C10" i="22" l="1"/>
  <c r="G10" i="22" s="1"/>
  <c r="K15" i="22" l="1"/>
  <c r="K14" i="22"/>
  <c r="G38" i="22"/>
  <c r="F38" i="22"/>
  <c r="E38" i="22"/>
  <c r="D38" i="22"/>
  <c r="K17" i="22" s="1"/>
  <c r="L14" i="22" l="1"/>
  <c r="L15" i="22" l="1"/>
  <c r="K16" i="22"/>
  <c r="L16" i="22" s="1"/>
</calcChain>
</file>

<file path=xl/sharedStrings.xml><?xml version="1.0" encoding="utf-8"?>
<sst xmlns="http://schemas.openxmlformats.org/spreadsheetml/2006/main" count="1432" uniqueCount="823">
  <si>
    <t>합의</t>
    <phoneticPr fontId="6" type="noConversion"/>
  </si>
  <si>
    <t>단독</t>
    <phoneticPr fontId="6" type="noConversion"/>
  </si>
  <si>
    <t>고등법원</t>
    <phoneticPr fontId="6" type="noConversion"/>
  </si>
  <si>
    <t>지방법원</t>
    <phoneticPr fontId="6" type="noConversion"/>
  </si>
  <si>
    <t>합계</t>
    <phoneticPr fontId="6" type="noConversion"/>
  </si>
  <si>
    <t>부정기</t>
    <phoneticPr fontId="6" type="noConversion"/>
  </si>
  <si>
    <t>구성비(%)</t>
    <phoneticPr fontId="6" type="noConversion"/>
  </si>
  <si>
    <t>지방법원</t>
  </si>
  <si>
    <t>무죄</t>
    <phoneticPr fontId="6" type="noConversion"/>
  </si>
  <si>
    <t>선고유예</t>
    <phoneticPr fontId="6" type="noConversion"/>
  </si>
  <si>
    <t>(5) 상소사건</t>
    <phoneticPr fontId="6" type="noConversion"/>
  </si>
  <si>
    <t>(6) 국선변호인 선정</t>
    <phoneticPr fontId="6" type="noConversion"/>
  </si>
  <si>
    <t>재산형</t>
    <phoneticPr fontId="6" type="noConversion"/>
  </si>
  <si>
    <t>항소율(%)</t>
    <phoneticPr fontId="6" type="noConversion"/>
  </si>
  <si>
    <t>상고율(%)</t>
    <phoneticPr fontId="6" type="noConversion"/>
  </si>
  <si>
    <t>1. 개황</t>
    <phoneticPr fontId="6" type="noConversion"/>
  </si>
  <si>
    <t>본안사건</t>
    <phoneticPr fontId="6" type="noConversion"/>
  </si>
  <si>
    <t>공판</t>
    <phoneticPr fontId="6" type="noConversion"/>
  </si>
  <si>
    <t>상고심</t>
    <phoneticPr fontId="6" type="noConversion"/>
  </si>
  <si>
    <t>치료감호</t>
    <phoneticPr fontId="6" type="noConversion"/>
  </si>
  <si>
    <t>항소심</t>
    <phoneticPr fontId="6" type="noConversion"/>
  </si>
  <si>
    <t>제1심</t>
    <phoneticPr fontId="6" type="noConversion"/>
  </si>
  <si>
    <t>2. 형사공판사건</t>
    <phoneticPr fontId="6" type="noConversion"/>
  </si>
  <si>
    <t>가. 사건의 동향</t>
    <phoneticPr fontId="6" type="noConversion"/>
  </si>
  <si>
    <t>나. 접수내역</t>
    <phoneticPr fontId="6" type="noConversion"/>
  </si>
  <si>
    <t>(2) 구속비율</t>
    <phoneticPr fontId="6" type="noConversion"/>
  </si>
  <si>
    <t>처리</t>
  </si>
  <si>
    <t>영장</t>
  </si>
  <si>
    <t>즉결</t>
  </si>
  <si>
    <t>여</t>
    <phoneticPr fontId="6" type="noConversion"/>
  </si>
  <si>
    <t>처리</t>
    <phoneticPr fontId="6" type="noConversion"/>
  </si>
  <si>
    <t>계</t>
    <phoneticPr fontId="6" type="noConversion"/>
  </si>
  <si>
    <t>처리율(%)</t>
    <phoneticPr fontId="6" type="noConversion"/>
  </si>
  <si>
    <t>생명형</t>
    <phoneticPr fontId="6" type="noConversion"/>
  </si>
  <si>
    <t>자유형(실형)</t>
    <phoneticPr fontId="6" type="noConversion"/>
  </si>
  <si>
    <t>기타</t>
    <phoneticPr fontId="6" type="noConversion"/>
  </si>
  <si>
    <t>구분</t>
    <phoneticPr fontId="6" type="noConversion"/>
  </si>
  <si>
    <t>집행유예</t>
    <phoneticPr fontId="6" type="noConversion"/>
  </si>
  <si>
    <t>심급</t>
    <phoneticPr fontId="6" type="noConversion"/>
  </si>
  <si>
    <t>항소심계</t>
    <phoneticPr fontId="6" type="noConversion"/>
  </si>
  <si>
    <t>1심합의</t>
    <phoneticPr fontId="6" type="noConversion"/>
  </si>
  <si>
    <t>1심단독</t>
    <phoneticPr fontId="6" type="noConversion"/>
  </si>
  <si>
    <t>처리인원수</t>
    <phoneticPr fontId="6" type="noConversion"/>
  </si>
  <si>
    <t>변호인선임피고인수</t>
    <phoneticPr fontId="6" type="noConversion"/>
  </si>
  <si>
    <t>국선변호인</t>
    <phoneticPr fontId="6" type="noConversion"/>
  </si>
  <si>
    <t>사선변호인</t>
    <phoneticPr fontId="6" type="noConversion"/>
  </si>
  <si>
    <t>제1심계</t>
    <phoneticPr fontId="6" type="noConversion"/>
  </si>
  <si>
    <t>상고심계</t>
    <phoneticPr fontId="6" type="noConversion"/>
  </si>
  <si>
    <t>라. 미제</t>
    <phoneticPr fontId="6" type="noConversion"/>
  </si>
  <si>
    <t>영구미제</t>
    <phoneticPr fontId="6" type="noConversion"/>
  </si>
  <si>
    <t>법정
기간내</t>
    <phoneticPr fontId="6" type="noConversion"/>
  </si>
  <si>
    <t>의정부</t>
    <phoneticPr fontId="6" type="noConversion"/>
  </si>
  <si>
    <t>금년접수</t>
    <phoneticPr fontId="6" type="noConversion"/>
  </si>
  <si>
    <t>나. 처리상황</t>
    <phoneticPr fontId="6" type="noConversion"/>
  </si>
  <si>
    <t>정식재판청구</t>
    <phoneticPr fontId="6" type="noConversion"/>
  </si>
  <si>
    <t>자유형</t>
    <phoneticPr fontId="6" type="noConversion"/>
  </si>
  <si>
    <t>공소기각</t>
    <phoneticPr fontId="6" type="noConversion"/>
  </si>
  <si>
    <t>가. 형사신청사건의 동향</t>
    <phoneticPr fontId="6" type="noConversion"/>
  </si>
  <si>
    <t>청구인별</t>
    <phoneticPr fontId="6" type="noConversion"/>
  </si>
  <si>
    <t>파기</t>
  </si>
  <si>
    <t>고등법원</t>
  </si>
  <si>
    <t>기각</t>
  </si>
  <si>
    <t>전자약식</t>
    <phoneticPr fontId="6" type="noConversion"/>
  </si>
  <si>
    <t>약식명령</t>
    <phoneticPr fontId="6" type="noConversion"/>
  </si>
  <si>
    <t>(단위: 일)</t>
    <phoneticPr fontId="6" type="noConversion"/>
  </si>
  <si>
    <t>사건</t>
    <phoneticPr fontId="6" type="noConversion"/>
  </si>
  <si>
    <t>기각</t>
    <phoneticPr fontId="6" type="noConversion"/>
  </si>
  <si>
    <t>(-)</t>
    <phoneticPr fontId="6" type="noConversion"/>
  </si>
  <si>
    <t>제1심</t>
    <phoneticPr fontId="22" type="noConversion"/>
  </si>
  <si>
    <t>합의</t>
    <phoneticPr fontId="22" type="noConversion"/>
  </si>
  <si>
    <t>단독</t>
    <phoneticPr fontId="22" type="noConversion"/>
  </si>
  <si>
    <t>주 : 종국일자기준</t>
    <phoneticPr fontId="22" type="noConversion"/>
  </si>
  <si>
    <t>주 : 1. 종국일자기준</t>
    <phoneticPr fontId="22" type="noConversion"/>
  </si>
  <si>
    <t>상고심</t>
    <phoneticPr fontId="22" type="noConversion"/>
  </si>
  <si>
    <t>계</t>
  </si>
  <si>
    <t>무죄</t>
  </si>
  <si>
    <t>기타</t>
  </si>
  <si>
    <t>판결대비기각률</t>
    <phoneticPr fontId="6" type="noConversion"/>
  </si>
  <si>
    <t>처리
인원수</t>
    <phoneticPr fontId="6" type="noConversion"/>
  </si>
  <si>
    <t>2017년</t>
  </si>
  <si>
    <t>1심</t>
    <phoneticPr fontId="6" type="noConversion"/>
  </si>
  <si>
    <t>주 : 1. 기일일자기준</t>
    <phoneticPr fontId="22" type="noConversion"/>
  </si>
  <si>
    <t xml:space="preserve">      2. 공판기일에 출석자로 지정되었으나, 출석하지 않고 재판이 진행된 피고인수</t>
    <phoneticPr fontId="6" type="noConversion"/>
  </si>
  <si>
    <t>즉결</t>
    <phoneticPr fontId="6" type="noConversion"/>
  </si>
  <si>
    <t>파
기</t>
    <phoneticPr fontId="6" type="noConversion"/>
  </si>
  <si>
    <t>자
판</t>
    <phoneticPr fontId="6" type="noConversion"/>
  </si>
  <si>
    <t>합계</t>
  </si>
  <si>
    <t>무기형</t>
  </si>
  <si>
    <t>무기</t>
  </si>
  <si>
    <t>징역 또는 금고</t>
    <phoneticPr fontId="6" type="noConversion"/>
  </si>
  <si>
    <t>불구속</t>
    <phoneticPr fontId="6" type="noConversion"/>
  </si>
  <si>
    <t>미성년자</t>
  </si>
  <si>
    <t>70세이상의자</t>
  </si>
  <si>
    <t>제1심</t>
  </si>
  <si>
    <t>항소심</t>
  </si>
  <si>
    <t>상고심</t>
  </si>
  <si>
    <t>합의</t>
  </si>
  <si>
    <t>단독</t>
  </si>
  <si>
    <t>사건수</t>
  </si>
  <si>
    <t>인원수</t>
  </si>
  <si>
    <t>(단위 : 일)</t>
    <phoneticPr fontId="6" type="noConversion"/>
  </si>
  <si>
    <t>남
(법인포함)</t>
    <phoneticPr fontId="6" type="noConversion"/>
  </si>
  <si>
    <t>법정구속 인원수</t>
    <phoneticPr fontId="6" type="noConversion"/>
  </si>
  <si>
    <t xml:space="preserve">      3. "영구미제"는 피고인의 불출석으로 구속영장이 2회 이상 발부되고 공소제기 후 1년이 경과 되었으나 소재불명으로 집행불능된 사건임</t>
    <phoneticPr fontId="6" type="noConversion"/>
  </si>
  <si>
    <t>1년 이내</t>
    <phoneticPr fontId="6" type="noConversion"/>
  </si>
  <si>
    <t>2년 이내</t>
    <phoneticPr fontId="6" type="noConversion"/>
  </si>
  <si>
    <t>2년 초과</t>
    <phoneticPr fontId="6" type="noConversion"/>
  </si>
  <si>
    <t>감호판결</t>
    <phoneticPr fontId="6" type="noConversion"/>
  </si>
  <si>
    <t>판결</t>
  </si>
  <si>
    <t>상소취하</t>
  </si>
  <si>
    <t>상소기각</t>
  </si>
  <si>
    <t>정식재판</t>
    <phoneticPr fontId="6" type="noConversion"/>
  </si>
  <si>
    <t>기타
(직권공판회부등)</t>
    <phoneticPr fontId="6" type="noConversion"/>
  </si>
  <si>
    <t>인천</t>
  </si>
  <si>
    <t>수원</t>
  </si>
  <si>
    <t>춘천</t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</si>
  <si>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</si>
  <si>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</si>
  <si>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</si>
  <si>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</si>
  <si>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</si>
  <si>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</si>
  <si>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</si>
  <si>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</si>
  <si>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</si>
  <si>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형의선고</t>
  </si>
  <si>
    <t>과료</t>
  </si>
  <si>
    <t>구속영장</t>
  </si>
  <si>
    <t>체포영장</t>
  </si>
  <si>
    <t>감호영장</t>
  </si>
  <si>
    <t>감정유치장</t>
  </si>
  <si>
    <t>구속적부심사</t>
  </si>
  <si>
    <t>체포적부심사</t>
  </si>
  <si>
    <t>보석</t>
  </si>
  <si>
    <t>형집행유예취소</t>
  </si>
  <si>
    <t>증거보전</t>
  </si>
  <si>
    <t>상소권회복</t>
  </si>
  <si>
    <t>형사보상</t>
  </si>
  <si>
    <t>배상명령</t>
  </si>
  <si>
    <t>주 : (  )내의 수는 구성비(%)임</t>
    <phoneticPr fontId="6" type="noConversion"/>
  </si>
  <si>
    <t>허가</t>
  </si>
  <si>
    <t>불허가</t>
  </si>
  <si>
    <t>변호인</t>
  </si>
  <si>
    <t>비변호인</t>
  </si>
  <si>
    <t>청구</t>
  </si>
  <si>
    <t>석방</t>
  </si>
  <si>
    <t>보석에대한(재)항고</t>
  </si>
  <si>
    <t>구속의취소또는구속의집행정지에대한(재)항고</t>
  </si>
  <si>
    <t>배상명령에대한(재)항고</t>
  </si>
  <si>
    <t>재심기각에대한(재)항고</t>
  </si>
  <si>
    <t>집행유예취소결정에대한(재)항고</t>
  </si>
  <si>
    <t>기타결정에대한(재)항고</t>
  </si>
  <si>
    <t>전체</t>
    <phoneticPr fontId="6" type="noConversion"/>
  </si>
  <si>
    <t>집행유예
(재산형)</t>
    <phoneticPr fontId="6" type="noConversion"/>
  </si>
  <si>
    <t>형
의
선
고</t>
    <phoneticPr fontId="6" type="noConversion"/>
  </si>
  <si>
    <t>판
결</t>
    <phoneticPr fontId="6" type="noConversion"/>
  </si>
  <si>
    <t>보호관찰</t>
    <phoneticPr fontId="55" type="noConversion"/>
  </si>
  <si>
    <t>사회봉사명령</t>
    <phoneticPr fontId="55" type="noConversion"/>
  </si>
  <si>
    <t>수강명령</t>
    <phoneticPr fontId="55" type="noConversion"/>
  </si>
  <si>
    <t>계</t>
    <phoneticPr fontId="55" type="noConversion"/>
  </si>
  <si>
    <t>구분</t>
  </si>
  <si>
    <t>심급</t>
  </si>
  <si>
    <t>성별</t>
    <phoneticPr fontId="6" type="noConversion"/>
  </si>
  <si>
    <t>내용</t>
    <phoneticPr fontId="6" type="noConversion"/>
  </si>
  <si>
    <t>기간</t>
    <phoneticPr fontId="6" type="noConversion"/>
  </si>
  <si>
    <t>법원</t>
  </si>
  <si>
    <t>사건</t>
  </si>
  <si>
    <t>법원</t>
    <phoneticPr fontId="22" type="noConversion"/>
  </si>
  <si>
    <t>연도</t>
  </si>
  <si>
    <t>(1) 합의ㆍ단독사건의 대비</t>
  </si>
  <si>
    <t>형의면제
ㆍ면소</t>
  </si>
  <si>
    <t>형의면제ㆍ면소</t>
  </si>
  <si>
    <t>사형,무기,단기3년이상징역ㆍ금고</t>
  </si>
  <si>
    <t>주 : 치료감호사건 및 체포ㆍ구속적부심사 청구사건에 대한 변호인 선임인원은 제외됨</t>
  </si>
  <si>
    <t>환송ㆍ이송</t>
  </si>
  <si>
    <t>취하ㆍ기타</t>
  </si>
  <si>
    <t>군사재판</t>
  </si>
  <si>
    <t>공판사건</t>
  </si>
  <si>
    <t>약식명령사건</t>
  </si>
  <si>
    <t>지수</t>
  </si>
  <si>
    <t>즉결사건</t>
  </si>
  <si>
    <t>영장사건</t>
  </si>
  <si>
    <t>접수</t>
    <phoneticPr fontId="6" type="noConversion"/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</si>
  <si>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</si>
  <si>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</si>
  <si>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</si>
  <si>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</si>
  <si>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</si>
  <si>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</si>
  <si>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</si>
  <si>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</si>
  <si>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</si>
  <si>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</si>
  <si>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형사사건 사건별 추이 - 접수 (도표 25)</t>
    <phoneticPr fontId="6" type="noConversion"/>
  </si>
  <si>
    <t>구속</t>
  </si>
  <si>
    <t>불구속</t>
  </si>
  <si>
    <t>총계</t>
  </si>
  <si>
    <t>제1심계</t>
  </si>
  <si>
    <t>항소심계</t>
  </si>
  <si>
    <t>상고심계</t>
  </si>
  <si>
    <t>1심합의</t>
  </si>
  <si>
    <t>1심단독</t>
  </si>
  <si>
    <t>형법범계</t>
  </si>
  <si>
    <t>특별법범계</t>
  </si>
  <si>
    <t>국가보안법</t>
  </si>
  <si>
    <t>도로교통법</t>
  </si>
  <si>
    <t>부정수표단속법</t>
  </si>
  <si>
    <t>식품위생법</t>
  </si>
  <si>
    <t>(3) 남ㆍ여 성별 구성</t>
    <phoneticPr fontId="6" type="noConversion"/>
  </si>
  <si>
    <t>집행유예</t>
  </si>
  <si>
    <t>계</t>
    <phoneticPr fontId="6" type="noConversion"/>
  </si>
  <si>
    <t>구분</t>
    <phoneticPr fontId="6" type="noConversion"/>
  </si>
  <si>
    <t>재산형</t>
    <phoneticPr fontId="6" type="noConversion"/>
  </si>
  <si>
    <t>(4) 죄명별 비교</t>
    <phoneticPr fontId="6" type="noConversion"/>
  </si>
  <si>
    <t>(5) 법원별 접수</t>
    <phoneticPr fontId="6" type="noConversion"/>
  </si>
  <si>
    <t>심급</t>
    <phoneticPr fontId="6" type="noConversion"/>
  </si>
  <si>
    <t>죄명</t>
    <phoneticPr fontId="6" type="noConversion"/>
  </si>
  <si>
    <t>공무방해에관한죄</t>
    <phoneticPr fontId="6" type="noConversion"/>
  </si>
  <si>
    <t>성풍속에관한죄</t>
    <phoneticPr fontId="6" type="noConversion"/>
  </si>
  <si>
    <t>도박과복표에관한죄</t>
    <phoneticPr fontId="6" type="noConversion"/>
  </si>
  <si>
    <t>상해와폭행의죄</t>
    <phoneticPr fontId="6" type="noConversion"/>
  </si>
  <si>
    <t>강간과추행의죄</t>
    <phoneticPr fontId="6" type="noConversion"/>
  </si>
  <si>
    <t>절도와강도의죄</t>
    <phoneticPr fontId="6" type="noConversion"/>
  </si>
  <si>
    <t>사기와공갈의죄</t>
    <phoneticPr fontId="6" type="noConversion"/>
  </si>
  <si>
    <t>횡령과배임의죄</t>
    <phoneticPr fontId="6" type="noConversion"/>
  </si>
  <si>
    <t>교통사고처리특례법</t>
    <phoneticPr fontId="6" type="noConversion"/>
  </si>
  <si>
    <t>특정범죄가중처벌등에관한법률</t>
    <phoneticPr fontId="6" type="noConversion"/>
  </si>
  <si>
    <t>심급</t>
    <phoneticPr fontId="6" type="noConversion"/>
  </si>
  <si>
    <t>(2) 재판결과</t>
    <phoneticPr fontId="6" type="noConversion"/>
  </si>
  <si>
    <t>내용</t>
    <phoneticPr fontId="6" type="noConversion"/>
  </si>
  <si>
    <t>형의선고</t>
    <phoneticPr fontId="6" type="noConversion"/>
  </si>
  <si>
    <t>생명형</t>
    <phoneticPr fontId="6" type="noConversion"/>
  </si>
  <si>
    <t>자유형(실형)</t>
    <phoneticPr fontId="6" type="noConversion"/>
  </si>
  <si>
    <t>집행유예</t>
    <phoneticPr fontId="6" type="noConversion"/>
  </si>
  <si>
    <t>자격형</t>
    <phoneticPr fontId="6" type="noConversion"/>
  </si>
  <si>
    <t>집행유예(재산형)</t>
    <phoneticPr fontId="6" type="noConversion"/>
  </si>
  <si>
    <t>공소기각결정</t>
    <phoneticPr fontId="6" type="noConversion"/>
  </si>
  <si>
    <t>소년부송치</t>
    <phoneticPr fontId="6" type="noConversion"/>
  </si>
  <si>
    <t>기타</t>
    <phoneticPr fontId="6" type="noConversion"/>
  </si>
  <si>
    <t>구분</t>
    <phoneticPr fontId="6" type="noConversion"/>
  </si>
  <si>
    <t>내용</t>
    <phoneticPr fontId="6" type="noConversion"/>
  </si>
  <si>
    <t>판
결</t>
    <phoneticPr fontId="6" type="noConversion"/>
  </si>
  <si>
    <t>파
기</t>
    <phoneticPr fontId="6" type="noConversion"/>
  </si>
  <si>
    <t>자
판</t>
    <phoneticPr fontId="6" type="noConversion"/>
  </si>
  <si>
    <t>형
의
선
고</t>
    <phoneticPr fontId="6" type="noConversion"/>
  </si>
  <si>
    <t>항소
기각</t>
    <phoneticPr fontId="6" type="noConversion"/>
  </si>
  <si>
    <t>판결대비파기율</t>
    <phoneticPr fontId="6" type="noConversion"/>
  </si>
  <si>
    <t>배상명령사건 연도별비교-전심급 (표 125)</t>
    <phoneticPr fontId="6" type="noConversion"/>
  </si>
  <si>
    <t>인용률(%)</t>
    <phoneticPr fontId="6" type="noConversion"/>
  </si>
  <si>
    <t>항고</t>
    <phoneticPr fontId="6" type="noConversion"/>
  </si>
  <si>
    <t>변호인</t>
    <phoneticPr fontId="6" type="noConversion"/>
  </si>
  <si>
    <t>비변호인</t>
    <phoneticPr fontId="6" type="noConversion"/>
  </si>
  <si>
    <t>서울
중앙</t>
    <phoneticPr fontId="6" type="noConversion"/>
  </si>
  <si>
    <t>서울
동부</t>
    <phoneticPr fontId="6" type="noConversion"/>
  </si>
  <si>
    <t>서울
남부</t>
    <phoneticPr fontId="6" type="noConversion"/>
  </si>
  <si>
    <t>서울
북부</t>
    <phoneticPr fontId="6" type="noConversion"/>
  </si>
  <si>
    <t>서울
서부</t>
    <phoneticPr fontId="6" type="noConversion"/>
  </si>
  <si>
    <t>약식
명령</t>
    <phoneticPr fontId="6" type="noConversion"/>
  </si>
  <si>
    <t>전자
약식
명령</t>
    <phoneticPr fontId="6" type="noConversion"/>
  </si>
  <si>
    <t>주 : ( ) 내의 수는 구성비(%)임</t>
    <phoneticPr fontId="6" type="noConversion"/>
  </si>
  <si>
    <t>주 : 1. ( )내의 수는 구성비(%)임</t>
    <phoneticPr fontId="6" type="noConversion"/>
  </si>
  <si>
    <t>궐석재판 인원수</t>
    <phoneticPr fontId="6" type="noConversion"/>
  </si>
  <si>
    <t>불구속 인원수</t>
    <phoneticPr fontId="6" type="noConversion"/>
  </si>
  <si>
    <t>확정사건수</t>
    <phoneticPr fontId="22" type="noConversion"/>
  </si>
  <si>
    <t>평균처리일수</t>
    <phoneticPr fontId="22" type="noConversion"/>
  </si>
  <si>
    <t>고등법원</t>
    <phoneticPr fontId="6" type="noConversion"/>
  </si>
  <si>
    <t>지방법원</t>
    <phoneticPr fontId="6" type="noConversion"/>
  </si>
  <si>
    <t>선정사유</t>
    <phoneticPr fontId="6" type="noConversion"/>
  </si>
  <si>
    <t>사건수</t>
    <phoneticPr fontId="6" type="noConversion"/>
  </si>
  <si>
    <t>인원수</t>
    <phoneticPr fontId="6" type="noConversion"/>
  </si>
  <si>
    <t>심신장애인</t>
    <phoneticPr fontId="6" type="noConversion"/>
  </si>
  <si>
    <t>기타</t>
    <phoneticPr fontId="6" type="noConversion"/>
  </si>
  <si>
    <t>주 : 1. 선정사유가 중복된 경우에는 그 중 한 사유란에만 기재함</t>
    <phoneticPr fontId="6" type="noConversion"/>
  </si>
  <si>
    <t>(7) 처리기간</t>
    <phoneticPr fontId="6" type="noConversion"/>
  </si>
  <si>
    <t xml:space="preserve"> </t>
    <phoneticPr fontId="6" type="noConversion"/>
  </si>
  <si>
    <t>불구속</t>
    <phoneticPr fontId="6" type="noConversion"/>
  </si>
  <si>
    <t>주 : ( )내의 수는 구성비(%)임</t>
    <phoneticPr fontId="6" type="noConversion"/>
  </si>
  <si>
    <t>10년 이상</t>
    <phoneticPr fontId="6" type="noConversion"/>
  </si>
  <si>
    <t>5년 이상</t>
    <phoneticPr fontId="6" type="noConversion"/>
  </si>
  <si>
    <t>3년 이상</t>
    <phoneticPr fontId="6" type="noConversion"/>
  </si>
  <si>
    <t>1년 이상</t>
    <phoneticPr fontId="6" type="noConversion"/>
  </si>
  <si>
    <t>1년 미만</t>
    <phoneticPr fontId="6" type="noConversion"/>
  </si>
  <si>
    <t>정기형
(실형)</t>
    <phoneticPr fontId="6" type="noConversion"/>
  </si>
  <si>
    <t>부정기형</t>
    <phoneticPr fontId="6" type="noConversion"/>
  </si>
  <si>
    <t>집행유예</t>
    <phoneticPr fontId="6" type="noConversion"/>
  </si>
  <si>
    <t>재산형</t>
    <phoneticPr fontId="6" type="noConversion"/>
  </si>
  <si>
    <t>집행유예
(재산형)</t>
    <phoneticPr fontId="6" type="noConversion"/>
  </si>
  <si>
    <t>선고유예</t>
    <phoneticPr fontId="6" type="noConversion"/>
  </si>
  <si>
    <t>소년부송치</t>
    <phoneticPr fontId="6" type="noConversion"/>
  </si>
  <si>
    <t>죄명</t>
    <phoneticPr fontId="6" type="noConversion"/>
  </si>
  <si>
    <t>장기10년이내</t>
    <phoneticPr fontId="6" type="noConversion"/>
  </si>
  <si>
    <t>처리합계</t>
    <phoneticPr fontId="6" type="noConversion"/>
  </si>
  <si>
    <t>폭력행위등처벌에관한법률</t>
    <phoneticPr fontId="14" type="noConversion"/>
  </si>
  <si>
    <t>성폭력범죄의처벌등에관한특례법</t>
    <phoneticPr fontId="6" type="noConversion"/>
  </si>
  <si>
    <t>교통사고처리특례법</t>
    <phoneticPr fontId="6" type="noConversion"/>
  </si>
  <si>
    <t>기타</t>
    <phoneticPr fontId="6" type="noConversion"/>
  </si>
  <si>
    <t>(4) 간이공판절차</t>
    <phoneticPr fontId="6" type="noConversion"/>
  </si>
  <si>
    <t>합계</t>
    <phoneticPr fontId="6" type="noConversion"/>
  </si>
  <si>
    <t>판결</t>
    <phoneticPr fontId="6" type="noConversion"/>
  </si>
  <si>
    <t>결정</t>
    <phoneticPr fontId="6" type="noConversion"/>
  </si>
  <si>
    <t>형의선고</t>
    <phoneticPr fontId="6" type="noConversion"/>
  </si>
  <si>
    <t>선고
유예</t>
    <phoneticPr fontId="6" type="noConversion"/>
  </si>
  <si>
    <t>무죄</t>
    <phoneticPr fontId="6" type="noConversion"/>
  </si>
  <si>
    <t>관할
위반</t>
    <phoneticPr fontId="6" type="noConversion"/>
  </si>
  <si>
    <t>공소
기각</t>
    <phoneticPr fontId="6" type="noConversion"/>
  </si>
  <si>
    <t>소년부
송치</t>
    <phoneticPr fontId="6" type="noConversion"/>
  </si>
  <si>
    <t>자유형
(실형)</t>
    <phoneticPr fontId="6" type="noConversion"/>
  </si>
  <si>
    <t>집행
유예</t>
    <phoneticPr fontId="6" type="noConversion"/>
  </si>
  <si>
    <t>자격형</t>
    <phoneticPr fontId="6" type="noConversion"/>
  </si>
  <si>
    <t>재산형</t>
    <phoneticPr fontId="6" type="noConversion"/>
  </si>
  <si>
    <t>집행유예
(재산형)</t>
    <phoneticPr fontId="6" type="noConversion"/>
  </si>
  <si>
    <t>구성비(%)</t>
    <phoneticPr fontId="6" type="noConversion"/>
  </si>
  <si>
    <t>(-)</t>
    <phoneticPr fontId="6" type="noConversion"/>
  </si>
  <si>
    <t>법원</t>
    <phoneticPr fontId="6" type="noConversion"/>
  </si>
  <si>
    <t>계</t>
    <phoneticPr fontId="6" type="noConversion"/>
  </si>
  <si>
    <t>서울중앙</t>
    <phoneticPr fontId="6" type="noConversion"/>
  </si>
  <si>
    <t>서울동부</t>
    <phoneticPr fontId="6" type="noConversion"/>
  </si>
  <si>
    <t>서울남부</t>
    <phoneticPr fontId="6" type="noConversion"/>
  </si>
  <si>
    <t>서울북부</t>
    <phoneticPr fontId="6" type="noConversion"/>
  </si>
  <si>
    <t>서울서부</t>
    <phoneticPr fontId="6" type="noConversion"/>
  </si>
  <si>
    <t>의정부</t>
    <phoneticPr fontId="6" type="noConversion"/>
  </si>
  <si>
    <t>인천</t>
    <phoneticPr fontId="6" type="noConversion"/>
  </si>
  <si>
    <t>수원</t>
    <phoneticPr fontId="6" type="noConversion"/>
  </si>
  <si>
    <t>춘천</t>
    <phoneticPr fontId="6" type="noConversion"/>
  </si>
  <si>
    <t>대전</t>
    <phoneticPr fontId="6" type="noConversion"/>
  </si>
  <si>
    <t>청주</t>
    <phoneticPr fontId="6" type="noConversion"/>
  </si>
  <si>
    <t>대구</t>
    <phoneticPr fontId="6" type="noConversion"/>
  </si>
  <si>
    <t>부산</t>
    <phoneticPr fontId="6" type="noConversion"/>
  </si>
  <si>
    <t>울산</t>
    <phoneticPr fontId="6" type="noConversion"/>
  </si>
  <si>
    <t>창원</t>
    <phoneticPr fontId="6" type="noConversion"/>
  </si>
  <si>
    <t>광주</t>
    <phoneticPr fontId="6" type="noConversion"/>
  </si>
  <si>
    <t>전주</t>
    <phoneticPr fontId="6" type="noConversion"/>
  </si>
  <si>
    <t>제주</t>
    <phoneticPr fontId="6" type="noConversion"/>
  </si>
  <si>
    <t>다. 처리상황</t>
    <phoneticPr fontId="6" type="noConversion"/>
  </si>
  <si>
    <t>(1) 처리율</t>
    <phoneticPr fontId="6" type="noConversion"/>
  </si>
  <si>
    <t>구분</t>
    <phoneticPr fontId="6" type="noConversion"/>
  </si>
  <si>
    <t>처리</t>
    <phoneticPr fontId="6" type="noConversion"/>
  </si>
  <si>
    <t>미제</t>
    <phoneticPr fontId="6" type="noConversion"/>
  </si>
  <si>
    <t>처리율(%)</t>
    <phoneticPr fontId="6" type="noConversion"/>
  </si>
  <si>
    <t>군사재판</t>
    <phoneticPr fontId="6" type="noConversion"/>
  </si>
  <si>
    <t>접수
인원수</t>
    <phoneticPr fontId="6" type="noConversion"/>
  </si>
  <si>
    <t>처리인원수</t>
    <phoneticPr fontId="6" type="noConversion"/>
  </si>
  <si>
    <t>연도</t>
    <phoneticPr fontId="6" type="noConversion"/>
  </si>
  <si>
    <t>자유형</t>
    <phoneticPr fontId="6" type="noConversion"/>
  </si>
  <si>
    <t>재산형</t>
    <phoneticPr fontId="6" type="noConversion"/>
  </si>
  <si>
    <t>집행유예
(재산형)</t>
    <phoneticPr fontId="6" type="noConversion"/>
  </si>
  <si>
    <t>선고유예</t>
    <phoneticPr fontId="6" type="noConversion"/>
  </si>
  <si>
    <t>무죄</t>
    <phoneticPr fontId="6" type="noConversion"/>
  </si>
  <si>
    <t>공소기각
판결</t>
    <phoneticPr fontId="6" type="noConversion"/>
  </si>
  <si>
    <t>재심청구
기각결정</t>
    <phoneticPr fontId="6" type="noConversion"/>
  </si>
  <si>
    <t>재심청구
취하</t>
    <phoneticPr fontId="6" type="noConversion"/>
  </si>
  <si>
    <t>기타</t>
    <phoneticPr fontId="6" type="noConversion"/>
  </si>
  <si>
    <t>폭력행위등처벌에관한법률</t>
    <phoneticPr fontId="6" type="noConversion"/>
  </si>
  <si>
    <t>항소심</t>
    <phoneticPr fontId="6" type="noConversion"/>
  </si>
  <si>
    <t>제1심합의</t>
  </si>
  <si>
    <t>제1심단독</t>
  </si>
  <si>
    <t>단순처분</t>
  </si>
  <si>
    <t>병과처분</t>
  </si>
  <si>
    <t>주 : 항소심 합의사건은 고등법원, 단독사건은 지방법원항소부 사건임</t>
    <phoneticPr fontId="6" type="noConversion"/>
  </si>
  <si>
    <t>기간</t>
  </si>
  <si>
    <t>1월
이내</t>
    <phoneticPr fontId="6" type="noConversion"/>
  </si>
  <si>
    <t>2월
이내</t>
    <phoneticPr fontId="6" type="noConversion"/>
  </si>
  <si>
    <t>3월
이내</t>
    <phoneticPr fontId="6" type="noConversion"/>
  </si>
  <si>
    <t>4월
이내</t>
    <phoneticPr fontId="6" type="noConversion"/>
  </si>
  <si>
    <t>5월
이내</t>
    <phoneticPr fontId="6" type="noConversion"/>
  </si>
  <si>
    <t>6월
이내</t>
    <phoneticPr fontId="6" type="noConversion"/>
  </si>
  <si>
    <t>9월
이내</t>
    <phoneticPr fontId="6" type="noConversion"/>
  </si>
  <si>
    <t>1년
이내</t>
    <phoneticPr fontId="6" type="noConversion"/>
  </si>
  <si>
    <t>2년
이내</t>
    <phoneticPr fontId="6" type="noConversion"/>
  </si>
  <si>
    <t>2년
초과</t>
    <phoneticPr fontId="6" type="noConversion"/>
  </si>
  <si>
    <t>제1심 확정</t>
    <phoneticPr fontId="6" type="noConversion"/>
  </si>
  <si>
    <t>항소심 확정</t>
    <phoneticPr fontId="6" type="noConversion"/>
  </si>
  <si>
    <t>상고심 확정</t>
    <phoneticPr fontId="6" type="noConversion"/>
  </si>
  <si>
    <t>1심 합의</t>
    <phoneticPr fontId="6" type="noConversion"/>
  </si>
  <si>
    <t>1심 단독</t>
    <phoneticPr fontId="6" type="noConversion"/>
  </si>
  <si>
    <t>증인이 있는
사건수</t>
    <phoneticPr fontId="6" type="noConversion"/>
  </si>
  <si>
    <t>증인수</t>
    <phoneticPr fontId="6" type="noConversion"/>
  </si>
  <si>
    <t xml:space="preserve">      2. 최종공판기일에 판결선고를 한 사건 피고인수로, 기일결과는</t>
    <phoneticPr fontId="22" type="noConversion"/>
  </si>
  <si>
    <t xml:space="preserve">          '재개, 종결, 판결선고, 변론종결및판결선고, 재개ㆍ종결'인</t>
    <phoneticPr fontId="6" type="noConversion"/>
  </si>
  <si>
    <t xml:space="preserve">          판결선고기일을 포함하며, 병합된 사건을 포함함</t>
    <phoneticPr fontId="6" type="noConversion"/>
  </si>
  <si>
    <t>정지</t>
  </si>
  <si>
    <t>심리중</t>
  </si>
  <si>
    <t>(-)</t>
    <phoneticPr fontId="6" type="noConversion"/>
  </si>
  <si>
    <t>주 : ( )내의 수는 구성비(%)임</t>
    <phoneticPr fontId="6" type="noConversion"/>
  </si>
  <si>
    <t>독립청구</t>
  </si>
  <si>
    <t>기소병행청구</t>
  </si>
  <si>
    <t>벌금</t>
  </si>
  <si>
    <t>구성비(%)</t>
  </si>
  <si>
    <t>즉결심판</t>
  </si>
  <si>
    <t>07</t>
  </si>
  <si>
    <t>08</t>
  </si>
  <si>
    <t>종류</t>
  </si>
  <si>
    <t>처리계</t>
  </si>
  <si>
    <t>석방명령</t>
  </si>
  <si>
    <t>무조건부</t>
  </si>
  <si>
    <t>조건부</t>
  </si>
  <si>
    <t>청구기각</t>
  </si>
  <si>
    <t>대법원</t>
  </si>
  <si>
    <t>인용</t>
  </si>
  <si>
    <t>항고</t>
  </si>
  <si>
    <t>재항고</t>
  </si>
  <si>
    <t>청구기각
판결</t>
    <phoneticPr fontId="6" type="noConversion"/>
  </si>
  <si>
    <t>청구기각
결정</t>
    <phoneticPr fontId="6" type="noConversion"/>
  </si>
  <si>
    <t>생명형</t>
  </si>
  <si>
    <t>자유형(실형)</t>
  </si>
  <si>
    <t>자격형</t>
  </si>
  <si>
    <t>재산형</t>
  </si>
  <si>
    <t>선고유예</t>
  </si>
  <si>
    <t>공소기각</t>
  </si>
  <si>
    <t>환송</t>
  </si>
  <si>
    <t>이송</t>
  </si>
  <si>
    <t>변론경유</t>
  </si>
  <si>
    <t>변론불경유</t>
  </si>
  <si>
    <t>소년부송치</t>
  </si>
  <si>
    <t>항소취하</t>
  </si>
  <si>
    <t>판결계</t>
  </si>
  <si>
    <t>관할위반</t>
  </si>
  <si>
    <t>결정계</t>
  </si>
  <si>
    <t>상고기각</t>
  </si>
  <si>
    <t>상고취하</t>
  </si>
  <si>
    <t>집행유예</t>
    <phoneticPr fontId="55" type="noConversion"/>
  </si>
  <si>
    <t>합계</t>
    <phoneticPr fontId="55" type="noConversion"/>
  </si>
  <si>
    <t>간이공판</t>
    <phoneticPr fontId="6" type="noConversion"/>
  </si>
  <si>
    <t>절도</t>
  </si>
  <si>
    <t>강도</t>
  </si>
  <si>
    <t>사기</t>
  </si>
  <si>
    <t>상해</t>
  </si>
  <si>
    <t>도표 30</t>
    <phoneticPr fontId="6" type="noConversion"/>
  </si>
  <si>
    <t>군사재판</t>
    <phoneticPr fontId="6" type="noConversion"/>
  </si>
  <si>
    <t>금년접수</t>
    <phoneticPr fontId="6" type="noConversion"/>
  </si>
  <si>
    <t>발부</t>
  </si>
  <si>
    <t>19</t>
  </si>
  <si>
    <t>2018년</t>
  </si>
  <si>
    <t>2019년</t>
  </si>
  <si>
    <t>형사사건</t>
    <phoneticPr fontId="6" type="noConversion"/>
  </si>
  <si>
    <t>사건</t>
    <phoneticPr fontId="6" type="noConversion"/>
  </si>
  <si>
    <t>영장</t>
    <phoneticPr fontId="6" type="noConversion"/>
  </si>
  <si>
    <t>전체사건</t>
    <phoneticPr fontId="6" type="noConversion"/>
  </si>
  <si>
    <t>체포ㆍ구속적부심사 청구인별 처리상황</t>
    <phoneticPr fontId="6" type="noConversion"/>
  </si>
  <si>
    <t>배상명령액</t>
    <phoneticPr fontId="6" type="noConversion"/>
  </si>
  <si>
    <t>형사(재)항고사건의 추이 - 접수(도표 39)</t>
    <phoneticPr fontId="6" type="noConversion"/>
  </si>
  <si>
    <t>항고재항고</t>
    <phoneticPr fontId="6" type="noConversion"/>
  </si>
  <si>
    <t>형사(재)항고사건 처리상황 (표 126)</t>
    <phoneticPr fontId="6" type="noConversion"/>
  </si>
  <si>
    <t>약식</t>
    <phoneticPr fontId="6" type="noConversion"/>
  </si>
  <si>
    <t>사건별</t>
    <phoneticPr fontId="6" type="noConversion"/>
  </si>
  <si>
    <t>본안외사건</t>
    <phoneticPr fontId="6" type="noConversion"/>
  </si>
  <si>
    <t>공판</t>
    <phoneticPr fontId="6" type="noConversion"/>
  </si>
  <si>
    <t>상고심</t>
    <phoneticPr fontId="6" type="noConversion"/>
  </si>
  <si>
    <t>합의</t>
    <phoneticPr fontId="6" type="noConversion"/>
  </si>
  <si>
    <t>단독</t>
    <phoneticPr fontId="6" type="noConversion"/>
  </si>
  <si>
    <t>고등법원</t>
    <phoneticPr fontId="6" type="noConversion"/>
  </si>
  <si>
    <t>군사재판</t>
    <phoneticPr fontId="6" type="noConversion"/>
  </si>
  <si>
    <t>지방법원</t>
    <phoneticPr fontId="6" type="noConversion"/>
  </si>
  <si>
    <t>항소심</t>
    <phoneticPr fontId="6" type="noConversion"/>
  </si>
  <si>
    <t>대법원</t>
    <phoneticPr fontId="6" type="noConversion"/>
  </si>
  <si>
    <t>제1심</t>
    <phoneticPr fontId="6" type="noConversion"/>
  </si>
  <si>
    <t>치료감호</t>
    <phoneticPr fontId="6" type="noConversion"/>
  </si>
  <si>
    <t>신청</t>
    <phoneticPr fontId="6" type="noConversion"/>
  </si>
  <si>
    <t>약식(전자약식포함)</t>
    <phoneticPr fontId="6" type="noConversion"/>
  </si>
  <si>
    <t>신청등</t>
    <phoneticPr fontId="6" type="noConversion"/>
  </si>
  <si>
    <t>주 : 1. 영장란은 구속영장, 체포영장, 감호영장, 압수수색검증영장, 감정유치장, 통신제한조치허가서, 통신사실확인자료제공요청 등의 합산이며,</t>
    <phoneticPr fontId="6" type="noConversion"/>
  </si>
  <si>
    <t>형사사건 사건별 추이 - 접수 (도표 26)</t>
    <phoneticPr fontId="6" type="noConversion"/>
  </si>
  <si>
    <t>도표 26</t>
    <phoneticPr fontId="6" type="noConversion"/>
  </si>
  <si>
    <t>영장</t>
    <phoneticPr fontId="6" type="noConversion"/>
  </si>
  <si>
    <t>즉결</t>
    <phoneticPr fontId="6" type="noConversion"/>
  </si>
  <si>
    <t>약식</t>
    <phoneticPr fontId="6" type="noConversion"/>
  </si>
  <si>
    <t>계</t>
    <phoneticPr fontId="6" type="noConversion"/>
  </si>
  <si>
    <t>구분</t>
    <phoneticPr fontId="6" type="noConversion"/>
  </si>
  <si>
    <t>연도</t>
    <phoneticPr fontId="6" type="noConversion"/>
  </si>
  <si>
    <t>인원수</t>
    <phoneticPr fontId="6" type="noConversion"/>
  </si>
  <si>
    <t>지수</t>
    <phoneticPr fontId="6" type="noConversion"/>
  </si>
  <si>
    <t>합계</t>
    <phoneticPr fontId="6" type="noConversion"/>
  </si>
  <si>
    <t>서울
중앙</t>
    <phoneticPr fontId="6" type="noConversion"/>
  </si>
  <si>
    <t>서울
동부</t>
    <phoneticPr fontId="6" type="noConversion"/>
  </si>
  <si>
    <t>서울
남부</t>
    <phoneticPr fontId="6" type="noConversion"/>
  </si>
  <si>
    <t>서울
북부</t>
    <phoneticPr fontId="6" type="noConversion"/>
  </si>
  <si>
    <t>서울
서부</t>
    <phoneticPr fontId="6" type="noConversion"/>
  </si>
  <si>
    <t>의정부</t>
    <phoneticPr fontId="6" type="noConversion"/>
  </si>
  <si>
    <t>인천</t>
    <phoneticPr fontId="6" type="noConversion"/>
  </si>
  <si>
    <t>수원</t>
    <phoneticPr fontId="6" type="noConversion"/>
  </si>
  <si>
    <t>춘천</t>
    <phoneticPr fontId="6" type="noConversion"/>
  </si>
  <si>
    <t>대전</t>
    <phoneticPr fontId="6" type="noConversion"/>
  </si>
  <si>
    <t>청주</t>
    <phoneticPr fontId="6" type="noConversion"/>
  </si>
  <si>
    <t>대구</t>
    <phoneticPr fontId="6" type="noConversion"/>
  </si>
  <si>
    <t>부산</t>
    <phoneticPr fontId="6" type="noConversion"/>
  </si>
  <si>
    <t>울산</t>
    <phoneticPr fontId="6" type="noConversion"/>
  </si>
  <si>
    <t>창원</t>
    <phoneticPr fontId="6" type="noConversion"/>
  </si>
  <si>
    <t>광주</t>
    <phoneticPr fontId="6" type="noConversion"/>
  </si>
  <si>
    <t>전주</t>
    <phoneticPr fontId="6" type="noConversion"/>
  </si>
  <si>
    <t>제주</t>
    <phoneticPr fontId="6" type="noConversion"/>
  </si>
  <si>
    <t>구분</t>
    <phoneticPr fontId="6" type="noConversion"/>
  </si>
  <si>
    <t>금년접수계</t>
    <phoneticPr fontId="6" type="noConversion"/>
  </si>
  <si>
    <t>기소병행청구</t>
    <phoneticPr fontId="6" type="noConversion"/>
  </si>
  <si>
    <t>처리</t>
    <phoneticPr fontId="6" type="noConversion"/>
  </si>
  <si>
    <t>다. 처리상황</t>
    <phoneticPr fontId="6" type="noConversion"/>
  </si>
  <si>
    <t>(1) 처리율</t>
    <phoneticPr fontId="6" type="noConversion"/>
  </si>
  <si>
    <t>(2) 재판결과</t>
    <phoneticPr fontId="6" type="noConversion"/>
  </si>
  <si>
    <t>금년접수</t>
    <phoneticPr fontId="6" type="noConversion"/>
  </si>
  <si>
    <t>미제</t>
    <phoneticPr fontId="6" type="noConversion"/>
  </si>
  <si>
    <t>처리율(%)</t>
    <phoneticPr fontId="6" type="noConversion"/>
  </si>
  <si>
    <t>심급</t>
    <phoneticPr fontId="6" type="noConversion"/>
  </si>
  <si>
    <t>제1심계</t>
    <phoneticPr fontId="6" type="noConversion"/>
  </si>
  <si>
    <t>독립청구</t>
    <phoneticPr fontId="6" type="noConversion"/>
  </si>
  <si>
    <t>항소심</t>
    <phoneticPr fontId="6" type="noConversion"/>
  </si>
  <si>
    <t>상고심</t>
    <phoneticPr fontId="6" type="noConversion"/>
  </si>
  <si>
    <t>공판절차
이행</t>
    <phoneticPr fontId="6" type="noConversion"/>
  </si>
  <si>
    <t>주 : (   )내의 수는 구성비(%)임(이하 같음)</t>
    <phoneticPr fontId="6" type="noConversion"/>
  </si>
  <si>
    <t>상소심</t>
    <phoneticPr fontId="6" type="noConversion"/>
  </si>
  <si>
    <t>계</t>
    <phoneticPr fontId="6" type="noConversion"/>
  </si>
  <si>
    <t>자판</t>
    <phoneticPr fontId="6" type="noConversion"/>
  </si>
  <si>
    <t>(-)</t>
    <phoneticPr fontId="6" type="noConversion"/>
  </si>
  <si>
    <t>(3) 상소율</t>
    <phoneticPr fontId="6" type="noConversion"/>
  </si>
  <si>
    <t>상소율(%)</t>
    <phoneticPr fontId="6" type="noConversion"/>
  </si>
  <si>
    <t>법원</t>
    <phoneticPr fontId="6" type="noConversion"/>
  </si>
  <si>
    <t>면소ㆍ
공소기각</t>
    <phoneticPr fontId="6" type="noConversion"/>
  </si>
  <si>
    <t>정식재판
청구</t>
    <phoneticPr fontId="6" type="noConversion"/>
  </si>
  <si>
    <t>벌금</t>
    <phoneticPr fontId="6" type="noConversion"/>
  </si>
  <si>
    <t>구류</t>
    <phoneticPr fontId="6" type="noConversion"/>
  </si>
  <si>
    <t>발부율(%)</t>
    <phoneticPr fontId="6" type="noConversion"/>
  </si>
  <si>
    <t>직권발부</t>
    <phoneticPr fontId="6" type="noConversion"/>
  </si>
  <si>
    <t>종류</t>
    <phoneticPr fontId="6" type="noConversion"/>
  </si>
  <si>
    <t>기각</t>
    <phoneticPr fontId="55" type="noConversion"/>
  </si>
  <si>
    <t>압수수색검증영장</t>
    <phoneticPr fontId="6" type="noConversion"/>
  </si>
  <si>
    <t>통신제한조치허가서</t>
    <phoneticPr fontId="6" type="noConversion"/>
  </si>
  <si>
    <t>통신사실확인자료제공요청</t>
    <phoneticPr fontId="6" type="noConversion"/>
  </si>
  <si>
    <t>디엔에이감식시료채취영장</t>
    <phoneticPr fontId="6" type="noConversion"/>
  </si>
  <si>
    <t>구인장</t>
    <phoneticPr fontId="6" type="noConversion"/>
  </si>
  <si>
    <t>유치허가장</t>
    <phoneticPr fontId="6" type="noConversion"/>
  </si>
  <si>
    <t>주 : 1. 발부율은 수사를 위한 청구인원 대 발부인원의 비율임</t>
    <phoneticPr fontId="6" type="noConversion"/>
  </si>
  <si>
    <t>11</t>
    <phoneticPr fontId="6" type="noConversion"/>
  </si>
  <si>
    <t>재항고</t>
    <phoneticPr fontId="6" type="noConversion"/>
  </si>
  <si>
    <t>나. 형사신청사건의 처리상황</t>
    <phoneticPr fontId="6" type="noConversion"/>
  </si>
  <si>
    <t>제척ㆍ기피ㆍ회피</t>
    <phoneticPr fontId="6" type="noConversion"/>
  </si>
  <si>
    <t>압수물환부ㆍ가환부</t>
    <phoneticPr fontId="6" type="noConversion"/>
  </si>
  <si>
    <t>정식재판청구권회복</t>
    <phoneticPr fontId="6" type="noConversion"/>
  </si>
  <si>
    <t>사회봉사허가청구</t>
    <phoneticPr fontId="6" type="noConversion"/>
  </si>
  <si>
    <t xml:space="preserve">      2. "보석"란에는 편의상 직권보석 건수도 접수건수로 계산하였음</t>
    <phoneticPr fontId="6" type="noConversion"/>
  </si>
  <si>
    <t>변호인</t>
    <phoneticPr fontId="6" type="noConversion"/>
  </si>
  <si>
    <t>주 : (  )내의 수는 구성비(%)임</t>
    <phoneticPr fontId="6" type="noConversion"/>
  </si>
  <si>
    <t>보석청구사건 처리상황</t>
    <phoneticPr fontId="6" type="noConversion"/>
  </si>
  <si>
    <t xml:space="preserve">보석결정
평균처리
기간(일)
</t>
    <phoneticPr fontId="6" type="noConversion"/>
  </si>
  <si>
    <t>직권보석</t>
    <phoneticPr fontId="6" type="noConversion"/>
  </si>
  <si>
    <t>허가율(%)</t>
    <phoneticPr fontId="6" type="noConversion"/>
  </si>
  <si>
    <t>주 : 1. 허가율 = 허가/처리×100</t>
    <phoneticPr fontId="6" type="noConversion"/>
  </si>
  <si>
    <t>석방률(%)</t>
    <phoneticPr fontId="6" type="noConversion"/>
  </si>
  <si>
    <t>주 : 청구건수는 금년 접수건수임</t>
    <phoneticPr fontId="6" type="noConversion"/>
  </si>
  <si>
    <t>비변호인</t>
    <phoneticPr fontId="6" type="noConversion"/>
  </si>
  <si>
    <t>「소송촉진 등에 관한 특례법」에 의한 배상명령신청에 대한 처리내용 및 배상명령금액을 연도별로 비교한 내역은 표 125와 같다.</t>
    <phoneticPr fontId="6" type="noConversion"/>
  </si>
  <si>
    <t>접수</t>
    <phoneticPr fontId="6" type="noConversion"/>
  </si>
  <si>
    <t>합계</t>
    <phoneticPr fontId="6" type="noConversion"/>
  </si>
  <si>
    <t>인용</t>
    <phoneticPr fontId="6" type="noConversion"/>
  </si>
  <si>
    <t>지방법원</t>
    <phoneticPr fontId="6" type="noConversion"/>
  </si>
  <si>
    <t>전체소송</t>
    <phoneticPr fontId="6" type="noConversion"/>
  </si>
  <si>
    <t>도표 39</t>
    <phoneticPr fontId="6" type="noConversion"/>
  </si>
  <si>
    <t>재항고</t>
    <phoneticPr fontId="6" type="noConversion"/>
  </si>
  <si>
    <t>재항고</t>
    <phoneticPr fontId="55" type="noConversion"/>
  </si>
  <si>
    <t>2월
이내</t>
    <phoneticPr fontId="6" type="noConversion"/>
  </si>
  <si>
    <t>6월
이내</t>
    <phoneticPr fontId="6" type="noConversion"/>
  </si>
  <si>
    <t>(3) 19세 미만자 재판결과</t>
    <phoneticPr fontId="6" type="noConversion"/>
  </si>
  <si>
    <t>확정심급</t>
    <phoneticPr fontId="6" type="noConversion"/>
  </si>
  <si>
    <t>주 : 처리율(%) = 처리/금년접수×100</t>
    <phoneticPr fontId="6" type="noConversion"/>
  </si>
  <si>
    <t>주 : 상고심 1심 합의에는 군사재판사건이 포함됨</t>
    <phoneticPr fontId="22" type="noConversion"/>
  </si>
  <si>
    <t xml:space="preserve">      2. 상고심에서 파기환송되어 항소심에서 접수 진행된 경우, 상고심 확정사건으로 봄</t>
    <phoneticPr fontId="22" type="noConversion"/>
  </si>
  <si>
    <t xml:space="preserve">      3. 제1심 접수 피고인 중 병합심리결정, 소년부송치, 이송, 재정합의결정, 재배당 등으로 확정일자가 없는 사건은 심급별 사건수에서 제외됨</t>
    <phoneticPr fontId="22" type="noConversion"/>
  </si>
  <si>
    <t>주 : ( )내의 수는 구성비(%)임</t>
    <phoneticPr fontId="6" type="noConversion"/>
  </si>
  <si>
    <t>처리</t>
    <phoneticPr fontId="6" type="noConversion"/>
  </si>
  <si>
    <t>보호관찰∙
사회봉사명령</t>
    <phoneticPr fontId="55" type="noConversion"/>
  </si>
  <si>
    <t>보호관찰∙
수강명령</t>
    <phoneticPr fontId="55" type="noConversion"/>
  </si>
  <si>
    <t>보호관찰∙
치료명령</t>
    <phoneticPr fontId="55" type="noConversion"/>
  </si>
  <si>
    <t>사회봉사명령∙
수강명령</t>
    <phoneticPr fontId="55" type="noConversion"/>
  </si>
  <si>
    <t>보호관찰∙
사회봉사명령∙
수강명령</t>
    <phoneticPr fontId="55" type="noConversion"/>
  </si>
  <si>
    <t>보호관찰∙
사회봉사명령∙
치료명령</t>
    <phoneticPr fontId="55" type="noConversion"/>
  </si>
  <si>
    <t>보호관찰∙
수강명령∙
치료명령</t>
    <phoneticPr fontId="55" type="noConversion"/>
  </si>
  <si>
    <t>보호관찰∙
사회봉사명령∙
수강명령∙
치료명령</t>
    <phoneticPr fontId="55" type="noConversion"/>
  </si>
  <si>
    <t>판결인원수</t>
    <phoneticPr fontId="6" type="noConversion"/>
  </si>
  <si>
    <t>항소인원수</t>
    <phoneticPr fontId="6" type="noConversion"/>
  </si>
  <si>
    <t xml:space="preserve">      2. "집행유예"에는 집행유예(재산형)이 포함됨</t>
    <phoneticPr fontId="55" type="noConversion"/>
  </si>
  <si>
    <t>주 : 1. "단순처분"은 집행유예 선고와 동시에 보호관찰, 사회봉사, 수강명령 중 어느 하나를 선고한 경우(형법 제62조의 2)로, "병과처분"은 단순처분, 치료명령(치료감호 등에 관한 법률 제44조의 2)이 병과된 경우임</t>
    <phoneticPr fontId="6" type="noConversion"/>
  </si>
  <si>
    <t>20</t>
  </si>
  <si>
    <t>2020년</t>
  </si>
  <si>
    <t>주 : 1. "금년접수"란 ( )내의 수는 구성비(%)임</t>
    <phoneticPr fontId="6" type="noConversion"/>
  </si>
  <si>
    <t xml:space="preserve">      2. 직권보석은 금년접수, 처리계란에 포함되지 않음</t>
    <phoneticPr fontId="6" type="noConversion"/>
  </si>
  <si>
    <t>직권에 의하여 발부된 영장건수도 편의상 접수건수로 포함하였으며, 부착명령, 보호관찰명령, 치료명령사건은 신청 등에 포함함</t>
    <phoneticPr fontId="6" type="noConversion"/>
  </si>
  <si>
    <t>주 : 인용률 = (인용/처리)×100</t>
    <phoneticPr fontId="6" type="noConversion"/>
  </si>
  <si>
    <t>다. 형사항고ㆍ재항고사건</t>
  </si>
  <si>
    <t>(-)</t>
    <phoneticPr fontId="6" type="noConversion"/>
  </si>
  <si>
    <t xml:space="preserve">      2. "법정기간"은 「소송촉진등에 관한 특례법」 제21조의 판결선고기간으로 제1심은 6월, 항소심ㆍ상고심은 각 4월임</t>
    <phoneticPr fontId="6" type="noConversion"/>
  </si>
  <si>
    <t>주 : 치료감호, 부착명령 (재)항고사건이 포함되어 있음</t>
    <phoneticPr fontId="6" type="noConversion"/>
  </si>
  <si>
    <t>신용,업무와경매에관한죄</t>
    <phoneticPr fontId="6" type="noConversion"/>
  </si>
  <si>
    <t>21</t>
    <phoneticPr fontId="6" type="noConversion"/>
  </si>
  <si>
    <t>21</t>
    <phoneticPr fontId="6" type="noConversion"/>
  </si>
  <si>
    <t>2021년도에 접수된 형사항고ㆍ재항고사건은 모두 9,443건으로 전체 형사사건의 0.84%를 차지하고 있다. 최근 10년간의 추세는 도표 39와 같으며 형사(재)항고 사건의 접수ㆍ처리상황은 표 126과 같다.</t>
    <phoneticPr fontId="6" type="noConversion"/>
  </si>
  <si>
    <t>준항고</t>
    <phoneticPr fontId="55" type="noConversion"/>
  </si>
  <si>
    <t>평균공판기일횟수</t>
    <phoneticPr fontId="6" type="noConversion"/>
  </si>
  <si>
    <t>주 : 종국된 사건 중 기일이 있는 사건 기준임</t>
    <phoneticPr fontId="6" type="noConversion"/>
  </si>
  <si>
    <t>(단위: 회)</t>
    <phoneticPr fontId="6" type="noConversion"/>
  </si>
  <si>
    <t>형사공판 외국인 사건 추이 - 접수 (도표 27)</t>
    <phoneticPr fontId="6" type="noConversion"/>
  </si>
  <si>
    <t>전체</t>
    <phoneticPr fontId="6" type="noConversion"/>
  </si>
  <si>
    <t>변호사 선임</t>
    <phoneticPr fontId="6" type="noConversion"/>
  </si>
  <si>
    <t>Sheet명</t>
    <phoneticPr fontId="6" type="noConversion"/>
  </si>
  <si>
    <t>변경내용</t>
    <phoneticPr fontId="6" type="noConversion"/>
  </si>
  <si>
    <t>표(도표) 제목</t>
    <phoneticPr fontId="6" type="noConversion"/>
  </si>
  <si>
    <t>형사공판 외국인 사건 추이 - 접수</t>
    <phoneticPr fontId="6" type="noConversion"/>
  </si>
  <si>
    <t>도표 추가</t>
    <phoneticPr fontId="6" type="noConversion"/>
  </si>
  <si>
    <t>표 추가</t>
    <phoneticPr fontId="6" type="noConversion"/>
  </si>
  <si>
    <t>형사공판사건 평균 공판기일 횟수</t>
    <phoneticPr fontId="6" type="noConversion"/>
  </si>
  <si>
    <t>제1심 형사공판사건 변호사 선임 평균처리기간</t>
    <phoneticPr fontId="6" type="noConversion"/>
  </si>
  <si>
    <t>제1심</t>
    <phoneticPr fontId="6" type="noConversion"/>
  </si>
  <si>
    <t>배상명령액(원)</t>
    <phoneticPr fontId="6" type="noConversion"/>
  </si>
  <si>
    <t>다. 형사항고ㆍ준항고ㆍ재항고사건</t>
    <phoneticPr fontId="55" type="noConversion"/>
  </si>
  <si>
    <t>금년접수</t>
    <phoneticPr fontId="55" type="noConversion"/>
  </si>
  <si>
    <t>처리</t>
    <phoneticPr fontId="55" type="noConversion"/>
  </si>
  <si>
    <t>결정</t>
    <phoneticPr fontId="55" type="noConversion"/>
  </si>
  <si>
    <t>인용</t>
    <phoneticPr fontId="55" type="noConversion"/>
  </si>
  <si>
    <t>항고</t>
    <phoneticPr fontId="55" type="noConversion"/>
  </si>
  <si>
    <t>형사(준ㆍ재)항고사건 처리상황</t>
    <phoneticPr fontId="6" type="noConversion"/>
  </si>
  <si>
    <t>상고인원수</t>
    <phoneticPr fontId="6" type="noConversion"/>
  </si>
  <si>
    <t>즉결심판</t>
    <phoneticPr fontId="6" type="noConversion"/>
  </si>
  <si>
    <t>형의
면제
ㆍ면소</t>
    <phoneticPr fontId="6" type="noConversion"/>
  </si>
  <si>
    <t>즉일선고 인원수</t>
    <phoneticPr fontId="6" type="noConversion"/>
  </si>
  <si>
    <t>상소인원수</t>
    <phoneticPr fontId="6" type="noConversion"/>
  </si>
  <si>
    <t>청구
기각</t>
    <phoneticPr fontId="6" type="noConversion"/>
  </si>
  <si>
    <t>형사공판 제1심 사건 추이 - 접수 (도표 28)</t>
    <phoneticPr fontId="6" type="noConversion"/>
  </si>
  <si>
    <t>형사공판 항소심 사건 추이 - 접수 (도표 29)</t>
    <phoneticPr fontId="6" type="noConversion"/>
  </si>
  <si>
    <t>형사공판 상고심 사건 추이 - 접수 (도표 30)</t>
    <phoneticPr fontId="6" type="noConversion"/>
  </si>
  <si>
    <t>상소심 파기(취소)ㆍ기각 비교 (도표 31)</t>
    <phoneticPr fontId="6" type="noConversion"/>
  </si>
  <si>
    <t>간이공판절차에 의한 처리사건 추이(도표 32)</t>
    <phoneticPr fontId="6" type="noConversion"/>
  </si>
  <si>
    <t xml:space="preserve">최근 10년간 상소율의 추이를 보면 도표 33, 34와 같다. </t>
    <phoneticPr fontId="6" type="noConversion"/>
  </si>
  <si>
    <t>형사공판사건의 항소율 추이 (도표 33)</t>
    <phoneticPr fontId="6" type="noConversion"/>
  </si>
  <si>
    <t>형사공판사건의 상고율 추이 (도표 34)</t>
    <phoneticPr fontId="6" type="noConversion"/>
  </si>
  <si>
    <t>형사공판사건 제1심 처리기간 (도표 35)</t>
    <phoneticPr fontId="22" type="noConversion"/>
  </si>
  <si>
    <t>형사공판사건 상소심 처리기간 (도표 36)</t>
    <phoneticPr fontId="22" type="noConversion"/>
  </si>
  <si>
    <t>도표 35, 36</t>
    <phoneticPr fontId="6" type="noConversion"/>
  </si>
  <si>
    <t>구속영장 발부율의 추이 - 전심급(도표 37)</t>
    <phoneticPr fontId="6" type="noConversion"/>
  </si>
  <si>
    <t>지방법원 형사신청사건의 추이 - 접수(도표 38)</t>
    <phoneticPr fontId="6" type="noConversion"/>
  </si>
  <si>
    <t>체포ㆍ구속적부심사 석방률 추이(도표 39)</t>
    <phoneticPr fontId="6" type="noConversion"/>
  </si>
  <si>
    <t>형사(재)항고사건의 추이 - 접수(도표 40)</t>
    <phoneticPr fontId="6" type="noConversion"/>
  </si>
  <si>
    <t>제7항 형사</t>
    <phoneticPr fontId="6" type="noConversion"/>
  </si>
  <si>
    <t>집행유예(재산형)</t>
    <phoneticPr fontId="55" type="noConversion"/>
  </si>
  <si>
    <t>4. 치료감호사건</t>
    <phoneticPr fontId="6" type="noConversion"/>
  </si>
  <si>
    <t>5. 약식명령사건</t>
    <phoneticPr fontId="6" type="noConversion"/>
  </si>
  <si>
    <t>6. 즉결심판사건</t>
    <phoneticPr fontId="6" type="noConversion"/>
  </si>
  <si>
    <t>7. 영장사건</t>
    <phoneticPr fontId="6" type="noConversion"/>
  </si>
  <si>
    <t>3. 국민참여재판사건</t>
    <phoneticPr fontId="6" type="noConversion"/>
  </si>
  <si>
    <t>2012년 하반기 국민참여재판 대상사건이 모든 합의사건으로 확대되면서 국민참여재판 접수건수 및 재판건수가 증가하였다.</t>
    <phoneticPr fontId="6" type="noConversion"/>
  </si>
  <si>
    <t>형사공판사건 미제 기간별 인원수(표 124)</t>
    <phoneticPr fontId="6" type="noConversion"/>
  </si>
  <si>
    <t>간이공판절차에 의한 형사사건 처리기간별 인원수(표 123)</t>
    <phoneticPr fontId="6" type="noConversion"/>
  </si>
  <si>
    <t>형사사건 접수ㆍ처리 총괄(표 98)</t>
    <phoneticPr fontId="6" type="noConversion"/>
  </si>
  <si>
    <t>형사사건 연도별 비교 - 접수(표 99)</t>
    <phoneticPr fontId="6" type="noConversion"/>
  </si>
  <si>
    <t>형사사건에 대한 최근 10년간의 증감추세를 보면 도표 26 및 표 99와 같다.</t>
    <phoneticPr fontId="6" type="noConversion"/>
  </si>
  <si>
    <t>형사공판사건(인원수) 중 구속사건 비율 - 접수(표 100)</t>
    <phoneticPr fontId="6" type="noConversion"/>
  </si>
  <si>
    <t>형사공판사건의 법원별 접수내역은 표 103과 같다.</t>
    <phoneticPr fontId="6" type="noConversion"/>
  </si>
  <si>
    <t>형사공판사건 피고인 성별 비교 - 접수(표 101)</t>
    <phoneticPr fontId="6" type="noConversion"/>
  </si>
  <si>
    <t>형사공판사건 중요죄명별 - 접수(표 102)</t>
    <phoneticPr fontId="6" type="noConversion"/>
  </si>
  <si>
    <t>형사공판사건 법원별 - 접수(표 103)</t>
    <phoneticPr fontId="6" type="noConversion"/>
  </si>
  <si>
    <t>형사공판사건 접수ㆍ처리ㆍ미제 상황 (표 104)</t>
    <phoneticPr fontId="6" type="noConversion"/>
  </si>
  <si>
    <t>형사공판 재심사건의 제1심 접수 및 처리현황은 표 105와 같다.</t>
    <phoneticPr fontId="6" type="noConversion"/>
  </si>
  <si>
    <t>제1심 형사공판사건 재심 접수ㆍ처리건수(표 105)</t>
    <phoneticPr fontId="6" type="noConversion"/>
  </si>
  <si>
    <t>형사공판사건 처리결과(표 106)</t>
    <phoneticPr fontId="6" type="noConversion"/>
  </si>
  <si>
    <t>집행유예선고시 보호관찰등 처분현황(표 107)</t>
    <phoneticPr fontId="6" type="noConversion"/>
  </si>
  <si>
    <t>자유형(징역 또는 금고) 형기별 인원(표 108)</t>
    <phoneticPr fontId="6" type="noConversion"/>
  </si>
  <si>
    <t>제1심 형사공판사건 중 19세 미만자의 재판결과(표 109)</t>
    <phoneticPr fontId="6" type="noConversion"/>
  </si>
  <si>
    <t>간이공판절차에 의한 처리내역(표 110)</t>
    <phoneticPr fontId="6" type="noConversion"/>
  </si>
  <si>
    <t>형사공판사건 상소율(표 111)</t>
    <phoneticPr fontId="6" type="noConversion"/>
  </si>
  <si>
    <t>국선변호인 선정 사건수 및 피고인수(표 112)</t>
    <phoneticPr fontId="6" type="noConversion"/>
  </si>
  <si>
    <t>형사공판사건 처리기간별 인원수(표 113)</t>
    <phoneticPr fontId="6" type="noConversion"/>
  </si>
  <si>
    <t>형사공판사건의 평균처리기간 (표 114)</t>
    <phoneticPr fontId="6" type="noConversion"/>
  </si>
  <si>
    <t>형사공판사건의 확정시까지의 평균처리기간 (표 115)</t>
    <phoneticPr fontId="22" type="noConversion"/>
  </si>
  <si>
    <t>형사공판사건 평균 공판기일 횟수(표 116)</t>
    <phoneticPr fontId="6" type="noConversion"/>
  </si>
  <si>
    <t>제1심 형사공판사건 변호사 선임 평균처리기간(표 117)</t>
    <phoneticPr fontId="6" type="noConversion"/>
  </si>
  <si>
    <t>형사공판사건 변호사 선임 피고인수(표 118)</t>
    <phoneticPr fontId="6" type="noConversion"/>
  </si>
  <si>
    <t>제1심 형사공판사건 증인수(표 119)</t>
    <phoneticPr fontId="22" type="noConversion"/>
  </si>
  <si>
    <t>제1심 형사공판사건 궐석재판 피고인수 (표 120)</t>
    <phoneticPr fontId="22" type="noConversion"/>
  </si>
  <si>
    <t>제1심 형사공판사건 즉일선고 피고인수 (표 121)</t>
    <phoneticPr fontId="22" type="noConversion"/>
  </si>
  <si>
    <t>형사공판사건 법정구속 피고인수 (표 122)</t>
    <phoneticPr fontId="22" type="noConversion"/>
  </si>
  <si>
    <t>제1심 치료감호사건 법원별 처리상황(표 128)</t>
    <phoneticPr fontId="6" type="noConversion"/>
  </si>
  <si>
    <t>치료감호사건 처리 내역(표 130)</t>
    <phoneticPr fontId="6" type="noConversion"/>
  </si>
  <si>
    <t>치료감호사건 상소율(표 131)</t>
    <phoneticPr fontId="6" type="noConversion"/>
  </si>
  <si>
    <t>약식명령사건 처리상황(표 132)</t>
    <phoneticPr fontId="6" type="noConversion"/>
  </si>
  <si>
    <t>약식명령사건 법원별 처리상황(표 133)</t>
    <phoneticPr fontId="6" type="noConversion"/>
  </si>
  <si>
    <t>정식재판청구사건 처리상황(표 134)</t>
    <phoneticPr fontId="6" type="noConversion"/>
  </si>
  <si>
    <t>즉결심판사건 법원별 접수인원(표 135)</t>
    <phoneticPr fontId="6" type="noConversion"/>
  </si>
  <si>
    <t>즉결심판사건 처리내용(표 136)</t>
    <phoneticPr fontId="6" type="noConversion"/>
  </si>
  <si>
    <t>영장사건 처리상황 - 전심급(표 137)</t>
    <phoneticPr fontId="6" type="noConversion"/>
  </si>
  <si>
    <t>형사신청사건 종류별 처리상황(표 138)</t>
    <phoneticPr fontId="6" type="noConversion"/>
  </si>
  <si>
    <t>체포ㆍ구속적부심사 청구사건 청구인별 및 보석 청구사건 처리상황(표 139)</t>
    <phoneticPr fontId="6" type="noConversion"/>
  </si>
  <si>
    <t>체포ㆍ구속적부심사 청구사건 석방률 비교(표 140)</t>
    <phoneticPr fontId="6" type="noConversion"/>
  </si>
  <si>
    <t>「소송촉진 등에 관한 특례법」에 의한 배상명령신청에 대한 처리내용 및 배상명령금액을 연도별로 비교한 내역은 표 141과 같다.</t>
    <phoneticPr fontId="6" type="noConversion"/>
  </si>
  <si>
    <t>배상명령사건 연도별비교-전심급 (표 141)</t>
    <phoneticPr fontId="6" type="noConversion"/>
  </si>
  <si>
    <t>형사(재)항고사건 접수ㆍ처리상황 (표 142)</t>
    <phoneticPr fontId="6" type="noConversion"/>
  </si>
  <si>
    <t>형사(준ㆍ재)항고사건 처리상황 (표 143)</t>
    <phoneticPr fontId="6" type="noConversion"/>
  </si>
  <si>
    <t>합 계</t>
  </si>
  <si>
    <t>건 수</t>
    <phoneticPr fontId="6" type="noConversion"/>
  </si>
  <si>
    <t>비 율</t>
    <phoneticPr fontId="6" type="noConversion"/>
  </si>
  <si>
    <t>국민참여재판</t>
    <phoneticPr fontId="6" type="noConversion"/>
  </si>
  <si>
    <t>배 제</t>
    <phoneticPr fontId="6" type="noConversion"/>
  </si>
  <si>
    <t>철 회</t>
    <phoneticPr fontId="6" type="noConversion"/>
  </si>
  <si>
    <t>합 계</t>
    <phoneticPr fontId="6" type="noConversion"/>
  </si>
  <si>
    <t>접 수</t>
    <phoneticPr fontId="6" type="noConversion"/>
  </si>
  <si>
    <t>미 제</t>
    <phoneticPr fontId="6" type="noConversion"/>
  </si>
  <si>
    <t>처 리</t>
    <phoneticPr fontId="6" type="noConversion"/>
  </si>
  <si>
    <t>주 : 비율(%)=사유별 처리건수/총 처리건수×100</t>
    <phoneticPr fontId="6" type="noConversion"/>
  </si>
  <si>
    <t>서울중앙지법</t>
  </si>
  <si>
    <t>서울동부지법</t>
  </si>
  <si>
    <t>서울남부지법</t>
  </si>
  <si>
    <t>서울북부지법</t>
  </si>
  <si>
    <t>서울서부지법</t>
  </si>
  <si>
    <t>의정부지법</t>
  </si>
  <si>
    <t>인천지법</t>
  </si>
  <si>
    <t>수원지법</t>
  </si>
  <si>
    <t>춘천지법</t>
  </si>
  <si>
    <t>대전지법</t>
  </si>
  <si>
    <t>청주지법</t>
  </si>
  <si>
    <t>대구지법</t>
  </si>
  <si>
    <t>부산지법</t>
  </si>
  <si>
    <t>울산지법</t>
  </si>
  <si>
    <t>창원지법</t>
  </si>
  <si>
    <t>광주지법</t>
  </si>
  <si>
    <t>전주지법</t>
  </si>
  <si>
    <t>제주지법</t>
  </si>
  <si>
    <t>살인등</t>
  </si>
  <si>
    <t>강도등</t>
  </si>
  <si>
    <t>상해등</t>
  </si>
  <si>
    <t>성범죄등</t>
  </si>
  <si>
    <t>범죄유형</t>
    <phoneticPr fontId="6" type="noConversion"/>
  </si>
  <si>
    <t>9. 증인지원제도</t>
    <phoneticPr fontId="6" type="noConversion"/>
  </si>
  <si>
    <t>가. 특별․취약증인지원 건수</t>
    <phoneticPr fontId="6" type="noConversion"/>
  </si>
  <si>
    <t>나. 일반증인지원 건수</t>
    <phoneticPr fontId="6" type="noConversion"/>
  </si>
  <si>
    <t>특별증인</t>
  </si>
  <si>
    <t>취약증인</t>
  </si>
  <si>
    <t>이용자 수</t>
  </si>
  <si>
    <t>10. 양형조사</t>
    <phoneticPr fontId="6" type="noConversion"/>
  </si>
  <si>
    <t>일반증인지원 건수(표 145)</t>
    <phoneticPr fontId="6" type="noConversion"/>
  </si>
  <si>
    <t>접수건수</t>
    <phoneticPr fontId="6" type="noConversion"/>
  </si>
  <si>
    <t>양형조사명령 접수건수(표 146)</t>
    <phoneticPr fontId="6" type="noConversion"/>
  </si>
  <si>
    <t>2022년도</t>
    <phoneticPr fontId="6" type="noConversion"/>
  </si>
  <si>
    <t>22</t>
    <phoneticPr fontId="6" type="noConversion"/>
  </si>
  <si>
    <t>21</t>
  </si>
  <si>
    <t>주 : 무죄는 전부무죄를 의미함</t>
    <phoneticPr fontId="6" type="noConversion"/>
  </si>
  <si>
    <t>형사공판사건의 처리인원수 기준으로 변호인선임 피고인수는 표 118, 제1심 사건 중 증인이 있는 사건수 현황은 표 119, 제1심 사건의 궐석재판 피고인수 현황은 표 120, 제1심 사건 중 즉일선고 피고인수는 표 121, 심급별 법정구속 피고인수는 표 122와 같다.</t>
    <phoneticPr fontId="6" type="noConversion"/>
  </si>
  <si>
    <t>듣거나 말하는데 장애가 있는 사람</t>
    <phoneticPr fontId="6" type="noConversion"/>
  </si>
  <si>
    <t>2023년도</t>
    <phoneticPr fontId="6" type="noConversion"/>
  </si>
  <si>
    <t>2021년</t>
  </si>
  <si>
    <t>2022년</t>
  </si>
  <si>
    <t>23</t>
    <phoneticPr fontId="6" type="noConversion"/>
  </si>
  <si>
    <t>22</t>
  </si>
  <si>
    <t>군사법원사건 또는 그 상소사건</t>
    <phoneticPr fontId="6" type="noConversion"/>
  </si>
  <si>
    <t>2014년</t>
  </si>
  <si>
    <t>2015년</t>
  </si>
  <si>
    <t>2016년</t>
  </si>
  <si>
    <t>주 : 종국된 사건 기준으로 기소시 불구속사건이며 종국시 최초 구속된 피고인수임</t>
    <phoneticPr fontId="22" type="noConversion"/>
  </si>
  <si>
    <t xml:space="preserve"> 신청 </t>
  </si>
  <si>
    <t>신청 및 (재)항고</t>
    <phoneticPr fontId="6" type="noConversion"/>
  </si>
  <si>
    <t xml:space="preserve">      2. (  )내의 수는 구성비(%)임</t>
    <phoneticPr fontId="6" type="noConversion"/>
  </si>
  <si>
    <t>(-)</t>
    <phoneticPr fontId="6" type="noConversion"/>
  </si>
  <si>
    <t>2023년</t>
  </si>
  <si>
    <t>23</t>
  </si>
  <si>
    <t>2008년</t>
  </si>
  <si>
    <t>2009년</t>
  </si>
  <si>
    <t>2010년</t>
  </si>
  <si>
    <t>2011년</t>
  </si>
  <si>
    <t>2012년</t>
  </si>
  <si>
    <t>2013년</t>
  </si>
  <si>
    <r>
      <t xml:space="preserve">특별증인지원은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성폭력범죄의 처벌 등에 관한 특례법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 xml:space="preserve">,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아동학대처벌법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 xml:space="preserve"> 등에서 증인지원의 대상으로 정한 성폭력범죄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 xml:space="preserve">아동학대범죄의 피해자 증인에게 법원에서 증인 소환 시부터 귀가 시까지 제공하는 특별한 보호 및 지원을 의미한다. 취약증인지원은 그 외에 보호 및 지원이 필요하다고 재판부가 결정한 증인에 대하여 특별증인에 준하여 이루어지는 증인지원으로, 보복가능성 있는 범죄의 피해자 증인, 스토킹 범죄의 피해자 증인,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특정범죄신고자 등 보호법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 xml:space="preserve"> 제2조의 범죄의 피해자 증인 등이 포함될 수 있다. 최근 5년간의 특별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>취약증인지원 건수는 표 144와 같다.</t>
    </r>
    <phoneticPr fontId="6" type="noConversion"/>
  </si>
  <si>
    <r>
      <t>일반증인지원은 일반증인지원실을 방문하는 형사사건의 모든 증인을 대상으로 이루어지며 형사재판절차 설명, 문의사항 답변 및 대기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>휴식공간 제공 등이 포함된다. 다만, 강력범죄나 스토킹 범죄와 같이 보복의 염려가 있거나 특별한 지원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>보호가 필요하여 증인지원관을 통해 신청하는 경우 재판부의 결정에 따라 일반증인지원서비스가 아닌 ‘특별증인지원서비스’를 통해 특별한 신변보호, 전후 상담, 비공개 심리, 피고인 퇴정조치 등의 지원을 받을 수 있다. 최근 5년간의 일반증인지원 건수는 표 145와 같다.</t>
    </r>
    <phoneticPr fontId="6" type="noConversion"/>
  </si>
  <si>
    <r>
      <t>법원별 국민참여재판(제1심) 접수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처리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미제 건수(표 126)</t>
    </r>
    <phoneticPr fontId="6" type="noConversion"/>
  </si>
  <si>
    <r>
      <t>연도별 국민참여재판(제1심) 접수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처리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미제 건수(표 125)</t>
    </r>
    <phoneticPr fontId="6" type="noConversion"/>
  </si>
  <si>
    <r>
      <t>범죄유형별 국민참여재판(제1심) 접수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처리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미제 건수(표 127)</t>
    </r>
    <phoneticPr fontId="6" type="noConversion"/>
  </si>
  <si>
    <r>
      <t>특별</t>
    </r>
    <r>
      <rPr>
        <b/>
        <sz val="9"/>
        <rFont val="MS Gothic"/>
        <family val="3"/>
        <charset val="128"/>
      </rPr>
      <t>･</t>
    </r>
    <r>
      <rPr>
        <b/>
        <sz val="9"/>
        <rFont val="굴림"/>
        <family val="3"/>
        <charset val="129"/>
      </rPr>
      <t>취약증인지원 건수(표 144)</t>
    </r>
    <phoneticPr fontId="6" type="noConversion"/>
  </si>
  <si>
    <t>항소심(지법)</t>
    <phoneticPr fontId="6" type="noConversion"/>
  </si>
  <si>
    <t>항소심(고법)</t>
    <phoneticPr fontId="6" type="noConversion"/>
  </si>
  <si>
    <t>2024년도</t>
    <phoneticPr fontId="6" type="noConversion"/>
  </si>
  <si>
    <t>24</t>
    <phoneticPr fontId="6" type="noConversion"/>
  </si>
  <si>
    <t>2024년</t>
    <phoneticPr fontId="6" type="noConversion"/>
  </si>
  <si>
    <t xml:space="preserve">형사사건에 대한 최근 10년간의 외국인 증감추세는 도표 27과 같으며, 제1심 형사공판사건으로 기소된 전체 피고인 중 외국인은 6,382명(2.7%)이다. 국적별로 보면 중국인 3,950명(61.9%), 베트남인 540명(8.5%) 순이며, 자유형을 선고받은 외국인은 39.7%, 집행유예를 선고받은 외국인은 31.8%이다.
</t>
    <phoneticPr fontId="6" type="noConversion"/>
  </si>
  <si>
    <t>제1심 형사공판사건 239,981건을 사물관할별로 보면 표 98과 같이 합의사건이 27,916건, 단독사건이 212,065건으로 그 비율은 11.6 대 88.4이 된다.</t>
    <phoneticPr fontId="6" type="noConversion"/>
  </si>
  <si>
    <t>24</t>
    <phoneticPr fontId="6" type="noConversion"/>
  </si>
  <si>
    <t>형사공판사건 중 구속사건의 비율은 표 100과 같다. 제1심 형사공판사건의 경우, 22,018명(9.2%)이 구속사건인 반면, 90.8%에 이르는 217,963명은 불구속상태에서 재판이 진행되었음을 알 수 있다.</t>
    <phoneticPr fontId="6" type="noConversion"/>
  </si>
  <si>
    <t>형사공판사건의 중요사건을 죄명별로 비교하여 보면 표 102와 같이 형법범과 특별법범의 비율은 52대 48이며, 사기와 공갈의 죄가 69,563건(20.0%)으로 가장 많고, 다음으로 도로교통법위반이 39,830건(11.5%), 상해와 폭행의 죄가 25,833건(7.4%), 절도와 강도의 죄가 14,068건(4.1%), 특정범죄 가중처벌 등에 관한 법률위반이 13,828건(4.0%), 공무방해에 관한 죄가 11,494건(3.3%), 교통사고처리 특례법위반이 11,221건(3.2%) 등의 순이다.</t>
    <phoneticPr fontId="6" type="noConversion"/>
  </si>
  <si>
    <t>형사공판사건의 재판결과를 보면 표 106과 같다. 판결률(판결건수/처리건수×100)을 보면, 제1심은 단독사건이 93.3%, 합의사건이 95.3%이고 항소심은 고등법원이 96.8%, 지방법원 91.0%이며, 상고심은 24.7%이다.</t>
    <phoneticPr fontId="6" type="noConversion"/>
  </si>
  <si>
    <t xml:space="preserve">상소심 판결의 파기 및 기각 건수를 비교하면 도표 31과 같다. 파기율 (파기건수/판결건수×100)을 보면, 항소심의 경우 고등법원이 45.6%, 지방법원항소부가 39.4%이고, 상고심의 경우에는 6.1%이다. </t>
    <phoneticPr fontId="6" type="noConversion"/>
  </si>
  <si>
    <t xml:space="preserve">판결로 종결된 사건 중 자유형이 선고된 사건을 형기별로 분류하면 표 108과 같다. 자유형(징역ㆍ금고)이 선고된 사건 중 집행유예 선고를 받은 인원수 비율은 제1심이 50.5%, 항소심이 39.7%이다. </t>
    <phoneticPr fontId="55" type="noConversion"/>
  </si>
  <si>
    <t>판결로 종결된 사건의 상소건수 및 상소율은 표 111과 같다. 제1심 판결에 대한 항소율(항소건수/판결건수×100)은 48.8%인데, 그 중에서도 특히 합의사건의 항소율이 67.7%로 비교적 높은 비율을 나타내고 있다.</t>
    <phoneticPr fontId="6" type="noConversion"/>
  </si>
  <si>
    <t>각 심급의 공판절차(치료감호사건 포함) 및 체포ㆍ구속적부심사청구절차에서 국선변호인이 선정된 사건수와 피고인수를 그 선정사유별로 보면 표 112와 같다. 전체형사공판사건(치료감호사건 포함) 피고인 347,292명 중 43.0%에 해당하는 149,346명이 국선변호인의 조력 아래 재판을 받았다{제1심 합의사건(치료감호사건 포함)의 경우에는 35.4%임}.</t>
    <phoneticPr fontId="6" type="noConversion"/>
  </si>
  <si>
    <t>주 : 1. 확정사건 평균처리일수는 2024년 확정된 사건의 확정심급별 1심 접수일부터 최종 심급 종국일까지의 기간으로 심급별 선고일부터 상급심 접수일까지의 기간이 포함됨</t>
    <phoneticPr fontId="22" type="noConversion"/>
  </si>
  <si>
    <t>2024년</t>
    <phoneticPr fontId="6" type="noConversion"/>
  </si>
  <si>
    <t>(-)</t>
    <phoneticPr fontId="6" type="noConversion"/>
  </si>
  <si>
    <t>제1심에서 접수된 치료감호사건은 141건인데, 공소제기와 함께 감호청구를 한 사건은 136건(96.5%)으로 공소제기와 별도로 독립하여 감호청구를 한 5건(3.5%)에 비하여 매우 높은 비율을 차지하고 있다. 제1심 치료감호사건을 법원별로 비교한 내역은 표 128과 같다.</t>
    <phoneticPr fontId="6" type="noConversion"/>
  </si>
  <si>
    <t>판결로 종결된 사건의 상소율은 표 131과 같다. 참고로 형사공판사건의 상소율은 제1심의 경우 48.8%, 항소심의 경우 33.2%이다.</t>
    <phoneticPr fontId="6" type="noConversion"/>
  </si>
  <si>
    <t>피고인의 남ㆍ여 성별 비교내역은 표 101과 같다. 제1심 형사공판사건 경우 여자의 비율은 15.3%이다.</t>
    <phoneticPr fontId="6" type="noConversion"/>
  </si>
  <si>
    <t>2024년도에 접수된 형사공판사건(치료감호사건 제외)은 347,032건으로 전체사건의 2.1%, 소송사건의 5.0%를 차지하고 있다. 이를 다시 심급별로 보면 제1심이 239.981건(69.2%)이고, 항소심이 82,162건(23.7%)으로 그 중 고등법원이 12,570건(3.6%), 지방법원항소부가 69,592건(20.1%)이며, 상고심은 24,889건(7.2%)이다. 한편 그 증감추세를 보면 표 99와 같고, 이를 다시 심급별로 살펴보면 도표 28~30과 같다.</t>
    <phoneticPr fontId="6" type="noConversion"/>
  </si>
  <si>
    <t>전심급 형사공판사건의 미제는 모두 186,806건이고, 미제사건의 심리기간을 심급별로 보면 표 124와 같다. 제1심 영구미제사건은 505건으로 미제사건의 0.4%를 차지하고 있다.</t>
    <phoneticPr fontId="6" type="noConversion"/>
  </si>
  <si>
    <t>치료감호사건의 처리상황을 보면 표 129와 같다. 제1심이 95.7%, 항소심이 103.4%, 상고심이 96.7%의 처리율을 보이고 있고, 평균처리율은 98.5%이다.</t>
    <phoneticPr fontId="6" type="noConversion"/>
  </si>
  <si>
    <t>형사공판사건의 처리상황은 표 104와 같다. 제1심이 95.2%, 항소심이 98.3%, 상고심이 96.6%의 처리율을 보이고 있고, 전심급 평균처리율은 96.0%이다.</t>
    <phoneticPr fontId="6" type="noConversion"/>
  </si>
  <si>
    <t>약식명령사건의 처리상황 내역은 표 132와 같고, 이를 다시 법원별로 비교하여 보면 표 133과 같다. 약식명령사건 중 직권으로 공판에 회부된 사건은 6,656건(1.5%)이다. 약식명령에 대하여 정식재판을 청구한 사건(직권공판회부사건은 제외)은 41,471건으로 처리된 사건 440,387건의 9.4%에 해당하고, 2024년 정식재판청구사건의 접수ㆍ처리상황은 표 134와 같다.</t>
    <phoneticPr fontId="6" type="noConversion"/>
  </si>
  <si>
    <t>2024년에 접수된 약식명령사건은 442,431건(전자약식 포함)으로, 전체사건의 2.6%, 전체 소송사건의 6.4%, 전체 형사사건의 25.1%를 각 차지하고 있다.
약식명령사건의 최근 10년간의 동향은 앞의 표 99 및 도표 26에서 본 바와 같다.</t>
    <phoneticPr fontId="6" type="noConversion"/>
  </si>
  <si>
    <t>2024년도에 접수된 즉결심판사건은 모두 118,997건으로 전체 형사사건의 6.8%, 전체 소송사건의 1.7%를 각 차지하고 있다. 즉결심판사건에 대한 최근 10년간의 추세는 앞의 표 99 및 도표 26과 같은데, 전년도에 비하여 8.3% 감소하였음을 알 수 있다. 즉결심판사건 접수인원의 법원별 비교내역은 표 135와 같다.</t>
    <phoneticPr fontId="6" type="noConversion"/>
  </si>
  <si>
    <t>2024년도 영장 청구사건(구속영장, 체포영장, 감호영장, 압수수색검증영장, 감정유치장 등)은 모두 686,753건(직권발부 포함)으로, 전체 형사사건의 39.0%, 전체 소송사건의 9.9%, 전체사건의 4.1%를 각 차지하고 있다. 영장사건의 최근 10년간의 추세는 앞의 표 99 및 도표 26과 같은데, 전년도에 비하여 13.7%가 증가하였음을 알 수 있다.</t>
    <phoneticPr fontId="6" type="noConversion"/>
  </si>
  <si>
    <t>24</t>
  </si>
  <si>
    <t>각종 영장의 발부율 내역은 표 137과 같다. 2024년 연간 수사를 위한 구속영장발부 인원수(21,488) 대비 구속기소 인원수(22,018)의 비율은 102.5%이다. 최근 5년간 구속영장 발부율의 추이는 도표 37과 같다.</t>
    <phoneticPr fontId="6" type="noConversion"/>
  </si>
  <si>
    <t xml:space="preserve">      2. 기각에는 일부기각이 포함되어 있음(압수수색검증영장 42,033건, 통신사실확인자료제공요청 1,563건,
         통신제한조치허가서 5건, 디엔에이감식시료채취영장 2건이 일부기각 인원임)</t>
    <phoneticPr fontId="6" type="noConversion"/>
  </si>
  <si>
    <t>2024년도에 접수된 형사신청ㆍ(재)항고사건은 164,470건으로 전체 형사사건의 9.3%, 전체 소송사건의 2.4%, 전체사건의 1.0%를 각 차지하고 있다.
형사신청사건의 최근 10년간의 추세는 앞의 표 99와 같고, 지방법원 형사신청사건의 추이는 도표 38과 같다.</t>
    <phoneticPr fontId="6" type="noConversion"/>
  </si>
  <si>
    <t>형사신청사건의 처리상황을 종류별로 구분하여 비교한 내역은 표 138과 같다. 지방법원 형사신청사건의 처리상황을 보면 체포ㆍ구속적부심사청구 및 보석청구사건이 6.7%에 해당하는 7,584건임을 알 수 있다.</t>
    <phoneticPr fontId="6" type="noConversion"/>
  </si>
  <si>
    <t>2024년도에 접수된 형사항고ㆍ준항고ㆍ재항고사건은 모두 22,080건으로 전체 형사사건의 1.3%를 차지하고 있다. 최근 10년간의 추세는 도표 40과 같으며 형사(재)항고 사건의 접수ㆍ처리상황은 표 142와 같다.</t>
    <phoneticPr fontId="6" type="noConversion"/>
  </si>
  <si>
    <t>치료감호사건의 재판결과를 보면 표 130과 같다. 처리된 사건 중 제1심의 93.3%, 항소심의 85.9%, 상고심의 86.2%가 각 판결로 종결된 것임을 알 수 있다.</t>
    <phoneticPr fontId="6" type="noConversion"/>
  </si>
  <si>
    <t>2024년에 접수된 치료감호사건은 260건으로 전체 형사사건 1,762,869건의 0.01%, 형사본안사건 347,292건의 0.07%를 차지하고 있다.</t>
    <phoneticPr fontId="6" type="noConversion"/>
  </si>
  <si>
    <t>2024년도에 각급 법원에 접수된 형사사건은 모두 1,762,869건으로 전체사건의 10.5%, 소송사건의 25.5%를 차지하고 있다. 형사사건을 공판사건(합의ㆍ단독사건), 치료감호사건, 약식사건, 즉결사건, 영장사건, 신청사건 등으로 구분하여 그 접수ㆍ처리 내역을 종류별로 분류한 내역은 표 98과 같다. 형사사건은 전년에 비하여 6.6%가 증가되었다. 그 내용을 보면 본안사건은 2.8% 증가하였고, 본안외사건은 7.6%가 증가하였음을 알 수 있다. 형사사건을 종류별로 보면 도표 25와 같다.</t>
    <phoneticPr fontId="6" type="noConversion"/>
  </si>
  <si>
    <t>즉결심판사건의 처리내용을 보면 표 136과 같다. 즉결 심판에 대한 정식재판청구건수는 241건이다.</t>
    <phoneticPr fontId="6" type="noConversion"/>
  </si>
  <si>
    <t>(기준일 : 2008. 1. 1. ~ 2024. 12. 31.)</t>
    <phoneticPr fontId="6" type="noConversion"/>
  </si>
  <si>
    <t>2024년</t>
    <phoneticPr fontId="6" type="noConversion"/>
  </si>
  <si>
    <t>(기준일 : 2008. 1. 1. ~ 2024. 12. 31.)</t>
    <phoneticPr fontId="6" type="noConversion"/>
  </si>
  <si>
    <r>
      <t>양형조사제도는 재판장이 공정하고 객관적인 양형심리를 위하여 법원조사관에게 양형에 관한 자료를 수집</t>
    </r>
    <r>
      <rPr>
        <sz val="9"/>
        <rFont val="MS Gothic"/>
        <family val="3"/>
        <charset val="128"/>
      </rPr>
      <t>･</t>
    </r>
    <r>
      <rPr>
        <sz val="9"/>
        <rFont val="굴림"/>
        <family val="3"/>
        <charset val="129"/>
      </rPr>
      <t>조사하여 그 결과를 법원에 보고하도록 명하여 양형자료를 수집하는 제도로서, 2024. 12. 31.기준 전국 23개 법원에 50명의 법원조사관이 배치되어 양형조사업무를 담당하고 있다. 최근 5년간의 양형조사명령 접수건수는 표 146과 같다.</t>
    </r>
    <phoneticPr fontId="6" type="noConversion"/>
  </si>
  <si>
    <t>처리된 제1심 형사공판 228,492건 중 간이공판절차에 의하여 심판된 사건은 2,746건으로 처리건수의 1.2%를 차지하고 있다. 최근 5년간 간이공판절차에 의하여 처리된 사건의 처리추이는 도표 32와 같고, 2024년의 간이공판절차에 의한 재판결과는 표 110과 같다.</t>
    <phoneticPr fontId="6" type="noConversion"/>
  </si>
  <si>
    <t>처리된 제1심 형사공판사건 228,492건 중 19세 미만자 사건은 2,408건으로 1.1%를 차지하고 있고, 이에 대한 재판결과를 보면 표 109와 같다.</t>
    <phoneticPr fontId="6" type="noConversion"/>
  </si>
  <si>
    <t>종결된 형사공판사건의 처리기간을 각 심급별로 보면 표 113과 같다. 소송촉진 등에 관한 특례법 제21조의 판결 선고기간(제1심은 6월, 항소심ㆍ상고심은 각 4월)내에 종결된 사건은 구속ㆍ불구속 사건을 합하여 제1심의 경우 합의사건이 15,775건(69.6%), 단독사건이 134,579건(65.4%)이고, 항소심의 경우 고등법원이 5,646건(45.8%), 지방법원 항소부가 25,399건(37.1%)이며, 상고심의 경우 21,647건(90.0%)이다. 형사공판사건의 심급별 평균처리기간은 표 114와 같고, 확정시까지의 처리기간은 표 115와 같으며, 5년간 추이를 보면 도표 35, 36과 같다.</t>
    <phoneticPr fontId="6" type="noConversion"/>
  </si>
  <si>
    <r>
      <t xml:space="preserve">2008. 1. 1. </t>
    </r>
    <r>
      <rPr>
        <sz val="9"/>
        <rFont val="MS Gothic"/>
        <family val="3"/>
        <charset val="128"/>
      </rPr>
      <t>｢</t>
    </r>
    <r>
      <rPr>
        <sz val="9"/>
        <rFont val="굴림"/>
        <family val="3"/>
        <charset val="129"/>
      </rPr>
      <t>국민의 형사재판 참여에 관한 법률</t>
    </r>
    <r>
      <rPr>
        <sz val="9"/>
        <rFont val="MS Gothic"/>
        <family val="3"/>
        <charset val="128"/>
      </rPr>
      <t>｣</t>
    </r>
    <r>
      <rPr>
        <sz val="9"/>
        <rFont val="굴림"/>
        <family val="3"/>
        <charset val="129"/>
      </rPr>
      <t>이 시행되어 국민참여재판이 실시된 이후 2024년까지 국민참여재판 희망의사 확인서가 처리된 사건은 피고인의 수를 기준으로 총 10,635건이고, 이 중에서 3,080건(29.0%)이 국민참여재판으로 진행되었다. 국민참여재판이 신청(접수)되고 이를 처리(국민참여재판 실시, 배제, 철회)한 사건들을 연도별, 법원별, 범죄유형별로 살펴보면 다음과 같다.</t>
    </r>
    <phoneticPr fontId="6" type="noConversion"/>
  </si>
  <si>
    <t xml:space="preserve">      2. 형사사건은  인원수 기준임</t>
    <phoneticPr fontId="6" type="noConversion"/>
  </si>
  <si>
    <t>주 : 1. 치료감호사건은 제외함</t>
    <phoneticPr fontId="6" type="noConversion"/>
  </si>
  <si>
    <t xml:space="preserve">      2. 치료감호사건에 대한 국선변호인 32명 및 체포ㆍ구속적부심사 청구사건에 대한 국선변호인 선정인원 1,403명이 포함됨</t>
    <phoneticPr fontId="6" type="noConversion"/>
  </si>
  <si>
    <t>주 : 공판사건 인원수에는 치료감호사건 인원수가 포함되었음</t>
    <phoneticPr fontId="6" type="noConversion"/>
  </si>
  <si>
    <t>치료감호사건 접수ㆍ처리ㆍ미제 인원수(표 129)</t>
    <phoneticPr fontId="6" type="noConversion"/>
  </si>
  <si>
    <t>간이공판절차에 의하여 종결된 사건의 처리기간별 내역은 표 123과 같다. 간이공판절차에 의하여 종결된 전체 사건 중 83.9%가 6월 이내에 처리되고 있음을 알 수 있다.</t>
    <phoneticPr fontId="6" type="noConversion"/>
  </si>
  <si>
    <t>8. 형사신청ㆍ(준ㆍ재)항고사건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</si>
</sst>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176" formatCode="\(0.0\)"/>
    <numFmt numFmtId="177" formatCode="_-* #,##0.0_-;\-* #,##0.0_-;_-* &quot;-&quot;_-;_-@_-"/>
    <numFmt numFmtId="178" formatCode="\(#,###.0\)"/>
    <numFmt numFmtId="179" formatCode="\(\-\)"/>
    <numFmt numFmtId="180" formatCode="_ * #,##0_ ;_ * \-#,##0_ ;_ * &quot;-&quot;_ ;_ @_ "/>
    <numFmt numFmtId="181" formatCode="_ * #,##0.00_ ;_ * \-#,##0.00_ ;_ * &quot;-&quot;??_ ;_ @_ "/>
    <numFmt numFmtId="182" formatCode="_-* #,##0.00_-;\-* #,##0.00_-;_-* &quot;-&quot;_-;_-@_-"/>
    <numFmt numFmtId="183" formatCode="\(#,##0.0\)"/>
    <numFmt numFmtId="184" formatCode="0.0"/>
    <numFmt numFmtId="185" formatCode="\(0.00\)"/>
    <numFmt numFmtId="186" formatCode="0.000"/>
    <numFmt numFmtId="187" formatCode="0.0%"/>
    <numFmt numFmtId="188" formatCode="0.0_);[Red]\(0.0\)"/>
  </numFmts>
  <fonts count="7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63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b/>
      <sz val="14"/>
      <name val="굴림"/>
      <family val="3"/>
      <charset val="129"/>
    </font>
    <font>
      <sz val="9"/>
      <color indexed="9"/>
      <name val="굴림"/>
      <family val="3"/>
      <charset val="129"/>
    </font>
    <font>
      <sz val="12"/>
      <name val="바탕체"/>
      <family val="1"/>
      <charset val="129"/>
    </font>
    <font>
      <sz val="9"/>
      <color indexed="41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b/>
      <sz val="11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굴림"/>
      <family val="3"/>
      <charset val="129"/>
    </font>
    <font>
      <sz val="9"/>
      <color theme="0"/>
      <name val="굴림"/>
      <family val="3"/>
      <charset val="129"/>
    </font>
    <font>
      <sz val="11"/>
      <color theme="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9"/>
      <color theme="3"/>
      <name val="굴림"/>
      <family val="3"/>
      <charset val="129"/>
    </font>
    <font>
      <sz val="9"/>
      <color theme="4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FF0000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0"/>
      <name val="굴림"/>
      <family val="3"/>
      <charset val="129"/>
    </font>
    <font>
      <sz val="10"/>
      <color theme="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indexed="9"/>
      <name val="굴림"/>
      <family val="3"/>
      <charset val="129"/>
    </font>
    <font>
      <sz val="11"/>
      <color theme="3"/>
      <name val="굴림"/>
      <family val="3"/>
      <charset val="129"/>
    </font>
    <font>
      <sz val="9"/>
      <color theme="4" tint="0.79998168889431442"/>
      <name val="굴림"/>
      <family val="3"/>
      <charset val="129"/>
    </font>
    <font>
      <sz val="1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  <font>
      <sz val="9"/>
      <name val="MS Gothic"/>
      <family val="3"/>
      <charset val="128"/>
    </font>
    <font>
      <b/>
      <sz val="9"/>
      <name val="맑은 고딕"/>
      <family val="3"/>
      <charset val="129"/>
    </font>
    <font>
      <sz val="9"/>
      <color rgb="FF0070C0"/>
      <name val="굴림"/>
      <family val="3"/>
      <charset val="129"/>
    </font>
    <font>
      <b/>
      <sz val="9"/>
      <name val="MS Gothic"/>
      <family val="3"/>
      <charset val="128"/>
    </font>
  </fonts>
  <fills count="53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66669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auto="1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2499465926084170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4659260841701"/>
      </right>
      <top style="thin">
        <color indexed="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theme="0" tint="-0.1499679555650502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22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indexed="22"/>
      </left>
      <right style="thin">
        <color auto="1"/>
      </right>
      <top/>
      <bottom style="thin">
        <color indexed="22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22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auto="1"/>
      </top>
      <bottom/>
      <diagonal/>
    </border>
    <border>
      <left style="thin">
        <color indexed="22"/>
      </left>
      <right/>
      <top style="thin">
        <color auto="1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/>
      <right style="thin">
        <color indexed="22"/>
      </right>
      <top style="thin">
        <color auto="1"/>
      </top>
      <bottom style="thin">
        <color indexed="22"/>
      </bottom>
      <diagonal/>
    </border>
    <border>
      <left/>
      <right style="thin">
        <color indexed="22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323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0" fillId="0" borderId="0"/>
    <xf numFmtId="0" fontId="23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3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7" fillId="44" borderId="26" applyNumberFormat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45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8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0" fontId="41" fillId="49" borderId="27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1" fillId="0" borderId="0">
      <alignment vertical="center"/>
    </xf>
    <xf numFmtId="41" fontId="51" fillId="0" borderId="0">
      <alignment vertical="center"/>
    </xf>
    <xf numFmtId="41" fontId="5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7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3" fillId="18" borderId="26" applyNumberFormat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3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49" fillId="44" borderId="33" applyNumberFormat="0" applyAlignment="0" applyProtection="0">
      <alignment vertical="center"/>
    </xf>
    <xf numFmtId="0" fontId="24" fillId="0" borderId="0">
      <alignment vertical="center"/>
    </xf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/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5" fillId="0" borderId="0"/>
    <xf numFmtId="0" fontId="5" fillId="0" borderId="0"/>
    <xf numFmtId="0" fontId="5" fillId="0" borderId="0"/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07">
    <xf numFmtId="0" fontId="0" fillId="0" borderId="0" xfId="0">
      <alignment vertical="center"/>
    </xf>
    <xf numFmtId="41" fontId="10" fillId="4" borderId="0" xfId="2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4" borderId="0" xfId="2" applyNumberFormat="1" applyFont="1" applyFill="1" applyAlignment="1">
      <alignment vertical="center"/>
    </xf>
    <xf numFmtId="41" fontId="10" fillId="4" borderId="0" xfId="2" applyFont="1" applyFill="1" applyBorder="1" applyAlignment="1">
      <alignment vertical="center"/>
    </xf>
    <xf numFmtId="178" fontId="10" fillId="4" borderId="0" xfId="2" applyNumberFormat="1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176" fontId="10" fillId="4" borderId="0" xfId="2" applyNumberFormat="1" applyFont="1" applyFill="1" applyAlignment="1">
      <alignment vertical="center"/>
    </xf>
    <xf numFmtId="176" fontId="8" fillId="4" borderId="0" xfId="2" applyNumberFormat="1" applyFont="1" applyFill="1" applyBorder="1" applyAlignment="1">
      <alignment vertical="center"/>
    </xf>
    <xf numFmtId="176" fontId="10" fillId="4" borderId="0" xfId="2" applyNumberFormat="1" applyFont="1" applyFill="1" applyBorder="1" applyAlignment="1">
      <alignment vertical="center"/>
    </xf>
    <xf numFmtId="177" fontId="10" fillId="4" borderId="0" xfId="2" applyNumberFormat="1" applyFont="1" applyFill="1" applyAlignment="1">
      <alignment vertical="center"/>
    </xf>
    <xf numFmtId="178" fontId="10" fillId="4" borderId="0" xfId="2" applyNumberFormat="1" applyFont="1" applyFill="1" applyAlignment="1">
      <alignment vertical="center"/>
    </xf>
    <xf numFmtId="41" fontId="10" fillId="3" borderId="0" xfId="2" applyFont="1" applyFill="1" applyBorder="1" applyAlignment="1">
      <alignment horizontal="right" vertical="center"/>
    </xf>
    <xf numFmtId="41" fontId="25" fillId="4" borderId="0" xfId="2" applyFont="1" applyFill="1" applyAlignment="1">
      <alignment vertical="center"/>
    </xf>
    <xf numFmtId="41" fontId="10" fillId="0" borderId="0" xfId="2" applyFont="1" applyFill="1" applyBorder="1" applyAlignment="1">
      <alignment vertical="center"/>
    </xf>
    <xf numFmtId="41" fontId="26" fillId="4" borderId="0" xfId="2" applyFont="1" applyFill="1" applyAlignment="1">
      <alignment vertical="center"/>
    </xf>
    <xf numFmtId="177" fontId="26" fillId="4" borderId="0" xfId="2" applyNumberFormat="1" applyFont="1" applyFill="1" applyAlignment="1">
      <alignment vertical="center"/>
    </xf>
    <xf numFmtId="41" fontId="10" fillId="0" borderId="0" xfId="2" applyFont="1" applyFill="1" applyAlignment="1">
      <alignment vertical="center"/>
    </xf>
    <xf numFmtId="178" fontId="10" fillId="0" borderId="0" xfId="2" applyNumberFormat="1" applyFont="1" applyFill="1" applyBorder="1" applyAlignment="1">
      <alignment vertical="center"/>
    </xf>
    <xf numFmtId="41" fontId="25" fillId="0" borderId="0" xfId="2" applyFont="1" applyFill="1" applyAlignment="1">
      <alignment vertical="center"/>
    </xf>
    <xf numFmtId="179" fontId="10" fillId="4" borderId="0" xfId="2" applyNumberFormat="1" applyFont="1" applyFill="1" applyAlignment="1">
      <alignment vertical="center"/>
    </xf>
    <xf numFmtId="178" fontId="25" fillId="0" borderId="0" xfId="2" applyNumberFormat="1" applyFont="1" applyFill="1" applyAlignment="1">
      <alignment vertical="center"/>
    </xf>
    <xf numFmtId="41" fontId="32" fillId="4" borderId="0" xfId="2" applyFont="1" applyFill="1" applyAlignment="1">
      <alignment vertical="center"/>
    </xf>
    <xf numFmtId="0" fontId="32" fillId="4" borderId="0" xfId="0" applyFont="1" applyFill="1" applyAlignment="1">
      <alignment vertical="center"/>
    </xf>
    <xf numFmtId="41" fontId="32" fillId="4" borderId="0" xfId="2" applyFont="1" applyFill="1" applyAlignment="1">
      <alignment horizontal="center" vertical="center"/>
    </xf>
    <xf numFmtId="177" fontId="10" fillId="0" borderId="0" xfId="2" applyNumberFormat="1" applyFont="1" applyFill="1" applyBorder="1" applyAlignment="1">
      <alignment vertical="center"/>
    </xf>
    <xf numFmtId="176" fontId="10" fillId="3" borderId="0" xfId="2" applyNumberFormat="1" applyFont="1" applyFill="1" applyBorder="1" applyAlignment="1">
      <alignment horizontal="center" vertical="center"/>
    </xf>
    <xf numFmtId="176" fontId="8" fillId="3" borderId="0" xfId="2" applyNumberFormat="1" applyFont="1" applyFill="1" applyBorder="1" applyAlignment="1">
      <alignment horizontal="center" vertical="center"/>
    </xf>
    <xf numFmtId="178" fontId="8" fillId="3" borderId="0" xfId="2" applyNumberFormat="1" applyFont="1" applyFill="1" applyBorder="1" applyAlignment="1">
      <alignment horizontal="center" vertical="center"/>
    </xf>
    <xf numFmtId="176" fontId="10" fillId="3" borderId="0" xfId="2" applyNumberFormat="1" applyFont="1" applyFill="1" applyBorder="1" applyAlignment="1">
      <alignment horizontal="right" vertical="center"/>
    </xf>
    <xf numFmtId="177" fontId="25" fillId="4" borderId="0" xfId="2" applyNumberFormat="1" applyFont="1" applyFill="1" applyAlignment="1">
      <alignment vertical="center"/>
    </xf>
    <xf numFmtId="177" fontId="25" fillId="6" borderId="0" xfId="2" applyNumberFormat="1" applyFont="1" applyFill="1" applyAlignment="1">
      <alignment vertical="center"/>
    </xf>
    <xf numFmtId="41" fontId="8" fillId="0" borderId="0" xfId="2" applyFont="1" applyFill="1" applyBorder="1" applyAlignment="1">
      <alignment vertical="center"/>
    </xf>
    <xf numFmtId="178" fontId="8" fillId="0" borderId="0" xfId="2" applyNumberFormat="1" applyFont="1" applyFill="1" applyBorder="1" applyAlignment="1">
      <alignment vertical="center"/>
    </xf>
    <xf numFmtId="41" fontId="10" fillId="0" borderId="8" xfId="2" applyFont="1" applyFill="1" applyBorder="1" applyAlignment="1">
      <alignment vertical="center"/>
    </xf>
    <xf numFmtId="41" fontId="28" fillId="0" borderId="0" xfId="2" applyFont="1" applyFill="1" applyBorder="1" applyAlignment="1">
      <alignment vertical="center"/>
    </xf>
    <xf numFmtId="177" fontId="28" fillId="0" borderId="0" xfId="2" applyNumberFormat="1" applyFont="1" applyFill="1" applyBorder="1" applyAlignment="1">
      <alignment vertical="center"/>
    </xf>
    <xf numFmtId="177" fontId="8" fillId="0" borderId="0" xfId="2" applyNumberFormat="1" applyFont="1" applyFill="1" applyBorder="1" applyAlignment="1">
      <alignment vertical="center"/>
    </xf>
    <xf numFmtId="177" fontId="10" fillId="0" borderId="8" xfId="2" applyNumberFormat="1" applyFont="1" applyFill="1" applyBorder="1" applyAlignment="1">
      <alignment vertical="center"/>
    </xf>
    <xf numFmtId="0" fontId="32" fillId="0" borderId="0" xfId="2" applyNumberFormat="1" applyFont="1" applyFill="1" applyAlignment="1">
      <alignment vertical="center"/>
    </xf>
    <xf numFmtId="176" fontId="10" fillId="0" borderId="8" xfId="2" applyNumberFormat="1" applyFont="1" applyFill="1" applyBorder="1" applyAlignment="1">
      <alignment vertical="center"/>
    </xf>
    <xf numFmtId="176" fontId="8" fillId="0" borderId="0" xfId="2" applyNumberFormat="1" applyFont="1" applyFill="1" applyBorder="1" applyAlignment="1">
      <alignment vertical="center"/>
    </xf>
    <xf numFmtId="41" fontId="10" fillId="0" borderId="14" xfId="2" applyFont="1" applyFill="1" applyBorder="1" applyAlignment="1">
      <alignment vertical="center"/>
    </xf>
    <xf numFmtId="41" fontId="8" fillId="0" borderId="11" xfId="2" applyFont="1" applyFill="1" applyBorder="1" applyAlignment="1">
      <alignment vertical="center"/>
    </xf>
    <xf numFmtId="179" fontId="10" fillId="0" borderId="0" xfId="2" applyNumberFormat="1" applyFont="1" applyFill="1" applyBorder="1" applyAlignment="1">
      <alignment horizontal="right" vertical="center"/>
    </xf>
    <xf numFmtId="41" fontId="10" fillId="0" borderId="6" xfId="2" applyFont="1" applyFill="1" applyBorder="1" applyAlignment="1">
      <alignment vertical="center"/>
    </xf>
    <xf numFmtId="41" fontId="10" fillId="0" borderId="35" xfId="2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25" fillId="0" borderId="0" xfId="0" applyFont="1" applyBorder="1" applyAlignment="1">
      <alignment vertical="center"/>
    </xf>
    <xf numFmtId="41" fontId="25" fillId="4" borderId="0" xfId="2" applyFont="1" applyFill="1" applyBorder="1" applyAlignment="1">
      <alignment vertical="center"/>
    </xf>
    <xf numFmtId="178" fontId="8" fillId="0" borderId="34" xfId="2" applyNumberFormat="1" applyFont="1" applyFill="1" applyBorder="1" applyAlignment="1">
      <alignment vertical="center"/>
    </xf>
    <xf numFmtId="41" fontId="8" fillId="0" borderId="34" xfId="2" applyFont="1" applyFill="1" applyBorder="1" applyAlignment="1">
      <alignment vertical="center"/>
    </xf>
    <xf numFmtId="0" fontId="32" fillId="0" borderId="0" xfId="2" applyNumberFormat="1" applyFont="1" applyFill="1" applyBorder="1" applyAlignment="1">
      <alignment vertical="center"/>
    </xf>
    <xf numFmtId="0" fontId="25" fillId="4" borderId="0" xfId="2" applyNumberFormat="1" applyFont="1" applyFill="1" applyAlignment="1">
      <alignment vertical="center"/>
    </xf>
    <xf numFmtId="0" fontId="10" fillId="4" borderId="0" xfId="2" applyNumberFormat="1" applyFont="1" applyFill="1" applyBorder="1" applyAlignment="1">
      <alignment vertical="center"/>
    </xf>
    <xf numFmtId="0" fontId="33" fillId="0" borderId="0" xfId="2" applyNumberFormat="1" applyFont="1" applyFill="1" applyBorder="1" applyAlignment="1">
      <alignment vertical="center"/>
    </xf>
    <xf numFmtId="0" fontId="10" fillId="0" borderId="0" xfId="2" applyNumberFormat="1" applyFont="1" applyFill="1" applyBorder="1" applyAlignment="1">
      <alignment vertical="center"/>
    </xf>
    <xf numFmtId="0" fontId="10" fillId="0" borderId="0" xfId="2" applyNumberFormat="1" applyFont="1" applyFill="1" applyAlignment="1">
      <alignment vertical="center"/>
    </xf>
    <xf numFmtId="0" fontId="25" fillId="0" borderId="0" xfId="2" applyNumberFormat="1" applyFont="1" applyFill="1" applyBorder="1" applyAlignment="1">
      <alignment vertical="center"/>
    </xf>
    <xf numFmtId="41" fontId="8" fillId="0" borderId="0" xfId="2" applyFont="1" applyFill="1" applyBorder="1" applyAlignment="1">
      <alignment horizontal="right" vertical="center"/>
    </xf>
    <xf numFmtId="41" fontId="10" fillId="0" borderId="0" xfId="2" applyFont="1" applyFill="1" applyBorder="1" applyAlignment="1">
      <alignment horizontal="right" vertical="center"/>
    </xf>
    <xf numFmtId="176" fontId="10" fillId="0" borderId="0" xfId="2" applyNumberFormat="1" applyFont="1" applyFill="1" applyAlignment="1">
      <alignment vertical="center"/>
    </xf>
    <xf numFmtId="0" fontId="10" fillId="3" borderId="6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horizontal="left" vertical="center"/>
    </xf>
    <xf numFmtId="176" fontId="10" fillId="0" borderId="0" xfId="2" applyNumberFormat="1" applyFont="1" applyFill="1" applyBorder="1" applyAlignment="1">
      <alignment horizontal="right" vertical="center"/>
    </xf>
    <xf numFmtId="41" fontId="8" fillId="3" borderId="0" xfId="2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Alignment="1">
      <alignment vertical="center"/>
    </xf>
    <xf numFmtId="0" fontId="25" fillId="4" borderId="0" xfId="2" applyNumberFormat="1" applyFont="1" applyFill="1" applyBorder="1" applyAlignment="1">
      <alignment vertical="center"/>
    </xf>
    <xf numFmtId="0" fontId="26" fillId="4" borderId="0" xfId="2" applyNumberFormat="1" applyFont="1" applyFill="1" applyAlignment="1">
      <alignment vertical="center"/>
    </xf>
    <xf numFmtId="0" fontId="25" fillId="4" borderId="0" xfId="2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vertical="center"/>
    </xf>
    <xf numFmtId="0" fontId="25" fillId="0" borderId="0" xfId="0" applyNumberFormat="1" applyFont="1" applyAlignment="1">
      <alignment vertical="center"/>
    </xf>
    <xf numFmtId="0" fontId="25" fillId="4" borderId="0" xfId="2" applyNumberFormat="1" applyFont="1" applyFill="1" applyAlignment="1">
      <alignment horizontal="center" vertical="center"/>
    </xf>
    <xf numFmtId="0" fontId="10" fillId="4" borderId="0" xfId="2" applyNumberFormat="1" applyFont="1" applyFill="1" applyAlignment="1">
      <alignment horizontal="center" vertical="center"/>
    </xf>
    <xf numFmtId="41" fontId="10" fillId="0" borderId="34" xfId="2" applyFont="1" applyFill="1" applyBorder="1" applyAlignment="1">
      <alignment vertical="center"/>
    </xf>
    <xf numFmtId="41" fontId="10" fillId="0" borderId="42" xfId="2" applyFont="1" applyFill="1" applyBorder="1" applyAlignment="1">
      <alignment vertical="center"/>
    </xf>
    <xf numFmtId="41" fontId="10" fillId="0" borderId="43" xfId="2" applyFont="1" applyFill="1" applyBorder="1" applyAlignment="1">
      <alignment vertical="center"/>
    </xf>
    <xf numFmtId="41" fontId="8" fillId="0" borderId="42" xfId="2" applyFont="1" applyFill="1" applyBorder="1" applyAlignment="1">
      <alignment vertical="center"/>
    </xf>
    <xf numFmtId="41" fontId="8" fillId="0" borderId="43" xfId="2" applyFont="1" applyFill="1" applyBorder="1" applyAlignment="1">
      <alignment vertical="center"/>
    </xf>
    <xf numFmtId="0" fontId="12" fillId="4" borderId="0" xfId="2" applyNumberFormat="1" applyFont="1" applyFill="1" applyAlignment="1">
      <alignment vertical="center"/>
    </xf>
    <xf numFmtId="0" fontId="10" fillId="4" borderId="0" xfId="1" applyNumberFormat="1" applyFont="1" applyFill="1" applyAlignment="1">
      <alignment vertical="center"/>
    </xf>
    <xf numFmtId="0" fontId="10" fillId="3" borderId="20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Alignment="1">
      <alignment horizontal="left" vertical="center"/>
    </xf>
    <xf numFmtId="0" fontId="10" fillId="0" borderId="7" xfId="2" applyNumberFormat="1" applyFont="1" applyFill="1" applyBorder="1" applyAlignment="1">
      <alignment vertical="center"/>
    </xf>
    <xf numFmtId="0" fontId="10" fillId="0" borderId="0" xfId="2" applyNumberFormat="1" applyFont="1" applyAlignment="1">
      <alignment vertical="center"/>
    </xf>
    <xf numFmtId="0" fontId="26" fillId="0" borderId="0" xfId="2" applyNumberFormat="1" applyFont="1" applyFill="1" applyBorder="1" applyAlignment="1">
      <alignment vertical="center"/>
    </xf>
    <xf numFmtId="0" fontId="26" fillId="0" borderId="0" xfId="2" applyNumberFormat="1" applyFont="1" applyFill="1" applyAlignment="1">
      <alignment vertical="center"/>
    </xf>
    <xf numFmtId="178" fontId="8" fillId="0" borderId="45" xfId="2" applyNumberFormat="1" applyFont="1" applyFill="1" applyBorder="1" applyAlignment="1">
      <alignment vertical="center"/>
    </xf>
    <xf numFmtId="41" fontId="10" fillId="0" borderId="45" xfId="2" applyFont="1" applyFill="1" applyBorder="1" applyAlignment="1">
      <alignment vertical="center"/>
    </xf>
    <xf numFmtId="178" fontId="10" fillId="0" borderId="45" xfId="2" applyNumberFormat="1" applyFont="1" applyFill="1" applyBorder="1" applyAlignment="1">
      <alignment vertical="center"/>
    </xf>
    <xf numFmtId="178" fontId="10" fillId="0" borderId="46" xfId="2" applyNumberFormat="1" applyFont="1" applyFill="1" applyBorder="1" applyAlignment="1">
      <alignment vertical="center"/>
    </xf>
    <xf numFmtId="41" fontId="8" fillId="0" borderId="45" xfId="2" applyFont="1" applyFill="1" applyBorder="1" applyAlignment="1">
      <alignment vertical="center"/>
    </xf>
    <xf numFmtId="41" fontId="10" fillId="0" borderId="46" xfId="2" applyFont="1" applyFill="1" applyBorder="1" applyAlignment="1">
      <alignment vertical="center"/>
    </xf>
    <xf numFmtId="0" fontId="26" fillId="4" borderId="0" xfId="2" applyNumberFormat="1" applyFont="1" applyFill="1" applyBorder="1" applyAlignment="1">
      <alignment vertical="center"/>
    </xf>
    <xf numFmtId="0" fontId="10" fillId="4" borderId="0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Border="1" applyAlignment="1">
      <alignment vertical="center"/>
    </xf>
    <xf numFmtId="0" fontId="58" fillId="0" borderId="0" xfId="13" applyNumberFormat="1" applyFont="1" applyBorder="1" applyAlignment="1">
      <alignment horizontal="right" vertical="center"/>
    </xf>
    <xf numFmtId="0" fontId="58" fillId="0" borderId="0" xfId="0" applyNumberFormat="1" applyFont="1" applyFill="1" applyBorder="1" applyAlignment="1">
      <alignment horizontal="right" vertical="center"/>
    </xf>
    <xf numFmtId="0" fontId="59" fillId="0" borderId="0" xfId="13" applyNumberFormat="1" applyFont="1" applyBorder="1" applyAlignment="1">
      <alignment horizontal="right" vertical="center"/>
    </xf>
    <xf numFmtId="0" fontId="59" fillId="0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Alignment="1">
      <alignment vertical="center"/>
    </xf>
    <xf numFmtId="0" fontId="28" fillId="0" borderId="0" xfId="17" applyNumberFormat="1" applyFont="1" applyAlignment="1">
      <alignment vertical="center"/>
    </xf>
    <xf numFmtId="0" fontId="25" fillId="0" borderId="0" xfId="0" applyNumberFormat="1" applyFont="1" applyAlignment="1"/>
    <xf numFmtId="0" fontId="16" fillId="4" borderId="0" xfId="0" applyFont="1" applyFill="1" applyAlignment="1">
      <alignment vertical="center"/>
    </xf>
    <xf numFmtId="41" fontId="10" fillId="0" borderId="21" xfId="2" applyFont="1" applyFill="1" applyBorder="1" applyAlignment="1">
      <alignment horizontal="center" vertical="center"/>
    </xf>
    <xf numFmtId="41" fontId="8" fillId="0" borderId="47" xfId="2" applyFont="1" applyFill="1" applyBorder="1" applyAlignment="1">
      <alignment horizontal="center" vertical="center"/>
    </xf>
    <xf numFmtId="41" fontId="8" fillId="0" borderId="36" xfId="2" applyFont="1" applyFill="1" applyBorder="1" applyAlignment="1">
      <alignment horizontal="center" vertical="center"/>
    </xf>
    <xf numFmtId="41" fontId="10" fillId="0" borderId="47" xfId="2" applyFont="1" applyFill="1" applyBorder="1" applyAlignment="1">
      <alignment horizontal="center" vertical="center"/>
    </xf>
    <xf numFmtId="41" fontId="10" fillId="0" borderId="36" xfId="2" applyFont="1" applyFill="1" applyBorder="1" applyAlignment="1">
      <alignment horizontal="center" vertical="center"/>
    </xf>
    <xf numFmtId="41" fontId="10" fillId="0" borderId="48" xfId="2" applyFont="1" applyFill="1" applyBorder="1" applyAlignment="1">
      <alignment horizontal="center" vertical="center"/>
    </xf>
    <xf numFmtId="41" fontId="10" fillId="0" borderId="49" xfId="2" applyFont="1" applyFill="1" applyBorder="1" applyAlignment="1">
      <alignment horizontal="center" vertical="center"/>
    </xf>
    <xf numFmtId="41" fontId="28" fillId="0" borderId="0" xfId="2" applyFont="1" applyFill="1" applyBorder="1" applyAlignment="1">
      <alignment horizontal="center" vertical="center"/>
    </xf>
    <xf numFmtId="41" fontId="29" fillId="0" borderId="0" xfId="2" applyFont="1" applyFill="1" applyBorder="1" applyAlignment="1">
      <alignment vertical="center"/>
    </xf>
    <xf numFmtId="0" fontId="8" fillId="3" borderId="43" xfId="2" applyNumberFormat="1" applyFont="1" applyFill="1" applyBorder="1" applyAlignment="1">
      <alignment horizontal="center" vertical="center"/>
    </xf>
    <xf numFmtId="0" fontId="10" fillId="3" borderId="43" xfId="2" applyNumberFormat="1" applyFont="1" applyFill="1" applyBorder="1" applyAlignment="1">
      <alignment horizontal="center" vertical="center"/>
    </xf>
    <xf numFmtId="0" fontId="16" fillId="0" borderId="0" xfId="0" applyNumberFormat="1" applyFont="1" applyAlignment="1">
      <alignment vertical="center"/>
    </xf>
    <xf numFmtId="0" fontId="17" fillId="4" borderId="0" xfId="2" applyNumberFormat="1" applyFont="1" applyFill="1" applyAlignment="1">
      <alignment vertical="center"/>
    </xf>
    <xf numFmtId="0" fontId="25" fillId="0" borderId="0" xfId="2" applyNumberFormat="1" applyFont="1" applyFill="1" applyAlignment="1">
      <alignment vertical="center"/>
    </xf>
    <xf numFmtId="0" fontId="25" fillId="0" borderId="0" xfId="0" applyNumberFormat="1" applyFont="1" applyFill="1" applyAlignment="1">
      <alignment vertical="center"/>
    </xf>
    <xf numFmtId="0" fontId="10" fillId="4" borderId="0" xfId="0" applyNumberFormat="1" applyFont="1" applyFill="1" applyAlignment="1">
      <alignment vertical="center"/>
    </xf>
    <xf numFmtId="0" fontId="54" fillId="50" borderId="37" xfId="2" applyNumberFormat="1" applyFont="1" applyFill="1" applyBorder="1" applyAlignment="1">
      <alignment horizontal="center" vertical="center" wrapText="1"/>
    </xf>
    <xf numFmtId="0" fontId="54" fillId="50" borderId="38" xfId="2" applyNumberFormat="1" applyFont="1" applyFill="1" applyBorder="1" applyAlignment="1">
      <alignment horizontal="center" vertical="center" wrapText="1"/>
    </xf>
    <xf numFmtId="0" fontId="10" fillId="4" borderId="7" xfId="2" applyNumberFormat="1" applyFont="1" applyFill="1" applyBorder="1" applyAlignment="1">
      <alignment vertical="center"/>
    </xf>
    <xf numFmtId="0" fontId="25" fillId="0" borderId="0" xfId="2" applyNumberFormat="1" applyFont="1" applyFill="1" applyAlignment="1">
      <alignment vertical="center" wrapText="1"/>
    </xf>
    <xf numFmtId="0" fontId="57" fillId="4" borderId="0" xfId="2" applyNumberFormat="1" applyFont="1" applyFill="1" applyBorder="1" applyAlignment="1">
      <alignment horizontal="left" vertical="center"/>
    </xf>
    <xf numFmtId="0" fontId="16" fillId="4" borderId="0" xfId="0" applyNumberFormat="1" applyFont="1" applyFill="1" applyAlignment="1">
      <alignment vertical="center"/>
    </xf>
    <xf numFmtId="0" fontId="52" fillId="4" borderId="0" xfId="0" applyNumberFormat="1" applyFont="1" applyFill="1" applyAlignment="1">
      <alignment vertical="center"/>
    </xf>
    <xf numFmtId="0" fontId="56" fillId="4" borderId="0" xfId="0" applyNumberFormat="1" applyFont="1" applyFill="1" applyAlignment="1">
      <alignment horizontal="center" vertical="center"/>
    </xf>
    <xf numFmtId="0" fontId="56" fillId="4" borderId="0" xfId="0" applyNumberFormat="1" applyFont="1" applyFill="1" applyAlignment="1">
      <alignment vertical="center"/>
    </xf>
    <xf numFmtId="0" fontId="61" fillId="4" borderId="0" xfId="0" applyNumberFormat="1" applyFont="1" applyFill="1" applyAlignment="1">
      <alignment vertical="center"/>
    </xf>
    <xf numFmtId="0" fontId="62" fillId="4" borderId="0" xfId="0" applyNumberFormat="1" applyFont="1" applyFill="1" applyAlignment="1">
      <alignment vertical="center"/>
    </xf>
    <xf numFmtId="0" fontId="27" fillId="4" borderId="0" xfId="0" applyNumberFormat="1" applyFont="1" applyFill="1" applyAlignment="1">
      <alignment vertical="center"/>
    </xf>
    <xf numFmtId="0" fontId="7" fillId="2" borderId="39" xfId="2" applyNumberFormat="1" applyFont="1" applyFill="1" applyBorder="1" applyAlignment="1">
      <alignment horizontal="right" vertical="center"/>
    </xf>
    <xf numFmtId="0" fontId="10" fillId="0" borderId="0" xfId="2" applyNumberFormat="1" applyFont="1" applyFill="1" applyBorder="1" applyAlignment="1">
      <alignment horizontal="left" vertical="center"/>
    </xf>
    <xf numFmtId="0" fontId="11" fillId="4" borderId="0" xfId="2" applyNumberFormat="1" applyFont="1" applyFill="1" applyAlignment="1">
      <alignment vertical="center"/>
    </xf>
    <xf numFmtId="0" fontId="7" fillId="2" borderId="0" xfId="2" applyNumberFormat="1" applyFont="1" applyFill="1" applyBorder="1" applyAlignment="1">
      <alignment vertical="center"/>
    </xf>
    <xf numFmtId="0" fontId="10" fillId="0" borderId="11" xfId="2" applyNumberFormat="1" applyFont="1" applyFill="1" applyBorder="1" applyAlignment="1">
      <alignment horizontal="center" vertical="center"/>
    </xf>
    <xf numFmtId="0" fontId="10" fillId="0" borderId="7" xfId="2" applyNumberFormat="1" applyFont="1" applyFill="1" applyBorder="1" applyAlignment="1">
      <alignment horizontal="center" vertical="center"/>
    </xf>
    <xf numFmtId="176" fontId="8" fillId="3" borderId="8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Border="1" applyAlignment="1">
      <alignment horizontal="right" vertical="center"/>
    </xf>
    <xf numFmtId="0" fontId="15" fillId="4" borderId="7" xfId="2" applyNumberFormat="1" applyFont="1" applyFill="1" applyBorder="1" applyAlignment="1">
      <alignment vertical="center"/>
    </xf>
    <xf numFmtId="0" fontId="15" fillId="4" borderId="0" xfId="2" applyNumberFormat="1" applyFont="1" applyFill="1" applyBorder="1" applyAlignment="1">
      <alignment horizontal="left" vertical="center"/>
    </xf>
    <xf numFmtId="0" fontId="8" fillId="0" borderId="0" xfId="3" applyNumberFormat="1" applyFont="1" applyFill="1" applyAlignment="1">
      <alignment vertical="center"/>
    </xf>
    <xf numFmtId="0" fontId="28" fillId="0" borderId="0" xfId="0" applyNumberFormat="1" applyFont="1" applyFill="1" applyAlignment="1">
      <alignment vertical="center"/>
    </xf>
    <xf numFmtId="0" fontId="28" fillId="0" borderId="0" xfId="0" applyNumberFormat="1" applyFont="1" applyAlignment="1">
      <alignment vertical="center"/>
    </xf>
    <xf numFmtId="0" fontId="28" fillId="0" borderId="0" xfId="0" applyNumberFormat="1" applyFont="1" applyAlignment="1">
      <alignment horizontal="right" vertical="center"/>
    </xf>
    <xf numFmtId="0" fontId="25" fillId="4" borderId="0" xfId="0" applyNumberFormat="1" applyFont="1" applyFill="1" applyAlignment="1">
      <alignment vertical="center"/>
    </xf>
    <xf numFmtId="0" fontId="32" fillId="4" borderId="0" xfId="0" applyNumberFormat="1" applyFont="1" applyFill="1" applyAlignment="1">
      <alignment vertical="center"/>
    </xf>
    <xf numFmtId="0" fontId="32" fillId="4" borderId="0" xfId="2" applyNumberFormat="1" applyFont="1" applyFill="1" applyAlignment="1">
      <alignment horizontal="center" vertical="center"/>
    </xf>
    <xf numFmtId="0" fontId="60" fillId="0" borderId="0" xfId="0" applyNumberFormat="1" applyFont="1" applyAlignment="1">
      <alignment vertical="center"/>
    </xf>
    <xf numFmtId="0" fontId="28" fillId="0" borderId="0" xfId="16" applyNumberFormat="1" applyFont="1" applyAlignment="1">
      <alignment vertical="center"/>
    </xf>
    <xf numFmtId="0" fontId="15" fillId="4" borderId="0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10" fillId="3" borderId="8" xfId="2" applyNumberFormat="1" applyFont="1" applyFill="1" applyBorder="1" applyAlignment="1">
      <alignment horizontal="center" vertical="center"/>
    </xf>
    <xf numFmtId="0" fontId="8" fillId="4" borderId="0" xfId="3" applyNumberFormat="1" applyFont="1" applyFill="1" applyAlignment="1">
      <alignment horizontal="left" vertical="center"/>
    </xf>
    <xf numFmtId="0" fontId="30" fillId="0" borderId="0" xfId="0" applyNumberFormat="1" applyFont="1" applyAlignment="1">
      <alignment vertical="center"/>
    </xf>
    <xf numFmtId="0" fontId="31" fillId="0" borderId="0" xfId="0" applyNumberFormat="1" applyFont="1" applyAlignment="1">
      <alignment vertical="center"/>
    </xf>
    <xf numFmtId="0" fontId="7" fillId="2" borderId="41" xfId="2" applyNumberFormat="1" applyFont="1" applyFill="1" applyBorder="1" applyAlignment="1">
      <alignment horizontal="right" vertical="center"/>
    </xf>
    <xf numFmtId="0" fontId="7" fillId="2" borderId="0" xfId="2" applyNumberFormat="1" applyFont="1" applyFill="1" applyBorder="1" applyAlignment="1">
      <alignment horizontal="right" vertical="center"/>
    </xf>
    <xf numFmtId="0" fontId="8" fillId="3" borderId="0" xfId="2" applyNumberFormat="1" applyFont="1" applyFill="1" applyBorder="1" applyAlignment="1">
      <alignment horizontal="center" vertical="center"/>
    </xf>
    <xf numFmtId="0" fontId="7" fillId="2" borderId="23" xfId="2" applyNumberFormat="1" applyFont="1" applyFill="1" applyBorder="1" applyAlignment="1">
      <alignment horizontal="center" vertical="center"/>
    </xf>
    <xf numFmtId="0" fontId="10" fillId="3" borderId="0" xfId="3" applyNumberFormat="1" applyFont="1" applyFill="1" applyBorder="1" applyAlignment="1">
      <alignment horizontal="center" vertical="center"/>
    </xf>
    <xf numFmtId="177" fontId="10" fillId="0" borderId="0" xfId="2" applyNumberFormat="1" applyFont="1" applyFill="1" applyBorder="1" applyAlignment="1">
      <alignment horizontal="center" vertical="center"/>
    </xf>
    <xf numFmtId="41" fontId="8" fillId="0" borderId="46" xfId="2" applyFont="1" applyFill="1" applyBorder="1" applyAlignment="1">
      <alignment vertical="center"/>
    </xf>
    <xf numFmtId="176" fontId="10" fillId="0" borderId="45" xfId="2" applyNumberFormat="1" applyFont="1" applyFill="1" applyBorder="1" applyAlignment="1">
      <alignment vertical="center"/>
    </xf>
    <xf numFmtId="176" fontId="8" fillId="0" borderId="46" xfId="2" applyNumberFormat="1" applyFont="1" applyFill="1" applyBorder="1" applyAlignment="1">
      <alignment vertical="center"/>
    </xf>
    <xf numFmtId="177" fontId="10" fillId="0" borderId="52" xfId="2" applyNumberFormat="1" applyFont="1" applyFill="1" applyBorder="1" applyAlignment="1">
      <alignment vertical="center"/>
    </xf>
    <xf numFmtId="41" fontId="10" fillId="0" borderId="53" xfId="2" applyFont="1" applyFill="1" applyBorder="1" applyAlignment="1">
      <alignment vertical="center"/>
    </xf>
    <xf numFmtId="41" fontId="10" fillId="0" borderId="51" xfId="2" applyFont="1" applyFill="1" applyBorder="1" applyAlignment="1">
      <alignment vertical="center"/>
    </xf>
    <xf numFmtId="177" fontId="10" fillId="0" borderId="54" xfId="2" applyNumberFormat="1" applyFont="1" applyFill="1" applyBorder="1" applyAlignment="1">
      <alignment vertical="center"/>
    </xf>
    <xf numFmtId="41" fontId="10" fillId="0" borderId="52" xfId="2" applyFont="1" applyFill="1" applyBorder="1" applyAlignment="1">
      <alignment vertical="center"/>
    </xf>
    <xf numFmtId="41" fontId="10" fillId="0" borderId="54" xfId="2" applyFont="1" applyFill="1" applyBorder="1" applyAlignment="1">
      <alignment vertical="center"/>
    </xf>
    <xf numFmtId="176" fontId="8" fillId="0" borderId="45" xfId="2" applyNumberFormat="1" applyFont="1" applyFill="1" applyBorder="1" applyAlignment="1">
      <alignment vertical="center"/>
    </xf>
    <xf numFmtId="0" fontId="10" fillId="3" borderId="51" xfId="2" applyNumberFormat="1" applyFont="1" applyFill="1" applyBorder="1" applyAlignment="1">
      <alignment horizontal="center" vertical="center"/>
    </xf>
    <xf numFmtId="177" fontId="10" fillId="0" borderId="51" xfId="2" applyNumberFormat="1" applyFont="1" applyFill="1" applyBorder="1" applyAlignment="1">
      <alignment vertical="center"/>
    </xf>
    <xf numFmtId="0" fontId="10" fillId="3" borderId="51" xfId="3" applyNumberFormat="1" applyFont="1" applyFill="1" applyBorder="1" applyAlignment="1">
      <alignment horizontal="center" vertical="center"/>
    </xf>
    <xf numFmtId="177" fontId="10" fillId="0" borderId="53" xfId="2" applyNumberFormat="1" applyFont="1" applyFill="1" applyBorder="1" applyAlignment="1">
      <alignment vertical="center"/>
    </xf>
    <xf numFmtId="41" fontId="10" fillId="0" borderId="45" xfId="2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vertical="center"/>
    </xf>
    <xf numFmtId="0" fontId="8" fillId="0" borderId="45" xfId="2" applyNumberFormat="1" applyFont="1" applyFill="1" applyBorder="1" applyAlignment="1">
      <alignment vertical="center"/>
    </xf>
    <xf numFmtId="176" fontId="10" fillId="0" borderId="46" xfId="2" applyNumberFormat="1" applyFont="1" applyFill="1" applyBorder="1" applyAlignment="1">
      <alignment vertical="center"/>
    </xf>
    <xf numFmtId="176" fontId="8" fillId="0" borderId="42" xfId="2" applyNumberFormat="1" applyFont="1" applyFill="1" applyBorder="1" applyAlignment="1">
      <alignment vertical="center"/>
    </xf>
    <xf numFmtId="176" fontId="8" fillId="0" borderId="52" xfId="2" applyNumberFormat="1" applyFont="1" applyFill="1" applyBorder="1" applyAlignment="1">
      <alignment vertical="center"/>
    </xf>
    <xf numFmtId="0" fontId="8" fillId="0" borderId="42" xfId="2" applyNumberFormat="1" applyFont="1" applyFill="1" applyBorder="1" applyAlignment="1">
      <alignment vertical="center"/>
    </xf>
    <xf numFmtId="0" fontId="8" fillId="0" borderId="52" xfId="2" applyNumberFormat="1" applyFont="1" applyFill="1" applyBorder="1" applyAlignment="1">
      <alignment vertical="center"/>
    </xf>
    <xf numFmtId="41" fontId="8" fillId="0" borderId="52" xfId="2" applyFont="1" applyFill="1" applyBorder="1" applyAlignment="1">
      <alignment vertical="center"/>
    </xf>
    <xf numFmtId="176" fontId="10" fillId="0" borderId="42" xfId="2" applyNumberFormat="1" applyFont="1" applyFill="1" applyBorder="1" applyAlignment="1">
      <alignment vertical="center"/>
    </xf>
    <xf numFmtId="176" fontId="10" fillId="0" borderId="52" xfId="2" applyNumberFormat="1" applyFont="1" applyFill="1" applyBorder="1" applyAlignment="1">
      <alignment vertical="center"/>
    </xf>
    <xf numFmtId="176" fontId="10" fillId="0" borderId="53" xfId="2" applyNumberFormat="1" applyFont="1" applyFill="1" applyBorder="1" applyAlignment="1">
      <alignment vertical="center"/>
    </xf>
    <xf numFmtId="0" fontId="10" fillId="4" borderId="0" xfId="2" applyNumberFormat="1" applyFont="1" applyFill="1" applyAlignment="1">
      <alignment horizontal="left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Border="1" applyAlignment="1">
      <alignment horizontal="center" vertical="center"/>
    </xf>
    <xf numFmtId="0" fontId="10" fillId="3" borderId="55" xfId="2" applyNumberFormat="1" applyFont="1" applyFill="1" applyBorder="1" applyAlignment="1">
      <alignment horizontal="center" vertical="center"/>
    </xf>
    <xf numFmtId="0" fontId="10" fillId="3" borderId="54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Border="1" applyAlignment="1">
      <alignment horizontal="left" vertical="center"/>
    </xf>
    <xf numFmtId="0" fontId="26" fillId="4" borderId="0" xfId="1" applyNumberFormat="1" applyFont="1" applyFill="1" applyAlignment="1">
      <alignment vertical="center"/>
    </xf>
    <xf numFmtId="176" fontId="10" fillId="3" borderId="51" xfId="2" applyNumberFormat="1" applyFont="1" applyFill="1" applyBorder="1" applyAlignment="1">
      <alignment horizontal="right" vertical="center"/>
    </xf>
    <xf numFmtId="177" fontId="10" fillId="0" borderId="51" xfId="2" applyNumberFormat="1" applyFont="1" applyFill="1" applyBorder="1" applyAlignment="1">
      <alignment horizontal="center" vertical="center"/>
    </xf>
    <xf numFmtId="41" fontId="10" fillId="0" borderId="45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0" fontId="7" fillId="2" borderId="58" xfId="2" applyNumberFormat="1" applyFont="1" applyFill="1" applyBorder="1" applyAlignment="1">
      <alignment vertical="center"/>
    </xf>
    <xf numFmtId="0" fontId="7" fillId="2" borderId="57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10" fillId="4" borderId="0" xfId="1" applyNumberFormat="1" applyFont="1" applyFill="1" applyBorder="1" applyAlignment="1">
      <alignment vertical="center"/>
    </xf>
    <xf numFmtId="0" fontId="8" fillId="0" borderId="0" xfId="2" applyNumberFormat="1" applyFont="1" applyFill="1" applyAlignment="1">
      <alignment vertical="center"/>
    </xf>
    <xf numFmtId="41" fontId="10" fillId="3" borderId="59" xfId="2" applyFont="1" applyFill="1" applyBorder="1" applyAlignment="1">
      <alignment horizontal="center" vertical="center"/>
    </xf>
    <xf numFmtId="0" fontId="25" fillId="0" borderId="0" xfId="2" applyNumberFormat="1" applyFont="1" applyAlignment="1">
      <alignment vertical="center"/>
    </xf>
    <xf numFmtId="0" fontId="8" fillId="4" borderId="0" xfId="0" applyNumberFormat="1" applyFont="1" applyFill="1" applyAlignment="1">
      <alignment vertical="center"/>
    </xf>
    <xf numFmtId="0" fontId="10" fillId="4" borderId="0" xfId="0" applyNumberFormat="1" applyFont="1" applyFill="1" applyAlignment="1">
      <alignment horizontal="center" vertical="center"/>
    </xf>
    <xf numFmtId="41" fontId="8" fillId="0" borderId="59" xfId="2" applyFont="1" applyFill="1" applyBorder="1" applyAlignment="1">
      <alignment vertical="center"/>
    </xf>
    <xf numFmtId="0" fontId="7" fillId="2" borderId="56" xfId="2" applyNumberFormat="1" applyFont="1" applyFill="1" applyBorder="1" applyAlignment="1">
      <alignment horizontal="center" vertical="center"/>
    </xf>
    <xf numFmtId="0" fontId="25" fillId="6" borderId="0" xfId="2" applyNumberFormat="1" applyFont="1" applyFill="1" applyAlignment="1">
      <alignment vertical="center"/>
    </xf>
    <xf numFmtId="0" fontId="10" fillId="3" borderId="0" xfId="2" applyNumberFormat="1" applyFont="1" applyFill="1" applyBorder="1" applyAlignment="1">
      <alignment vertical="center"/>
    </xf>
    <xf numFmtId="177" fontId="8" fillId="0" borderId="59" xfId="2" applyNumberFormat="1" applyFont="1" applyFill="1" applyBorder="1" applyAlignment="1">
      <alignment vertical="center"/>
    </xf>
    <xf numFmtId="177" fontId="10" fillId="0" borderId="59" xfId="2" applyNumberFormat="1" applyFont="1" applyFill="1" applyBorder="1" applyAlignment="1">
      <alignment vertical="center"/>
    </xf>
    <xf numFmtId="0" fontId="13" fillId="2" borderId="0" xfId="2" applyNumberFormat="1" applyFont="1" applyFill="1" applyBorder="1" applyAlignment="1">
      <alignment vertical="center"/>
    </xf>
    <xf numFmtId="0" fontId="7" fillId="2" borderId="0" xfId="2" applyNumberFormat="1" applyFont="1" applyFill="1" applyBorder="1" applyAlignment="1">
      <alignment vertical="center" wrapText="1"/>
    </xf>
    <xf numFmtId="49" fontId="32" fillId="4" borderId="0" xfId="2" applyNumberFormat="1" applyFont="1" applyFill="1" applyAlignment="1">
      <alignment horizontal="center" vertical="center"/>
    </xf>
    <xf numFmtId="41" fontId="10" fillId="0" borderId="10" xfId="2" applyFont="1" applyFill="1" applyBorder="1" applyAlignment="1">
      <alignment vertical="center"/>
    </xf>
    <xf numFmtId="41" fontId="10" fillId="0" borderId="60" xfId="2" applyFont="1" applyFill="1" applyBorder="1" applyAlignment="1">
      <alignment vertical="center"/>
    </xf>
    <xf numFmtId="0" fontId="7" fillId="2" borderId="42" xfId="2" applyNumberFormat="1" applyFont="1" applyFill="1" applyBorder="1" applyAlignment="1">
      <alignment vertical="center"/>
    </xf>
    <xf numFmtId="0" fontId="7" fillId="2" borderId="57" xfId="2" applyNumberFormat="1" applyFont="1" applyFill="1" applyBorder="1" applyAlignment="1">
      <alignment horizontal="center" vertical="center" wrapText="1"/>
    </xf>
    <xf numFmtId="0" fontId="7" fillId="2" borderId="67" xfId="2" applyNumberFormat="1" applyFont="1" applyFill="1" applyBorder="1" applyAlignment="1">
      <alignment vertical="center"/>
    </xf>
    <xf numFmtId="0" fontId="7" fillId="2" borderId="70" xfId="2" applyNumberFormat="1" applyFont="1" applyFill="1" applyBorder="1" applyAlignment="1">
      <alignment horizontal="center" vertical="center"/>
    </xf>
    <xf numFmtId="0" fontId="7" fillId="2" borderId="71" xfId="2" applyNumberFormat="1" applyFont="1" applyFill="1" applyBorder="1" applyAlignment="1">
      <alignment horizontal="center" vertical="center"/>
    </xf>
    <xf numFmtId="177" fontId="10" fillId="0" borderId="42" xfId="2" applyNumberFormat="1" applyFont="1" applyFill="1" applyBorder="1" applyAlignment="1">
      <alignment vertical="center"/>
    </xf>
    <xf numFmtId="0" fontId="7" fillId="2" borderId="41" xfId="2" applyNumberFormat="1" applyFont="1" applyFill="1" applyBorder="1" applyAlignment="1">
      <alignment vertical="center"/>
    </xf>
    <xf numFmtId="41" fontId="8" fillId="0" borderId="0" xfId="2" applyFont="1" applyFill="1" applyAlignment="1">
      <alignment horizontal="center" vertical="center"/>
    </xf>
    <xf numFmtId="41" fontId="10" fillId="4" borderId="0" xfId="2" applyFont="1" applyFill="1" applyAlignment="1">
      <alignment horizontal="center" vertical="center"/>
    </xf>
    <xf numFmtId="41" fontId="8" fillId="4" borderId="0" xfId="2" applyFont="1" applyFill="1" applyAlignment="1">
      <alignment horizontal="center" vertical="center"/>
    </xf>
    <xf numFmtId="177" fontId="10" fillId="4" borderId="0" xfId="2" applyNumberFormat="1" applyFont="1" applyFill="1" applyAlignment="1">
      <alignment horizontal="center" vertical="center"/>
    </xf>
    <xf numFmtId="0" fontId="8" fillId="4" borderId="0" xfId="0" applyNumberFormat="1" applyFont="1" applyFill="1" applyAlignment="1">
      <alignment horizontal="center" vertical="center"/>
    </xf>
    <xf numFmtId="0" fontId="8" fillId="4" borderId="0" xfId="2" applyNumberFormat="1" applyFont="1" applyFill="1" applyAlignment="1">
      <alignment horizontal="center" vertical="center"/>
    </xf>
    <xf numFmtId="177" fontId="8" fillId="4" borderId="0" xfId="2" applyNumberFormat="1" applyFont="1" applyFill="1" applyAlignment="1">
      <alignment horizontal="center" vertical="center"/>
    </xf>
    <xf numFmtId="176" fontId="8" fillId="3" borderId="59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vertical="center"/>
    </xf>
    <xf numFmtId="41" fontId="8" fillId="0" borderId="0" xfId="2" applyFont="1" applyFill="1" applyBorder="1" applyAlignment="1">
      <alignment vertical="center"/>
    </xf>
    <xf numFmtId="41" fontId="10" fillId="0" borderId="11" xfId="2" applyFont="1" applyFill="1" applyBorder="1" applyAlignment="1">
      <alignment vertical="center"/>
    </xf>
    <xf numFmtId="41" fontId="32" fillId="4" borderId="0" xfId="2" applyFont="1" applyFill="1" applyBorder="1" applyAlignment="1">
      <alignment vertical="center"/>
    </xf>
    <xf numFmtId="178" fontId="10" fillId="3" borderId="54" xfId="2" applyNumberFormat="1" applyFont="1" applyFill="1" applyBorder="1" applyAlignment="1">
      <alignment horizontal="center" vertical="center"/>
    </xf>
    <xf numFmtId="178" fontId="8" fillId="0" borderId="60" xfId="2" applyNumberFormat="1" applyFont="1" applyFill="1" applyBorder="1" applyAlignment="1">
      <alignment vertical="center"/>
    </xf>
    <xf numFmtId="0" fontId="56" fillId="0" borderId="0" xfId="0" applyNumberFormat="1" applyFont="1" applyAlignment="1">
      <alignment vertical="center"/>
    </xf>
    <xf numFmtId="0" fontId="56" fillId="4" borderId="0" xfId="2" applyNumberFormat="1" applyFont="1" applyFill="1" applyAlignment="1">
      <alignment vertical="center"/>
    </xf>
    <xf numFmtId="41" fontId="10" fillId="0" borderId="59" xfId="2" applyFont="1" applyFill="1" applyBorder="1" applyAlignment="1">
      <alignment vertical="center"/>
    </xf>
    <xf numFmtId="176" fontId="10" fillId="0" borderId="51" xfId="2" applyNumberFormat="1" applyFont="1" applyFill="1" applyBorder="1" applyAlignment="1">
      <alignment horizontal="right" vertical="center"/>
    </xf>
    <xf numFmtId="41" fontId="10" fillId="3" borderId="59" xfId="2" applyFont="1" applyFill="1" applyBorder="1" applyAlignment="1">
      <alignment vertical="center"/>
    </xf>
    <xf numFmtId="41" fontId="10" fillId="3" borderId="51" xfId="2" applyFont="1" applyFill="1" applyBorder="1" applyAlignment="1">
      <alignment horizontal="right" vertical="center"/>
    </xf>
    <xf numFmtId="41" fontId="10" fillId="3" borderId="54" xfId="2" applyFont="1" applyFill="1" applyBorder="1" applyAlignment="1">
      <alignment vertical="center"/>
    </xf>
    <xf numFmtId="41" fontId="8" fillId="0" borderId="53" xfId="2" applyFont="1" applyFill="1" applyBorder="1" applyAlignment="1">
      <alignment vertical="center"/>
    </xf>
    <xf numFmtId="41" fontId="8" fillId="0" borderId="51" xfId="2" applyFont="1" applyFill="1" applyBorder="1" applyAlignment="1">
      <alignment vertical="center"/>
    </xf>
    <xf numFmtId="177" fontId="8" fillId="0" borderId="54" xfId="2" applyNumberFormat="1" applyFont="1" applyFill="1" applyBorder="1" applyAlignment="1">
      <alignment vertical="center"/>
    </xf>
    <xf numFmtId="41" fontId="8" fillId="0" borderId="55" xfId="2" applyFont="1" applyFill="1" applyBorder="1" applyAlignment="1">
      <alignment vertical="center"/>
    </xf>
    <xf numFmtId="41" fontId="10" fillId="0" borderId="55" xfId="2" applyFont="1" applyFill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7" fillId="2" borderId="22" xfId="2" applyNumberFormat="1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0" fontId="7" fillId="2" borderId="56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left" vertical="center"/>
    </xf>
    <xf numFmtId="0" fontId="7" fillId="2" borderId="0" xfId="2" applyNumberFormat="1" applyFont="1" applyFill="1" applyBorder="1" applyAlignment="1">
      <alignment horizontal="right" vertical="center"/>
    </xf>
    <xf numFmtId="0" fontId="7" fillId="2" borderId="58" xfId="2" applyNumberFormat="1" applyFont="1" applyFill="1" applyBorder="1" applyAlignment="1">
      <alignment horizontal="right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center" vertical="center"/>
    </xf>
    <xf numFmtId="0" fontId="10" fillId="0" borderId="51" xfId="2" applyNumberFormat="1" applyFont="1" applyFill="1" applyBorder="1" applyAlignment="1">
      <alignment horizontal="center" vertical="center"/>
    </xf>
    <xf numFmtId="0" fontId="8" fillId="3" borderId="54" xfId="2" applyNumberFormat="1" applyFont="1" applyFill="1" applyBorder="1" applyAlignment="1">
      <alignment horizontal="center" vertical="center"/>
    </xf>
    <xf numFmtId="41" fontId="8" fillId="0" borderId="60" xfId="2" applyFont="1" applyFill="1" applyBorder="1" applyAlignment="1">
      <alignment vertical="center"/>
    </xf>
    <xf numFmtId="177" fontId="8" fillId="0" borderId="51" xfId="2" applyNumberFormat="1" applyFont="1" applyFill="1" applyBorder="1" applyAlignment="1">
      <alignment vertical="center"/>
    </xf>
    <xf numFmtId="176" fontId="8" fillId="0" borderId="0" xfId="2" applyNumberFormat="1" applyFont="1" applyFill="1" applyBorder="1" applyAlignment="1">
      <alignment horizontal="right" vertical="center"/>
    </xf>
    <xf numFmtId="41" fontId="10" fillId="3" borderId="51" xfId="2" applyFont="1" applyFill="1" applyBorder="1" applyAlignment="1">
      <alignment horizontal="center" vertical="center"/>
    </xf>
    <xf numFmtId="176" fontId="8" fillId="0" borderId="60" xfId="2" applyNumberFormat="1" applyFont="1" applyFill="1" applyBorder="1" applyAlignment="1">
      <alignment vertical="center"/>
    </xf>
    <xf numFmtId="41" fontId="10" fillId="0" borderId="51" xfId="2" applyFont="1" applyFill="1" applyBorder="1" applyAlignment="1">
      <alignment horizontal="center" vertical="center"/>
    </xf>
    <xf numFmtId="184" fontId="10" fillId="4" borderId="0" xfId="2" applyNumberFormat="1" applyFont="1" applyFill="1" applyAlignment="1">
      <alignment vertical="center"/>
    </xf>
    <xf numFmtId="0" fontId="10" fillId="3" borderId="60" xfId="2" applyNumberFormat="1" applyFont="1" applyFill="1" applyBorder="1" applyAlignment="1">
      <alignment horizontal="center" vertical="center"/>
    </xf>
    <xf numFmtId="178" fontId="10" fillId="0" borderId="14" xfId="2" applyNumberFormat="1" applyFont="1" applyFill="1" applyBorder="1" applyAlignment="1">
      <alignment vertical="center"/>
    </xf>
    <xf numFmtId="178" fontId="10" fillId="0" borderId="35" xfId="2" applyNumberFormat="1" applyFont="1" applyFill="1" applyBorder="1" applyAlignment="1">
      <alignment vertical="center"/>
    </xf>
    <xf numFmtId="41" fontId="10" fillId="0" borderId="75" xfId="2" applyFont="1" applyFill="1" applyBorder="1" applyAlignment="1">
      <alignment vertical="center"/>
    </xf>
    <xf numFmtId="41" fontId="10" fillId="0" borderId="0" xfId="2" applyFont="1" applyFill="1" applyAlignment="1">
      <alignment horizontal="center" vertical="center"/>
    </xf>
    <xf numFmtId="41" fontId="10" fillId="0" borderId="42" xfId="2" applyFont="1" applyFill="1" applyBorder="1" applyAlignment="1">
      <alignment horizontal="right" vertical="center"/>
    </xf>
    <xf numFmtId="41" fontId="8" fillId="0" borderId="42" xfId="2" applyFont="1" applyFill="1" applyBorder="1" applyAlignment="1">
      <alignment horizontal="right" vertical="center"/>
    </xf>
    <xf numFmtId="41" fontId="10" fillId="0" borderId="53" xfId="2" applyFont="1" applyFill="1" applyBorder="1" applyAlignment="1">
      <alignment horizontal="right" vertical="center"/>
    </xf>
    <xf numFmtId="41" fontId="10" fillId="0" borderId="51" xfId="2" applyFont="1" applyFill="1" applyBorder="1" applyAlignment="1">
      <alignment horizontal="right" vertical="center"/>
    </xf>
    <xf numFmtId="176" fontId="10" fillId="0" borderId="0" xfId="2" applyNumberFormat="1" applyFont="1" applyFill="1" applyBorder="1" applyAlignment="1">
      <alignment vertical="center"/>
    </xf>
    <xf numFmtId="41" fontId="10" fillId="0" borderId="0" xfId="2" applyFont="1" applyFill="1" applyBorder="1" applyAlignment="1">
      <alignment horizontal="center" vertical="center"/>
    </xf>
    <xf numFmtId="176" fontId="10" fillId="0" borderId="8" xfId="2" applyNumberFormat="1" applyFont="1" applyFill="1" applyBorder="1" applyAlignment="1">
      <alignment horizontal="right" vertical="center"/>
    </xf>
    <xf numFmtId="176" fontId="10" fillId="0" borderId="6" xfId="2" applyNumberFormat="1" applyFont="1" applyFill="1" applyBorder="1" applyAlignment="1">
      <alignment vertical="center"/>
    </xf>
    <xf numFmtId="176" fontId="10" fillId="0" borderId="14" xfId="2" applyNumberFormat="1" applyFont="1" applyFill="1" applyBorder="1" applyAlignment="1">
      <alignment vertical="center"/>
    </xf>
    <xf numFmtId="185" fontId="25" fillId="0" borderId="0" xfId="2" applyNumberFormat="1" applyFont="1" applyFill="1" applyAlignment="1">
      <alignment vertical="center"/>
    </xf>
    <xf numFmtId="176" fontId="8" fillId="0" borderId="8" xfId="2" applyNumberFormat="1" applyFont="1" applyFill="1" applyBorder="1" applyAlignment="1">
      <alignment vertical="center"/>
    </xf>
    <xf numFmtId="185" fontId="10" fillId="0" borderId="0" xfId="2" applyNumberFormat="1" applyFont="1" applyFill="1" applyAlignment="1">
      <alignment vertical="center"/>
    </xf>
    <xf numFmtId="41" fontId="10" fillId="0" borderId="8" xfId="2" applyFont="1" applyFill="1" applyBorder="1" applyAlignment="1">
      <alignment horizontal="center" vertical="center"/>
    </xf>
    <xf numFmtId="0" fontId="25" fillId="4" borderId="7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right" vertical="center"/>
    </xf>
    <xf numFmtId="0" fontId="10" fillId="0" borderId="0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41" fontId="63" fillId="4" borderId="0" xfId="2" applyFont="1" applyFill="1" applyAlignment="1">
      <alignment horizontal="center" vertical="center"/>
    </xf>
    <xf numFmtId="0" fontId="63" fillId="0" borderId="17" xfId="2" applyNumberFormat="1" applyFont="1" applyFill="1" applyBorder="1" applyAlignment="1">
      <alignment horizontal="center" vertical="center"/>
    </xf>
    <xf numFmtId="41" fontId="63" fillId="0" borderId="17" xfId="2" applyFont="1" applyFill="1" applyBorder="1" applyAlignment="1">
      <alignment horizontal="center" vertical="center"/>
    </xf>
    <xf numFmtId="182" fontId="63" fillId="0" borderId="17" xfId="2" applyNumberFormat="1" applyFont="1" applyFill="1" applyBorder="1" applyAlignment="1">
      <alignment horizontal="center" vertical="center"/>
    </xf>
    <xf numFmtId="41" fontId="10" fillId="0" borderId="77" xfId="2" applyFont="1" applyFill="1" applyBorder="1" applyAlignment="1">
      <alignment horizontal="center" vertical="center"/>
    </xf>
    <xf numFmtId="176" fontId="10" fillId="0" borderId="0" xfId="2" applyNumberFormat="1" applyFont="1" applyFill="1" applyBorder="1" applyAlignment="1">
      <alignment vertical="center"/>
    </xf>
    <xf numFmtId="186" fontId="10" fillId="4" borderId="0" xfId="2" applyNumberFormat="1" applyFont="1" applyFill="1" applyAlignment="1">
      <alignment vertical="center"/>
    </xf>
    <xf numFmtId="182" fontId="25" fillId="4" borderId="0" xfId="2" applyNumberFormat="1" applyFont="1" applyFill="1" applyAlignment="1">
      <alignment vertical="center"/>
    </xf>
    <xf numFmtId="41" fontId="8" fillId="4" borderId="0" xfId="2" applyFont="1" applyFill="1" applyBorder="1" applyAlignment="1">
      <alignment horizontal="center" vertical="center"/>
    </xf>
    <xf numFmtId="177" fontId="8" fillId="4" borderId="0" xfId="2" applyNumberFormat="1" applyFont="1" applyFill="1" applyBorder="1" applyAlignment="1">
      <alignment horizontal="center" vertical="center"/>
    </xf>
    <xf numFmtId="177" fontId="10" fillId="4" borderId="0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Alignment="1">
      <alignment horizontal="left" vertical="center"/>
    </xf>
    <xf numFmtId="0" fontId="7" fillId="2" borderId="58" xfId="2" applyNumberFormat="1" applyFont="1" applyFill="1" applyBorder="1" applyAlignment="1">
      <alignment horizontal="right" vertical="center"/>
    </xf>
    <xf numFmtId="0" fontId="10" fillId="0" borderId="0" xfId="2" applyNumberFormat="1" applyFont="1" applyFill="1" applyBorder="1" applyAlignment="1">
      <alignment vertical="center" wrapText="1"/>
    </xf>
    <xf numFmtId="0" fontId="10" fillId="4" borderId="0" xfId="2" applyNumberFormat="1" applyFont="1" applyFill="1" applyBorder="1" applyAlignment="1">
      <alignment vertical="center" wrapText="1"/>
    </xf>
    <xf numFmtId="0" fontId="7" fillId="2" borderId="76" xfId="2" applyNumberFormat="1" applyFont="1" applyFill="1" applyBorder="1" applyAlignment="1">
      <alignment horizontal="center" vertical="center"/>
    </xf>
    <xf numFmtId="176" fontId="10" fillId="0" borderId="51" xfId="2" applyNumberFormat="1" applyFont="1" applyFill="1" applyBorder="1" applyAlignment="1">
      <alignment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176" fontId="10" fillId="0" borderId="51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41" fontId="10" fillId="0" borderId="60" xfId="2" applyNumberFormat="1" applyFont="1" applyFill="1" applyBorder="1" applyAlignment="1">
      <alignment horizontal="center" vertical="center"/>
    </xf>
    <xf numFmtId="0" fontId="7" fillId="2" borderId="76" xfId="2" applyNumberFormat="1" applyFont="1" applyFill="1" applyBorder="1" applyAlignment="1">
      <alignment horizontal="center" vertical="center" wrapText="1"/>
    </xf>
    <xf numFmtId="0" fontId="7" fillId="2" borderId="78" xfId="2" applyNumberFormat="1" applyFont="1" applyFill="1" applyBorder="1" applyAlignment="1">
      <alignment horizontal="center" vertical="center"/>
    </xf>
    <xf numFmtId="176" fontId="10" fillId="0" borderId="75" xfId="2" applyNumberFormat="1" applyFont="1" applyFill="1" applyBorder="1" applyAlignment="1">
      <alignment vertical="center"/>
    </xf>
    <xf numFmtId="176" fontId="10" fillId="0" borderId="35" xfId="2" applyNumberFormat="1" applyFont="1" applyFill="1" applyBorder="1" applyAlignment="1">
      <alignment vertical="center"/>
    </xf>
    <xf numFmtId="0" fontId="28" fillId="0" borderId="0" xfId="0" applyNumberFormat="1" applyFont="1" applyAlignment="1">
      <alignment horizontal="left" vertical="center"/>
    </xf>
    <xf numFmtId="41" fontId="29" fillId="0" borderId="42" xfId="2" applyFont="1" applyFill="1" applyBorder="1" applyAlignment="1">
      <alignment vertical="center"/>
    </xf>
    <xf numFmtId="176" fontId="28" fillId="0" borderId="42" xfId="2" applyNumberFormat="1" applyFont="1" applyFill="1" applyBorder="1" applyAlignment="1">
      <alignment vertical="center"/>
    </xf>
    <xf numFmtId="176" fontId="28" fillId="0" borderId="0" xfId="2" applyNumberFormat="1" applyFont="1" applyFill="1" applyBorder="1" applyAlignment="1">
      <alignment vertical="center"/>
    </xf>
    <xf numFmtId="41" fontId="28" fillId="0" borderId="42" xfId="2" applyFont="1" applyFill="1" applyBorder="1" applyAlignment="1">
      <alignment vertical="center"/>
    </xf>
    <xf numFmtId="176" fontId="28" fillId="0" borderId="53" xfId="2" applyNumberFormat="1" applyFont="1" applyFill="1" applyBorder="1" applyAlignment="1">
      <alignment vertical="center"/>
    </xf>
    <xf numFmtId="176" fontId="28" fillId="0" borderId="51" xfId="2" applyNumberFormat="1" applyFont="1" applyFill="1" applyBorder="1" applyAlignment="1">
      <alignment vertical="center"/>
    </xf>
    <xf numFmtId="177" fontId="28" fillId="0" borderId="51" xfId="2" applyNumberFormat="1" applyFont="1" applyFill="1" applyBorder="1" applyAlignment="1">
      <alignment vertical="center"/>
    </xf>
    <xf numFmtId="0" fontId="10" fillId="4" borderId="0" xfId="2" applyNumberFormat="1" applyFont="1" applyFill="1" applyAlignment="1">
      <alignment horizontal="left" vertical="center"/>
    </xf>
    <xf numFmtId="0" fontId="10" fillId="0" borderId="0" xfId="2" applyNumberFormat="1" applyFont="1" applyFill="1" applyAlignment="1">
      <alignment vertical="center" wrapText="1"/>
    </xf>
    <xf numFmtId="0" fontId="7" fillId="2" borderId="57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0" fontId="10" fillId="3" borderId="8" xfId="2" applyNumberFormat="1" applyFont="1" applyFill="1" applyBorder="1" applyAlignment="1">
      <alignment horizontal="center" vertical="center"/>
    </xf>
    <xf numFmtId="41" fontId="32" fillId="0" borderId="0" xfId="2" applyFont="1" applyFill="1" applyBorder="1" applyAlignment="1">
      <alignment horizontal="center" vertical="center"/>
    </xf>
    <xf numFmtId="182" fontId="10" fillId="0" borderId="75" xfId="2" applyNumberFormat="1" applyFont="1" applyFill="1" applyBorder="1" applyAlignment="1">
      <alignment vertical="center"/>
    </xf>
    <xf numFmtId="182" fontId="10" fillId="0" borderId="51" xfId="2" applyNumberFormat="1" applyFont="1" applyFill="1" applyBorder="1" applyAlignment="1">
      <alignment vertical="center"/>
    </xf>
    <xf numFmtId="182" fontId="10" fillId="0" borderId="54" xfId="2" applyNumberFormat="1" applyFont="1" applyFill="1" applyBorder="1" applyAlignment="1">
      <alignment vertical="center"/>
    </xf>
    <xf numFmtId="0" fontId="53" fillId="4" borderId="0" xfId="2" applyNumberFormat="1" applyFont="1" applyFill="1" applyAlignment="1">
      <alignment vertical="center"/>
    </xf>
    <xf numFmtId="0" fontId="64" fillId="0" borderId="0" xfId="0" applyFont="1">
      <alignment vertical="center"/>
    </xf>
    <xf numFmtId="0" fontId="1" fillId="0" borderId="0" xfId="2322">
      <alignment vertical="center"/>
    </xf>
    <xf numFmtId="0" fontId="65" fillId="0" borderId="17" xfId="2322" applyFont="1" applyBorder="1" applyAlignment="1">
      <alignment horizontal="center" vertical="center"/>
    </xf>
    <xf numFmtId="0" fontId="66" fillId="0" borderId="17" xfId="2322" applyFont="1" applyBorder="1" applyAlignment="1">
      <alignment horizontal="center" vertical="center"/>
    </xf>
    <xf numFmtId="0" fontId="67" fillId="0" borderId="17" xfId="2322" applyFont="1" applyBorder="1">
      <alignment vertical="center"/>
    </xf>
    <xf numFmtId="0" fontId="67" fillId="0" borderId="17" xfId="2322" applyFont="1" applyBorder="1" applyAlignment="1">
      <alignment vertical="center"/>
    </xf>
    <xf numFmtId="0" fontId="66" fillId="0" borderId="0" xfId="2322" applyFont="1" applyAlignment="1">
      <alignment horizontal="center" vertical="center"/>
    </xf>
    <xf numFmtId="0" fontId="67" fillId="0" borderId="0" xfId="2322" applyFont="1">
      <alignment vertical="center"/>
    </xf>
    <xf numFmtId="0" fontId="67" fillId="0" borderId="0" xfId="2322" applyFont="1" applyAlignment="1">
      <alignment vertical="center"/>
    </xf>
    <xf numFmtId="0" fontId="10" fillId="0" borderId="0" xfId="0" applyFont="1" applyFill="1" applyBorder="1" applyAlignment="1">
      <alignment vertical="center"/>
    </xf>
    <xf numFmtId="49" fontId="10" fillId="0" borderId="0" xfId="2" applyNumberFormat="1" applyFont="1" applyFill="1" applyAlignment="1">
      <alignment horizontal="center" vertical="center"/>
    </xf>
    <xf numFmtId="41" fontId="10" fillId="4" borderId="17" xfId="2" applyFont="1" applyFill="1" applyBorder="1" applyAlignment="1">
      <alignment horizontal="center" vertical="center"/>
    </xf>
    <xf numFmtId="41" fontId="10" fillId="0" borderId="17" xfId="2" applyFont="1" applyFill="1" applyBorder="1" applyAlignment="1">
      <alignment horizontal="center" vertical="center"/>
    </xf>
    <xf numFmtId="49" fontId="10" fillId="0" borderId="17" xfId="2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0" fontId="7" fillId="2" borderId="76" xfId="2" applyNumberFormat="1" applyFont="1" applyFill="1" applyBorder="1" applyAlignment="1">
      <alignment horizontal="center" vertical="center"/>
    </xf>
    <xf numFmtId="41" fontId="10" fillId="0" borderId="73" xfId="2" applyFont="1" applyFill="1" applyBorder="1" applyAlignment="1">
      <alignment vertical="center"/>
    </xf>
    <xf numFmtId="0" fontId="7" fillId="2" borderId="83" xfId="2" applyNumberFormat="1" applyFont="1" applyFill="1" applyBorder="1" applyAlignment="1">
      <alignment horizontal="right" vertical="center"/>
    </xf>
    <xf numFmtId="0" fontId="7" fillId="2" borderId="84" xfId="2" applyNumberFormat="1" applyFont="1" applyFill="1" applyBorder="1" applyAlignment="1">
      <alignment horizontal="right" vertical="center"/>
    </xf>
    <xf numFmtId="0" fontId="7" fillId="2" borderId="82" xfId="2" applyNumberFormat="1" applyFont="1" applyFill="1" applyBorder="1" applyAlignment="1">
      <alignment horizontal="center" vertical="center"/>
    </xf>
    <xf numFmtId="41" fontId="69" fillId="0" borderId="10" xfId="2" applyFont="1" applyFill="1" applyBorder="1" applyAlignment="1">
      <alignment horizontal="center" vertical="center"/>
    </xf>
    <xf numFmtId="41" fontId="69" fillId="0" borderId="42" xfId="2" applyFont="1" applyFill="1" applyBorder="1" applyAlignment="1">
      <alignment horizontal="center" vertical="center"/>
    </xf>
    <xf numFmtId="41" fontId="69" fillId="0" borderId="59" xfId="2" applyFont="1" applyFill="1" applyBorder="1" applyAlignment="1">
      <alignment horizontal="center" vertical="center"/>
    </xf>
    <xf numFmtId="41" fontId="69" fillId="0" borderId="0" xfId="2" applyFont="1" applyFill="1" applyBorder="1" applyAlignment="1">
      <alignment horizontal="center" vertical="center"/>
    </xf>
    <xf numFmtId="41" fontId="70" fillId="0" borderId="60" xfId="2" applyFont="1" applyFill="1" applyBorder="1" applyAlignment="1">
      <alignment horizontal="center" vertical="center"/>
    </xf>
    <xf numFmtId="41" fontId="70" fillId="0" borderId="35" xfId="2" applyFont="1" applyFill="1" applyBorder="1" applyAlignment="1">
      <alignment horizontal="center" vertical="center"/>
    </xf>
    <xf numFmtId="41" fontId="70" fillId="0" borderId="73" xfId="2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0" fontId="7" fillId="2" borderId="56" xfId="2" applyNumberFormat="1" applyFont="1" applyFill="1" applyBorder="1" applyAlignment="1">
      <alignment horizontal="center" vertical="center"/>
    </xf>
    <xf numFmtId="176" fontId="10" fillId="0" borderId="0" xfId="2" applyNumberFormat="1" applyFont="1" applyFill="1" applyBorder="1" applyAlignment="1">
      <alignment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Alignment="1">
      <alignment horizontal="left" vertical="center" indent="2"/>
    </xf>
    <xf numFmtId="0" fontId="10" fillId="3" borderId="88" xfId="3" applyNumberFormat="1" applyFont="1" applyFill="1" applyBorder="1" applyAlignment="1">
      <alignment horizontal="center" vertical="center"/>
    </xf>
    <xf numFmtId="0" fontId="10" fillId="3" borderId="60" xfId="3" applyNumberFormat="1" applyFont="1" applyFill="1" applyBorder="1" applyAlignment="1">
      <alignment horizontal="center" vertical="center"/>
    </xf>
    <xf numFmtId="0" fontId="10" fillId="3" borderId="73" xfId="2" applyNumberFormat="1" applyFont="1" applyFill="1" applyBorder="1" applyAlignment="1">
      <alignment horizontal="center" vertical="center"/>
    </xf>
    <xf numFmtId="176" fontId="29" fillId="0" borderId="42" xfId="2" applyNumberFormat="1" applyFont="1" applyFill="1" applyBorder="1" applyAlignment="1">
      <alignment vertical="center"/>
    </xf>
    <xf numFmtId="176" fontId="29" fillId="0" borderId="0" xfId="2" applyNumberFormat="1" applyFont="1" applyFill="1" applyBorder="1" applyAlignment="1">
      <alignment vertical="center"/>
    </xf>
    <xf numFmtId="41" fontId="10" fillId="0" borderId="11" xfId="2" applyFont="1" applyFill="1" applyBorder="1" applyAlignment="1">
      <alignment horizontal="center" vertical="center"/>
    </xf>
    <xf numFmtId="41" fontId="10" fillId="0" borderId="75" xfId="2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vertical="center" wrapText="1"/>
    </xf>
    <xf numFmtId="0" fontId="71" fillId="0" borderId="0" xfId="0" applyFont="1" applyAlignment="1">
      <alignment vertical="center"/>
    </xf>
    <xf numFmtId="0" fontId="29" fillId="4" borderId="0" xfId="2" applyNumberFormat="1" applyFont="1" applyFill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right" vertical="center"/>
    </xf>
    <xf numFmtId="0" fontId="7" fillId="2" borderId="76" xfId="2" applyNumberFormat="1" applyFont="1" applyFill="1" applyBorder="1" applyAlignment="1">
      <alignment horizontal="center" vertical="center"/>
    </xf>
    <xf numFmtId="0" fontId="10" fillId="3" borderId="88" xfId="0" applyNumberFormat="1" applyFont="1" applyFill="1" applyBorder="1" applyAlignment="1">
      <alignment horizontal="center" vertical="center"/>
    </xf>
    <xf numFmtId="0" fontId="10" fillId="3" borderId="91" xfId="0" applyNumberFormat="1" applyFont="1" applyFill="1" applyBorder="1" applyAlignment="1">
      <alignment horizontal="center" vertical="center"/>
    </xf>
    <xf numFmtId="0" fontId="10" fillId="3" borderId="88" xfId="2" applyNumberFormat="1" applyFont="1" applyFill="1" applyBorder="1" applyAlignment="1">
      <alignment horizontal="center" vertical="center"/>
    </xf>
    <xf numFmtId="187" fontId="10" fillId="0" borderId="0" xfId="1" applyNumberFormat="1" applyFont="1" applyFill="1" applyBorder="1" applyAlignment="1">
      <alignment vertical="center"/>
    </xf>
    <xf numFmtId="0" fontId="7" fillId="2" borderId="92" xfId="2" applyNumberFormat="1" applyFont="1" applyFill="1" applyBorder="1" applyAlignment="1">
      <alignment horizontal="right" vertical="center"/>
    </xf>
    <xf numFmtId="0" fontId="10" fillId="4" borderId="0" xfId="2" applyNumberFormat="1" applyFont="1" applyFill="1" applyAlignment="1">
      <alignment horizontal="right" vertical="center"/>
    </xf>
    <xf numFmtId="0" fontId="7" fillId="2" borderId="97" xfId="2" applyNumberFormat="1" applyFont="1" applyFill="1" applyBorder="1" applyAlignment="1">
      <alignment vertical="center"/>
    </xf>
    <xf numFmtId="0" fontId="7" fillId="2" borderId="99" xfId="2" applyNumberFormat="1" applyFont="1" applyFill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41" fontId="8" fillId="0" borderId="88" xfId="2" applyFont="1" applyFill="1" applyBorder="1" applyAlignment="1">
      <alignment horizontal="center" vertical="center"/>
    </xf>
    <xf numFmtId="41" fontId="10" fillId="0" borderId="59" xfId="2" applyFont="1" applyFill="1" applyBorder="1" applyAlignment="1">
      <alignment horizontal="center" vertical="center"/>
    </xf>
    <xf numFmtId="176" fontId="10" fillId="0" borderId="0" xfId="2" applyNumberFormat="1" applyFont="1" applyFill="1" applyBorder="1" applyAlignment="1">
      <alignment vertical="center"/>
    </xf>
    <xf numFmtId="41" fontId="10" fillId="4" borderId="0" xfId="2" applyNumberFormat="1" applyFont="1" applyFill="1" applyBorder="1" applyAlignment="1">
      <alignment vertical="center"/>
    </xf>
    <xf numFmtId="176" fontId="10" fillId="0" borderId="51" xfId="2" applyNumberFormat="1" applyFont="1" applyFill="1" applyBorder="1" applyAlignment="1">
      <alignment vertical="center"/>
    </xf>
    <xf numFmtId="176" fontId="10" fillId="0" borderId="54" xfId="2" applyNumberFormat="1" applyFont="1" applyFill="1" applyBorder="1" applyAlignment="1">
      <alignment vertical="center"/>
    </xf>
    <xf numFmtId="41" fontId="73" fillId="0" borderId="10" xfId="2" applyFont="1" applyFill="1" applyBorder="1" applyAlignment="1">
      <alignment horizontal="center" vertical="center"/>
    </xf>
    <xf numFmtId="41" fontId="73" fillId="0" borderId="42" xfId="2" applyFont="1" applyFill="1" applyBorder="1" applyAlignment="1">
      <alignment horizontal="center" vertical="center"/>
    </xf>
    <xf numFmtId="41" fontId="73" fillId="0" borderId="87" xfId="2" applyFont="1" applyFill="1" applyBorder="1" applyAlignment="1">
      <alignment horizontal="center" vertical="center"/>
    </xf>
    <xf numFmtId="41" fontId="73" fillId="0" borderId="59" xfId="2" applyFont="1" applyFill="1" applyBorder="1" applyAlignment="1">
      <alignment horizontal="center" vertical="center"/>
    </xf>
    <xf numFmtId="188" fontId="10" fillId="4" borderId="0" xfId="2" applyNumberFormat="1" applyFont="1" applyFill="1" applyAlignment="1">
      <alignment vertical="center"/>
    </xf>
    <xf numFmtId="176" fontId="8" fillId="0" borderId="51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10" fillId="3" borderId="35" xfId="2" applyNumberFormat="1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176" fontId="10" fillId="0" borderId="0" xfId="2" applyNumberFormat="1" applyFont="1" applyFill="1" applyBorder="1" applyAlignment="1">
      <alignment vertical="center"/>
    </xf>
    <xf numFmtId="41" fontId="10" fillId="0" borderId="0" xfId="2" applyFont="1" applyFill="1" applyBorder="1" applyAlignment="1">
      <alignment horizontal="center" vertical="center"/>
    </xf>
    <xf numFmtId="176" fontId="10" fillId="0" borderId="0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7" fillId="2" borderId="76" xfId="2" applyNumberFormat="1" applyFont="1" applyFill="1" applyBorder="1" applyAlignment="1">
      <alignment horizontal="center" vertical="center"/>
    </xf>
    <xf numFmtId="176" fontId="10" fillId="0" borderId="51" xfId="2" applyNumberFormat="1" applyFont="1" applyFill="1" applyBorder="1" applyAlignment="1">
      <alignment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7" fillId="2" borderId="78" xfId="2" applyNumberFormat="1" applyFont="1" applyFill="1" applyBorder="1" applyAlignment="1">
      <alignment horizontal="center" vertical="center"/>
    </xf>
    <xf numFmtId="0" fontId="53" fillId="0" borderId="0" xfId="0" applyNumberFormat="1" applyFont="1" applyAlignment="1">
      <alignment vertical="center"/>
    </xf>
    <xf numFmtId="0" fontId="7" fillId="2" borderId="101" xfId="2" applyNumberFormat="1" applyFont="1" applyFill="1" applyBorder="1" applyAlignment="1">
      <alignment horizontal="right" vertical="center"/>
    </xf>
    <xf numFmtId="41" fontId="8" fillId="0" borderId="106" xfId="2" applyFont="1" applyFill="1" applyBorder="1" applyAlignment="1">
      <alignment vertical="center"/>
    </xf>
    <xf numFmtId="176" fontId="10" fillId="3" borderId="35" xfId="2" applyNumberFormat="1" applyFont="1" applyFill="1" applyBorder="1" applyAlignment="1">
      <alignment horizontal="center" vertical="center"/>
    </xf>
    <xf numFmtId="41" fontId="8" fillId="0" borderId="74" xfId="2" applyFont="1" applyFill="1" applyBorder="1" applyAlignment="1">
      <alignment vertical="center"/>
    </xf>
    <xf numFmtId="176" fontId="8" fillId="0" borderId="74" xfId="2" applyNumberFormat="1" applyFont="1" applyFill="1" applyBorder="1" applyAlignment="1">
      <alignment vertical="center"/>
    </xf>
    <xf numFmtId="183" fontId="10" fillId="0" borderId="35" xfId="2" applyNumberFormat="1" applyFont="1" applyFill="1" applyBorder="1" applyAlignment="1">
      <alignment vertical="center"/>
    </xf>
    <xf numFmtId="0" fontId="10" fillId="5" borderId="106" xfId="2" applyNumberFormat="1" applyFont="1" applyFill="1" applyBorder="1" applyAlignment="1">
      <alignment horizontal="center" vertical="center"/>
    </xf>
    <xf numFmtId="41" fontId="10" fillId="0" borderId="7" xfId="2" applyFont="1" applyFill="1" applyBorder="1" applyAlignment="1">
      <alignment vertical="center"/>
    </xf>
    <xf numFmtId="0" fontId="10" fillId="5" borderId="108" xfId="2" applyNumberFormat="1" applyFont="1" applyFill="1" applyBorder="1" applyAlignment="1">
      <alignment horizontal="center" vertical="center"/>
    </xf>
    <xf numFmtId="41" fontId="8" fillId="0" borderId="108" xfId="2" applyFont="1" applyFill="1" applyBorder="1" applyAlignment="1">
      <alignment vertical="center"/>
    </xf>
    <xf numFmtId="178" fontId="8" fillId="0" borderId="106" xfId="2" applyNumberFormat="1" applyFont="1" applyFill="1" applyBorder="1" applyAlignment="1">
      <alignment vertical="center"/>
    </xf>
    <xf numFmtId="0" fontId="10" fillId="5" borderId="74" xfId="2" applyNumberFormat="1" applyFont="1" applyFill="1" applyBorder="1" applyAlignment="1">
      <alignment horizontal="center" vertical="center"/>
    </xf>
    <xf numFmtId="41" fontId="8" fillId="0" borderId="109" xfId="2" applyFont="1" applyFill="1" applyBorder="1" applyAlignment="1">
      <alignment vertical="center"/>
    </xf>
    <xf numFmtId="41" fontId="10" fillId="0" borderId="109" xfId="2" applyFont="1" applyFill="1" applyBorder="1" applyAlignment="1">
      <alignment vertical="center"/>
    </xf>
    <xf numFmtId="0" fontId="74" fillId="0" borderId="0" xfId="2" applyNumberFormat="1" applyFont="1" applyFill="1" applyAlignment="1">
      <alignment vertical="center"/>
    </xf>
    <xf numFmtId="0" fontId="74" fillId="0" borderId="0" xfId="2" applyNumberFormat="1" applyFont="1" applyFill="1" applyAlignment="1">
      <alignment vertical="center" wrapText="1"/>
    </xf>
    <xf numFmtId="0" fontId="28" fillId="0" borderId="0" xfId="2" applyNumberFormat="1" applyFont="1" applyFill="1" applyAlignment="1">
      <alignment vertical="center"/>
    </xf>
    <xf numFmtId="176" fontId="10" fillId="0" borderId="51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0" fontId="10" fillId="4" borderId="0" xfId="2" applyNumberFormat="1" applyFont="1" applyFill="1" applyBorder="1" applyAlignment="1">
      <alignment horizontal="left" vertical="center"/>
    </xf>
    <xf numFmtId="176" fontId="10" fillId="0" borderId="51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177" fontId="10" fillId="0" borderId="0" xfId="2" applyNumberFormat="1" applyFont="1" applyFill="1" applyAlignment="1">
      <alignment horizontal="center" vertical="center"/>
    </xf>
    <xf numFmtId="41" fontId="10" fillId="4" borderId="17" xfId="2" applyFont="1" applyFill="1" applyBorder="1" applyAlignment="1">
      <alignment vertical="center"/>
    </xf>
    <xf numFmtId="49" fontId="10" fillId="4" borderId="0" xfId="2" applyNumberFormat="1" applyFont="1" applyFill="1" applyBorder="1" applyAlignment="1">
      <alignment horizontal="center" vertical="center"/>
    </xf>
    <xf numFmtId="41" fontId="10" fillId="0" borderId="0" xfId="2" applyFont="1" applyBorder="1" applyAlignment="1">
      <alignment horizontal="center" vertical="center"/>
    </xf>
    <xf numFmtId="49" fontId="10" fillId="4" borderId="17" xfId="2" applyNumberFormat="1" applyFont="1" applyFill="1" applyBorder="1" applyAlignment="1">
      <alignment horizontal="center" vertical="center"/>
    </xf>
    <xf numFmtId="49" fontId="10" fillId="4" borderId="60" xfId="2" applyNumberFormat="1" applyFont="1" applyFill="1" applyBorder="1" applyAlignment="1">
      <alignment horizontal="center" vertical="center"/>
    </xf>
    <xf numFmtId="41" fontId="10" fillId="4" borderId="108" xfId="2" applyFont="1" applyFill="1" applyBorder="1" applyAlignment="1">
      <alignment horizontal="center" vertical="center"/>
    </xf>
    <xf numFmtId="41" fontId="10" fillId="4" borderId="60" xfId="2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vertical="center"/>
    </xf>
    <xf numFmtId="41" fontId="10" fillId="4" borderId="0" xfId="2" applyFont="1" applyFill="1" applyAlignment="1">
      <alignment horizontal="left" vertical="center"/>
    </xf>
    <xf numFmtId="177" fontId="8" fillId="4" borderId="0" xfId="2" applyNumberFormat="1" applyFont="1" applyFill="1" applyAlignment="1">
      <alignment vertical="center"/>
    </xf>
    <xf numFmtId="49" fontId="10" fillId="4" borderId="0" xfId="2" applyNumberFormat="1" applyFont="1" applyFill="1" applyAlignment="1">
      <alignment horizontal="center" vertical="center"/>
    </xf>
    <xf numFmtId="184" fontId="10" fillId="4" borderId="0" xfId="0" applyNumberFormat="1" applyFont="1" applyFill="1" applyAlignment="1">
      <alignment vertical="center"/>
    </xf>
    <xf numFmtId="177" fontId="10" fillId="4" borderId="0" xfId="0" applyNumberFormat="1" applyFont="1" applyFill="1" applyAlignment="1">
      <alignment vertical="center"/>
    </xf>
    <xf numFmtId="41" fontId="10" fillId="4" borderId="0" xfId="2" applyNumberFormat="1" applyFont="1" applyFill="1" applyAlignment="1">
      <alignment horizontal="center" vertical="center"/>
    </xf>
    <xf numFmtId="41" fontId="10" fillId="4" borderId="17" xfId="2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0" fontId="7" fillId="2" borderId="101" xfId="2" applyNumberFormat="1" applyFont="1" applyFill="1" applyBorder="1" applyAlignment="1">
      <alignment horizontal="right" vertical="center"/>
    </xf>
    <xf numFmtId="176" fontId="10" fillId="0" borderId="51" xfId="2" applyNumberFormat="1" applyFont="1" applyFill="1" applyBorder="1" applyAlignment="1">
      <alignment vertical="center"/>
    </xf>
    <xf numFmtId="0" fontId="10" fillId="3" borderId="59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176" fontId="10" fillId="0" borderId="0" xfId="2" applyNumberFormat="1" applyFont="1" applyFill="1" applyBorder="1" applyAlignment="1">
      <alignment vertical="center"/>
    </xf>
    <xf numFmtId="0" fontId="7" fillId="2" borderId="111" xfId="2" applyNumberFormat="1" applyFont="1" applyFill="1" applyBorder="1" applyAlignment="1">
      <alignment horizontal="center" vertical="center"/>
    </xf>
    <xf numFmtId="0" fontId="7" fillId="2" borderId="112" xfId="2" applyNumberFormat="1" applyFont="1" applyFill="1" applyBorder="1" applyAlignment="1">
      <alignment horizontal="center" vertical="center"/>
    </xf>
    <xf numFmtId="177" fontId="29" fillId="0" borderId="59" xfId="2" applyNumberFormat="1" applyFont="1" applyFill="1" applyBorder="1" applyAlignment="1">
      <alignment vertical="center"/>
    </xf>
    <xf numFmtId="177" fontId="28" fillId="0" borderId="59" xfId="2" applyNumberFormat="1" applyFont="1" applyFill="1" applyBorder="1" applyAlignment="1">
      <alignment vertical="center"/>
    </xf>
    <xf numFmtId="41" fontId="28" fillId="0" borderId="51" xfId="2" applyFont="1" applyFill="1" applyBorder="1" applyAlignment="1">
      <alignment vertical="center"/>
    </xf>
    <xf numFmtId="41" fontId="28" fillId="0" borderId="53" xfId="2" applyFont="1" applyFill="1" applyBorder="1" applyAlignment="1">
      <alignment vertical="center"/>
    </xf>
    <xf numFmtId="0" fontId="7" fillId="2" borderId="57" xfId="2" applyNumberFormat="1" applyFont="1" applyFill="1" applyBorder="1" applyAlignment="1">
      <alignment horizontal="center" vertical="center"/>
    </xf>
    <xf numFmtId="41" fontId="10" fillId="0" borderId="17" xfId="2" applyFont="1" applyFill="1" applyBorder="1" applyAlignment="1">
      <alignment horizontal="center" vertical="center"/>
    </xf>
    <xf numFmtId="41" fontId="10" fillId="4" borderId="17" xfId="2" applyFont="1" applyFill="1" applyBorder="1" applyAlignment="1">
      <alignment horizontal="center" vertical="center"/>
    </xf>
    <xf numFmtId="41" fontId="10" fillId="0" borderId="17" xfId="2" applyFont="1" applyBorder="1" applyAlignment="1">
      <alignment horizontal="center" vertical="center"/>
    </xf>
    <xf numFmtId="0" fontId="10" fillId="3" borderId="0" xfId="2" applyNumberFormat="1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0" fontId="10" fillId="3" borderId="59" xfId="2" applyNumberFormat="1" applyFont="1" applyFill="1" applyBorder="1" applyAlignment="1">
      <alignment horizontal="center" vertical="center"/>
    </xf>
    <xf numFmtId="41" fontId="8" fillId="0" borderId="109" xfId="2" applyFont="1" applyFill="1" applyBorder="1" applyAlignment="1">
      <alignment horizontal="center" vertical="center"/>
    </xf>
    <xf numFmtId="0" fontId="10" fillId="3" borderId="113" xfId="2" applyNumberFormat="1" applyFont="1" applyFill="1" applyBorder="1" applyAlignment="1">
      <alignment horizontal="center" vertical="center"/>
    </xf>
    <xf numFmtId="41" fontId="10" fillId="0" borderId="114" xfId="2" applyFont="1" applyFill="1" applyBorder="1" applyAlignment="1">
      <alignment horizontal="center" vertical="center"/>
    </xf>
    <xf numFmtId="41" fontId="8" fillId="0" borderId="113" xfId="2" applyFont="1" applyFill="1" applyBorder="1" applyAlignment="1">
      <alignment horizontal="center" vertical="center"/>
    </xf>
    <xf numFmtId="41" fontId="8" fillId="0" borderId="114" xfId="2" applyFont="1" applyFill="1" applyBorder="1" applyAlignment="1">
      <alignment horizontal="center" vertical="center"/>
    </xf>
    <xf numFmtId="41" fontId="10" fillId="0" borderId="0" xfId="2" applyFont="1" applyFill="1" applyBorder="1" applyAlignment="1">
      <alignment horizontal="center" vertical="center"/>
    </xf>
    <xf numFmtId="176" fontId="10" fillId="0" borderId="0" xfId="2" applyNumberFormat="1" applyFont="1" applyFill="1" applyBorder="1" applyAlignment="1">
      <alignment vertical="center"/>
    </xf>
    <xf numFmtId="0" fontId="7" fillId="2" borderId="58" xfId="2" applyNumberFormat="1" applyFont="1" applyFill="1" applyBorder="1" applyAlignment="1">
      <alignment horizontal="right" vertical="center"/>
    </xf>
    <xf numFmtId="0" fontId="10" fillId="3" borderId="0" xfId="2" applyNumberFormat="1" applyFont="1" applyFill="1" applyBorder="1" applyAlignment="1">
      <alignment horizontal="center" vertical="center"/>
    </xf>
    <xf numFmtId="0" fontId="10" fillId="3" borderId="59" xfId="2" applyNumberFormat="1" applyFont="1" applyFill="1" applyBorder="1" applyAlignment="1">
      <alignment horizontal="center" vertical="center"/>
    </xf>
    <xf numFmtId="41" fontId="10" fillId="0" borderId="109" xfId="2" applyFont="1" applyFill="1" applyBorder="1" applyAlignment="1">
      <alignment horizontal="center" vertical="center"/>
    </xf>
    <xf numFmtId="177" fontId="29" fillId="0" borderId="113" xfId="2" applyNumberFormat="1" applyFont="1" applyFill="1" applyBorder="1" applyAlignment="1">
      <alignment vertical="center"/>
    </xf>
    <xf numFmtId="177" fontId="28" fillId="0" borderId="113" xfId="2" applyNumberFormat="1" applyFont="1" applyFill="1" applyBorder="1" applyAlignment="1">
      <alignment vertical="center"/>
    </xf>
    <xf numFmtId="177" fontId="28" fillId="0" borderId="114" xfId="2" applyNumberFormat="1" applyFont="1" applyFill="1" applyBorder="1" applyAlignment="1">
      <alignment vertical="center"/>
    </xf>
    <xf numFmtId="41" fontId="29" fillId="0" borderId="109" xfId="2" applyFont="1" applyFill="1" applyBorder="1" applyAlignment="1">
      <alignment vertical="center"/>
    </xf>
    <xf numFmtId="41" fontId="28" fillId="0" borderId="109" xfId="2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176" fontId="10" fillId="0" borderId="51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176" fontId="10" fillId="0" borderId="51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0" fontId="10" fillId="0" borderId="0" xfId="2" applyNumberFormat="1" applyFont="1" applyFill="1" applyBorder="1" applyAlignment="1">
      <alignment horizontal="center" vertical="center"/>
    </xf>
    <xf numFmtId="0" fontId="10" fillId="0" borderId="51" xfId="2" applyNumberFormat="1" applyFont="1" applyFill="1" applyBorder="1" applyAlignment="1">
      <alignment horizontal="center" vertical="center"/>
    </xf>
    <xf numFmtId="41" fontId="10" fillId="0" borderId="88" xfId="2" applyFont="1" applyFill="1" applyBorder="1" applyAlignment="1">
      <alignment vertical="center"/>
    </xf>
    <xf numFmtId="41" fontId="10" fillId="0" borderId="118" xfId="2" applyFont="1" applyFill="1" applyBorder="1" applyAlignment="1">
      <alignment vertical="center"/>
    </xf>
    <xf numFmtId="177" fontId="10" fillId="0" borderId="119" xfId="2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10" fillId="3" borderId="59" xfId="2" applyNumberFormat="1" applyFont="1" applyFill="1" applyBorder="1" applyAlignment="1">
      <alignment horizontal="center" vertical="center"/>
    </xf>
    <xf numFmtId="41" fontId="10" fillId="0" borderId="119" xfId="2" applyFont="1" applyFill="1" applyBorder="1" applyAlignment="1">
      <alignment vertical="center"/>
    </xf>
    <xf numFmtId="0" fontId="10" fillId="3" borderId="119" xfId="2" applyNumberFormat="1" applyFont="1" applyFill="1" applyBorder="1" applyAlignment="1">
      <alignment horizontal="center" vertical="center"/>
    </xf>
    <xf numFmtId="187" fontId="10" fillId="0" borderId="118" xfId="1" applyNumberFormat="1" applyFont="1" applyFill="1" applyBorder="1" applyAlignment="1">
      <alignment vertical="center"/>
    </xf>
    <xf numFmtId="41" fontId="8" fillId="0" borderId="88" xfId="2" applyFont="1" applyFill="1" applyBorder="1" applyAlignment="1">
      <alignment vertical="center"/>
    </xf>
    <xf numFmtId="41" fontId="10" fillId="0" borderId="0" xfId="2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horizontal="left" vertical="center"/>
    </xf>
    <xf numFmtId="41" fontId="10" fillId="52" borderId="0" xfId="2" applyFont="1" applyFill="1" applyBorder="1" applyAlignment="1">
      <alignment horizontal="center" vertical="center"/>
    </xf>
    <xf numFmtId="0" fontId="7" fillId="2" borderId="116" xfId="2" applyNumberFormat="1" applyFont="1" applyFill="1" applyBorder="1" applyAlignment="1">
      <alignment horizontal="center" vertical="center"/>
    </xf>
    <xf numFmtId="0" fontId="7" fillId="2" borderId="117" xfId="2" applyNumberFormat="1" applyFont="1" applyFill="1" applyBorder="1" applyAlignment="1">
      <alignment horizontal="center" vertical="center"/>
    </xf>
    <xf numFmtId="0" fontId="9" fillId="3" borderId="1" xfId="2" applyNumberFormat="1" applyFont="1" applyFill="1" applyBorder="1" applyAlignment="1">
      <alignment horizontal="center" vertical="center"/>
    </xf>
    <xf numFmtId="0" fontId="9" fillId="3" borderId="20" xfId="2" applyNumberFormat="1" applyFont="1" applyFill="1" applyBorder="1" applyAlignment="1">
      <alignment horizontal="center" vertical="center"/>
    </xf>
    <xf numFmtId="0" fontId="7" fillId="2" borderId="110" xfId="2" applyNumberFormat="1" applyFont="1" applyFill="1" applyBorder="1" applyAlignment="1">
      <alignment horizontal="center" vertical="center"/>
    </xf>
    <xf numFmtId="0" fontId="7" fillId="2" borderId="103" xfId="2" applyNumberFormat="1" applyFont="1" applyFill="1" applyBorder="1" applyAlignment="1">
      <alignment horizontal="center" vertical="center"/>
    </xf>
    <xf numFmtId="0" fontId="9" fillId="3" borderId="3" xfId="2" applyNumberFormat="1" applyFont="1" applyFill="1" applyBorder="1" applyAlignment="1">
      <alignment horizontal="center" vertical="center"/>
    </xf>
    <xf numFmtId="0" fontId="9" fillId="3" borderId="4" xfId="2" applyNumberFormat="1" applyFont="1" applyFill="1" applyBorder="1" applyAlignment="1">
      <alignment horizontal="center" vertical="center"/>
    </xf>
    <xf numFmtId="0" fontId="9" fillId="3" borderId="2" xfId="2" applyNumberFormat="1" applyFont="1" applyFill="1" applyBorder="1" applyAlignment="1">
      <alignment horizontal="center" vertical="center"/>
    </xf>
    <xf numFmtId="0" fontId="9" fillId="3" borderId="48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Alignment="1">
      <alignment vertical="center" wrapText="1"/>
    </xf>
    <xf numFmtId="0" fontId="8" fillId="3" borderId="2" xfId="2" applyNumberFormat="1" applyFont="1" applyFill="1" applyBorder="1" applyAlignment="1">
      <alignment horizontal="center" vertical="center"/>
    </xf>
    <xf numFmtId="0" fontId="8" fillId="3" borderId="1" xfId="2" applyNumberFormat="1" applyFont="1" applyFill="1" applyBorder="1" applyAlignment="1">
      <alignment horizontal="center" vertical="center"/>
    </xf>
    <xf numFmtId="0" fontId="8" fillId="3" borderId="20" xfId="2" applyNumberFormat="1" applyFont="1" applyFill="1" applyBorder="1" applyAlignment="1">
      <alignment horizontal="center" vertical="center"/>
    </xf>
    <xf numFmtId="0" fontId="10" fillId="5" borderId="2" xfId="2" applyNumberFormat="1" applyFont="1" applyFill="1" applyBorder="1" applyAlignment="1">
      <alignment horizontal="center" vertical="center"/>
    </xf>
    <xf numFmtId="0" fontId="10" fillId="3" borderId="1" xfId="2" applyNumberFormat="1" applyFont="1" applyFill="1" applyBorder="1" applyAlignment="1">
      <alignment horizontal="center" vertical="center"/>
    </xf>
    <xf numFmtId="0" fontId="7" fillId="2" borderId="64" xfId="2" applyNumberFormat="1" applyFont="1" applyFill="1" applyBorder="1" applyAlignment="1">
      <alignment horizontal="center" vertical="center"/>
    </xf>
    <xf numFmtId="0" fontId="7" fillId="2" borderId="62" xfId="2" applyNumberFormat="1" applyFont="1" applyFill="1" applyBorder="1" applyAlignment="1">
      <alignment horizontal="center" vertical="center"/>
    </xf>
    <xf numFmtId="0" fontId="7" fillId="2" borderId="63" xfId="2" applyNumberFormat="1" applyFont="1" applyFill="1" applyBorder="1" applyAlignment="1">
      <alignment horizontal="center" vertical="center"/>
    </xf>
    <xf numFmtId="0" fontId="8" fillId="3" borderId="47" xfId="2" applyNumberFormat="1" applyFont="1" applyFill="1" applyBorder="1" applyAlignment="1">
      <alignment horizontal="center" vertical="center"/>
    </xf>
    <xf numFmtId="0" fontId="10" fillId="3" borderId="2" xfId="2" applyNumberFormat="1" applyFont="1" applyFill="1" applyBorder="1" applyAlignment="1">
      <alignment horizontal="center" vertical="center"/>
    </xf>
    <xf numFmtId="0" fontId="10" fillId="5" borderId="20" xfId="2" applyNumberFormat="1" applyFont="1" applyFill="1" applyBorder="1" applyAlignment="1">
      <alignment horizontal="center" vertical="center"/>
    </xf>
    <xf numFmtId="0" fontId="8" fillId="3" borderId="61" xfId="2" applyNumberFormat="1" applyFont="1" applyFill="1" applyBorder="1" applyAlignment="1">
      <alignment horizontal="center" vertical="center"/>
    </xf>
    <xf numFmtId="0" fontId="8" fillId="3" borderId="63" xfId="2" applyNumberFormat="1" applyFont="1" applyFill="1" applyBorder="1" applyAlignment="1">
      <alignment horizontal="center" vertical="center"/>
    </xf>
    <xf numFmtId="0" fontId="8" fillId="3" borderId="64" xfId="2" applyNumberFormat="1" applyFont="1" applyFill="1" applyBorder="1" applyAlignment="1">
      <alignment horizontal="center" vertical="center"/>
    </xf>
    <xf numFmtId="0" fontId="10" fillId="4" borderId="0" xfId="2" applyNumberFormat="1" applyFont="1" applyFill="1" applyBorder="1" applyAlignment="1">
      <alignment horizontal="left" vertical="center"/>
    </xf>
    <xf numFmtId="0" fontId="7" fillId="2" borderId="22" xfId="2" applyNumberFormat="1" applyFont="1" applyFill="1" applyBorder="1" applyAlignment="1">
      <alignment horizontal="center" vertical="center"/>
    </xf>
    <xf numFmtId="0" fontId="7" fillId="2" borderId="40" xfId="2" applyNumberFormat="1" applyFont="1" applyFill="1" applyBorder="1" applyAlignment="1">
      <alignment horizontal="center" vertical="center"/>
    </xf>
    <xf numFmtId="41" fontId="10" fillId="4" borderId="17" xfId="2" applyFont="1" applyFill="1" applyBorder="1" applyAlignment="1">
      <alignment horizontal="center" vertical="center"/>
    </xf>
    <xf numFmtId="41" fontId="10" fillId="4" borderId="72" xfId="2" applyFont="1" applyFill="1" applyBorder="1" applyAlignment="1">
      <alignment horizontal="center" vertical="center"/>
    </xf>
    <xf numFmtId="0" fontId="7" fillId="2" borderId="22" xfId="2" applyNumberFormat="1" applyFont="1" applyFill="1" applyBorder="1" applyAlignment="1">
      <alignment horizontal="center" vertical="center" wrapText="1"/>
    </xf>
    <xf numFmtId="0" fontId="10" fillId="0" borderId="0" xfId="2" applyNumberFormat="1" applyFont="1" applyFill="1" applyAlignment="1">
      <alignment horizontal="left" vertical="center" wrapText="1"/>
    </xf>
    <xf numFmtId="0" fontId="7" fillId="2" borderId="62" xfId="2" applyNumberFormat="1" applyFont="1" applyFill="1" applyBorder="1" applyAlignment="1">
      <alignment horizontal="center" vertical="center" wrapText="1"/>
    </xf>
    <xf numFmtId="0" fontId="7" fillId="2" borderId="23" xfId="2" applyNumberFormat="1" applyFont="1" applyFill="1" applyBorder="1" applyAlignment="1">
      <alignment horizontal="center" vertical="center"/>
    </xf>
    <xf numFmtId="0" fontId="7" fillId="2" borderId="57" xfId="2" applyNumberFormat="1" applyFont="1" applyFill="1" applyBorder="1" applyAlignment="1">
      <alignment horizontal="center" vertical="center"/>
    </xf>
    <xf numFmtId="0" fontId="7" fillId="2" borderId="56" xfId="2" applyNumberFormat="1" applyFont="1" applyFill="1" applyBorder="1" applyAlignment="1">
      <alignment horizontal="center" vertical="center"/>
    </xf>
    <xf numFmtId="0" fontId="18" fillId="2" borderId="64" xfId="0" applyNumberFormat="1" applyFont="1" applyFill="1" applyBorder="1" applyAlignment="1">
      <alignment vertical="center"/>
    </xf>
    <xf numFmtId="0" fontId="10" fillId="3" borderId="0" xfId="2" applyNumberFormat="1" applyFont="1" applyFill="1" applyBorder="1" applyAlignment="1">
      <alignment horizontal="center" vertical="center"/>
    </xf>
    <xf numFmtId="0" fontId="8" fillId="3" borderId="0" xfId="2" applyNumberFormat="1" applyFont="1" applyFill="1" applyBorder="1" applyAlignment="1">
      <alignment horizontal="center" vertical="center"/>
    </xf>
    <xf numFmtId="0" fontId="10" fillId="3" borderId="16" xfId="2" applyNumberFormat="1" applyFont="1" applyFill="1" applyBorder="1" applyAlignment="1">
      <alignment horizontal="center" vertical="center"/>
    </xf>
    <xf numFmtId="0" fontId="10" fillId="3" borderId="50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left" vertical="center"/>
    </xf>
    <xf numFmtId="0" fontId="7" fillId="2" borderId="58" xfId="2" applyNumberFormat="1" applyFont="1" applyFill="1" applyBorder="1" applyAlignment="1">
      <alignment horizontal="left" vertical="center"/>
    </xf>
    <xf numFmtId="0" fontId="7" fillId="2" borderId="0" xfId="2" applyNumberFormat="1" applyFont="1" applyFill="1" applyBorder="1" applyAlignment="1">
      <alignment horizontal="right" vertical="center"/>
    </xf>
    <xf numFmtId="0" fontId="7" fillId="2" borderId="58" xfId="2" applyNumberFormat="1" applyFont="1" applyFill="1" applyBorder="1" applyAlignment="1">
      <alignment horizontal="right" vertical="center"/>
    </xf>
    <xf numFmtId="0" fontId="8" fillId="3" borderId="51" xfId="2" applyNumberFormat="1" applyFont="1" applyFill="1" applyBorder="1" applyAlignment="1">
      <alignment horizontal="center" vertical="center"/>
    </xf>
    <xf numFmtId="0" fontId="18" fillId="2" borderId="63" xfId="0" applyNumberFormat="1" applyFont="1" applyFill="1" applyBorder="1" applyAlignment="1">
      <alignment vertical="center"/>
    </xf>
    <xf numFmtId="0" fontId="10" fillId="3" borderId="8" xfId="2" applyNumberFormat="1" applyFont="1" applyFill="1" applyBorder="1" applyAlignment="1">
      <alignment horizontal="center" vertical="center"/>
    </xf>
    <xf numFmtId="0" fontId="10" fillId="3" borderId="19" xfId="2" applyNumberFormat="1" applyFont="1" applyFill="1" applyBorder="1" applyAlignment="1">
      <alignment horizontal="center" vertical="center"/>
    </xf>
    <xf numFmtId="0" fontId="8" fillId="3" borderId="15" xfId="2" applyNumberFormat="1" applyFont="1" applyFill="1" applyBorder="1" applyAlignment="1">
      <alignment horizontal="center" vertical="center"/>
    </xf>
    <xf numFmtId="0" fontId="8" fillId="3" borderId="7" xfId="2" applyNumberFormat="1" applyFont="1" applyFill="1" applyBorder="1" applyAlignment="1">
      <alignment horizontal="center" vertical="center"/>
    </xf>
    <xf numFmtId="0" fontId="10" fillId="3" borderId="17" xfId="2" applyNumberFormat="1" applyFont="1" applyFill="1" applyBorder="1" applyAlignment="1">
      <alignment horizontal="center" vertical="center" wrapText="1"/>
    </xf>
    <xf numFmtId="0" fontId="10" fillId="3" borderId="17" xfId="2" applyNumberFormat="1" applyFont="1" applyFill="1" applyBorder="1" applyAlignment="1">
      <alignment horizontal="center" vertical="center"/>
    </xf>
    <xf numFmtId="0" fontId="10" fillId="3" borderId="9" xfId="2" applyNumberFormat="1" applyFont="1" applyFill="1" applyBorder="1" applyAlignment="1">
      <alignment horizontal="center" vertical="center" wrapText="1"/>
    </xf>
    <xf numFmtId="0" fontId="10" fillId="3" borderId="5" xfId="2" applyNumberFormat="1" applyFont="1" applyFill="1" applyBorder="1" applyAlignment="1">
      <alignment horizontal="center" vertical="center"/>
    </xf>
    <xf numFmtId="0" fontId="10" fillId="3" borderId="6" xfId="2" applyNumberFormat="1" applyFont="1" applyFill="1" applyBorder="1" applyAlignment="1">
      <alignment horizontal="center" vertical="center"/>
    </xf>
    <xf numFmtId="0" fontId="10" fillId="3" borderId="34" xfId="2" applyNumberFormat="1" applyFont="1" applyFill="1" applyBorder="1" applyAlignment="1">
      <alignment horizontal="center" vertical="center" wrapText="1"/>
    </xf>
    <xf numFmtId="0" fontId="10" fillId="3" borderId="34" xfId="2" applyNumberFormat="1" applyFont="1" applyFill="1" applyBorder="1" applyAlignment="1">
      <alignment horizontal="center" vertical="center"/>
    </xf>
    <xf numFmtId="0" fontId="54" fillId="50" borderId="22" xfId="2" applyNumberFormat="1" applyFont="1" applyFill="1" applyBorder="1" applyAlignment="1">
      <alignment horizontal="center" vertical="center"/>
    </xf>
    <xf numFmtId="0" fontId="7" fillId="2" borderId="44" xfId="2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left" vertical="center"/>
    </xf>
    <xf numFmtId="0" fontId="7" fillId="2" borderId="58" xfId="0" applyNumberFormat="1" applyFont="1" applyFill="1" applyBorder="1" applyAlignment="1">
      <alignment horizontal="left" vertical="center"/>
    </xf>
    <xf numFmtId="0" fontId="10" fillId="3" borderId="114" xfId="2" applyNumberFormat="1" applyFont="1" applyFill="1" applyBorder="1" applyAlignment="1">
      <alignment horizontal="center" vertical="center"/>
    </xf>
    <xf numFmtId="0" fontId="10" fillId="3" borderId="113" xfId="2" applyNumberFormat="1" applyFont="1" applyFill="1" applyBorder="1" applyAlignment="1">
      <alignment horizontal="center" vertical="center"/>
    </xf>
    <xf numFmtId="0" fontId="10" fillId="3" borderId="59" xfId="2" applyNumberFormat="1" applyFont="1" applyFill="1" applyBorder="1" applyAlignment="1">
      <alignment horizontal="center" vertical="center"/>
    </xf>
    <xf numFmtId="0" fontId="8" fillId="3" borderId="59" xfId="2" applyNumberFormat="1" applyFont="1" applyFill="1" applyBorder="1" applyAlignment="1">
      <alignment horizontal="center" vertical="center"/>
    </xf>
    <xf numFmtId="0" fontId="10" fillId="3" borderId="10" xfId="2" applyNumberFormat="1" applyFont="1" applyFill="1" applyBorder="1" applyAlignment="1">
      <alignment horizontal="center" vertical="center"/>
    </xf>
    <xf numFmtId="0" fontId="10" fillId="3" borderId="11" xfId="2" applyNumberFormat="1" applyFont="1" applyFill="1" applyBorder="1" applyAlignment="1">
      <alignment horizontal="center" vertical="center"/>
    </xf>
    <xf numFmtId="0" fontId="10" fillId="3" borderId="5" xfId="0" applyNumberFormat="1" applyFont="1" applyFill="1" applyBorder="1" applyAlignment="1">
      <alignment horizontal="center" vertical="center"/>
    </xf>
    <xf numFmtId="0" fontId="10" fillId="3" borderId="10" xfId="0" applyNumberFormat="1" applyFont="1" applyFill="1" applyBorder="1" applyAlignment="1">
      <alignment horizontal="center" vertical="center"/>
    </xf>
    <xf numFmtId="0" fontId="10" fillId="3" borderId="11" xfId="0" applyNumberFormat="1" applyFont="1" applyFill="1" applyBorder="1" applyAlignment="1">
      <alignment horizontal="center" vertical="center"/>
    </xf>
    <xf numFmtId="0" fontId="10" fillId="3" borderId="6" xfId="0" applyNumberFormat="1" applyFont="1" applyFill="1" applyBorder="1" applyAlignment="1">
      <alignment horizontal="center" vertical="center"/>
    </xf>
    <xf numFmtId="0" fontId="10" fillId="3" borderId="13" xfId="0" applyNumberFormat="1" applyFont="1" applyFill="1" applyBorder="1" applyAlignment="1">
      <alignment horizontal="center" vertical="center"/>
    </xf>
    <xf numFmtId="0" fontId="10" fillId="3" borderId="14" xfId="0" applyNumberFormat="1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>
      <alignment horizontal="center" vertical="center" wrapText="1"/>
    </xf>
    <xf numFmtId="0" fontId="10" fillId="3" borderId="59" xfId="0" applyNumberFormat="1" applyFont="1" applyFill="1" applyBorder="1" applyAlignment="1">
      <alignment horizontal="center" vertical="center"/>
    </xf>
    <xf numFmtId="0" fontId="10" fillId="3" borderId="91" xfId="0" applyNumberFormat="1" applyFont="1" applyFill="1" applyBorder="1" applyAlignment="1">
      <alignment horizontal="center" vertical="center" wrapText="1"/>
    </xf>
    <xf numFmtId="0" fontId="10" fillId="3" borderId="88" xfId="0" applyNumberFormat="1" applyFont="1" applyFill="1" applyBorder="1" applyAlignment="1">
      <alignment horizontal="center" vertical="center" wrapText="1"/>
    </xf>
    <xf numFmtId="0" fontId="10" fillId="3" borderId="60" xfId="0" applyNumberFormat="1" applyFont="1" applyFill="1" applyBorder="1" applyAlignment="1">
      <alignment horizontal="center" vertical="center" wrapText="1"/>
    </xf>
    <xf numFmtId="0" fontId="54" fillId="50" borderId="100" xfId="2" applyNumberFormat="1" applyFont="1" applyFill="1" applyBorder="1" applyAlignment="1">
      <alignment horizontal="center" vertical="center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4" xfId="0" applyNumberFormat="1" applyFont="1" applyFill="1" applyBorder="1" applyAlignment="1">
      <alignment horizontal="center" vertical="center"/>
    </xf>
    <xf numFmtId="0" fontId="8" fillId="3" borderId="54" xfId="0" applyNumberFormat="1" applyFont="1" applyFill="1" applyBorder="1" applyAlignment="1">
      <alignment horizontal="center" vertical="center"/>
    </xf>
    <xf numFmtId="0" fontId="8" fillId="3" borderId="11" xfId="0" applyNumberFormat="1" applyFont="1" applyFill="1" applyBorder="1" applyAlignment="1">
      <alignment horizontal="center" vertical="center"/>
    </xf>
    <xf numFmtId="0" fontId="10" fillId="3" borderId="12" xfId="0" applyNumberFormat="1" applyFont="1" applyFill="1" applyBorder="1" applyAlignment="1">
      <alignment horizontal="center" vertical="center" wrapText="1"/>
    </xf>
    <xf numFmtId="0" fontId="10" fillId="3" borderId="88" xfId="0" applyNumberFormat="1" applyFont="1" applyFill="1" applyBorder="1" applyAlignment="1">
      <alignment horizontal="center" vertical="center"/>
    </xf>
    <xf numFmtId="0" fontId="7" fillId="2" borderId="63" xfId="0" applyNumberFormat="1" applyFont="1" applyFill="1" applyBorder="1" applyAlignment="1">
      <alignment vertical="center"/>
    </xf>
    <xf numFmtId="0" fontId="10" fillId="5" borderId="13" xfId="2" applyNumberFormat="1" applyFont="1" applyFill="1" applyBorder="1" applyAlignment="1">
      <alignment horizontal="center" vertical="center"/>
    </xf>
    <xf numFmtId="0" fontId="10" fillId="5" borderId="14" xfId="2" applyNumberFormat="1" applyFont="1" applyFill="1" applyBorder="1" applyAlignment="1">
      <alignment horizontal="center" vertical="center"/>
    </xf>
    <xf numFmtId="0" fontId="10" fillId="3" borderId="12" xfId="0" applyNumberFormat="1" applyFont="1" applyFill="1" applyBorder="1" applyAlignment="1">
      <alignment horizontal="center" vertical="center"/>
    </xf>
    <xf numFmtId="0" fontId="10" fillId="3" borderId="15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right" vertical="center"/>
    </xf>
    <xf numFmtId="0" fontId="7" fillId="2" borderId="58" xfId="0" applyNumberFormat="1" applyFont="1" applyFill="1" applyBorder="1" applyAlignment="1">
      <alignment horizontal="right" vertical="center"/>
    </xf>
    <xf numFmtId="176" fontId="10" fillId="0" borderId="0" xfId="2" applyNumberFormat="1" applyFont="1" applyFill="1" applyBorder="1" applyAlignment="1">
      <alignment vertical="center" wrapText="1"/>
    </xf>
    <xf numFmtId="0" fontId="7" fillId="2" borderId="65" xfId="2" applyNumberFormat="1" applyFont="1" applyFill="1" applyBorder="1" applyAlignment="1">
      <alignment horizontal="center" vertical="center"/>
    </xf>
    <xf numFmtId="0" fontId="7" fillId="2" borderId="66" xfId="2" applyNumberFormat="1" applyFont="1" applyFill="1" applyBorder="1" applyAlignment="1">
      <alignment horizontal="center" vertical="center"/>
    </xf>
    <xf numFmtId="0" fontId="7" fillId="2" borderId="39" xfId="2" applyNumberFormat="1" applyFont="1" applyFill="1" applyBorder="1" applyAlignment="1">
      <alignment horizontal="center" vertical="center"/>
    </xf>
    <xf numFmtId="0" fontId="7" fillId="2" borderId="67" xfId="2" applyNumberFormat="1" applyFont="1" applyFill="1" applyBorder="1" applyAlignment="1">
      <alignment horizontal="center" vertical="center"/>
    </xf>
    <xf numFmtId="0" fontId="7" fillId="2" borderId="39" xfId="2" applyNumberFormat="1" applyFont="1" applyFill="1" applyBorder="1" applyAlignment="1">
      <alignment horizontal="center" vertical="center" wrapText="1"/>
    </xf>
    <xf numFmtId="0" fontId="10" fillId="0" borderId="0" xfId="2" applyNumberFormat="1" applyFont="1" applyFill="1" applyBorder="1" applyAlignment="1">
      <alignment vertical="center" wrapText="1"/>
    </xf>
    <xf numFmtId="0" fontId="7" fillId="2" borderId="1" xfId="2" applyNumberFormat="1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wrapText="1"/>
    </xf>
    <xf numFmtId="0" fontId="7" fillId="2" borderId="57" xfId="2" applyNumberFormat="1" applyFont="1" applyFill="1" applyBorder="1" applyAlignment="1">
      <alignment horizontal="center" vertical="center" wrapText="1"/>
    </xf>
    <xf numFmtId="0" fontId="7" fillId="2" borderId="18" xfId="2" applyNumberFormat="1" applyFont="1" applyFill="1" applyBorder="1" applyAlignment="1">
      <alignment horizontal="center" vertical="center"/>
    </xf>
    <xf numFmtId="0" fontId="7" fillId="2" borderId="21" xfId="2" applyNumberFormat="1" applyFont="1" applyFill="1" applyBorder="1" applyAlignment="1">
      <alignment horizontal="center" vertical="center"/>
    </xf>
    <xf numFmtId="0" fontId="7" fillId="2" borderId="40" xfId="2" applyNumberFormat="1" applyFont="1" applyFill="1" applyBorder="1" applyAlignment="1">
      <alignment horizontal="center" vertical="center" wrapText="1"/>
    </xf>
    <xf numFmtId="0" fontId="7" fillId="2" borderId="20" xfId="2" applyNumberFormat="1" applyFont="1" applyFill="1" applyBorder="1" applyAlignment="1">
      <alignment horizontal="center" vertical="center"/>
    </xf>
    <xf numFmtId="0" fontId="7" fillId="2" borderId="68" xfId="2" applyNumberFormat="1" applyFont="1" applyFill="1" applyBorder="1" applyAlignment="1">
      <alignment horizontal="center" vertical="center"/>
    </xf>
    <xf numFmtId="0" fontId="7" fillId="2" borderId="69" xfId="2" applyNumberFormat="1" applyFont="1" applyFill="1" applyBorder="1" applyAlignment="1">
      <alignment horizontal="center" vertical="center"/>
    </xf>
    <xf numFmtId="0" fontId="7" fillId="2" borderId="24" xfId="2" applyNumberFormat="1" applyFont="1" applyFill="1" applyBorder="1" applyAlignment="1">
      <alignment horizontal="center" vertical="center"/>
    </xf>
    <xf numFmtId="0" fontId="7" fillId="2" borderId="25" xfId="2" applyNumberFormat="1" applyFont="1" applyFill="1" applyBorder="1" applyAlignment="1">
      <alignment horizontal="center" vertical="center"/>
    </xf>
    <xf numFmtId="0" fontId="8" fillId="4" borderId="0" xfId="2" applyNumberFormat="1" applyFont="1" applyFill="1" applyAlignment="1">
      <alignment horizontal="center" vertical="center"/>
    </xf>
    <xf numFmtId="0" fontId="10" fillId="4" borderId="0" xfId="2" applyNumberFormat="1" applyFont="1" applyFill="1" applyBorder="1" applyAlignment="1">
      <alignment vertical="center" wrapText="1"/>
    </xf>
    <xf numFmtId="0" fontId="10" fillId="3" borderId="73" xfId="3" applyNumberFormat="1" applyFont="1" applyFill="1" applyBorder="1" applyAlignment="1">
      <alignment horizontal="center" vertical="center"/>
    </xf>
    <xf numFmtId="0" fontId="10" fillId="3" borderId="115" xfId="3" applyNumberFormat="1" applyFont="1" applyFill="1" applyBorder="1" applyAlignment="1">
      <alignment horizontal="center" vertical="center"/>
    </xf>
    <xf numFmtId="0" fontId="10" fillId="3" borderId="90" xfId="2" applyNumberFormat="1" applyFont="1" applyFill="1" applyBorder="1" applyAlignment="1">
      <alignment horizontal="center" vertical="center"/>
    </xf>
    <xf numFmtId="0" fontId="10" fillId="3" borderId="49" xfId="2" applyNumberFormat="1" applyFont="1" applyFill="1" applyBorder="1" applyAlignment="1">
      <alignment horizontal="center" vertical="center"/>
    </xf>
    <xf numFmtId="0" fontId="10" fillId="3" borderId="54" xfId="3" applyNumberFormat="1" applyFont="1" applyFill="1" applyBorder="1" applyAlignment="1">
      <alignment horizontal="center" vertical="center"/>
    </xf>
    <xf numFmtId="0" fontId="10" fillId="3" borderId="72" xfId="3" applyNumberFormat="1" applyFont="1" applyFill="1" applyBorder="1" applyAlignment="1">
      <alignment horizontal="center" vertical="center"/>
    </xf>
    <xf numFmtId="0" fontId="7" fillId="2" borderId="37" xfId="2" applyNumberFormat="1" applyFont="1" applyFill="1" applyBorder="1" applyAlignment="1">
      <alignment horizontal="center" vertical="center"/>
    </xf>
    <xf numFmtId="0" fontId="7" fillId="2" borderId="38" xfId="2" applyNumberFormat="1" applyFont="1" applyFill="1" applyBorder="1" applyAlignment="1">
      <alignment horizontal="center" vertical="center"/>
    </xf>
    <xf numFmtId="0" fontId="10" fillId="3" borderId="89" xfId="2" applyNumberFormat="1" applyFont="1" applyFill="1" applyBorder="1" applyAlignment="1">
      <alignment horizontal="center" vertical="center"/>
    </xf>
    <xf numFmtId="0" fontId="7" fillId="2" borderId="37" xfId="2" applyNumberFormat="1" applyFont="1" applyFill="1" applyBorder="1" applyAlignment="1">
      <alignment horizontal="center" vertical="center" wrapText="1"/>
    </xf>
    <xf numFmtId="0" fontId="7" fillId="2" borderId="0" xfId="2" applyNumberFormat="1" applyFont="1" applyFill="1" applyBorder="1" applyAlignment="1">
      <alignment horizontal="center" vertical="center"/>
    </xf>
    <xf numFmtId="0" fontId="7" fillId="2" borderId="93" xfId="2" applyNumberFormat="1" applyFont="1" applyFill="1" applyBorder="1" applyAlignment="1">
      <alignment horizontal="center" vertical="center"/>
    </xf>
    <xf numFmtId="0" fontId="7" fillId="2" borderId="98" xfId="2" applyNumberFormat="1" applyFont="1" applyFill="1" applyBorder="1" applyAlignment="1">
      <alignment horizontal="center" vertical="center"/>
    </xf>
    <xf numFmtId="0" fontId="7" fillId="2" borderId="94" xfId="2" applyNumberFormat="1" applyFont="1" applyFill="1" applyBorder="1" applyAlignment="1">
      <alignment horizontal="center" vertical="center"/>
    </xf>
    <xf numFmtId="0" fontId="7" fillId="2" borderId="95" xfId="2" applyNumberFormat="1" applyFont="1" applyFill="1" applyBorder="1" applyAlignment="1">
      <alignment horizontal="center" vertical="center"/>
    </xf>
    <xf numFmtId="0" fontId="7" fillId="2" borderId="96" xfId="2" applyNumberFormat="1" applyFont="1" applyFill="1" applyBorder="1" applyAlignment="1">
      <alignment horizontal="center" vertical="center"/>
    </xf>
    <xf numFmtId="0" fontId="7" fillId="2" borderId="102" xfId="2" applyNumberFormat="1" applyFont="1" applyFill="1" applyBorder="1" applyAlignment="1">
      <alignment horizontal="center" vertical="center"/>
    </xf>
    <xf numFmtId="0" fontId="7" fillId="2" borderId="105" xfId="2" applyNumberFormat="1" applyFont="1" applyFill="1" applyBorder="1" applyAlignment="1">
      <alignment horizontal="center" vertical="center"/>
    </xf>
    <xf numFmtId="0" fontId="7" fillId="2" borderId="102" xfId="2" applyNumberFormat="1" applyFont="1" applyFill="1" applyBorder="1" applyAlignment="1">
      <alignment horizontal="center" vertical="center" wrapText="1"/>
    </xf>
    <xf numFmtId="0" fontId="7" fillId="2" borderId="105" xfId="2" applyNumberFormat="1" applyFont="1" applyFill="1" applyBorder="1" applyAlignment="1">
      <alignment horizontal="center" vertical="center" wrapText="1"/>
    </xf>
    <xf numFmtId="41" fontId="10" fillId="0" borderId="0" xfId="2" applyFont="1" applyFill="1" applyBorder="1" applyAlignment="1">
      <alignment horizontal="center" vertical="center"/>
    </xf>
    <xf numFmtId="41" fontId="10" fillId="0" borderId="55" xfId="2" applyFont="1" applyFill="1" applyBorder="1" applyAlignment="1">
      <alignment horizontal="center" vertical="center"/>
    </xf>
    <xf numFmtId="176" fontId="10" fillId="0" borderId="51" xfId="2" applyNumberFormat="1" applyFont="1" applyFill="1" applyBorder="1" applyAlignment="1">
      <alignment vertical="center"/>
    </xf>
    <xf numFmtId="176" fontId="10" fillId="0" borderId="54" xfId="2" applyNumberFormat="1" applyFont="1" applyFill="1" applyBorder="1" applyAlignment="1">
      <alignment vertical="center"/>
    </xf>
    <xf numFmtId="176" fontId="10" fillId="0" borderId="0" xfId="2" applyNumberFormat="1" applyFont="1" applyFill="1" applyBorder="1" applyAlignment="1">
      <alignment vertical="center"/>
    </xf>
    <xf numFmtId="176" fontId="10" fillId="0" borderId="55" xfId="2" applyNumberFormat="1" applyFont="1" applyFill="1" applyBorder="1" applyAlignment="1">
      <alignment vertical="center"/>
    </xf>
    <xf numFmtId="0" fontId="7" fillId="2" borderId="76" xfId="2" applyNumberFormat="1" applyFont="1" applyFill="1" applyBorder="1" applyAlignment="1">
      <alignment horizontal="center" vertical="center"/>
    </xf>
    <xf numFmtId="0" fontId="7" fillId="2" borderId="78" xfId="2" applyNumberFormat="1" applyFont="1" applyFill="1" applyBorder="1" applyAlignment="1">
      <alignment horizontal="center" vertical="center" wrapText="1"/>
    </xf>
    <xf numFmtId="0" fontId="7" fillId="2" borderId="79" xfId="2" applyNumberFormat="1" applyFont="1" applyFill="1" applyBorder="1" applyAlignment="1">
      <alignment horizontal="center" vertical="center" wrapText="1"/>
    </xf>
    <xf numFmtId="0" fontId="7" fillId="2" borderId="58" xfId="2" applyNumberFormat="1" applyFont="1" applyFill="1" applyBorder="1" applyAlignment="1">
      <alignment horizontal="center" vertical="center" wrapText="1"/>
    </xf>
    <xf numFmtId="0" fontId="7" fillId="2" borderId="7" xfId="2" applyNumberFormat="1" applyFont="1" applyFill="1" applyBorder="1" applyAlignment="1">
      <alignment horizontal="right" vertical="center"/>
    </xf>
    <xf numFmtId="0" fontId="7" fillId="2" borderId="101" xfId="2" applyNumberFormat="1" applyFont="1" applyFill="1" applyBorder="1" applyAlignment="1">
      <alignment horizontal="right" vertical="center"/>
    </xf>
    <xf numFmtId="0" fontId="7" fillId="2" borderId="104" xfId="2" applyNumberFormat="1" applyFont="1" applyFill="1" applyBorder="1" applyAlignment="1">
      <alignment horizontal="center" vertical="center"/>
    </xf>
    <xf numFmtId="0" fontId="10" fillId="5" borderId="55" xfId="2" applyNumberFormat="1" applyFont="1" applyFill="1" applyBorder="1" applyAlignment="1">
      <alignment horizontal="center" vertical="center" wrapText="1"/>
    </xf>
    <xf numFmtId="0" fontId="10" fillId="5" borderId="73" xfId="2" applyNumberFormat="1" applyFont="1" applyFill="1" applyBorder="1" applyAlignment="1">
      <alignment horizontal="center" vertical="center" wrapText="1"/>
    </xf>
    <xf numFmtId="0" fontId="10" fillId="5" borderId="9" xfId="2" applyNumberFormat="1" applyFont="1" applyFill="1" applyBorder="1" applyAlignment="1">
      <alignment horizontal="center" vertical="center" wrapText="1"/>
    </xf>
    <xf numFmtId="0" fontId="7" fillId="2" borderId="101" xfId="2" applyNumberFormat="1" applyFont="1" applyFill="1" applyBorder="1" applyAlignment="1">
      <alignment horizontal="center" vertical="center"/>
    </xf>
    <xf numFmtId="0" fontId="7" fillId="2" borderId="58" xfId="2" applyNumberFormat="1" applyFont="1" applyFill="1" applyBorder="1" applyAlignment="1">
      <alignment horizontal="center" vertical="center"/>
    </xf>
    <xf numFmtId="0" fontId="7" fillId="2" borderId="107" xfId="2" applyNumberFormat="1" applyFont="1" applyFill="1" applyBorder="1" applyAlignment="1">
      <alignment horizontal="center" vertical="center"/>
    </xf>
    <xf numFmtId="0" fontId="7" fillId="2" borderId="100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left" vertical="center" wrapText="1"/>
    </xf>
    <xf numFmtId="0" fontId="7" fillId="2" borderId="63" xfId="2" applyNumberFormat="1" applyFont="1" applyFill="1" applyBorder="1" applyAlignment="1">
      <alignment horizontal="center" vertical="center" wrapText="1"/>
    </xf>
    <xf numFmtId="0" fontId="10" fillId="0" borderId="0" xfId="2" applyNumberFormat="1" applyFont="1" applyFill="1" applyAlignment="1">
      <alignment horizontal="left" vertical="center"/>
    </xf>
    <xf numFmtId="0" fontId="10" fillId="51" borderId="0" xfId="2" applyNumberFormat="1" applyFont="1" applyFill="1" applyAlignment="1">
      <alignment horizontal="left" vertical="center" wrapText="1"/>
    </xf>
    <xf numFmtId="0" fontId="10" fillId="0" borderId="0" xfId="2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10" fillId="0" borderId="51" xfId="2" applyNumberFormat="1" applyFont="1" applyFill="1" applyBorder="1" applyAlignment="1">
      <alignment horizontal="center" vertical="center"/>
    </xf>
    <xf numFmtId="0" fontId="0" fillId="0" borderId="51" xfId="0" applyBorder="1">
      <alignment vertical="center"/>
    </xf>
    <xf numFmtId="0" fontId="8" fillId="0" borderId="0" xfId="2" applyNumberFormat="1" applyFont="1" applyFill="1" applyBorder="1" applyAlignment="1">
      <alignment horizontal="center" vertical="center"/>
    </xf>
    <xf numFmtId="0" fontId="7" fillId="2" borderId="64" xfId="2" applyNumberFormat="1" applyFont="1" applyFill="1" applyBorder="1" applyAlignment="1">
      <alignment horizontal="center" vertical="center" wrapText="1"/>
    </xf>
    <xf numFmtId="0" fontId="8" fillId="0" borderId="42" xfId="2" applyNumberFormat="1" applyFont="1" applyFill="1" applyBorder="1" applyAlignment="1">
      <alignment horizontal="center" vertical="center"/>
    </xf>
    <xf numFmtId="0" fontId="8" fillId="0" borderId="59" xfId="2" applyNumberFormat="1" applyFont="1" applyFill="1" applyBorder="1" applyAlignment="1">
      <alignment horizontal="center" vertical="center"/>
    </xf>
    <xf numFmtId="0" fontId="10" fillId="0" borderId="42" xfId="2" applyNumberFormat="1" applyFont="1" applyFill="1" applyBorder="1" applyAlignment="1">
      <alignment horizontal="center" vertical="center"/>
    </xf>
    <xf numFmtId="0" fontId="10" fillId="0" borderId="59" xfId="2" applyNumberFormat="1" applyFont="1" applyFill="1" applyBorder="1" applyAlignment="1">
      <alignment horizontal="center" vertical="center"/>
    </xf>
    <xf numFmtId="0" fontId="10" fillId="0" borderId="75" xfId="2" applyNumberFormat="1" applyFont="1" applyFill="1" applyBorder="1" applyAlignment="1">
      <alignment horizontal="center" vertical="center"/>
    </xf>
    <xf numFmtId="0" fontId="10" fillId="0" borderId="73" xfId="2" applyNumberFormat="1" applyFont="1" applyFill="1" applyBorder="1" applyAlignment="1">
      <alignment horizontal="center" vertical="center"/>
    </xf>
    <xf numFmtId="0" fontId="10" fillId="0" borderId="35" xfId="2" applyNumberFormat="1" applyFont="1" applyFill="1" applyBorder="1" applyAlignment="1">
      <alignment horizontal="center" vertical="center"/>
    </xf>
    <xf numFmtId="0" fontId="0" fillId="0" borderId="35" xfId="0" applyBorder="1">
      <alignment vertical="center"/>
    </xf>
    <xf numFmtId="0" fontId="7" fillId="2" borderId="80" xfId="2" applyNumberFormat="1" applyFont="1" applyFill="1" applyBorder="1" applyAlignment="1">
      <alignment horizontal="right" vertical="center"/>
    </xf>
    <xf numFmtId="0" fontId="7" fillId="2" borderId="81" xfId="2" applyNumberFormat="1" applyFont="1" applyFill="1" applyBorder="1" applyAlignment="1">
      <alignment horizontal="right" vertical="center"/>
    </xf>
    <xf numFmtId="0" fontId="7" fillId="2" borderId="82" xfId="2" applyNumberFormat="1" applyFont="1" applyFill="1" applyBorder="1" applyAlignment="1">
      <alignment horizontal="center" vertical="center"/>
    </xf>
    <xf numFmtId="41" fontId="68" fillId="2" borderId="82" xfId="2" applyFont="1" applyFill="1" applyBorder="1" applyAlignment="1">
      <alignment horizontal="center" vertical="center"/>
    </xf>
    <xf numFmtId="0" fontId="7" fillId="2" borderId="85" xfId="2" applyNumberFormat="1" applyFont="1" applyFill="1" applyBorder="1" applyAlignment="1">
      <alignment horizontal="left" vertical="center"/>
    </xf>
    <xf numFmtId="0" fontId="7" fillId="2" borderId="86" xfId="2" applyNumberFormat="1" applyFont="1" applyFill="1" applyBorder="1" applyAlignment="1">
      <alignment horizontal="left" vertical="center"/>
    </xf>
    <xf numFmtId="0" fontId="7" fillId="2" borderId="78" xfId="2" applyNumberFormat="1" applyFont="1" applyFill="1" applyBorder="1" applyAlignment="1">
      <alignment horizontal="center" vertical="center"/>
    </xf>
  </cellXfs>
  <cellStyles count="2323">
    <cellStyle name="20% - 강조색1 10" xfId="33"/>
    <cellStyle name="20% - 강조색1 11" xfId="34"/>
    <cellStyle name="20% - 강조색1 12" xfId="35"/>
    <cellStyle name="20% - 강조색1 13" xfId="36"/>
    <cellStyle name="20% - 강조색1 14" xfId="37"/>
    <cellStyle name="20% - 강조색1 15" xfId="38"/>
    <cellStyle name="20% - 강조색1 16" xfId="39"/>
    <cellStyle name="20% - 강조색1 17" xfId="40"/>
    <cellStyle name="20% - 강조색1 18" xfId="41"/>
    <cellStyle name="20% - 강조색1 19" xfId="42"/>
    <cellStyle name="20% - 강조색1 2" xfId="43"/>
    <cellStyle name="20% - 강조색1 2 2" xfId="44"/>
    <cellStyle name="20% - 강조색1 2 3" xfId="45"/>
    <cellStyle name="20% - 강조색1 2 4" xfId="46"/>
    <cellStyle name="20% - 강조색1 20" xfId="47"/>
    <cellStyle name="20% - 강조색1 21" xfId="48"/>
    <cellStyle name="20% - 강조색1 22" xfId="49"/>
    <cellStyle name="20% - 강조색1 23" xfId="50"/>
    <cellStyle name="20% - 강조색1 24" xfId="51"/>
    <cellStyle name="20% - 강조색1 25" xfId="52"/>
    <cellStyle name="20% - 강조색1 26" xfId="53"/>
    <cellStyle name="20% - 강조색1 27" xfId="54"/>
    <cellStyle name="20% - 강조색1 28" xfId="55"/>
    <cellStyle name="20% - 강조색1 29" xfId="56"/>
    <cellStyle name="20% - 강조색1 3" xfId="57"/>
    <cellStyle name="20% - 강조색1 3 2" xfId="58"/>
    <cellStyle name="20% - 강조색1 3 3" xfId="59"/>
    <cellStyle name="20% - 강조색1 3 4" xfId="60"/>
    <cellStyle name="20% - 강조색1 30" xfId="61"/>
    <cellStyle name="20% - 강조색1 31" xfId="62"/>
    <cellStyle name="20% - 강조색1 32" xfId="63"/>
    <cellStyle name="20% - 강조색1 33" xfId="64"/>
    <cellStyle name="20% - 강조색1 34" xfId="65"/>
    <cellStyle name="20% - 강조색1 35" xfId="66"/>
    <cellStyle name="20% - 강조색1 36" xfId="67"/>
    <cellStyle name="20% - 강조색1 37" xfId="68"/>
    <cellStyle name="20% - 강조색1 38" xfId="69"/>
    <cellStyle name="20% - 강조색1 39" xfId="70"/>
    <cellStyle name="20% - 강조색1 4" xfId="71"/>
    <cellStyle name="20% - 강조색1 4 2" xfId="72"/>
    <cellStyle name="20% - 강조색1 4 3" xfId="73"/>
    <cellStyle name="20% - 강조색1 4 4" xfId="74"/>
    <cellStyle name="20% - 강조색1 40" xfId="75"/>
    <cellStyle name="20% - 강조색1 41" xfId="76"/>
    <cellStyle name="20% - 강조색1 42" xfId="77"/>
    <cellStyle name="20% - 강조색1 43" xfId="78"/>
    <cellStyle name="20% - 강조색1 44" xfId="79"/>
    <cellStyle name="20% - 강조색1 45" xfId="80"/>
    <cellStyle name="20% - 강조색1 46" xfId="81"/>
    <cellStyle name="20% - 강조색1 47" xfId="82"/>
    <cellStyle name="20% - 강조색1 48" xfId="83"/>
    <cellStyle name="20% - 강조색1 5" xfId="84"/>
    <cellStyle name="20% - 강조색1 6" xfId="85"/>
    <cellStyle name="20% - 강조색1 7" xfId="86"/>
    <cellStyle name="20% - 강조색1 8" xfId="87"/>
    <cellStyle name="20% - 강조색1 9" xfId="88"/>
    <cellStyle name="20% - 강조색2 10" xfId="89"/>
    <cellStyle name="20% - 강조색2 11" xfId="90"/>
    <cellStyle name="20% - 강조색2 12" xfId="91"/>
    <cellStyle name="20% - 강조색2 13" xfId="92"/>
    <cellStyle name="20% - 강조색2 14" xfId="93"/>
    <cellStyle name="20% - 강조색2 15" xfId="94"/>
    <cellStyle name="20% - 강조색2 16" xfId="95"/>
    <cellStyle name="20% - 강조색2 17" xfId="96"/>
    <cellStyle name="20% - 강조색2 18" xfId="97"/>
    <cellStyle name="20% - 강조색2 19" xfId="98"/>
    <cellStyle name="20% - 강조색2 2" xfId="99"/>
    <cellStyle name="20% - 강조색2 2 2" xfId="100"/>
    <cellStyle name="20% - 강조색2 2 3" xfId="101"/>
    <cellStyle name="20% - 강조색2 2 4" xfId="102"/>
    <cellStyle name="20% - 강조색2 20" xfId="103"/>
    <cellStyle name="20% - 강조색2 21" xfId="104"/>
    <cellStyle name="20% - 강조색2 22" xfId="105"/>
    <cellStyle name="20% - 강조색2 23" xfId="106"/>
    <cellStyle name="20% - 강조색2 24" xfId="107"/>
    <cellStyle name="20% - 강조색2 25" xfId="108"/>
    <cellStyle name="20% - 강조색2 26" xfId="109"/>
    <cellStyle name="20% - 강조색2 27" xfId="110"/>
    <cellStyle name="20% - 강조색2 28" xfId="111"/>
    <cellStyle name="20% - 강조색2 29" xfId="112"/>
    <cellStyle name="20% - 강조색2 3" xfId="113"/>
    <cellStyle name="20% - 강조색2 3 2" xfId="114"/>
    <cellStyle name="20% - 강조색2 3 3" xfId="115"/>
    <cellStyle name="20% - 강조색2 3 4" xfId="116"/>
    <cellStyle name="20% - 강조색2 30" xfId="117"/>
    <cellStyle name="20% - 강조색2 31" xfId="118"/>
    <cellStyle name="20% - 강조색2 32" xfId="119"/>
    <cellStyle name="20% - 강조색2 33" xfId="120"/>
    <cellStyle name="20% - 강조색2 34" xfId="121"/>
    <cellStyle name="20% - 강조색2 35" xfId="122"/>
    <cellStyle name="20% - 강조색2 36" xfId="123"/>
    <cellStyle name="20% - 강조색2 37" xfId="124"/>
    <cellStyle name="20% - 강조색2 38" xfId="125"/>
    <cellStyle name="20% - 강조색2 39" xfId="126"/>
    <cellStyle name="20% - 강조색2 4" xfId="127"/>
    <cellStyle name="20% - 강조색2 4 2" xfId="128"/>
    <cellStyle name="20% - 강조색2 4 3" xfId="129"/>
    <cellStyle name="20% - 강조색2 4 4" xfId="130"/>
    <cellStyle name="20% - 강조색2 40" xfId="131"/>
    <cellStyle name="20% - 강조색2 41" xfId="132"/>
    <cellStyle name="20% - 강조색2 42" xfId="133"/>
    <cellStyle name="20% - 강조색2 43" xfId="134"/>
    <cellStyle name="20% - 강조색2 44" xfId="135"/>
    <cellStyle name="20% - 강조색2 45" xfId="136"/>
    <cellStyle name="20% - 강조색2 46" xfId="137"/>
    <cellStyle name="20% - 강조색2 47" xfId="138"/>
    <cellStyle name="20% - 강조색2 48" xfId="139"/>
    <cellStyle name="20% - 강조색2 5" xfId="140"/>
    <cellStyle name="20% - 강조색2 6" xfId="141"/>
    <cellStyle name="20% - 강조색2 7" xfId="142"/>
    <cellStyle name="20% - 강조색2 8" xfId="143"/>
    <cellStyle name="20% - 강조색2 9" xfId="144"/>
    <cellStyle name="20% - 강조색3 10" xfId="145"/>
    <cellStyle name="20% - 강조색3 11" xfId="146"/>
    <cellStyle name="20% - 강조색3 12" xfId="147"/>
    <cellStyle name="20% - 강조색3 13" xfId="148"/>
    <cellStyle name="20% - 강조색3 14" xfId="149"/>
    <cellStyle name="20% - 강조색3 15" xfId="150"/>
    <cellStyle name="20% - 강조색3 16" xfId="151"/>
    <cellStyle name="20% - 강조색3 17" xfId="152"/>
    <cellStyle name="20% - 강조색3 18" xfId="153"/>
    <cellStyle name="20% - 강조색3 19" xfId="154"/>
    <cellStyle name="20% - 강조색3 2" xfId="155"/>
    <cellStyle name="20% - 강조색3 2 2" xfId="156"/>
    <cellStyle name="20% - 강조색3 2 3" xfId="157"/>
    <cellStyle name="20% - 강조색3 2 4" xfId="158"/>
    <cellStyle name="20% - 강조색3 20" xfId="159"/>
    <cellStyle name="20% - 강조색3 21" xfId="160"/>
    <cellStyle name="20% - 강조색3 22" xfId="161"/>
    <cellStyle name="20% - 강조색3 23" xfId="162"/>
    <cellStyle name="20% - 강조색3 24" xfId="163"/>
    <cellStyle name="20% - 강조색3 25" xfId="164"/>
    <cellStyle name="20% - 강조색3 26" xfId="165"/>
    <cellStyle name="20% - 강조색3 27" xfId="166"/>
    <cellStyle name="20% - 강조색3 28" xfId="167"/>
    <cellStyle name="20% - 강조색3 29" xfId="168"/>
    <cellStyle name="20% - 강조색3 3" xfId="169"/>
    <cellStyle name="20% - 강조색3 3 2" xfId="170"/>
    <cellStyle name="20% - 강조색3 3 3" xfId="171"/>
    <cellStyle name="20% - 강조색3 3 4" xfId="172"/>
    <cellStyle name="20% - 강조색3 30" xfId="173"/>
    <cellStyle name="20% - 강조색3 31" xfId="174"/>
    <cellStyle name="20% - 강조색3 32" xfId="175"/>
    <cellStyle name="20% - 강조색3 33" xfId="176"/>
    <cellStyle name="20% - 강조색3 34" xfId="177"/>
    <cellStyle name="20% - 강조색3 35" xfId="178"/>
    <cellStyle name="20% - 강조색3 36" xfId="179"/>
    <cellStyle name="20% - 강조색3 37" xfId="180"/>
    <cellStyle name="20% - 강조색3 38" xfId="181"/>
    <cellStyle name="20% - 강조색3 39" xfId="182"/>
    <cellStyle name="20% - 강조색3 4" xfId="183"/>
    <cellStyle name="20% - 강조색3 4 2" xfId="184"/>
    <cellStyle name="20% - 강조색3 4 3" xfId="185"/>
    <cellStyle name="20% - 강조색3 4 4" xfId="186"/>
    <cellStyle name="20% - 강조색3 40" xfId="187"/>
    <cellStyle name="20% - 강조색3 41" xfId="188"/>
    <cellStyle name="20% - 강조색3 42" xfId="189"/>
    <cellStyle name="20% - 강조색3 43" xfId="190"/>
    <cellStyle name="20% - 강조색3 44" xfId="191"/>
    <cellStyle name="20% - 강조색3 45" xfId="192"/>
    <cellStyle name="20% - 강조색3 46" xfId="193"/>
    <cellStyle name="20% - 강조색3 47" xfId="194"/>
    <cellStyle name="20% - 강조색3 48" xfId="195"/>
    <cellStyle name="20% - 강조색3 5" xfId="196"/>
    <cellStyle name="20% - 강조색3 6" xfId="197"/>
    <cellStyle name="20% - 강조색3 7" xfId="198"/>
    <cellStyle name="20% - 강조색3 8" xfId="199"/>
    <cellStyle name="20% - 강조색3 9" xfId="200"/>
    <cellStyle name="20% - 강조색4 10" xfId="201"/>
    <cellStyle name="20% - 강조색4 11" xfId="202"/>
    <cellStyle name="20% - 강조색4 12" xfId="203"/>
    <cellStyle name="20% - 강조색4 13" xfId="204"/>
    <cellStyle name="20% - 강조색4 14" xfId="205"/>
    <cellStyle name="20% - 강조색4 15" xfId="206"/>
    <cellStyle name="20% - 강조색4 16" xfId="207"/>
    <cellStyle name="20% - 강조색4 17" xfId="208"/>
    <cellStyle name="20% - 강조색4 18" xfId="209"/>
    <cellStyle name="20% - 강조색4 19" xfId="210"/>
    <cellStyle name="20% - 강조색4 2" xfId="211"/>
    <cellStyle name="20% - 강조색4 2 2" xfId="212"/>
    <cellStyle name="20% - 강조색4 2 3" xfId="213"/>
    <cellStyle name="20% - 강조색4 2 4" xfId="214"/>
    <cellStyle name="20% - 강조색4 20" xfId="215"/>
    <cellStyle name="20% - 강조색4 21" xfId="216"/>
    <cellStyle name="20% - 강조색4 22" xfId="217"/>
    <cellStyle name="20% - 강조색4 23" xfId="218"/>
    <cellStyle name="20% - 강조색4 24" xfId="219"/>
    <cellStyle name="20% - 강조색4 25" xfId="220"/>
    <cellStyle name="20% - 강조색4 26" xfId="221"/>
    <cellStyle name="20% - 강조색4 27" xfId="222"/>
    <cellStyle name="20% - 강조색4 28" xfId="223"/>
    <cellStyle name="20% - 강조색4 29" xfId="224"/>
    <cellStyle name="20% - 강조색4 3" xfId="225"/>
    <cellStyle name="20% - 강조색4 3 2" xfId="226"/>
    <cellStyle name="20% - 강조색4 3 3" xfId="227"/>
    <cellStyle name="20% - 강조색4 3 4" xfId="228"/>
    <cellStyle name="20% - 강조색4 30" xfId="229"/>
    <cellStyle name="20% - 강조색4 31" xfId="230"/>
    <cellStyle name="20% - 강조색4 32" xfId="231"/>
    <cellStyle name="20% - 강조색4 33" xfId="232"/>
    <cellStyle name="20% - 강조색4 34" xfId="233"/>
    <cellStyle name="20% - 강조색4 35" xfId="234"/>
    <cellStyle name="20% - 강조색4 36" xfId="235"/>
    <cellStyle name="20% - 강조색4 37" xfId="236"/>
    <cellStyle name="20% - 강조색4 38" xfId="237"/>
    <cellStyle name="20% - 강조색4 39" xfId="238"/>
    <cellStyle name="20% - 강조색4 4" xfId="239"/>
    <cellStyle name="20% - 강조색4 4 2" xfId="240"/>
    <cellStyle name="20% - 강조색4 4 3" xfId="241"/>
    <cellStyle name="20% - 강조색4 4 4" xfId="242"/>
    <cellStyle name="20% - 강조색4 40" xfId="243"/>
    <cellStyle name="20% - 강조색4 41" xfId="244"/>
    <cellStyle name="20% - 강조색4 42" xfId="245"/>
    <cellStyle name="20% - 강조색4 43" xfId="246"/>
    <cellStyle name="20% - 강조색4 44" xfId="247"/>
    <cellStyle name="20% - 강조색4 45" xfId="248"/>
    <cellStyle name="20% - 강조색4 46" xfId="249"/>
    <cellStyle name="20% - 강조색4 47" xfId="250"/>
    <cellStyle name="20% - 강조색4 48" xfId="251"/>
    <cellStyle name="20% - 강조색4 5" xfId="252"/>
    <cellStyle name="20% - 강조색4 6" xfId="253"/>
    <cellStyle name="20% - 강조색4 7" xfId="254"/>
    <cellStyle name="20% - 강조색4 8" xfId="255"/>
    <cellStyle name="20% - 강조색4 9" xfId="256"/>
    <cellStyle name="20% - 강조색5 10" xfId="257"/>
    <cellStyle name="20% - 강조색5 11" xfId="258"/>
    <cellStyle name="20% - 강조색5 12" xfId="259"/>
    <cellStyle name="20% - 강조색5 13" xfId="260"/>
    <cellStyle name="20% - 강조색5 14" xfId="261"/>
    <cellStyle name="20% - 강조색5 15" xfId="262"/>
    <cellStyle name="20% - 강조색5 16" xfId="263"/>
    <cellStyle name="20% - 강조색5 17" xfId="264"/>
    <cellStyle name="20% - 강조색5 18" xfId="265"/>
    <cellStyle name="20% - 강조색5 19" xfId="266"/>
    <cellStyle name="20% - 강조색5 2" xfId="267"/>
    <cellStyle name="20% - 강조색5 2 2" xfId="268"/>
    <cellStyle name="20% - 강조색5 2 3" xfId="269"/>
    <cellStyle name="20% - 강조색5 2 4" xfId="270"/>
    <cellStyle name="20% - 강조색5 20" xfId="271"/>
    <cellStyle name="20% - 강조색5 21" xfId="272"/>
    <cellStyle name="20% - 강조색5 22" xfId="273"/>
    <cellStyle name="20% - 강조색5 23" xfId="274"/>
    <cellStyle name="20% - 강조색5 24" xfId="275"/>
    <cellStyle name="20% - 강조색5 25" xfId="276"/>
    <cellStyle name="20% - 강조색5 26" xfId="277"/>
    <cellStyle name="20% - 강조색5 27" xfId="278"/>
    <cellStyle name="20% - 강조색5 28" xfId="279"/>
    <cellStyle name="20% - 강조색5 29" xfId="280"/>
    <cellStyle name="20% - 강조색5 3" xfId="281"/>
    <cellStyle name="20% - 강조색5 3 2" xfId="282"/>
    <cellStyle name="20% - 강조색5 3 3" xfId="283"/>
    <cellStyle name="20% - 강조색5 3 4" xfId="284"/>
    <cellStyle name="20% - 강조색5 30" xfId="285"/>
    <cellStyle name="20% - 강조색5 31" xfId="286"/>
    <cellStyle name="20% - 강조색5 32" xfId="287"/>
    <cellStyle name="20% - 강조색5 33" xfId="288"/>
    <cellStyle name="20% - 강조색5 34" xfId="289"/>
    <cellStyle name="20% - 강조색5 35" xfId="290"/>
    <cellStyle name="20% - 강조색5 36" xfId="291"/>
    <cellStyle name="20% - 강조색5 37" xfId="292"/>
    <cellStyle name="20% - 강조색5 38" xfId="293"/>
    <cellStyle name="20% - 강조색5 39" xfId="294"/>
    <cellStyle name="20% - 강조색5 4" xfId="295"/>
    <cellStyle name="20% - 강조색5 4 2" xfId="296"/>
    <cellStyle name="20% - 강조색5 4 3" xfId="297"/>
    <cellStyle name="20% - 강조색5 4 4" xfId="298"/>
    <cellStyle name="20% - 강조색5 40" xfId="299"/>
    <cellStyle name="20% - 강조색5 41" xfId="300"/>
    <cellStyle name="20% - 강조색5 42" xfId="301"/>
    <cellStyle name="20% - 강조색5 43" xfId="302"/>
    <cellStyle name="20% - 강조색5 44" xfId="303"/>
    <cellStyle name="20% - 강조색5 45" xfId="304"/>
    <cellStyle name="20% - 강조색5 46" xfId="305"/>
    <cellStyle name="20% - 강조색5 47" xfId="306"/>
    <cellStyle name="20% - 강조색5 48" xfId="307"/>
    <cellStyle name="20% - 강조색5 5" xfId="308"/>
    <cellStyle name="20% - 강조색5 6" xfId="309"/>
    <cellStyle name="20% - 강조색5 7" xfId="310"/>
    <cellStyle name="20% - 강조색5 8" xfId="311"/>
    <cellStyle name="20% - 강조색5 9" xfId="312"/>
    <cellStyle name="20% - 강조색6 10" xfId="313"/>
    <cellStyle name="20% - 강조색6 11" xfId="314"/>
    <cellStyle name="20% - 강조색6 12" xfId="315"/>
    <cellStyle name="20% - 강조색6 13" xfId="316"/>
    <cellStyle name="20% - 강조색6 14" xfId="317"/>
    <cellStyle name="20% - 강조색6 15" xfId="318"/>
    <cellStyle name="20% - 강조색6 16" xfId="319"/>
    <cellStyle name="20% - 강조색6 17" xfId="320"/>
    <cellStyle name="20% - 강조색6 18" xfId="321"/>
    <cellStyle name="20% - 강조색6 19" xfId="322"/>
    <cellStyle name="20% - 강조색6 2" xfId="323"/>
    <cellStyle name="20% - 강조색6 2 2" xfId="324"/>
    <cellStyle name="20% - 강조색6 2 3" xfId="325"/>
    <cellStyle name="20% - 강조색6 2 4" xfId="326"/>
    <cellStyle name="20% - 강조색6 20" xfId="327"/>
    <cellStyle name="20% - 강조색6 21" xfId="328"/>
    <cellStyle name="20% - 강조색6 22" xfId="329"/>
    <cellStyle name="20% - 강조색6 23" xfId="330"/>
    <cellStyle name="20% - 강조색6 24" xfId="331"/>
    <cellStyle name="20% - 강조색6 25" xfId="332"/>
    <cellStyle name="20% - 강조색6 26" xfId="333"/>
    <cellStyle name="20% - 강조색6 27" xfId="334"/>
    <cellStyle name="20% - 강조색6 28" xfId="335"/>
    <cellStyle name="20% - 강조색6 29" xfId="336"/>
    <cellStyle name="20% - 강조색6 3" xfId="337"/>
    <cellStyle name="20% - 강조색6 3 2" xfId="338"/>
    <cellStyle name="20% - 강조색6 3 3" xfId="339"/>
    <cellStyle name="20% - 강조색6 3 4" xfId="340"/>
    <cellStyle name="20% - 강조색6 30" xfId="341"/>
    <cellStyle name="20% - 강조색6 31" xfId="342"/>
    <cellStyle name="20% - 강조색6 32" xfId="343"/>
    <cellStyle name="20% - 강조색6 33" xfId="344"/>
    <cellStyle name="20% - 강조색6 34" xfId="345"/>
    <cellStyle name="20% - 강조색6 35" xfId="346"/>
    <cellStyle name="20% - 강조색6 36" xfId="347"/>
    <cellStyle name="20% - 강조색6 37" xfId="348"/>
    <cellStyle name="20% - 강조색6 38" xfId="349"/>
    <cellStyle name="20% - 강조색6 39" xfId="350"/>
    <cellStyle name="20% - 강조색6 4" xfId="351"/>
    <cellStyle name="20% - 강조색6 4 2" xfId="352"/>
    <cellStyle name="20% - 강조색6 4 3" xfId="353"/>
    <cellStyle name="20% - 강조색6 4 4" xfId="354"/>
    <cellStyle name="20% - 강조색6 40" xfId="355"/>
    <cellStyle name="20% - 강조색6 41" xfId="356"/>
    <cellStyle name="20% - 강조색6 42" xfId="357"/>
    <cellStyle name="20% - 강조색6 43" xfId="358"/>
    <cellStyle name="20% - 강조색6 44" xfId="359"/>
    <cellStyle name="20% - 강조색6 45" xfId="360"/>
    <cellStyle name="20% - 강조색6 46" xfId="361"/>
    <cellStyle name="20% - 강조색6 47" xfId="362"/>
    <cellStyle name="20% - 강조색6 48" xfId="363"/>
    <cellStyle name="20% - 강조색6 5" xfId="364"/>
    <cellStyle name="20% - 강조색6 6" xfId="365"/>
    <cellStyle name="20% - 강조색6 7" xfId="366"/>
    <cellStyle name="20% - 강조색6 8" xfId="367"/>
    <cellStyle name="20% - 강조색6 9" xfId="368"/>
    <cellStyle name="40% - 강조색1 10" xfId="369"/>
    <cellStyle name="40% - 강조색1 11" xfId="370"/>
    <cellStyle name="40% - 강조색1 12" xfId="371"/>
    <cellStyle name="40% - 강조색1 13" xfId="372"/>
    <cellStyle name="40% - 강조색1 14" xfId="373"/>
    <cellStyle name="40% - 강조색1 15" xfId="374"/>
    <cellStyle name="40% - 강조색1 16" xfId="375"/>
    <cellStyle name="40% - 강조색1 17" xfId="376"/>
    <cellStyle name="40% - 강조색1 18" xfId="377"/>
    <cellStyle name="40% - 강조색1 19" xfId="378"/>
    <cellStyle name="40% - 강조색1 2" xfId="379"/>
    <cellStyle name="40% - 강조색1 2 2" xfId="380"/>
    <cellStyle name="40% - 강조색1 2 3" xfId="381"/>
    <cellStyle name="40% - 강조색1 2 4" xfId="382"/>
    <cellStyle name="40% - 강조색1 20" xfId="383"/>
    <cellStyle name="40% - 강조색1 21" xfId="384"/>
    <cellStyle name="40% - 강조색1 22" xfId="385"/>
    <cellStyle name="40% - 강조색1 23" xfId="386"/>
    <cellStyle name="40% - 강조색1 24" xfId="387"/>
    <cellStyle name="40% - 강조색1 25" xfId="388"/>
    <cellStyle name="40% - 강조색1 26" xfId="389"/>
    <cellStyle name="40% - 강조색1 27" xfId="390"/>
    <cellStyle name="40% - 강조색1 28" xfId="391"/>
    <cellStyle name="40% - 강조색1 29" xfId="392"/>
    <cellStyle name="40% - 강조색1 3" xfId="393"/>
    <cellStyle name="40% - 강조색1 3 2" xfId="394"/>
    <cellStyle name="40% - 강조색1 3 3" xfId="395"/>
    <cellStyle name="40% - 강조색1 3 4" xfId="396"/>
    <cellStyle name="40% - 강조색1 30" xfId="397"/>
    <cellStyle name="40% - 강조색1 31" xfId="398"/>
    <cellStyle name="40% - 강조색1 32" xfId="399"/>
    <cellStyle name="40% - 강조색1 33" xfId="400"/>
    <cellStyle name="40% - 강조색1 34" xfId="401"/>
    <cellStyle name="40% - 강조색1 35" xfId="402"/>
    <cellStyle name="40% - 강조색1 36" xfId="403"/>
    <cellStyle name="40% - 강조색1 37" xfId="404"/>
    <cellStyle name="40% - 강조색1 38" xfId="405"/>
    <cellStyle name="40% - 강조색1 39" xfId="406"/>
    <cellStyle name="40% - 강조색1 4" xfId="407"/>
    <cellStyle name="40% - 강조색1 4 2" xfId="408"/>
    <cellStyle name="40% - 강조색1 4 3" xfId="409"/>
    <cellStyle name="40% - 강조색1 4 4" xfId="410"/>
    <cellStyle name="40% - 강조색1 40" xfId="411"/>
    <cellStyle name="40% - 강조색1 41" xfId="412"/>
    <cellStyle name="40% - 강조색1 42" xfId="413"/>
    <cellStyle name="40% - 강조색1 43" xfId="414"/>
    <cellStyle name="40% - 강조색1 44" xfId="415"/>
    <cellStyle name="40% - 강조색1 45" xfId="416"/>
    <cellStyle name="40% - 강조색1 46" xfId="417"/>
    <cellStyle name="40% - 강조색1 47" xfId="418"/>
    <cellStyle name="40% - 강조색1 48" xfId="419"/>
    <cellStyle name="40% - 강조색1 5" xfId="420"/>
    <cellStyle name="40% - 강조색1 6" xfId="421"/>
    <cellStyle name="40% - 강조색1 7" xfId="422"/>
    <cellStyle name="40% - 강조색1 8" xfId="423"/>
    <cellStyle name="40% - 강조색1 9" xfId="424"/>
    <cellStyle name="40% - 강조색2 10" xfId="425"/>
    <cellStyle name="40% - 강조색2 11" xfId="426"/>
    <cellStyle name="40% - 강조색2 12" xfId="427"/>
    <cellStyle name="40% - 강조색2 13" xfId="428"/>
    <cellStyle name="40% - 강조색2 14" xfId="429"/>
    <cellStyle name="40% - 강조색2 15" xfId="430"/>
    <cellStyle name="40% - 강조색2 16" xfId="431"/>
    <cellStyle name="40% - 강조색2 17" xfId="432"/>
    <cellStyle name="40% - 강조색2 18" xfId="433"/>
    <cellStyle name="40% - 강조색2 19" xfId="434"/>
    <cellStyle name="40% - 강조색2 2" xfId="435"/>
    <cellStyle name="40% - 강조색2 2 2" xfId="436"/>
    <cellStyle name="40% - 강조색2 2 3" xfId="437"/>
    <cellStyle name="40% - 강조색2 2 4" xfId="438"/>
    <cellStyle name="40% - 강조색2 20" xfId="439"/>
    <cellStyle name="40% - 강조색2 21" xfId="440"/>
    <cellStyle name="40% - 강조색2 22" xfId="441"/>
    <cellStyle name="40% - 강조색2 23" xfId="442"/>
    <cellStyle name="40% - 강조색2 24" xfId="443"/>
    <cellStyle name="40% - 강조색2 25" xfId="444"/>
    <cellStyle name="40% - 강조색2 26" xfId="445"/>
    <cellStyle name="40% - 강조색2 27" xfId="446"/>
    <cellStyle name="40% - 강조색2 28" xfId="447"/>
    <cellStyle name="40% - 강조색2 29" xfId="448"/>
    <cellStyle name="40% - 강조색2 3" xfId="449"/>
    <cellStyle name="40% - 강조색2 3 2" xfId="450"/>
    <cellStyle name="40% - 강조색2 3 3" xfId="451"/>
    <cellStyle name="40% - 강조색2 3 4" xfId="452"/>
    <cellStyle name="40% - 강조색2 30" xfId="453"/>
    <cellStyle name="40% - 강조색2 31" xfId="454"/>
    <cellStyle name="40% - 강조색2 32" xfId="455"/>
    <cellStyle name="40% - 강조색2 33" xfId="456"/>
    <cellStyle name="40% - 강조색2 34" xfId="457"/>
    <cellStyle name="40% - 강조색2 35" xfId="458"/>
    <cellStyle name="40% - 강조색2 36" xfId="459"/>
    <cellStyle name="40% - 강조색2 37" xfId="460"/>
    <cellStyle name="40% - 강조색2 38" xfId="461"/>
    <cellStyle name="40% - 강조색2 39" xfId="462"/>
    <cellStyle name="40% - 강조색2 4" xfId="463"/>
    <cellStyle name="40% - 강조색2 4 2" xfId="464"/>
    <cellStyle name="40% - 강조색2 4 3" xfId="465"/>
    <cellStyle name="40% - 강조색2 4 4" xfId="466"/>
    <cellStyle name="40% - 강조색2 40" xfId="467"/>
    <cellStyle name="40% - 강조색2 41" xfId="468"/>
    <cellStyle name="40% - 강조색2 42" xfId="469"/>
    <cellStyle name="40% - 강조색2 43" xfId="470"/>
    <cellStyle name="40% - 강조색2 44" xfId="471"/>
    <cellStyle name="40% - 강조색2 45" xfId="472"/>
    <cellStyle name="40% - 강조색2 46" xfId="473"/>
    <cellStyle name="40% - 강조색2 47" xfId="474"/>
    <cellStyle name="40% - 강조색2 48" xfId="475"/>
    <cellStyle name="40% - 강조색2 5" xfId="476"/>
    <cellStyle name="40% - 강조색2 6" xfId="477"/>
    <cellStyle name="40% - 강조색2 7" xfId="478"/>
    <cellStyle name="40% - 강조색2 8" xfId="479"/>
    <cellStyle name="40% - 강조색2 9" xfId="480"/>
    <cellStyle name="40% - 강조색3 10" xfId="481"/>
    <cellStyle name="40% - 강조색3 11" xfId="482"/>
    <cellStyle name="40% - 강조색3 12" xfId="483"/>
    <cellStyle name="40% - 강조색3 13" xfId="484"/>
    <cellStyle name="40% - 강조색3 14" xfId="485"/>
    <cellStyle name="40% - 강조색3 15" xfId="486"/>
    <cellStyle name="40% - 강조색3 16" xfId="487"/>
    <cellStyle name="40% - 강조색3 17" xfId="488"/>
    <cellStyle name="40% - 강조색3 18" xfId="489"/>
    <cellStyle name="40% - 강조색3 19" xfId="490"/>
    <cellStyle name="40% - 강조색3 2" xfId="491"/>
    <cellStyle name="40% - 강조색3 2 2" xfId="492"/>
    <cellStyle name="40% - 강조색3 2 3" xfId="493"/>
    <cellStyle name="40% - 강조색3 2 4" xfId="494"/>
    <cellStyle name="40% - 강조색3 20" xfId="495"/>
    <cellStyle name="40% - 강조색3 21" xfId="496"/>
    <cellStyle name="40% - 강조색3 22" xfId="497"/>
    <cellStyle name="40% - 강조색3 23" xfId="498"/>
    <cellStyle name="40% - 강조색3 24" xfId="499"/>
    <cellStyle name="40% - 강조색3 25" xfId="500"/>
    <cellStyle name="40% - 강조색3 26" xfId="501"/>
    <cellStyle name="40% - 강조색3 27" xfId="502"/>
    <cellStyle name="40% - 강조색3 28" xfId="503"/>
    <cellStyle name="40% - 강조색3 29" xfId="504"/>
    <cellStyle name="40% - 강조색3 3" xfId="505"/>
    <cellStyle name="40% - 강조색3 3 2" xfId="506"/>
    <cellStyle name="40% - 강조색3 3 3" xfId="507"/>
    <cellStyle name="40% - 강조색3 3 4" xfId="508"/>
    <cellStyle name="40% - 강조색3 30" xfId="509"/>
    <cellStyle name="40% - 강조색3 31" xfId="510"/>
    <cellStyle name="40% - 강조색3 32" xfId="511"/>
    <cellStyle name="40% - 강조색3 33" xfId="512"/>
    <cellStyle name="40% - 강조색3 34" xfId="513"/>
    <cellStyle name="40% - 강조색3 35" xfId="514"/>
    <cellStyle name="40% - 강조색3 36" xfId="515"/>
    <cellStyle name="40% - 강조색3 37" xfId="516"/>
    <cellStyle name="40% - 강조색3 38" xfId="517"/>
    <cellStyle name="40% - 강조색3 39" xfId="518"/>
    <cellStyle name="40% - 강조색3 4" xfId="519"/>
    <cellStyle name="40% - 강조색3 4 2" xfId="520"/>
    <cellStyle name="40% - 강조색3 4 3" xfId="521"/>
    <cellStyle name="40% - 강조색3 4 4" xfId="522"/>
    <cellStyle name="40% - 강조색3 40" xfId="523"/>
    <cellStyle name="40% - 강조색3 41" xfId="524"/>
    <cellStyle name="40% - 강조색3 42" xfId="525"/>
    <cellStyle name="40% - 강조색3 43" xfId="526"/>
    <cellStyle name="40% - 강조색3 44" xfId="527"/>
    <cellStyle name="40% - 강조색3 45" xfId="528"/>
    <cellStyle name="40% - 강조색3 46" xfId="529"/>
    <cellStyle name="40% - 강조색3 47" xfId="530"/>
    <cellStyle name="40% - 강조색3 48" xfId="531"/>
    <cellStyle name="40% - 강조색3 5" xfId="532"/>
    <cellStyle name="40% - 강조색3 6" xfId="533"/>
    <cellStyle name="40% - 강조색3 7" xfId="534"/>
    <cellStyle name="40% - 강조색3 8" xfId="535"/>
    <cellStyle name="40% - 강조색3 9" xfId="536"/>
    <cellStyle name="40% - 강조색4 10" xfId="537"/>
    <cellStyle name="40% - 강조색4 11" xfId="538"/>
    <cellStyle name="40% - 강조색4 12" xfId="539"/>
    <cellStyle name="40% - 강조색4 13" xfId="540"/>
    <cellStyle name="40% - 강조색4 14" xfId="541"/>
    <cellStyle name="40% - 강조색4 15" xfId="542"/>
    <cellStyle name="40% - 강조색4 16" xfId="543"/>
    <cellStyle name="40% - 강조색4 17" xfId="544"/>
    <cellStyle name="40% - 강조색4 18" xfId="545"/>
    <cellStyle name="40% - 강조색4 19" xfId="546"/>
    <cellStyle name="40% - 강조색4 2" xfId="547"/>
    <cellStyle name="40% - 강조색4 2 2" xfId="548"/>
    <cellStyle name="40% - 강조색4 2 3" xfId="549"/>
    <cellStyle name="40% - 강조색4 2 4" xfId="550"/>
    <cellStyle name="40% - 강조색4 20" xfId="551"/>
    <cellStyle name="40% - 강조색4 21" xfId="552"/>
    <cellStyle name="40% - 강조색4 22" xfId="553"/>
    <cellStyle name="40% - 강조색4 23" xfId="554"/>
    <cellStyle name="40% - 강조색4 24" xfId="555"/>
    <cellStyle name="40% - 강조색4 25" xfId="556"/>
    <cellStyle name="40% - 강조색4 26" xfId="557"/>
    <cellStyle name="40% - 강조색4 27" xfId="558"/>
    <cellStyle name="40% - 강조색4 28" xfId="559"/>
    <cellStyle name="40% - 강조색4 29" xfId="560"/>
    <cellStyle name="40% - 강조색4 3" xfId="561"/>
    <cellStyle name="40% - 강조색4 3 2" xfId="562"/>
    <cellStyle name="40% - 강조색4 3 3" xfId="563"/>
    <cellStyle name="40% - 강조색4 3 4" xfId="564"/>
    <cellStyle name="40% - 강조색4 30" xfId="565"/>
    <cellStyle name="40% - 강조색4 31" xfId="566"/>
    <cellStyle name="40% - 강조색4 32" xfId="567"/>
    <cellStyle name="40% - 강조색4 33" xfId="568"/>
    <cellStyle name="40% - 강조색4 34" xfId="569"/>
    <cellStyle name="40% - 강조색4 35" xfId="570"/>
    <cellStyle name="40% - 강조색4 36" xfId="571"/>
    <cellStyle name="40% - 강조색4 37" xfId="572"/>
    <cellStyle name="40% - 강조색4 38" xfId="573"/>
    <cellStyle name="40% - 강조색4 39" xfId="574"/>
    <cellStyle name="40% - 강조색4 4" xfId="575"/>
    <cellStyle name="40% - 강조색4 4 2" xfId="576"/>
    <cellStyle name="40% - 강조색4 4 3" xfId="577"/>
    <cellStyle name="40% - 강조색4 4 4" xfId="578"/>
    <cellStyle name="40% - 강조색4 40" xfId="579"/>
    <cellStyle name="40% - 강조색4 41" xfId="580"/>
    <cellStyle name="40% - 강조색4 42" xfId="581"/>
    <cellStyle name="40% - 강조색4 43" xfId="582"/>
    <cellStyle name="40% - 강조색4 44" xfId="583"/>
    <cellStyle name="40% - 강조색4 45" xfId="584"/>
    <cellStyle name="40% - 강조색4 46" xfId="585"/>
    <cellStyle name="40% - 강조색4 47" xfId="586"/>
    <cellStyle name="40% - 강조색4 48" xfId="587"/>
    <cellStyle name="40% - 강조색4 5" xfId="588"/>
    <cellStyle name="40% - 강조색4 6" xfId="589"/>
    <cellStyle name="40% - 강조색4 7" xfId="590"/>
    <cellStyle name="40% - 강조색4 8" xfId="591"/>
    <cellStyle name="40% - 강조색4 9" xfId="592"/>
    <cellStyle name="40% - 강조색5 10" xfId="593"/>
    <cellStyle name="40% - 강조색5 11" xfId="594"/>
    <cellStyle name="40% - 강조색5 12" xfId="595"/>
    <cellStyle name="40% - 강조색5 13" xfId="596"/>
    <cellStyle name="40% - 강조색5 14" xfId="597"/>
    <cellStyle name="40% - 강조색5 15" xfId="598"/>
    <cellStyle name="40% - 강조색5 16" xfId="599"/>
    <cellStyle name="40% - 강조색5 17" xfId="600"/>
    <cellStyle name="40% - 강조색5 18" xfId="601"/>
    <cellStyle name="40% - 강조색5 19" xfId="602"/>
    <cellStyle name="40% - 강조색5 2" xfId="603"/>
    <cellStyle name="40% - 강조색5 2 2" xfId="604"/>
    <cellStyle name="40% - 강조색5 2 3" xfId="605"/>
    <cellStyle name="40% - 강조색5 2 4" xfId="606"/>
    <cellStyle name="40% - 강조색5 20" xfId="607"/>
    <cellStyle name="40% - 강조색5 21" xfId="608"/>
    <cellStyle name="40% - 강조색5 22" xfId="609"/>
    <cellStyle name="40% - 강조색5 23" xfId="610"/>
    <cellStyle name="40% - 강조색5 24" xfId="611"/>
    <cellStyle name="40% - 강조색5 25" xfId="612"/>
    <cellStyle name="40% - 강조색5 26" xfId="613"/>
    <cellStyle name="40% - 강조색5 27" xfId="614"/>
    <cellStyle name="40% - 강조색5 28" xfId="615"/>
    <cellStyle name="40% - 강조색5 29" xfId="616"/>
    <cellStyle name="40% - 강조색5 3" xfId="617"/>
    <cellStyle name="40% - 강조색5 3 2" xfId="618"/>
    <cellStyle name="40% - 강조색5 3 3" xfId="619"/>
    <cellStyle name="40% - 강조색5 3 4" xfId="620"/>
    <cellStyle name="40% - 강조색5 30" xfId="621"/>
    <cellStyle name="40% - 강조색5 31" xfId="622"/>
    <cellStyle name="40% - 강조색5 32" xfId="623"/>
    <cellStyle name="40% - 강조색5 33" xfId="624"/>
    <cellStyle name="40% - 강조색5 34" xfId="625"/>
    <cellStyle name="40% - 강조색5 35" xfId="626"/>
    <cellStyle name="40% - 강조색5 36" xfId="627"/>
    <cellStyle name="40% - 강조색5 37" xfId="628"/>
    <cellStyle name="40% - 강조색5 38" xfId="629"/>
    <cellStyle name="40% - 강조색5 39" xfId="630"/>
    <cellStyle name="40% - 강조색5 4" xfId="631"/>
    <cellStyle name="40% - 강조색5 4 2" xfId="632"/>
    <cellStyle name="40% - 강조색5 4 3" xfId="633"/>
    <cellStyle name="40% - 강조색5 4 4" xfId="634"/>
    <cellStyle name="40% - 강조색5 40" xfId="635"/>
    <cellStyle name="40% - 강조색5 41" xfId="636"/>
    <cellStyle name="40% - 강조색5 42" xfId="637"/>
    <cellStyle name="40% - 강조색5 43" xfId="638"/>
    <cellStyle name="40% - 강조색5 44" xfId="639"/>
    <cellStyle name="40% - 강조색5 45" xfId="640"/>
    <cellStyle name="40% - 강조색5 46" xfId="641"/>
    <cellStyle name="40% - 강조색5 47" xfId="642"/>
    <cellStyle name="40% - 강조색5 48" xfId="643"/>
    <cellStyle name="40% - 강조색5 5" xfId="644"/>
    <cellStyle name="40% - 강조색5 6" xfId="645"/>
    <cellStyle name="40% - 강조색5 7" xfId="646"/>
    <cellStyle name="40% - 강조색5 8" xfId="647"/>
    <cellStyle name="40% - 강조색5 9" xfId="648"/>
    <cellStyle name="40% - 강조색6 10" xfId="649"/>
    <cellStyle name="40% - 강조색6 11" xfId="650"/>
    <cellStyle name="40% - 강조색6 12" xfId="651"/>
    <cellStyle name="40% - 강조색6 13" xfId="652"/>
    <cellStyle name="40% - 강조색6 14" xfId="653"/>
    <cellStyle name="40% - 강조색6 15" xfId="654"/>
    <cellStyle name="40% - 강조색6 16" xfId="655"/>
    <cellStyle name="40% - 강조색6 17" xfId="656"/>
    <cellStyle name="40% - 강조색6 18" xfId="657"/>
    <cellStyle name="40% - 강조색6 19" xfId="658"/>
    <cellStyle name="40% - 강조색6 2" xfId="659"/>
    <cellStyle name="40% - 강조색6 2 2" xfId="660"/>
    <cellStyle name="40% - 강조색6 2 3" xfId="661"/>
    <cellStyle name="40% - 강조색6 2 4" xfId="662"/>
    <cellStyle name="40% - 강조색6 20" xfId="663"/>
    <cellStyle name="40% - 강조색6 21" xfId="664"/>
    <cellStyle name="40% - 강조색6 22" xfId="665"/>
    <cellStyle name="40% - 강조색6 23" xfId="666"/>
    <cellStyle name="40% - 강조색6 24" xfId="667"/>
    <cellStyle name="40% - 강조색6 25" xfId="668"/>
    <cellStyle name="40% - 강조색6 26" xfId="669"/>
    <cellStyle name="40% - 강조색6 27" xfId="670"/>
    <cellStyle name="40% - 강조색6 28" xfId="671"/>
    <cellStyle name="40% - 강조색6 29" xfId="672"/>
    <cellStyle name="40% - 강조색6 3" xfId="673"/>
    <cellStyle name="40% - 강조색6 3 2" xfId="674"/>
    <cellStyle name="40% - 강조색6 3 3" xfId="675"/>
    <cellStyle name="40% - 강조색6 3 4" xfId="676"/>
    <cellStyle name="40% - 강조색6 30" xfId="677"/>
    <cellStyle name="40% - 강조색6 31" xfId="678"/>
    <cellStyle name="40% - 강조색6 32" xfId="679"/>
    <cellStyle name="40% - 강조색6 33" xfId="680"/>
    <cellStyle name="40% - 강조색6 34" xfId="681"/>
    <cellStyle name="40% - 강조색6 35" xfId="682"/>
    <cellStyle name="40% - 강조색6 36" xfId="683"/>
    <cellStyle name="40% - 강조색6 37" xfId="684"/>
    <cellStyle name="40% - 강조색6 38" xfId="685"/>
    <cellStyle name="40% - 강조색6 39" xfId="686"/>
    <cellStyle name="40% - 강조색6 4" xfId="687"/>
    <cellStyle name="40% - 강조색6 4 2" xfId="688"/>
    <cellStyle name="40% - 강조색6 4 3" xfId="689"/>
    <cellStyle name="40% - 강조색6 4 4" xfId="690"/>
    <cellStyle name="40% - 강조색6 40" xfId="691"/>
    <cellStyle name="40% - 강조색6 41" xfId="692"/>
    <cellStyle name="40% - 강조색6 42" xfId="693"/>
    <cellStyle name="40% - 강조색6 43" xfId="694"/>
    <cellStyle name="40% - 강조색6 44" xfId="695"/>
    <cellStyle name="40% - 강조색6 45" xfId="696"/>
    <cellStyle name="40% - 강조색6 46" xfId="697"/>
    <cellStyle name="40% - 강조색6 47" xfId="698"/>
    <cellStyle name="40% - 강조색6 48" xfId="699"/>
    <cellStyle name="40% - 강조색6 5" xfId="700"/>
    <cellStyle name="40% - 강조색6 6" xfId="701"/>
    <cellStyle name="40% - 강조색6 7" xfId="702"/>
    <cellStyle name="40% - 강조색6 8" xfId="703"/>
    <cellStyle name="40% - 강조색6 9" xfId="704"/>
    <cellStyle name="60% - 강조색1 10" xfId="705"/>
    <cellStyle name="60% - 강조색1 11" xfId="706"/>
    <cellStyle name="60% - 강조색1 12" xfId="707"/>
    <cellStyle name="60% - 강조색1 13" xfId="708"/>
    <cellStyle name="60% - 강조색1 14" xfId="709"/>
    <cellStyle name="60% - 강조색1 15" xfId="710"/>
    <cellStyle name="60% - 강조색1 16" xfId="711"/>
    <cellStyle name="60% - 강조색1 17" xfId="712"/>
    <cellStyle name="60% - 강조색1 18" xfId="713"/>
    <cellStyle name="60% - 강조색1 19" xfId="714"/>
    <cellStyle name="60% - 강조색1 2" xfId="715"/>
    <cellStyle name="60% - 강조색1 2 2" xfId="716"/>
    <cellStyle name="60% - 강조색1 2 3" xfId="717"/>
    <cellStyle name="60% - 강조색1 2 4" xfId="718"/>
    <cellStyle name="60% - 강조색1 20" xfId="719"/>
    <cellStyle name="60% - 강조색1 21" xfId="720"/>
    <cellStyle name="60% - 강조색1 22" xfId="721"/>
    <cellStyle name="60% - 강조색1 23" xfId="722"/>
    <cellStyle name="60% - 강조색1 24" xfId="723"/>
    <cellStyle name="60% - 강조색1 25" xfId="724"/>
    <cellStyle name="60% - 강조색1 26" xfId="725"/>
    <cellStyle name="60% - 강조색1 27" xfId="726"/>
    <cellStyle name="60% - 강조색1 28" xfId="727"/>
    <cellStyle name="60% - 강조색1 29" xfId="728"/>
    <cellStyle name="60% - 강조색1 3" xfId="729"/>
    <cellStyle name="60% - 강조색1 3 2" xfId="730"/>
    <cellStyle name="60% - 강조색1 3 3" xfId="731"/>
    <cellStyle name="60% - 강조색1 3 4" xfId="732"/>
    <cellStyle name="60% - 강조색1 30" xfId="733"/>
    <cellStyle name="60% - 강조색1 31" xfId="734"/>
    <cellStyle name="60% - 강조색1 32" xfId="735"/>
    <cellStyle name="60% - 강조색1 33" xfId="736"/>
    <cellStyle name="60% - 강조색1 34" xfId="737"/>
    <cellStyle name="60% - 강조색1 35" xfId="738"/>
    <cellStyle name="60% - 강조색1 36" xfId="739"/>
    <cellStyle name="60% - 강조색1 37" xfId="740"/>
    <cellStyle name="60% - 강조색1 38" xfId="741"/>
    <cellStyle name="60% - 강조색1 39" xfId="742"/>
    <cellStyle name="60% - 강조색1 4" xfId="743"/>
    <cellStyle name="60% - 강조색1 4 2" xfId="744"/>
    <cellStyle name="60% - 강조색1 4 3" xfId="745"/>
    <cellStyle name="60% - 강조색1 4 4" xfId="746"/>
    <cellStyle name="60% - 강조색1 40" xfId="747"/>
    <cellStyle name="60% - 강조색1 41" xfId="748"/>
    <cellStyle name="60% - 강조색1 42" xfId="749"/>
    <cellStyle name="60% - 강조색1 43" xfId="750"/>
    <cellStyle name="60% - 강조색1 44" xfId="751"/>
    <cellStyle name="60% - 강조색1 45" xfId="752"/>
    <cellStyle name="60% - 강조색1 46" xfId="753"/>
    <cellStyle name="60% - 강조색1 47" xfId="754"/>
    <cellStyle name="60% - 강조색1 48" xfId="755"/>
    <cellStyle name="60% - 강조색1 5" xfId="756"/>
    <cellStyle name="60% - 강조색1 6" xfId="757"/>
    <cellStyle name="60% - 강조색1 7" xfId="758"/>
    <cellStyle name="60% - 강조색1 8" xfId="759"/>
    <cellStyle name="60% - 강조색1 9" xfId="760"/>
    <cellStyle name="60% - 강조색2 10" xfId="761"/>
    <cellStyle name="60% - 강조색2 11" xfId="762"/>
    <cellStyle name="60% - 강조색2 12" xfId="763"/>
    <cellStyle name="60% - 강조색2 13" xfId="764"/>
    <cellStyle name="60% - 강조색2 14" xfId="765"/>
    <cellStyle name="60% - 강조색2 15" xfId="766"/>
    <cellStyle name="60% - 강조색2 16" xfId="767"/>
    <cellStyle name="60% - 강조색2 17" xfId="768"/>
    <cellStyle name="60% - 강조색2 18" xfId="769"/>
    <cellStyle name="60% - 강조색2 19" xfId="770"/>
    <cellStyle name="60% - 강조색2 2" xfId="771"/>
    <cellStyle name="60% - 강조색2 2 2" xfId="772"/>
    <cellStyle name="60% - 강조색2 2 3" xfId="773"/>
    <cellStyle name="60% - 강조색2 2 4" xfId="774"/>
    <cellStyle name="60% - 강조색2 20" xfId="775"/>
    <cellStyle name="60% - 강조색2 21" xfId="776"/>
    <cellStyle name="60% - 강조색2 22" xfId="777"/>
    <cellStyle name="60% - 강조색2 23" xfId="778"/>
    <cellStyle name="60% - 강조색2 24" xfId="779"/>
    <cellStyle name="60% - 강조색2 25" xfId="780"/>
    <cellStyle name="60% - 강조색2 26" xfId="781"/>
    <cellStyle name="60% - 강조색2 27" xfId="782"/>
    <cellStyle name="60% - 강조색2 28" xfId="783"/>
    <cellStyle name="60% - 강조색2 29" xfId="784"/>
    <cellStyle name="60% - 강조색2 3" xfId="785"/>
    <cellStyle name="60% - 강조색2 3 2" xfId="786"/>
    <cellStyle name="60% - 강조색2 3 3" xfId="787"/>
    <cellStyle name="60% - 강조색2 3 4" xfId="788"/>
    <cellStyle name="60% - 강조색2 30" xfId="789"/>
    <cellStyle name="60% - 강조색2 31" xfId="790"/>
    <cellStyle name="60% - 강조색2 32" xfId="791"/>
    <cellStyle name="60% - 강조색2 33" xfId="792"/>
    <cellStyle name="60% - 강조색2 34" xfId="793"/>
    <cellStyle name="60% - 강조색2 35" xfId="794"/>
    <cellStyle name="60% - 강조색2 36" xfId="795"/>
    <cellStyle name="60% - 강조색2 37" xfId="796"/>
    <cellStyle name="60% - 강조색2 38" xfId="797"/>
    <cellStyle name="60% - 강조색2 39" xfId="798"/>
    <cellStyle name="60% - 강조색2 4" xfId="799"/>
    <cellStyle name="60% - 강조색2 4 2" xfId="800"/>
    <cellStyle name="60% - 강조색2 4 3" xfId="801"/>
    <cellStyle name="60% - 강조색2 4 4" xfId="802"/>
    <cellStyle name="60% - 강조색2 40" xfId="803"/>
    <cellStyle name="60% - 강조색2 41" xfId="804"/>
    <cellStyle name="60% - 강조색2 42" xfId="805"/>
    <cellStyle name="60% - 강조색2 43" xfId="806"/>
    <cellStyle name="60% - 강조색2 44" xfId="807"/>
    <cellStyle name="60% - 강조색2 45" xfId="808"/>
    <cellStyle name="60% - 강조색2 46" xfId="809"/>
    <cellStyle name="60% - 강조색2 47" xfId="810"/>
    <cellStyle name="60% - 강조색2 48" xfId="811"/>
    <cellStyle name="60% - 강조색2 5" xfId="812"/>
    <cellStyle name="60% - 강조색2 6" xfId="813"/>
    <cellStyle name="60% - 강조색2 7" xfId="814"/>
    <cellStyle name="60% - 강조색2 8" xfId="815"/>
    <cellStyle name="60% - 강조색2 9" xfId="816"/>
    <cellStyle name="60% - 강조색3 10" xfId="817"/>
    <cellStyle name="60% - 강조색3 11" xfId="818"/>
    <cellStyle name="60% - 강조색3 12" xfId="819"/>
    <cellStyle name="60% - 강조색3 13" xfId="820"/>
    <cellStyle name="60% - 강조색3 14" xfId="821"/>
    <cellStyle name="60% - 강조색3 15" xfId="822"/>
    <cellStyle name="60% - 강조색3 16" xfId="823"/>
    <cellStyle name="60% - 강조색3 17" xfId="824"/>
    <cellStyle name="60% - 강조색3 18" xfId="825"/>
    <cellStyle name="60% - 강조색3 19" xfId="826"/>
    <cellStyle name="60% - 강조색3 2" xfId="827"/>
    <cellStyle name="60% - 강조색3 2 2" xfId="828"/>
    <cellStyle name="60% - 강조색3 2 3" xfId="829"/>
    <cellStyle name="60% - 강조색3 2 4" xfId="830"/>
    <cellStyle name="60% - 강조색3 20" xfId="831"/>
    <cellStyle name="60% - 강조색3 21" xfId="832"/>
    <cellStyle name="60% - 강조색3 22" xfId="833"/>
    <cellStyle name="60% - 강조색3 23" xfId="834"/>
    <cellStyle name="60% - 강조색3 24" xfId="835"/>
    <cellStyle name="60% - 강조색3 25" xfId="836"/>
    <cellStyle name="60% - 강조색3 26" xfId="837"/>
    <cellStyle name="60% - 강조색3 27" xfId="838"/>
    <cellStyle name="60% - 강조색3 28" xfId="839"/>
    <cellStyle name="60% - 강조색3 29" xfId="840"/>
    <cellStyle name="60% - 강조색3 3" xfId="841"/>
    <cellStyle name="60% - 강조색3 3 2" xfId="842"/>
    <cellStyle name="60% - 강조색3 3 3" xfId="843"/>
    <cellStyle name="60% - 강조색3 3 4" xfId="844"/>
    <cellStyle name="60% - 강조색3 30" xfId="845"/>
    <cellStyle name="60% - 강조색3 31" xfId="846"/>
    <cellStyle name="60% - 강조색3 32" xfId="847"/>
    <cellStyle name="60% - 강조색3 33" xfId="848"/>
    <cellStyle name="60% - 강조색3 34" xfId="849"/>
    <cellStyle name="60% - 강조색3 35" xfId="850"/>
    <cellStyle name="60% - 강조색3 36" xfId="851"/>
    <cellStyle name="60% - 강조색3 37" xfId="852"/>
    <cellStyle name="60% - 강조색3 38" xfId="853"/>
    <cellStyle name="60% - 강조색3 39" xfId="854"/>
    <cellStyle name="60% - 강조색3 4" xfId="855"/>
    <cellStyle name="60% - 강조색3 4 2" xfId="856"/>
    <cellStyle name="60% - 강조색3 4 3" xfId="857"/>
    <cellStyle name="60% - 강조색3 4 4" xfId="858"/>
    <cellStyle name="60% - 강조색3 40" xfId="859"/>
    <cellStyle name="60% - 강조색3 41" xfId="860"/>
    <cellStyle name="60% - 강조색3 42" xfId="861"/>
    <cellStyle name="60% - 강조색3 43" xfId="862"/>
    <cellStyle name="60% - 강조색3 44" xfId="863"/>
    <cellStyle name="60% - 강조색3 45" xfId="864"/>
    <cellStyle name="60% - 강조색3 46" xfId="865"/>
    <cellStyle name="60% - 강조색3 47" xfId="866"/>
    <cellStyle name="60% - 강조색3 48" xfId="867"/>
    <cellStyle name="60% - 강조색3 5" xfId="868"/>
    <cellStyle name="60% - 강조색3 6" xfId="869"/>
    <cellStyle name="60% - 강조색3 7" xfId="870"/>
    <cellStyle name="60% - 강조색3 8" xfId="871"/>
    <cellStyle name="60% - 강조색3 9" xfId="872"/>
    <cellStyle name="60% - 강조색4 10" xfId="873"/>
    <cellStyle name="60% - 강조색4 11" xfId="874"/>
    <cellStyle name="60% - 강조색4 12" xfId="875"/>
    <cellStyle name="60% - 강조색4 13" xfId="876"/>
    <cellStyle name="60% - 강조색4 14" xfId="877"/>
    <cellStyle name="60% - 강조색4 15" xfId="878"/>
    <cellStyle name="60% - 강조색4 16" xfId="879"/>
    <cellStyle name="60% - 강조색4 17" xfId="880"/>
    <cellStyle name="60% - 강조색4 18" xfId="881"/>
    <cellStyle name="60% - 강조색4 19" xfId="882"/>
    <cellStyle name="60% - 강조색4 2" xfId="883"/>
    <cellStyle name="60% - 강조색4 2 2" xfId="884"/>
    <cellStyle name="60% - 강조색4 2 3" xfId="885"/>
    <cellStyle name="60% - 강조색4 2 4" xfId="886"/>
    <cellStyle name="60% - 강조색4 20" xfId="887"/>
    <cellStyle name="60% - 강조색4 21" xfId="888"/>
    <cellStyle name="60% - 강조색4 22" xfId="889"/>
    <cellStyle name="60% - 강조색4 23" xfId="890"/>
    <cellStyle name="60% - 강조색4 24" xfId="891"/>
    <cellStyle name="60% - 강조색4 25" xfId="892"/>
    <cellStyle name="60% - 강조색4 26" xfId="893"/>
    <cellStyle name="60% - 강조색4 27" xfId="894"/>
    <cellStyle name="60% - 강조색4 28" xfId="895"/>
    <cellStyle name="60% - 강조색4 29" xfId="896"/>
    <cellStyle name="60% - 강조색4 3" xfId="897"/>
    <cellStyle name="60% - 강조색4 3 2" xfId="898"/>
    <cellStyle name="60% - 강조색4 3 3" xfId="899"/>
    <cellStyle name="60% - 강조색4 3 4" xfId="900"/>
    <cellStyle name="60% - 강조색4 30" xfId="901"/>
    <cellStyle name="60% - 강조색4 31" xfId="902"/>
    <cellStyle name="60% - 강조색4 32" xfId="903"/>
    <cellStyle name="60% - 강조색4 33" xfId="904"/>
    <cellStyle name="60% - 강조색4 34" xfId="905"/>
    <cellStyle name="60% - 강조색4 35" xfId="906"/>
    <cellStyle name="60% - 강조색4 36" xfId="907"/>
    <cellStyle name="60% - 강조색4 37" xfId="908"/>
    <cellStyle name="60% - 강조색4 38" xfId="909"/>
    <cellStyle name="60% - 강조색4 39" xfId="910"/>
    <cellStyle name="60% - 강조색4 4" xfId="911"/>
    <cellStyle name="60% - 강조색4 4 2" xfId="912"/>
    <cellStyle name="60% - 강조색4 4 3" xfId="913"/>
    <cellStyle name="60% - 강조색4 4 4" xfId="914"/>
    <cellStyle name="60% - 강조색4 40" xfId="915"/>
    <cellStyle name="60% - 강조색4 41" xfId="916"/>
    <cellStyle name="60% - 강조색4 42" xfId="917"/>
    <cellStyle name="60% - 강조색4 43" xfId="918"/>
    <cellStyle name="60% - 강조색4 44" xfId="919"/>
    <cellStyle name="60% - 강조색4 45" xfId="920"/>
    <cellStyle name="60% - 강조색4 46" xfId="921"/>
    <cellStyle name="60% - 강조색4 47" xfId="922"/>
    <cellStyle name="60% - 강조색4 48" xfId="923"/>
    <cellStyle name="60% - 강조색4 5" xfId="924"/>
    <cellStyle name="60% - 강조색4 6" xfId="925"/>
    <cellStyle name="60% - 강조색4 7" xfId="926"/>
    <cellStyle name="60% - 강조색4 8" xfId="927"/>
    <cellStyle name="60% - 강조색4 9" xfId="928"/>
    <cellStyle name="60% - 강조색5 10" xfId="929"/>
    <cellStyle name="60% - 강조색5 11" xfId="930"/>
    <cellStyle name="60% - 강조색5 12" xfId="931"/>
    <cellStyle name="60% - 강조색5 13" xfId="932"/>
    <cellStyle name="60% - 강조색5 14" xfId="933"/>
    <cellStyle name="60% - 강조색5 15" xfId="934"/>
    <cellStyle name="60% - 강조색5 16" xfId="935"/>
    <cellStyle name="60% - 강조색5 17" xfId="936"/>
    <cellStyle name="60% - 강조색5 18" xfId="937"/>
    <cellStyle name="60% - 강조색5 19" xfId="938"/>
    <cellStyle name="60% - 강조색5 2" xfId="939"/>
    <cellStyle name="60% - 강조색5 2 2" xfId="940"/>
    <cellStyle name="60% - 강조색5 2 3" xfId="941"/>
    <cellStyle name="60% - 강조색5 2 4" xfId="942"/>
    <cellStyle name="60% - 강조색5 20" xfId="943"/>
    <cellStyle name="60% - 강조색5 21" xfId="944"/>
    <cellStyle name="60% - 강조색5 22" xfId="945"/>
    <cellStyle name="60% - 강조색5 23" xfId="946"/>
    <cellStyle name="60% - 강조색5 24" xfId="947"/>
    <cellStyle name="60% - 강조색5 25" xfId="948"/>
    <cellStyle name="60% - 강조색5 26" xfId="949"/>
    <cellStyle name="60% - 강조색5 27" xfId="950"/>
    <cellStyle name="60% - 강조색5 28" xfId="951"/>
    <cellStyle name="60% - 강조색5 29" xfId="952"/>
    <cellStyle name="60% - 강조색5 3" xfId="953"/>
    <cellStyle name="60% - 강조색5 3 2" xfId="954"/>
    <cellStyle name="60% - 강조색5 3 3" xfId="955"/>
    <cellStyle name="60% - 강조색5 3 4" xfId="956"/>
    <cellStyle name="60% - 강조색5 30" xfId="957"/>
    <cellStyle name="60% - 강조색5 31" xfId="958"/>
    <cellStyle name="60% - 강조색5 32" xfId="959"/>
    <cellStyle name="60% - 강조색5 33" xfId="960"/>
    <cellStyle name="60% - 강조색5 34" xfId="961"/>
    <cellStyle name="60% - 강조색5 35" xfId="962"/>
    <cellStyle name="60% - 강조색5 36" xfId="963"/>
    <cellStyle name="60% - 강조색5 37" xfId="964"/>
    <cellStyle name="60% - 강조색5 38" xfId="965"/>
    <cellStyle name="60% - 강조색5 39" xfId="966"/>
    <cellStyle name="60% - 강조색5 4" xfId="967"/>
    <cellStyle name="60% - 강조색5 4 2" xfId="968"/>
    <cellStyle name="60% - 강조색5 4 3" xfId="969"/>
    <cellStyle name="60% - 강조색5 4 4" xfId="970"/>
    <cellStyle name="60% - 강조색5 40" xfId="971"/>
    <cellStyle name="60% - 강조색5 41" xfId="972"/>
    <cellStyle name="60% - 강조색5 42" xfId="973"/>
    <cellStyle name="60% - 강조색5 43" xfId="974"/>
    <cellStyle name="60% - 강조색5 44" xfId="975"/>
    <cellStyle name="60% - 강조색5 45" xfId="976"/>
    <cellStyle name="60% - 강조색5 46" xfId="977"/>
    <cellStyle name="60% - 강조색5 47" xfId="978"/>
    <cellStyle name="60% - 강조색5 48" xfId="979"/>
    <cellStyle name="60% - 강조색5 5" xfId="980"/>
    <cellStyle name="60% - 강조색5 6" xfId="981"/>
    <cellStyle name="60% - 강조색5 7" xfId="982"/>
    <cellStyle name="60% - 강조색5 8" xfId="983"/>
    <cellStyle name="60% - 강조색5 9" xfId="984"/>
    <cellStyle name="60% - 강조색6 10" xfId="985"/>
    <cellStyle name="60% - 강조색6 11" xfId="986"/>
    <cellStyle name="60% - 강조색6 12" xfId="987"/>
    <cellStyle name="60% - 강조색6 13" xfId="988"/>
    <cellStyle name="60% - 강조색6 14" xfId="989"/>
    <cellStyle name="60% - 강조색6 15" xfId="990"/>
    <cellStyle name="60% - 강조색6 16" xfId="991"/>
    <cellStyle name="60% - 강조색6 17" xfId="992"/>
    <cellStyle name="60% - 강조색6 18" xfId="993"/>
    <cellStyle name="60% - 강조색6 19" xfId="994"/>
    <cellStyle name="60% - 강조색6 2" xfId="995"/>
    <cellStyle name="60% - 강조색6 2 2" xfId="996"/>
    <cellStyle name="60% - 강조색6 2 3" xfId="997"/>
    <cellStyle name="60% - 강조색6 2 4" xfId="998"/>
    <cellStyle name="60% - 강조색6 20" xfId="999"/>
    <cellStyle name="60% - 강조색6 21" xfId="1000"/>
    <cellStyle name="60% - 강조색6 22" xfId="1001"/>
    <cellStyle name="60% - 강조색6 23" xfId="1002"/>
    <cellStyle name="60% - 강조색6 24" xfId="1003"/>
    <cellStyle name="60% - 강조색6 25" xfId="1004"/>
    <cellStyle name="60% - 강조색6 26" xfId="1005"/>
    <cellStyle name="60% - 강조색6 27" xfId="1006"/>
    <cellStyle name="60% - 강조색6 28" xfId="1007"/>
    <cellStyle name="60% - 강조색6 29" xfId="1008"/>
    <cellStyle name="60% - 강조색6 3" xfId="1009"/>
    <cellStyle name="60% - 강조색6 3 2" xfId="1010"/>
    <cellStyle name="60% - 강조색6 3 3" xfId="1011"/>
    <cellStyle name="60% - 강조색6 3 4" xfId="1012"/>
    <cellStyle name="60% - 강조색6 30" xfId="1013"/>
    <cellStyle name="60% - 강조색6 31" xfId="1014"/>
    <cellStyle name="60% - 강조색6 32" xfId="1015"/>
    <cellStyle name="60% - 강조색6 33" xfId="1016"/>
    <cellStyle name="60% - 강조색6 34" xfId="1017"/>
    <cellStyle name="60% - 강조색6 35" xfId="1018"/>
    <cellStyle name="60% - 강조색6 36" xfId="1019"/>
    <cellStyle name="60% - 강조색6 37" xfId="1020"/>
    <cellStyle name="60% - 강조색6 38" xfId="1021"/>
    <cellStyle name="60% - 강조색6 39" xfId="1022"/>
    <cellStyle name="60% - 강조색6 4" xfId="1023"/>
    <cellStyle name="60% - 강조색6 4 2" xfId="1024"/>
    <cellStyle name="60% - 강조색6 4 3" xfId="1025"/>
    <cellStyle name="60% - 강조색6 4 4" xfId="1026"/>
    <cellStyle name="60% - 강조색6 40" xfId="1027"/>
    <cellStyle name="60% - 강조색6 41" xfId="1028"/>
    <cellStyle name="60% - 강조색6 42" xfId="1029"/>
    <cellStyle name="60% - 강조색6 43" xfId="1030"/>
    <cellStyle name="60% - 강조색6 44" xfId="1031"/>
    <cellStyle name="60% - 강조색6 45" xfId="1032"/>
    <cellStyle name="60% - 강조색6 46" xfId="1033"/>
    <cellStyle name="60% - 강조색6 47" xfId="1034"/>
    <cellStyle name="60% - 강조색6 48" xfId="1035"/>
    <cellStyle name="60% - 강조색6 5" xfId="1036"/>
    <cellStyle name="60% - 강조색6 6" xfId="1037"/>
    <cellStyle name="60% - 강조색6 7" xfId="1038"/>
    <cellStyle name="60% - 강조색6 8" xfId="1039"/>
    <cellStyle name="60% - 강조색6 9" xfId="1040"/>
    <cellStyle name="강조색1 10" xfId="1041"/>
    <cellStyle name="강조색1 11" xfId="1042"/>
    <cellStyle name="강조색1 12" xfId="1043"/>
    <cellStyle name="강조색1 13" xfId="1044"/>
    <cellStyle name="강조색1 14" xfId="1045"/>
    <cellStyle name="강조색1 15" xfId="1046"/>
    <cellStyle name="강조색1 16" xfId="1047"/>
    <cellStyle name="강조색1 17" xfId="1048"/>
    <cellStyle name="강조색1 18" xfId="1049"/>
    <cellStyle name="강조색1 19" xfId="1050"/>
    <cellStyle name="강조색1 2" xfId="1051"/>
    <cellStyle name="강조색1 2 2" xfId="1052"/>
    <cellStyle name="강조색1 2 3" xfId="1053"/>
    <cellStyle name="강조색1 2 4" xfId="1054"/>
    <cellStyle name="강조색1 20" xfId="1055"/>
    <cellStyle name="강조색1 21" xfId="1056"/>
    <cellStyle name="강조색1 22" xfId="1057"/>
    <cellStyle name="강조색1 23" xfId="1058"/>
    <cellStyle name="강조색1 24" xfId="1059"/>
    <cellStyle name="강조색1 25" xfId="1060"/>
    <cellStyle name="강조색1 26" xfId="1061"/>
    <cellStyle name="강조색1 27" xfId="1062"/>
    <cellStyle name="강조색1 28" xfId="1063"/>
    <cellStyle name="강조색1 29" xfId="1064"/>
    <cellStyle name="강조색1 3" xfId="1065"/>
    <cellStyle name="강조색1 3 2" xfId="1066"/>
    <cellStyle name="강조색1 3 3" xfId="1067"/>
    <cellStyle name="강조색1 3 4" xfId="1068"/>
    <cellStyle name="강조색1 30" xfId="1069"/>
    <cellStyle name="강조색1 31" xfId="1070"/>
    <cellStyle name="강조색1 32" xfId="1071"/>
    <cellStyle name="강조색1 33" xfId="1072"/>
    <cellStyle name="강조색1 34" xfId="1073"/>
    <cellStyle name="강조색1 35" xfId="1074"/>
    <cellStyle name="강조색1 36" xfId="1075"/>
    <cellStyle name="강조색1 37" xfId="1076"/>
    <cellStyle name="강조색1 38" xfId="1077"/>
    <cellStyle name="강조색1 39" xfId="1078"/>
    <cellStyle name="강조색1 4" xfId="1079"/>
    <cellStyle name="강조색1 4 2" xfId="1080"/>
    <cellStyle name="강조색1 4 3" xfId="1081"/>
    <cellStyle name="강조색1 4 4" xfId="1082"/>
    <cellStyle name="강조색1 40" xfId="1083"/>
    <cellStyle name="강조색1 41" xfId="1084"/>
    <cellStyle name="강조색1 42" xfId="1085"/>
    <cellStyle name="강조색1 43" xfId="1086"/>
    <cellStyle name="강조색1 44" xfId="1087"/>
    <cellStyle name="강조색1 45" xfId="1088"/>
    <cellStyle name="강조색1 46" xfId="1089"/>
    <cellStyle name="강조색1 47" xfId="1090"/>
    <cellStyle name="강조색1 48" xfId="1091"/>
    <cellStyle name="강조색1 5" xfId="1092"/>
    <cellStyle name="강조색1 6" xfId="1093"/>
    <cellStyle name="강조색1 7" xfId="1094"/>
    <cellStyle name="강조색1 8" xfId="1095"/>
    <cellStyle name="강조색1 9" xfId="1096"/>
    <cellStyle name="강조색2 10" xfId="1097"/>
    <cellStyle name="강조색2 11" xfId="1098"/>
    <cellStyle name="강조색2 12" xfId="1099"/>
    <cellStyle name="강조색2 13" xfId="1100"/>
    <cellStyle name="강조색2 14" xfId="1101"/>
    <cellStyle name="강조색2 15" xfId="1102"/>
    <cellStyle name="강조색2 16" xfId="1103"/>
    <cellStyle name="강조색2 17" xfId="1104"/>
    <cellStyle name="강조색2 18" xfId="1105"/>
    <cellStyle name="강조색2 19" xfId="1106"/>
    <cellStyle name="강조색2 2" xfId="1107"/>
    <cellStyle name="강조색2 2 2" xfId="1108"/>
    <cellStyle name="강조색2 2 3" xfId="1109"/>
    <cellStyle name="강조색2 2 4" xfId="1110"/>
    <cellStyle name="강조색2 20" xfId="1111"/>
    <cellStyle name="강조색2 21" xfId="1112"/>
    <cellStyle name="강조색2 22" xfId="1113"/>
    <cellStyle name="강조색2 23" xfId="1114"/>
    <cellStyle name="강조색2 24" xfId="1115"/>
    <cellStyle name="강조색2 25" xfId="1116"/>
    <cellStyle name="강조색2 26" xfId="1117"/>
    <cellStyle name="강조색2 27" xfId="1118"/>
    <cellStyle name="강조색2 28" xfId="1119"/>
    <cellStyle name="강조색2 29" xfId="1120"/>
    <cellStyle name="강조색2 3" xfId="1121"/>
    <cellStyle name="강조색2 3 2" xfId="1122"/>
    <cellStyle name="강조색2 3 3" xfId="1123"/>
    <cellStyle name="강조색2 3 4" xfId="1124"/>
    <cellStyle name="강조색2 30" xfId="1125"/>
    <cellStyle name="강조색2 31" xfId="1126"/>
    <cellStyle name="강조색2 32" xfId="1127"/>
    <cellStyle name="강조색2 33" xfId="1128"/>
    <cellStyle name="강조색2 34" xfId="1129"/>
    <cellStyle name="강조색2 35" xfId="1130"/>
    <cellStyle name="강조색2 36" xfId="1131"/>
    <cellStyle name="강조색2 37" xfId="1132"/>
    <cellStyle name="강조색2 38" xfId="1133"/>
    <cellStyle name="강조색2 39" xfId="1134"/>
    <cellStyle name="강조색2 4" xfId="1135"/>
    <cellStyle name="강조색2 4 2" xfId="1136"/>
    <cellStyle name="강조색2 4 3" xfId="1137"/>
    <cellStyle name="강조색2 4 4" xfId="1138"/>
    <cellStyle name="강조색2 40" xfId="1139"/>
    <cellStyle name="강조색2 41" xfId="1140"/>
    <cellStyle name="강조색2 42" xfId="1141"/>
    <cellStyle name="강조색2 43" xfId="1142"/>
    <cellStyle name="강조색2 44" xfId="1143"/>
    <cellStyle name="강조색2 45" xfId="1144"/>
    <cellStyle name="강조색2 46" xfId="1145"/>
    <cellStyle name="강조색2 47" xfId="1146"/>
    <cellStyle name="강조색2 48" xfId="1147"/>
    <cellStyle name="강조색2 5" xfId="1148"/>
    <cellStyle name="강조색2 6" xfId="1149"/>
    <cellStyle name="강조색2 7" xfId="1150"/>
    <cellStyle name="강조색2 8" xfId="1151"/>
    <cellStyle name="강조색2 9" xfId="1152"/>
    <cellStyle name="강조색3 10" xfId="1153"/>
    <cellStyle name="강조색3 11" xfId="1154"/>
    <cellStyle name="강조색3 12" xfId="1155"/>
    <cellStyle name="강조색3 13" xfId="1156"/>
    <cellStyle name="강조색3 14" xfId="1157"/>
    <cellStyle name="강조색3 15" xfId="1158"/>
    <cellStyle name="강조색3 16" xfId="1159"/>
    <cellStyle name="강조색3 17" xfId="1160"/>
    <cellStyle name="강조색3 18" xfId="1161"/>
    <cellStyle name="강조색3 19" xfId="1162"/>
    <cellStyle name="강조색3 2" xfId="1163"/>
    <cellStyle name="강조색3 2 2" xfId="1164"/>
    <cellStyle name="강조색3 2 3" xfId="1165"/>
    <cellStyle name="강조색3 2 4" xfId="1166"/>
    <cellStyle name="강조색3 20" xfId="1167"/>
    <cellStyle name="강조색3 21" xfId="1168"/>
    <cellStyle name="강조색3 22" xfId="1169"/>
    <cellStyle name="강조색3 23" xfId="1170"/>
    <cellStyle name="강조색3 24" xfId="1171"/>
    <cellStyle name="강조색3 25" xfId="1172"/>
    <cellStyle name="강조색3 26" xfId="1173"/>
    <cellStyle name="강조색3 27" xfId="1174"/>
    <cellStyle name="강조색3 28" xfId="1175"/>
    <cellStyle name="강조색3 29" xfId="1176"/>
    <cellStyle name="강조색3 3" xfId="1177"/>
    <cellStyle name="강조색3 3 2" xfId="1178"/>
    <cellStyle name="강조색3 3 3" xfId="1179"/>
    <cellStyle name="강조색3 3 4" xfId="1180"/>
    <cellStyle name="강조색3 30" xfId="1181"/>
    <cellStyle name="강조색3 31" xfId="1182"/>
    <cellStyle name="강조색3 32" xfId="1183"/>
    <cellStyle name="강조색3 33" xfId="1184"/>
    <cellStyle name="강조색3 34" xfId="1185"/>
    <cellStyle name="강조색3 35" xfId="1186"/>
    <cellStyle name="강조색3 36" xfId="1187"/>
    <cellStyle name="강조색3 37" xfId="1188"/>
    <cellStyle name="강조색3 38" xfId="1189"/>
    <cellStyle name="강조색3 39" xfId="1190"/>
    <cellStyle name="강조색3 4" xfId="1191"/>
    <cellStyle name="강조색3 4 2" xfId="1192"/>
    <cellStyle name="강조색3 4 3" xfId="1193"/>
    <cellStyle name="강조색3 4 4" xfId="1194"/>
    <cellStyle name="강조색3 40" xfId="1195"/>
    <cellStyle name="강조색3 41" xfId="1196"/>
    <cellStyle name="강조색3 42" xfId="1197"/>
    <cellStyle name="강조색3 43" xfId="1198"/>
    <cellStyle name="강조색3 44" xfId="1199"/>
    <cellStyle name="강조색3 45" xfId="1200"/>
    <cellStyle name="강조색3 46" xfId="1201"/>
    <cellStyle name="강조색3 47" xfId="1202"/>
    <cellStyle name="강조색3 48" xfId="1203"/>
    <cellStyle name="강조색3 5" xfId="1204"/>
    <cellStyle name="강조색3 6" xfId="1205"/>
    <cellStyle name="강조색3 7" xfId="1206"/>
    <cellStyle name="강조색3 8" xfId="1207"/>
    <cellStyle name="강조색3 9" xfId="1208"/>
    <cellStyle name="강조색4 10" xfId="1209"/>
    <cellStyle name="강조색4 11" xfId="1210"/>
    <cellStyle name="강조색4 12" xfId="1211"/>
    <cellStyle name="강조색4 13" xfId="1212"/>
    <cellStyle name="강조색4 14" xfId="1213"/>
    <cellStyle name="강조색4 15" xfId="1214"/>
    <cellStyle name="강조색4 16" xfId="1215"/>
    <cellStyle name="강조색4 17" xfId="1216"/>
    <cellStyle name="강조색4 18" xfId="1217"/>
    <cellStyle name="강조색4 19" xfId="1218"/>
    <cellStyle name="강조색4 2" xfId="1219"/>
    <cellStyle name="강조색4 2 2" xfId="1220"/>
    <cellStyle name="강조색4 2 3" xfId="1221"/>
    <cellStyle name="강조색4 2 4" xfId="1222"/>
    <cellStyle name="강조색4 20" xfId="1223"/>
    <cellStyle name="강조색4 21" xfId="1224"/>
    <cellStyle name="강조색4 22" xfId="1225"/>
    <cellStyle name="강조색4 23" xfId="1226"/>
    <cellStyle name="강조색4 24" xfId="1227"/>
    <cellStyle name="강조색4 25" xfId="1228"/>
    <cellStyle name="강조색4 26" xfId="1229"/>
    <cellStyle name="강조색4 27" xfId="1230"/>
    <cellStyle name="강조색4 28" xfId="1231"/>
    <cellStyle name="강조색4 29" xfId="1232"/>
    <cellStyle name="강조색4 3" xfId="1233"/>
    <cellStyle name="강조색4 3 2" xfId="1234"/>
    <cellStyle name="강조색4 3 3" xfId="1235"/>
    <cellStyle name="강조색4 3 4" xfId="1236"/>
    <cellStyle name="강조색4 30" xfId="1237"/>
    <cellStyle name="강조색4 31" xfId="1238"/>
    <cellStyle name="강조색4 32" xfId="1239"/>
    <cellStyle name="강조색4 33" xfId="1240"/>
    <cellStyle name="강조색4 34" xfId="1241"/>
    <cellStyle name="강조색4 35" xfId="1242"/>
    <cellStyle name="강조색4 36" xfId="1243"/>
    <cellStyle name="강조색4 37" xfId="1244"/>
    <cellStyle name="강조색4 38" xfId="1245"/>
    <cellStyle name="강조색4 39" xfId="1246"/>
    <cellStyle name="강조색4 4" xfId="1247"/>
    <cellStyle name="강조색4 4 2" xfId="1248"/>
    <cellStyle name="강조색4 4 3" xfId="1249"/>
    <cellStyle name="강조색4 4 4" xfId="1250"/>
    <cellStyle name="강조색4 40" xfId="1251"/>
    <cellStyle name="강조색4 41" xfId="1252"/>
    <cellStyle name="강조색4 42" xfId="1253"/>
    <cellStyle name="강조색4 43" xfId="1254"/>
    <cellStyle name="강조색4 44" xfId="1255"/>
    <cellStyle name="강조색4 45" xfId="1256"/>
    <cellStyle name="강조색4 46" xfId="1257"/>
    <cellStyle name="강조색4 47" xfId="1258"/>
    <cellStyle name="강조색4 48" xfId="1259"/>
    <cellStyle name="강조색4 5" xfId="1260"/>
    <cellStyle name="강조색4 6" xfId="1261"/>
    <cellStyle name="강조색4 7" xfId="1262"/>
    <cellStyle name="강조색4 8" xfId="1263"/>
    <cellStyle name="강조색4 9" xfId="1264"/>
    <cellStyle name="강조색5 10" xfId="1265"/>
    <cellStyle name="강조색5 11" xfId="1266"/>
    <cellStyle name="강조색5 12" xfId="1267"/>
    <cellStyle name="강조색5 13" xfId="1268"/>
    <cellStyle name="강조색5 14" xfId="1269"/>
    <cellStyle name="강조색5 15" xfId="1270"/>
    <cellStyle name="강조색5 16" xfId="1271"/>
    <cellStyle name="강조색5 17" xfId="1272"/>
    <cellStyle name="강조색5 18" xfId="1273"/>
    <cellStyle name="강조색5 19" xfId="1274"/>
    <cellStyle name="강조색5 2" xfId="1275"/>
    <cellStyle name="강조색5 2 2" xfId="1276"/>
    <cellStyle name="강조색5 2 3" xfId="1277"/>
    <cellStyle name="강조색5 2 4" xfId="1278"/>
    <cellStyle name="강조색5 20" xfId="1279"/>
    <cellStyle name="강조색5 21" xfId="1280"/>
    <cellStyle name="강조색5 22" xfId="1281"/>
    <cellStyle name="강조색5 23" xfId="1282"/>
    <cellStyle name="강조색5 24" xfId="1283"/>
    <cellStyle name="강조색5 25" xfId="1284"/>
    <cellStyle name="강조색5 26" xfId="1285"/>
    <cellStyle name="강조색5 27" xfId="1286"/>
    <cellStyle name="강조색5 28" xfId="1287"/>
    <cellStyle name="강조색5 29" xfId="1288"/>
    <cellStyle name="강조색5 3" xfId="1289"/>
    <cellStyle name="강조색5 3 2" xfId="1290"/>
    <cellStyle name="강조색5 3 3" xfId="1291"/>
    <cellStyle name="강조색5 3 4" xfId="1292"/>
    <cellStyle name="강조색5 30" xfId="1293"/>
    <cellStyle name="강조색5 31" xfId="1294"/>
    <cellStyle name="강조색5 32" xfId="1295"/>
    <cellStyle name="강조색5 33" xfId="1296"/>
    <cellStyle name="강조색5 34" xfId="1297"/>
    <cellStyle name="강조색5 35" xfId="1298"/>
    <cellStyle name="강조색5 36" xfId="1299"/>
    <cellStyle name="강조색5 37" xfId="1300"/>
    <cellStyle name="강조색5 38" xfId="1301"/>
    <cellStyle name="강조색5 39" xfId="1302"/>
    <cellStyle name="강조색5 4" xfId="1303"/>
    <cellStyle name="강조색5 4 2" xfId="1304"/>
    <cellStyle name="강조색5 4 3" xfId="1305"/>
    <cellStyle name="강조색5 4 4" xfId="1306"/>
    <cellStyle name="강조색5 40" xfId="1307"/>
    <cellStyle name="강조색5 41" xfId="1308"/>
    <cellStyle name="강조색5 42" xfId="1309"/>
    <cellStyle name="강조색5 43" xfId="1310"/>
    <cellStyle name="강조색5 44" xfId="1311"/>
    <cellStyle name="강조색5 45" xfId="1312"/>
    <cellStyle name="강조색5 46" xfId="1313"/>
    <cellStyle name="강조색5 47" xfId="1314"/>
    <cellStyle name="강조색5 48" xfId="1315"/>
    <cellStyle name="강조색5 5" xfId="1316"/>
    <cellStyle name="강조색5 6" xfId="1317"/>
    <cellStyle name="강조색5 7" xfId="1318"/>
    <cellStyle name="강조색5 8" xfId="1319"/>
    <cellStyle name="강조색5 9" xfId="1320"/>
    <cellStyle name="강조색6 10" xfId="1321"/>
    <cellStyle name="강조색6 11" xfId="1322"/>
    <cellStyle name="강조색6 12" xfId="1323"/>
    <cellStyle name="강조색6 13" xfId="1324"/>
    <cellStyle name="강조색6 14" xfId="1325"/>
    <cellStyle name="강조색6 15" xfId="1326"/>
    <cellStyle name="강조색6 16" xfId="1327"/>
    <cellStyle name="강조색6 17" xfId="1328"/>
    <cellStyle name="강조색6 18" xfId="1329"/>
    <cellStyle name="강조색6 19" xfId="1330"/>
    <cellStyle name="강조색6 2" xfId="1331"/>
    <cellStyle name="강조색6 2 2" xfId="1332"/>
    <cellStyle name="강조색6 2 3" xfId="1333"/>
    <cellStyle name="강조색6 2 4" xfId="1334"/>
    <cellStyle name="강조색6 20" xfId="1335"/>
    <cellStyle name="강조색6 21" xfId="1336"/>
    <cellStyle name="강조색6 22" xfId="1337"/>
    <cellStyle name="강조색6 23" xfId="1338"/>
    <cellStyle name="강조색6 24" xfId="1339"/>
    <cellStyle name="강조색6 25" xfId="1340"/>
    <cellStyle name="강조색6 26" xfId="1341"/>
    <cellStyle name="강조색6 27" xfId="1342"/>
    <cellStyle name="강조색6 28" xfId="1343"/>
    <cellStyle name="강조색6 29" xfId="1344"/>
    <cellStyle name="강조색6 3" xfId="1345"/>
    <cellStyle name="강조색6 3 2" xfId="1346"/>
    <cellStyle name="강조색6 3 3" xfId="1347"/>
    <cellStyle name="강조색6 3 4" xfId="1348"/>
    <cellStyle name="강조색6 30" xfId="1349"/>
    <cellStyle name="강조색6 31" xfId="1350"/>
    <cellStyle name="강조색6 32" xfId="1351"/>
    <cellStyle name="강조색6 33" xfId="1352"/>
    <cellStyle name="강조색6 34" xfId="1353"/>
    <cellStyle name="강조색6 35" xfId="1354"/>
    <cellStyle name="강조색6 36" xfId="1355"/>
    <cellStyle name="강조색6 37" xfId="1356"/>
    <cellStyle name="강조색6 38" xfId="1357"/>
    <cellStyle name="강조색6 39" xfId="1358"/>
    <cellStyle name="강조색6 4" xfId="1359"/>
    <cellStyle name="강조색6 4 2" xfId="1360"/>
    <cellStyle name="강조색6 4 3" xfId="1361"/>
    <cellStyle name="강조색6 4 4" xfId="1362"/>
    <cellStyle name="강조색6 40" xfId="1363"/>
    <cellStyle name="강조색6 41" xfId="1364"/>
    <cellStyle name="강조색6 42" xfId="1365"/>
    <cellStyle name="강조색6 43" xfId="1366"/>
    <cellStyle name="강조색6 44" xfId="1367"/>
    <cellStyle name="강조색6 45" xfId="1368"/>
    <cellStyle name="강조색6 46" xfId="1369"/>
    <cellStyle name="강조색6 47" xfId="1370"/>
    <cellStyle name="강조색6 48" xfId="1371"/>
    <cellStyle name="강조색6 5" xfId="1372"/>
    <cellStyle name="강조색6 6" xfId="1373"/>
    <cellStyle name="강조색6 7" xfId="1374"/>
    <cellStyle name="강조색6 8" xfId="1375"/>
    <cellStyle name="강조색6 9" xfId="1376"/>
    <cellStyle name="경고문 10" xfId="1377"/>
    <cellStyle name="경고문 11" xfId="1378"/>
    <cellStyle name="경고문 12" xfId="1379"/>
    <cellStyle name="경고문 13" xfId="1380"/>
    <cellStyle name="경고문 14" xfId="1381"/>
    <cellStyle name="경고문 15" xfId="1382"/>
    <cellStyle name="경고문 16" xfId="1383"/>
    <cellStyle name="경고문 17" xfId="1384"/>
    <cellStyle name="경고문 18" xfId="1385"/>
    <cellStyle name="경고문 19" xfId="1386"/>
    <cellStyle name="경고문 2" xfId="1387"/>
    <cellStyle name="경고문 20" xfId="1388"/>
    <cellStyle name="경고문 21" xfId="1389"/>
    <cellStyle name="경고문 22" xfId="1390"/>
    <cellStyle name="경고문 23" xfId="1391"/>
    <cellStyle name="경고문 24" xfId="1392"/>
    <cellStyle name="경고문 25" xfId="1393"/>
    <cellStyle name="경고문 26" xfId="1394"/>
    <cellStyle name="경고문 27" xfId="1395"/>
    <cellStyle name="경고문 28" xfId="1396"/>
    <cellStyle name="경고문 29" xfId="1397"/>
    <cellStyle name="경고문 3" xfId="1398"/>
    <cellStyle name="경고문 3 2" xfId="1399"/>
    <cellStyle name="경고문 3 3" xfId="1400"/>
    <cellStyle name="경고문 3 4" xfId="1401"/>
    <cellStyle name="경고문 4" xfId="1402"/>
    <cellStyle name="경고문 5" xfId="1403"/>
    <cellStyle name="경고문 6" xfId="1404"/>
    <cellStyle name="경고문 7" xfId="1405"/>
    <cellStyle name="경고문 8" xfId="1406"/>
    <cellStyle name="경고문 9" xfId="1407"/>
    <cellStyle name="계산 10" xfId="1408"/>
    <cellStyle name="계산 11" xfId="1409"/>
    <cellStyle name="계산 12" xfId="1410"/>
    <cellStyle name="계산 13" xfId="1411"/>
    <cellStyle name="계산 14" xfId="1412"/>
    <cellStyle name="계산 15" xfId="1413"/>
    <cellStyle name="계산 16" xfId="1414"/>
    <cellStyle name="계산 17" xfId="1415"/>
    <cellStyle name="계산 18" xfId="1416"/>
    <cellStyle name="계산 19" xfId="1417"/>
    <cellStyle name="계산 2" xfId="1418"/>
    <cellStyle name="계산 2 2" xfId="1419"/>
    <cellStyle name="계산 2 3" xfId="1420"/>
    <cellStyle name="계산 2 4" xfId="1421"/>
    <cellStyle name="계산 20" xfId="1422"/>
    <cellStyle name="계산 21" xfId="1423"/>
    <cellStyle name="계산 22" xfId="1424"/>
    <cellStyle name="계산 23" xfId="1425"/>
    <cellStyle name="계산 24" xfId="1426"/>
    <cellStyle name="계산 25" xfId="1427"/>
    <cellStyle name="계산 26" xfId="1428"/>
    <cellStyle name="계산 27" xfId="1429"/>
    <cellStyle name="계산 28" xfId="1430"/>
    <cellStyle name="계산 29" xfId="1431"/>
    <cellStyle name="계산 3" xfId="1432"/>
    <cellStyle name="계산 3 2" xfId="1433"/>
    <cellStyle name="계산 3 3" xfId="1434"/>
    <cellStyle name="계산 3 4" xfId="1435"/>
    <cellStyle name="계산 30" xfId="1436"/>
    <cellStyle name="계산 31" xfId="1437"/>
    <cellStyle name="계산 32" xfId="1438"/>
    <cellStyle name="계산 33" xfId="1439"/>
    <cellStyle name="계산 34" xfId="1440"/>
    <cellStyle name="계산 35" xfId="1441"/>
    <cellStyle name="계산 36" xfId="1442"/>
    <cellStyle name="계산 37" xfId="1443"/>
    <cellStyle name="계산 38" xfId="1444"/>
    <cellStyle name="계산 39" xfId="1445"/>
    <cellStyle name="계산 4" xfId="1446"/>
    <cellStyle name="계산 4 2" xfId="1447"/>
    <cellStyle name="계산 4 3" xfId="1448"/>
    <cellStyle name="계산 4 4" xfId="1449"/>
    <cellStyle name="계산 40" xfId="1450"/>
    <cellStyle name="계산 41" xfId="1451"/>
    <cellStyle name="계산 42" xfId="1452"/>
    <cellStyle name="계산 43" xfId="1453"/>
    <cellStyle name="계산 44" xfId="1454"/>
    <cellStyle name="계산 45" xfId="1455"/>
    <cellStyle name="계산 46" xfId="1456"/>
    <cellStyle name="계산 47" xfId="1457"/>
    <cellStyle name="계산 48" xfId="1458"/>
    <cellStyle name="계산 5" xfId="1459"/>
    <cellStyle name="계산 6" xfId="1460"/>
    <cellStyle name="계산 7" xfId="1461"/>
    <cellStyle name="계산 8" xfId="1462"/>
    <cellStyle name="계산 9" xfId="1463"/>
    <cellStyle name="나쁨 10" xfId="1464"/>
    <cellStyle name="나쁨 11" xfId="1465"/>
    <cellStyle name="나쁨 12" xfId="1466"/>
    <cellStyle name="나쁨 13" xfId="1467"/>
    <cellStyle name="나쁨 14" xfId="1468"/>
    <cellStyle name="나쁨 15" xfId="1469"/>
    <cellStyle name="나쁨 16" xfId="1470"/>
    <cellStyle name="나쁨 17" xfId="1471"/>
    <cellStyle name="나쁨 18" xfId="1472"/>
    <cellStyle name="나쁨 19" xfId="1473"/>
    <cellStyle name="나쁨 2" xfId="1474"/>
    <cellStyle name="나쁨 2 2" xfId="1475"/>
    <cellStyle name="나쁨 2 3" xfId="1476"/>
    <cellStyle name="나쁨 2 4" xfId="1477"/>
    <cellStyle name="나쁨 20" xfId="1478"/>
    <cellStyle name="나쁨 21" xfId="1479"/>
    <cellStyle name="나쁨 22" xfId="1480"/>
    <cellStyle name="나쁨 23" xfId="1481"/>
    <cellStyle name="나쁨 24" xfId="1482"/>
    <cellStyle name="나쁨 25" xfId="1483"/>
    <cellStyle name="나쁨 26" xfId="1484"/>
    <cellStyle name="나쁨 27" xfId="1485"/>
    <cellStyle name="나쁨 28" xfId="1486"/>
    <cellStyle name="나쁨 29" xfId="1487"/>
    <cellStyle name="나쁨 3" xfId="1488"/>
    <cellStyle name="나쁨 3 2" xfId="1489"/>
    <cellStyle name="나쁨 3 3" xfId="1490"/>
    <cellStyle name="나쁨 3 4" xfId="1491"/>
    <cellStyle name="나쁨 30" xfId="1492"/>
    <cellStyle name="나쁨 31" xfId="1493"/>
    <cellStyle name="나쁨 32" xfId="1494"/>
    <cellStyle name="나쁨 33" xfId="1495"/>
    <cellStyle name="나쁨 34" xfId="1496"/>
    <cellStyle name="나쁨 35" xfId="1497"/>
    <cellStyle name="나쁨 36" xfId="1498"/>
    <cellStyle name="나쁨 37" xfId="1499"/>
    <cellStyle name="나쁨 38" xfId="1500"/>
    <cellStyle name="나쁨 39" xfId="1501"/>
    <cellStyle name="나쁨 4" xfId="1502"/>
    <cellStyle name="나쁨 4 2" xfId="1503"/>
    <cellStyle name="나쁨 4 3" xfId="1504"/>
    <cellStyle name="나쁨 4 4" xfId="1505"/>
    <cellStyle name="나쁨 40" xfId="1506"/>
    <cellStyle name="나쁨 41" xfId="1507"/>
    <cellStyle name="나쁨 42" xfId="1508"/>
    <cellStyle name="나쁨 43" xfId="1509"/>
    <cellStyle name="나쁨 44" xfId="1510"/>
    <cellStyle name="나쁨 45" xfId="1511"/>
    <cellStyle name="나쁨 46" xfId="1512"/>
    <cellStyle name="나쁨 47" xfId="1513"/>
    <cellStyle name="나쁨 48" xfId="1514"/>
    <cellStyle name="나쁨 5" xfId="1515"/>
    <cellStyle name="나쁨 6" xfId="1516"/>
    <cellStyle name="나쁨 7" xfId="1517"/>
    <cellStyle name="나쁨 8" xfId="1518"/>
    <cellStyle name="나쁨 9" xfId="1519"/>
    <cellStyle name="메모 10" xfId="1520"/>
    <cellStyle name="메모 11" xfId="1521"/>
    <cellStyle name="메모 12" xfId="1522"/>
    <cellStyle name="메모 13" xfId="1523"/>
    <cellStyle name="메모 14" xfId="1524"/>
    <cellStyle name="메모 15" xfId="1525"/>
    <cellStyle name="메모 16" xfId="1526"/>
    <cellStyle name="메모 17" xfId="1527"/>
    <cellStyle name="메모 18" xfId="1528"/>
    <cellStyle name="메모 19" xfId="1529"/>
    <cellStyle name="메모 2" xfId="1530"/>
    <cellStyle name="메모 2 2" xfId="1531"/>
    <cellStyle name="메모 2 3" xfId="1532"/>
    <cellStyle name="메모 2 4" xfId="1533"/>
    <cellStyle name="메모 20" xfId="1534"/>
    <cellStyle name="메모 21" xfId="1535"/>
    <cellStyle name="메모 22" xfId="1536"/>
    <cellStyle name="메모 23" xfId="1537"/>
    <cellStyle name="메모 24" xfId="1538"/>
    <cellStyle name="메모 25" xfId="1539"/>
    <cellStyle name="메모 26" xfId="1540"/>
    <cellStyle name="메모 27" xfId="1541"/>
    <cellStyle name="메모 28" xfId="1542"/>
    <cellStyle name="메모 29" xfId="1543"/>
    <cellStyle name="메모 3" xfId="1544"/>
    <cellStyle name="메모 3 2" xfId="1545"/>
    <cellStyle name="메모 3 3" xfId="1546"/>
    <cellStyle name="메모 3 4" xfId="1547"/>
    <cellStyle name="메모 30" xfId="1548"/>
    <cellStyle name="메모 31" xfId="1549"/>
    <cellStyle name="메모 32" xfId="1550"/>
    <cellStyle name="메모 33" xfId="1551"/>
    <cellStyle name="메모 34" xfId="1552"/>
    <cellStyle name="메모 35" xfId="1553"/>
    <cellStyle name="메모 36" xfId="1554"/>
    <cellStyle name="메모 37" xfId="1555"/>
    <cellStyle name="메모 38" xfId="1556"/>
    <cellStyle name="메모 39" xfId="1557"/>
    <cellStyle name="메모 4" xfId="1558"/>
    <cellStyle name="메모 4 2" xfId="1559"/>
    <cellStyle name="메모 4 3" xfId="1560"/>
    <cellStyle name="메모 4 4" xfId="1561"/>
    <cellStyle name="메모 40" xfId="1562"/>
    <cellStyle name="메모 41" xfId="1563"/>
    <cellStyle name="메모 42" xfId="1564"/>
    <cellStyle name="메모 43" xfId="1565"/>
    <cellStyle name="메모 44" xfId="1566"/>
    <cellStyle name="메모 45" xfId="1567"/>
    <cellStyle name="메모 46" xfId="1568"/>
    <cellStyle name="메모 47" xfId="1569"/>
    <cellStyle name="메모 48" xfId="1570"/>
    <cellStyle name="메모 5" xfId="1571"/>
    <cellStyle name="메모 6" xfId="1572"/>
    <cellStyle name="메모 7" xfId="1573"/>
    <cellStyle name="메모 8" xfId="1574"/>
    <cellStyle name="메모 9" xfId="1575"/>
    <cellStyle name="백분율" xfId="1" builtinId="5"/>
    <cellStyle name="보통 10" xfId="1576"/>
    <cellStyle name="보통 11" xfId="1577"/>
    <cellStyle name="보통 12" xfId="1578"/>
    <cellStyle name="보통 13" xfId="1579"/>
    <cellStyle name="보통 14" xfId="1580"/>
    <cellStyle name="보통 15" xfId="1581"/>
    <cellStyle name="보통 16" xfId="1582"/>
    <cellStyle name="보통 17" xfId="1583"/>
    <cellStyle name="보통 18" xfId="1584"/>
    <cellStyle name="보통 19" xfId="1585"/>
    <cellStyle name="보통 2" xfId="1586"/>
    <cellStyle name="보통 2 2" xfId="1587"/>
    <cellStyle name="보통 2 3" xfId="1588"/>
    <cellStyle name="보통 2 4" xfId="1589"/>
    <cellStyle name="보통 20" xfId="1590"/>
    <cellStyle name="보통 21" xfId="1591"/>
    <cellStyle name="보통 22" xfId="1592"/>
    <cellStyle name="보통 23" xfId="1593"/>
    <cellStyle name="보통 24" xfId="1594"/>
    <cellStyle name="보통 25" xfId="1595"/>
    <cellStyle name="보통 26" xfId="1596"/>
    <cellStyle name="보통 27" xfId="1597"/>
    <cellStyle name="보통 28" xfId="1598"/>
    <cellStyle name="보통 29" xfId="1599"/>
    <cellStyle name="보통 3" xfId="1600"/>
    <cellStyle name="보통 3 2" xfId="1601"/>
    <cellStyle name="보통 3 3" xfId="1602"/>
    <cellStyle name="보통 3 4" xfId="1603"/>
    <cellStyle name="보통 30" xfId="1604"/>
    <cellStyle name="보통 31" xfId="1605"/>
    <cellStyle name="보통 32" xfId="1606"/>
    <cellStyle name="보통 33" xfId="1607"/>
    <cellStyle name="보통 34" xfId="1608"/>
    <cellStyle name="보통 35" xfId="1609"/>
    <cellStyle name="보통 36" xfId="1610"/>
    <cellStyle name="보통 37" xfId="1611"/>
    <cellStyle name="보통 38" xfId="1612"/>
    <cellStyle name="보통 39" xfId="1613"/>
    <cellStyle name="보통 4" xfId="1614"/>
    <cellStyle name="보통 4 2" xfId="1615"/>
    <cellStyle name="보통 4 3" xfId="1616"/>
    <cellStyle name="보통 4 4" xfId="1617"/>
    <cellStyle name="보통 40" xfId="1618"/>
    <cellStyle name="보통 41" xfId="1619"/>
    <cellStyle name="보통 42" xfId="1620"/>
    <cellStyle name="보통 43" xfId="1621"/>
    <cellStyle name="보통 44" xfId="1622"/>
    <cellStyle name="보통 45" xfId="1623"/>
    <cellStyle name="보통 46" xfId="1624"/>
    <cellStyle name="보통 47" xfId="1625"/>
    <cellStyle name="보통 48" xfId="1626"/>
    <cellStyle name="보통 5" xfId="1627"/>
    <cellStyle name="보통 6" xfId="1628"/>
    <cellStyle name="보통 7" xfId="1629"/>
    <cellStyle name="보통 8" xfId="1630"/>
    <cellStyle name="보통 9" xfId="1631"/>
    <cellStyle name="설명 텍스트 10" xfId="1632"/>
    <cellStyle name="설명 텍스트 11" xfId="1633"/>
    <cellStyle name="설명 텍스트 12" xfId="1634"/>
    <cellStyle name="설명 텍스트 13" xfId="1635"/>
    <cellStyle name="설명 텍스트 14" xfId="1636"/>
    <cellStyle name="설명 텍스트 15" xfId="1637"/>
    <cellStyle name="설명 텍스트 16" xfId="1638"/>
    <cellStyle name="설명 텍스트 17" xfId="1639"/>
    <cellStyle name="설명 텍스트 18" xfId="1640"/>
    <cellStyle name="설명 텍스트 19" xfId="1641"/>
    <cellStyle name="설명 텍스트 2" xfId="1642"/>
    <cellStyle name="설명 텍스트 20" xfId="1643"/>
    <cellStyle name="설명 텍스트 21" xfId="1644"/>
    <cellStyle name="설명 텍스트 22" xfId="1645"/>
    <cellStyle name="설명 텍스트 23" xfId="1646"/>
    <cellStyle name="설명 텍스트 24" xfId="1647"/>
    <cellStyle name="설명 텍스트 25" xfId="1648"/>
    <cellStyle name="설명 텍스트 26" xfId="1649"/>
    <cellStyle name="설명 텍스트 27" xfId="1650"/>
    <cellStyle name="설명 텍스트 28" xfId="1651"/>
    <cellStyle name="설명 텍스트 29" xfId="1652"/>
    <cellStyle name="설명 텍스트 3" xfId="1653"/>
    <cellStyle name="설명 텍스트 3 2" xfId="1654"/>
    <cellStyle name="설명 텍스트 3 3" xfId="1655"/>
    <cellStyle name="설명 텍스트 3 4" xfId="1656"/>
    <cellStyle name="설명 텍스트 4" xfId="1657"/>
    <cellStyle name="설명 텍스트 5" xfId="1658"/>
    <cellStyle name="설명 텍스트 6" xfId="1659"/>
    <cellStyle name="설명 텍스트 7" xfId="1660"/>
    <cellStyle name="설명 텍스트 8" xfId="1661"/>
    <cellStyle name="설명 텍스트 9" xfId="1662"/>
    <cellStyle name="셀 확인 10" xfId="1663"/>
    <cellStyle name="셀 확인 11" xfId="1664"/>
    <cellStyle name="셀 확인 12" xfId="1665"/>
    <cellStyle name="셀 확인 13" xfId="1666"/>
    <cellStyle name="셀 확인 14" xfId="1667"/>
    <cellStyle name="셀 확인 15" xfId="1668"/>
    <cellStyle name="셀 확인 16" xfId="1669"/>
    <cellStyle name="셀 확인 17" xfId="1670"/>
    <cellStyle name="셀 확인 18" xfId="1671"/>
    <cellStyle name="셀 확인 19" xfId="1672"/>
    <cellStyle name="셀 확인 2" xfId="1673"/>
    <cellStyle name="셀 확인 2 2" xfId="1674"/>
    <cellStyle name="셀 확인 2 3" xfId="1675"/>
    <cellStyle name="셀 확인 2 4" xfId="1676"/>
    <cellStyle name="셀 확인 20" xfId="1677"/>
    <cellStyle name="셀 확인 21" xfId="1678"/>
    <cellStyle name="셀 확인 22" xfId="1679"/>
    <cellStyle name="셀 확인 23" xfId="1680"/>
    <cellStyle name="셀 확인 24" xfId="1681"/>
    <cellStyle name="셀 확인 25" xfId="1682"/>
    <cellStyle name="셀 확인 26" xfId="1683"/>
    <cellStyle name="셀 확인 27" xfId="1684"/>
    <cellStyle name="셀 확인 28" xfId="1685"/>
    <cellStyle name="셀 확인 29" xfId="1686"/>
    <cellStyle name="셀 확인 3" xfId="1687"/>
    <cellStyle name="셀 확인 3 2" xfId="1688"/>
    <cellStyle name="셀 확인 3 3" xfId="1689"/>
    <cellStyle name="셀 확인 3 4" xfId="1690"/>
    <cellStyle name="셀 확인 30" xfId="1691"/>
    <cellStyle name="셀 확인 31" xfId="1692"/>
    <cellStyle name="셀 확인 32" xfId="1693"/>
    <cellStyle name="셀 확인 33" xfId="1694"/>
    <cellStyle name="셀 확인 34" xfId="1695"/>
    <cellStyle name="셀 확인 35" xfId="1696"/>
    <cellStyle name="셀 확인 36" xfId="1697"/>
    <cellStyle name="셀 확인 37" xfId="1698"/>
    <cellStyle name="셀 확인 38" xfId="1699"/>
    <cellStyle name="셀 확인 39" xfId="1700"/>
    <cellStyle name="셀 확인 4" xfId="1701"/>
    <cellStyle name="셀 확인 4 2" xfId="1702"/>
    <cellStyle name="셀 확인 4 3" xfId="1703"/>
    <cellStyle name="셀 확인 4 4" xfId="1704"/>
    <cellStyle name="셀 확인 40" xfId="1705"/>
    <cellStyle name="셀 확인 41" xfId="1706"/>
    <cellStyle name="셀 확인 42" xfId="1707"/>
    <cellStyle name="셀 확인 43" xfId="1708"/>
    <cellStyle name="셀 확인 44" xfId="1709"/>
    <cellStyle name="셀 확인 45" xfId="1710"/>
    <cellStyle name="셀 확인 46" xfId="1711"/>
    <cellStyle name="셀 확인 47" xfId="1712"/>
    <cellStyle name="셀 확인 48" xfId="1713"/>
    <cellStyle name="셀 확인 5" xfId="1714"/>
    <cellStyle name="셀 확인 6" xfId="1715"/>
    <cellStyle name="셀 확인 7" xfId="1716"/>
    <cellStyle name="셀 확인 8" xfId="1717"/>
    <cellStyle name="셀 확인 9" xfId="1718"/>
    <cellStyle name="쉼표 [0]" xfId="2" builtinId="6"/>
    <cellStyle name="쉼표 [0] 10" xfId="2318"/>
    <cellStyle name="쉼표 [0] 11 3 2" xfId="3"/>
    <cellStyle name="쉼표 [0] 2" xfId="4"/>
    <cellStyle name="쉼표 [0] 2 10" xfId="1720"/>
    <cellStyle name="쉼표 [0] 2 11" xfId="1721"/>
    <cellStyle name="쉼표 [0] 2 12" xfId="1722"/>
    <cellStyle name="쉼표 [0] 2 13" xfId="1723"/>
    <cellStyle name="쉼표 [0] 2 14" xfId="1724"/>
    <cellStyle name="쉼표 [0] 2 15" xfId="1725"/>
    <cellStyle name="쉼표 [0] 2 16" xfId="1726"/>
    <cellStyle name="쉼표 [0] 2 17" xfId="1727"/>
    <cellStyle name="쉼표 [0] 2 18" xfId="1728"/>
    <cellStyle name="쉼표 [0] 2 19" xfId="1729"/>
    <cellStyle name="쉼표 [0] 2 2" xfId="5"/>
    <cellStyle name="쉼표 [0] 2 2 2" xfId="1730"/>
    <cellStyle name="쉼표 [0] 2 20" xfId="1731"/>
    <cellStyle name="쉼표 [0] 2 21" xfId="1732"/>
    <cellStyle name="쉼표 [0] 2 22" xfId="2319"/>
    <cellStyle name="쉼표 [0] 2 3" xfId="6"/>
    <cellStyle name="쉼표 [0] 2 3 2" xfId="1734"/>
    <cellStyle name="쉼표 [0] 2 3 3" xfId="1735"/>
    <cellStyle name="쉼표 [0] 2 3 4" xfId="1736"/>
    <cellStyle name="쉼표 [0] 2 3 5" xfId="1733"/>
    <cellStyle name="쉼표 [0] 2 4" xfId="7"/>
    <cellStyle name="쉼표 [0] 2 4 2" xfId="1738"/>
    <cellStyle name="쉼표 [0] 2 4 3" xfId="1739"/>
    <cellStyle name="쉼표 [0] 2 4 4" xfId="1740"/>
    <cellStyle name="쉼표 [0] 2 4 5" xfId="1737"/>
    <cellStyle name="쉼표 [0] 2 5" xfId="8"/>
    <cellStyle name="쉼표 [0] 2 6" xfId="9"/>
    <cellStyle name="쉼표 [0] 2 7" xfId="1741"/>
    <cellStyle name="쉼표 [0] 2 8" xfId="1742"/>
    <cellStyle name="쉼표 [0] 2 9" xfId="1743"/>
    <cellStyle name="쉼표 [0] 3" xfId="10"/>
    <cellStyle name="쉼표 [0] 3 2" xfId="1744"/>
    <cellStyle name="쉼표 [0] 3 2 2" xfId="1745"/>
    <cellStyle name="쉼표 [0] 3 2 2 2" xfId="1746"/>
    <cellStyle name="쉼표 [0] 3 2 2 2 2" xfId="1747"/>
    <cellStyle name="쉼표 [0] 3 2 2 2 3" xfId="1748"/>
    <cellStyle name="쉼표 [0] 3 2 2 2 4" xfId="1749"/>
    <cellStyle name="쉼표 [0] 3 2 2 3" xfId="1750"/>
    <cellStyle name="쉼표 [0] 3 2 2 4" xfId="1751"/>
    <cellStyle name="쉼표 [0] 3 2 3" xfId="1752"/>
    <cellStyle name="쉼표 [0] 3 2 4" xfId="1753"/>
    <cellStyle name="쉼표 [0] 3 3" xfId="1754"/>
    <cellStyle name="쉼표 [0] 3 3 2" xfId="1755"/>
    <cellStyle name="쉼표 [0] 3 3 3" xfId="1756"/>
    <cellStyle name="쉼표 [0] 3 3 4" xfId="1757"/>
    <cellStyle name="쉼표 [0] 3 4" xfId="1758"/>
    <cellStyle name="쉼표 [0] 3 4 2" xfId="1759"/>
    <cellStyle name="쉼표 [0] 3 4 3" xfId="1760"/>
    <cellStyle name="쉼표 [0] 3 4 4" xfId="1761"/>
    <cellStyle name="쉼표 [0] 3 5" xfId="1762"/>
    <cellStyle name="쉼표 [0] 3 6" xfId="1763"/>
    <cellStyle name="쉼표 [0] 3 7" xfId="1764"/>
    <cellStyle name="쉼표 [0] 3 8" xfId="1765"/>
    <cellStyle name="쉼표 [0] 3 8 2" xfId="2305"/>
    <cellStyle name="쉼표 [0] 3 9" xfId="1766"/>
    <cellStyle name="쉼표 [0] 4" xfId="11"/>
    <cellStyle name="쉼표 [0] 4 2" xfId="1768"/>
    <cellStyle name="쉼표 [0] 4 3" xfId="1769"/>
    <cellStyle name="쉼표 [0] 4 3 2" xfId="1770"/>
    <cellStyle name="쉼표 [0] 4 3 3" xfId="1771"/>
    <cellStyle name="쉼표 [0] 4 3 4" xfId="1772"/>
    <cellStyle name="쉼표 [0] 4 4" xfId="1773"/>
    <cellStyle name="쉼표 [0] 4 4 2" xfId="2306"/>
    <cellStyle name="쉼표 [0] 4 5" xfId="1774"/>
    <cellStyle name="쉼표 [0] 4 6" xfId="1767"/>
    <cellStyle name="쉼표 [0] 4 7" xfId="2320"/>
    <cellStyle name="쉼표 [0] 5" xfId="12"/>
    <cellStyle name="쉼표 [0] 5 2" xfId="1776"/>
    <cellStyle name="쉼표 [0] 5 3" xfId="1777"/>
    <cellStyle name="쉼표 [0] 5 4" xfId="1778"/>
    <cellStyle name="쉼표 [0] 5 5" xfId="1775"/>
    <cellStyle name="쉼표 [0] 6" xfId="1779"/>
    <cellStyle name="쉼표 [0] 6 2" xfId="2307"/>
    <cellStyle name="쉼표 [0] 7" xfId="1780"/>
    <cellStyle name="쉼표 [0] 8" xfId="13"/>
    <cellStyle name="쉼표 [0] 8 2" xfId="1781"/>
    <cellStyle name="쉼표 [0] 9" xfId="1719"/>
    <cellStyle name="연결된 셀 10" xfId="1782"/>
    <cellStyle name="연결된 셀 11" xfId="1783"/>
    <cellStyle name="연결된 셀 12" xfId="1784"/>
    <cellStyle name="연결된 셀 13" xfId="1785"/>
    <cellStyle name="연결된 셀 14" xfId="1786"/>
    <cellStyle name="연결된 셀 15" xfId="1787"/>
    <cellStyle name="연결된 셀 16" xfId="1788"/>
    <cellStyle name="연결된 셀 17" xfId="1789"/>
    <cellStyle name="연결된 셀 18" xfId="1790"/>
    <cellStyle name="연결된 셀 19" xfId="1791"/>
    <cellStyle name="연결된 셀 2" xfId="1792"/>
    <cellStyle name="연결된 셀 20" xfId="1793"/>
    <cellStyle name="연결된 셀 21" xfId="1794"/>
    <cellStyle name="연결된 셀 22" xfId="1795"/>
    <cellStyle name="연결된 셀 23" xfId="1796"/>
    <cellStyle name="연결된 셀 24" xfId="1797"/>
    <cellStyle name="연결된 셀 25" xfId="1798"/>
    <cellStyle name="연결된 셀 26" xfId="1799"/>
    <cellStyle name="연결된 셀 27" xfId="1800"/>
    <cellStyle name="연결된 셀 28" xfId="1801"/>
    <cellStyle name="연결된 셀 29" xfId="1802"/>
    <cellStyle name="연결된 셀 3" xfId="1803"/>
    <cellStyle name="연결된 셀 3 2" xfId="1804"/>
    <cellStyle name="연결된 셀 3 3" xfId="1805"/>
    <cellStyle name="연결된 셀 3 4" xfId="1806"/>
    <cellStyle name="연결된 셀 4" xfId="1807"/>
    <cellStyle name="연결된 셀 5" xfId="1808"/>
    <cellStyle name="연결된 셀 6" xfId="1809"/>
    <cellStyle name="연결된 셀 7" xfId="1810"/>
    <cellStyle name="연결된 셀 8" xfId="1811"/>
    <cellStyle name="연결된 셀 9" xfId="1812"/>
    <cellStyle name="요약 10" xfId="1813"/>
    <cellStyle name="요약 11" xfId="1814"/>
    <cellStyle name="요약 12" xfId="1815"/>
    <cellStyle name="요약 13" xfId="1816"/>
    <cellStyle name="요약 14" xfId="1817"/>
    <cellStyle name="요약 15" xfId="1818"/>
    <cellStyle name="요약 16" xfId="1819"/>
    <cellStyle name="요약 17" xfId="1820"/>
    <cellStyle name="요약 18" xfId="1821"/>
    <cellStyle name="요약 19" xfId="1822"/>
    <cellStyle name="요약 2" xfId="1823"/>
    <cellStyle name="요약 20" xfId="1824"/>
    <cellStyle name="요약 21" xfId="1825"/>
    <cellStyle name="요약 22" xfId="1826"/>
    <cellStyle name="요약 23" xfId="1827"/>
    <cellStyle name="요약 24" xfId="1828"/>
    <cellStyle name="요약 25" xfId="1829"/>
    <cellStyle name="요약 26" xfId="1830"/>
    <cellStyle name="요약 27" xfId="1831"/>
    <cellStyle name="요약 28" xfId="1832"/>
    <cellStyle name="요약 29" xfId="1833"/>
    <cellStyle name="요약 3" xfId="1834"/>
    <cellStyle name="요약 3 2" xfId="1835"/>
    <cellStyle name="요약 3 3" xfId="1836"/>
    <cellStyle name="요약 3 4" xfId="1837"/>
    <cellStyle name="요약 4" xfId="1838"/>
    <cellStyle name="요약 5" xfId="1839"/>
    <cellStyle name="요약 6" xfId="1840"/>
    <cellStyle name="요약 7" xfId="1841"/>
    <cellStyle name="요약 8" xfId="1842"/>
    <cellStyle name="요약 9" xfId="1843"/>
    <cellStyle name="입력 10" xfId="1844"/>
    <cellStyle name="입력 11" xfId="1845"/>
    <cellStyle name="입력 12" xfId="1846"/>
    <cellStyle name="입력 13" xfId="1847"/>
    <cellStyle name="입력 14" xfId="1848"/>
    <cellStyle name="입력 15" xfId="1849"/>
    <cellStyle name="입력 16" xfId="1850"/>
    <cellStyle name="입력 17" xfId="1851"/>
    <cellStyle name="입력 18" xfId="1852"/>
    <cellStyle name="입력 19" xfId="1853"/>
    <cellStyle name="입력 2" xfId="1854"/>
    <cellStyle name="입력 2 2" xfId="1855"/>
    <cellStyle name="입력 2 3" xfId="1856"/>
    <cellStyle name="입력 2 4" xfId="1857"/>
    <cellStyle name="입력 20" xfId="1858"/>
    <cellStyle name="입력 21" xfId="1859"/>
    <cellStyle name="입력 22" xfId="1860"/>
    <cellStyle name="입력 23" xfId="1861"/>
    <cellStyle name="입력 24" xfId="1862"/>
    <cellStyle name="입력 25" xfId="1863"/>
    <cellStyle name="입력 26" xfId="1864"/>
    <cellStyle name="입력 27" xfId="1865"/>
    <cellStyle name="입력 28" xfId="1866"/>
    <cellStyle name="입력 29" xfId="1867"/>
    <cellStyle name="입력 3" xfId="1868"/>
    <cellStyle name="입력 3 2" xfId="1869"/>
    <cellStyle name="입력 3 3" xfId="1870"/>
    <cellStyle name="입력 3 4" xfId="1871"/>
    <cellStyle name="입력 30" xfId="1872"/>
    <cellStyle name="입력 31" xfId="1873"/>
    <cellStyle name="입력 32" xfId="1874"/>
    <cellStyle name="입력 33" xfId="1875"/>
    <cellStyle name="입력 34" xfId="1876"/>
    <cellStyle name="입력 35" xfId="1877"/>
    <cellStyle name="입력 36" xfId="1878"/>
    <cellStyle name="입력 37" xfId="1879"/>
    <cellStyle name="입력 38" xfId="1880"/>
    <cellStyle name="입력 39" xfId="1881"/>
    <cellStyle name="입력 4" xfId="1882"/>
    <cellStyle name="입력 4 2" xfId="1883"/>
    <cellStyle name="입력 4 3" xfId="1884"/>
    <cellStyle name="입력 4 4" xfId="1885"/>
    <cellStyle name="입력 40" xfId="1886"/>
    <cellStyle name="입력 41" xfId="1887"/>
    <cellStyle name="입력 42" xfId="1888"/>
    <cellStyle name="입력 43" xfId="1889"/>
    <cellStyle name="입력 44" xfId="1890"/>
    <cellStyle name="입력 45" xfId="1891"/>
    <cellStyle name="입력 46" xfId="1892"/>
    <cellStyle name="입력 47" xfId="1893"/>
    <cellStyle name="입력 48" xfId="1894"/>
    <cellStyle name="입력 5" xfId="1895"/>
    <cellStyle name="입력 6" xfId="1896"/>
    <cellStyle name="입력 7" xfId="1897"/>
    <cellStyle name="입력 8" xfId="1898"/>
    <cellStyle name="입력 9" xfId="1899"/>
    <cellStyle name="제목 1 10" xfId="1900"/>
    <cellStyle name="제목 1 11" xfId="1901"/>
    <cellStyle name="제목 1 12" xfId="1902"/>
    <cellStyle name="제목 1 13" xfId="1903"/>
    <cellStyle name="제목 1 14" xfId="1904"/>
    <cellStyle name="제목 1 15" xfId="1905"/>
    <cellStyle name="제목 1 16" xfId="1906"/>
    <cellStyle name="제목 1 17" xfId="1907"/>
    <cellStyle name="제목 1 18" xfId="1908"/>
    <cellStyle name="제목 1 19" xfId="1909"/>
    <cellStyle name="제목 1 2" xfId="1910"/>
    <cellStyle name="제목 1 20" xfId="1911"/>
    <cellStyle name="제목 1 21" xfId="1912"/>
    <cellStyle name="제목 1 22" xfId="1913"/>
    <cellStyle name="제목 1 23" xfId="1914"/>
    <cellStyle name="제목 1 24" xfId="1915"/>
    <cellStyle name="제목 1 25" xfId="1916"/>
    <cellStyle name="제목 1 26" xfId="1917"/>
    <cellStyle name="제목 1 27" xfId="1918"/>
    <cellStyle name="제목 1 28" xfId="1919"/>
    <cellStyle name="제목 1 29" xfId="1920"/>
    <cellStyle name="제목 1 3" xfId="1921"/>
    <cellStyle name="제목 1 3 2" xfId="1922"/>
    <cellStyle name="제목 1 3 3" xfId="1923"/>
    <cellStyle name="제목 1 3 4" xfId="1924"/>
    <cellStyle name="제목 1 4" xfId="1925"/>
    <cellStyle name="제목 1 5" xfId="1926"/>
    <cellStyle name="제목 1 6" xfId="1927"/>
    <cellStyle name="제목 1 7" xfId="1928"/>
    <cellStyle name="제목 1 8" xfId="1929"/>
    <cellStyle name="제목 1 9" xfId="1930"/>
    <cellStyle name="제목 10" xfId="1931"/>
    <cellStyle name="제목 11" xfId="1932"/>
    <cellStyle name="제목 12" xfId="1933"/>
    <cellStyle name="제목 13" xfId="1934"/>
    <cellStyle name="제목 14" xfId="1935"/>
    <cellStyle name="제목 15" xfId="1936"/>
    <cellStyle name="제목 16" xfId="1937"/>
    <cellStyle name="제목 17" xfId="1938"/>
    <cellStyle name="제목 18" xfId="1939"/>
    <cellStyle name="제목 19" xfId="1940"/>
    <cellStyle name="제목 2 10" xfId="1941"/>
    <cellStyle name="제목 2 11" xfId="1942"/>
    <cellStyle name="제목 2 12" xfId="1943"/>
    <cellStyle name="제목 2 13" xfId="1944"/>
    <cellStyle name="제목 2 14" xfId="1945"/>
    <cellStyle name="제목 2 15" xfId="1946"/>
    <cellStyle name="제목 2 16" xfId="1947"/>
    <cellStyle name="제목 2 17" xfId="1948"/>
    <cellStyle name="제목 2 18" xfId="1949"/>
    <cellStyle name="제목 2 19" xfId="1950"/>
    <cellStyle name="제목 2 2" xfId="1951"/>
    <cellStyle name="제목 2 20" xfId="1952"/>
    <cellStyle name="제목 2 21" xfId="1953"/>
    <cellStyle name="제목 2 22" xfId="1954"/>
    <cellStyle name="제목 2 23" xfId="1955"/>
    <cellStyle name="제목 2 24" xfId="1956"/>
    <cellStyle name="제목 2 25" xfId="1957"/>
    <cellStyle name="제목 2 26" xfId="1958"/>
    <cellStyle name="제목 2 27" xfId="1959"/>
    <cellStyle name="제목 2 28" xfId="1960"/>
    <cellStyle name="제목 2 29" xfId="1961"/>
    <cellStyle name="제목 2 3" xfId="1962"/>
    <cellStyle name="제목 2 3 2" xfId="1963"/>
    <cellStyle name="제목 2 3 3" xfId="1964"/>
    <cellStyle name="제목 2 3 4" xfId="1965"/>
    <cellStyle name="제목 2 4" xfId="1966"/>
    <cellStyle name="제목 2 5" xfId="1967"/>
    <cellStyle name="제목 2 6" xfId="1968"/>
    <cellStyle name="제목 2 7" xfId="1969"/>
    <cellStyle name="제목 2 8" xfId="1970"/>
    <cellStyle name="제목 2 9" xfId="1971"/>
    <cellStyle name="제목 20" xfId="1972"/>
    <cellStyle name="제목 21" xfId="1973"/>
    <cellStyle name="제목 22" xfId="1974"/>
    <cellStyle name="제목 23" xfId="1975"/>
    <cellStyle name="제목 24" xfId="1976"/>
    <cellStyle name="제목 25" xfId="1977"/>
    <cellStyle name="제목 26" xfId="1978"/>
    <cellStyle name="제목 27" xfId="1979"/>
    <cellStyle name="제목 28" xfId="1980"/>
    <cellStyle name="제목 29" xfId="1981"/>
    <cellStyle name="제목 3 10" xfId="1982"/>
    <cellStyle name="제목 3 11" xfId="1983"/>
    <cellStyle name="제목 3 12" xfId="1984"/>
    <cellStyle name="제목 3 13" xfId="1985"/>
    <cellStyle name="제목 3 14" xfId="1986"/>
    <cellStyle name="제목 3 15" xfId="1987"/>
    <cellStyle name="제목 3 16" xfId="1988"/>
    <cellStyle name="제목 3 17" xfId="1989"/>
    <cellStyle name="제목 3 18" xfId="1990"/>
    <cellStyle name="제목 3 19" xfId="1991"/>
    <cellStyle name="제목 3 2" xfId="1992"/>
    <cellStyle name="제목 3 20" xfId="1993"/>
    <cellStyle name="제목 3 21" xfId="1994"/>
    <cellStyle name="제목 3 22" xfId="1995"/>
    <cellStyle name="제목 3 23" xfId="1996"/>
    <cellStyle name="제목 3 24" xfId="1997"/>
    <cellStyle name="제목 3 25" xfId="1998"/>
    <cellStyle name="제목 3 26" xfId="1999"/>
    <cellStyle name="제목 3 27" xfId="2000"/>
    <cellStyle name="제목 3 28" xfId="2001"/>
    <cellStyle name="제목 3 29" xfId="2002"/>
    <cellStyle name="제목 3 3" xfId="2003"/>
    <cellStyle name="제목 3 3 2" xfId="2004"/>
    <cellStyle name="제목 3 3 3" xfId="2005"/>
    <cellStyle name="제목 3 3 4" xfId="2006"/>
    <cellStyle name="제목 3 4" xfId="2007"/>
    <cellStyle name="제목 3 5" xfId="2008"/>
    <cellStyle name="제목 3 6" xfId="2009"/>
    <cellStyle name="제목 3 7" xfId="2010"/>
    <cellStyle name="제목 3 8" xfId="2011"/>
    <cellStyle name="제목 3 9" xfId="2012"/>
    <cellStyle name="제목 30" xfId="2013"/>
    <cellStyle name="제목 31" xfId="2014"/>
    <cellStyle name="제목 32" xfId="2015"/>
    <cellStyle name="제목 4 10" xfId="2016"/>
    <cellStyle name="제목 4 11" xfId="2017"/>
    <cellStyle name="제목 4 12" xfId="2018"/>
    <cellStyle name="제목 4 13" xfId="2019"/>
    <cellStyle name="제목 4 14" xfId="2020"/>
    <cellStyle name="제목 4 15" xfId="2021"/>
    <cellStyle name="제목 4 16" xfId="2022"/>
    <cellStyle name="제목 4 17" xfId="2023"/>
    <cellStyle name="제목 4 18" xfId="2024"/>
    <cellStyle name="제목 4 19" xfId="2025"/>
    <cellStyle name="제목 4 2" xfId="2026"/>
    <cellStyle name="제목 4 20" xfId="2027"/>
    <cellStyle name="제목 4 21" xfId="2028"/>
    <cellStyle name="제목 4 22" xfId="2029"/>
    <cellStyle name="제목 4 23" xfId="2030"/>
    <cellStyle name="제목 4 24" xfId="2031"/>
    <cellStyle name="제목 4 25" xfId="2032"/>
    <cellStyle name="제목 4 26" xfId="2033"/>
    <cellStyle name="제목 4 27" xfId="2034"/>
    <cellStyle name="제목 4 28" xfId="2035"/>
    <cellStyle name="제목 4 29" xfId="2036"/>
    <cellStyle name="제목 4 3" xfId="2037"/>
    <cellStyle name="제목 4 3 2" xfId="2038"/>
    <cellStyle name="제목 4 3 3" xfId="2039"/>
    <cellStyle name="제목 4 3 4" xfId="2040"/>
    <cellStyle name="제목 4 4" xfId="2041"/>
    <cellStyle name="제목 4 5" xfId="2042"/>
    <cellStyle name="제목 4 6" xfId="2043"/>
    <cellStyle name="제목 4 7" xfId="2044"/>
    <cellStyle name="제목 4 8" xfId="2045"/>
    <cellStyle name="제목 4 9" xfId="2046"/>
    <cellStyle name="제목 5" xfId="2047"/>
    <cellStyle name="제목 6" xfId="2048"/>
    <cellStyle name="제목 6 2" xfId="2049"/>
    <cellStyle name="제목 6 3" xfId="2050"/>
    <cellStyle name="제목 6 4" xfId="2051"/>
    <cellStyle name="제목 7" xfId="2052"/>
    <cellStyle name="제목 8" xfId="2053"/>
    <cellStyle name="제목 9" xfId="2054"/>
    <cellStyle name="좋음 10" xfId="2055"/>
    <cellStyle name="좋음 11" xfId="2056"/>
    <cellStyle name="좋음 12" xfId="2057"/>
    <cellStyle name="좋음 13" xfId="2058"/>
    <cellStyle name="좋음 14" xfId="2059"/>
    <cellStyle name="좋음 15" xfId="2060"/>
    <cellStyle name="좋음 16" xfId="2061"/>
    <cellStyle name="좋음 17" xfId="2062"/>
    <cellStyle name="좋음 18" xfId="2063"/>
    <cellStyle name="좋음 19" xfId="2064"/>
    <cellStyle name="좋음 2" xfId="2065"/>
    <cellStyle name="좋음 2 2" xfId="2066"/>
    <cellStyle name="좋음 2 3" xfId="2067"/>
    <cellStyle name="좋음 2 4" xfId="2068"/>
    <cellStyle name="좋음 20" xfId="2069"/>
    <cellStyle name="좋음 21" xfId="2070"/>
    <cellStyle name="좋음 22" xfId="2071"/>
    <cellStyle name="좋음 23" xfId="2072"/>
    <cellStyle name="좋음 24" xfId="2073"/>
    <cellStyle name="좋음 25" xfId="2074"/>
    <cellStyle name="좋음 26" xfId="2075"/>
    <cellStyle name="좋음 27" xfId="2076"/>
    <cellStyle name="좋음 28" xfId="2077"/>
    <cellStyle name="좋음 29" xfId="2078"/>
    <cellStyle name="좋음 3" xfId="2079"/>
    <cellStyle name="좋음 3 2" xfId="2080"/>
    <cellStyle name="좋음 3 3" xfId="2081"/>
    <cellStyle name="좋음 3 4" xfId="2082"/>
    <cellStyle name="좋음 30" xfId="2083"/>
    <cellStyle name="좋음 31" xfId="2084"/>
    <cellStyle name="좋음 32" xfId="2085"/>
    <cellStyle name="좋음 33" xfId="2086"/>
    <cellStyle name="좋음 34" xfId="2087"/>
    <cellStyle name="좋음 35" xfId="2088"/>
    <cellStyle name="좋음 36" xfId="2089"/>
    <cellStyle name="좋음 37" xfId="2090"/>
    <cellStyle name="좋음 38" xfId="2091"/>
    <cellStyle name="좋음 39" xfId="2092"/>
    <cellStyle name="좋음 4" xfId="2093"/>
    <cellStyle name="좋음 4 2" xfId="2094"/>
    <cellStyle name="좋음 4 3" xfId="2095"/>
    <cellStyle name="좋음 4 4" xfId="2096"/>
    <cellStyle name="좋음 40" xfId="2097"/>
    <cellStyle name="좋음 41" xfId="2098"/>
    <cellStyle name="좋음 42" xfId="2099"/>
    <cellStyle name="좋음 43" xfId="2100"/>
    <cellStyle name="좋음 44" xfId="2101"/>
    <cellStyle name="좋음 45" xfId="2102"/>
    <cellStyle name="좋음 46" xfId="2103"/>
    <cellStyle name="좋음 47" xfId="2104"/>
    <cellStyle name="좋음 48" xfId="2105"/>
    <cellStyle name="좋음 5" xfId="2106"/>
    <cellStyle name="좋음 6" xfId="2107"/>
    <cellStyle name="좋음 7" xfId="2108"/>
    <cellStyle name="좋음 8" xfId="2109"/>
    <cellStyle name="좋음 9" xfId="2110"/>
    <cellStyle name="출력 10" xfId="2111"/>
    <cellStyle name="출력 11" xfId="2112"/>
    <cellStyle name="출력 12" xfId="2113"/>
    <cellStyle name="출력 13" xfId="2114"/>
    <cellStyle name="출력 14" xfId="2115"/>
    <cellStyle name="출력 15" xfId="2116"/>
    <cellStyle name="출력 16" xfId="2117"/>
    <cellStyle name="출력 17" xfId="2118"/>
    <cellStyle name="출력 18" xfId="2119"/>
    <cellStyle name="출력 19" xfId="2120"/>
    <cellStyle name="출력 2" xfId="2121"/>
    <cellStyle name="출력 2 2" xfId="2122"/>
    <cellStyle name="출력 2 3" xfId="2123"/>
    <cellStyle name="출력 2 4" xfId="2124"/>
    <cellStyle name="출력 20" xfId="2125"/>
    <cellStyle name="출력 21" xfId="2126"/>
    <cellStyle name="출력 22" xfId="2127"/>
    <cellStyle name="출력 23" xfId="2128"/>
    <cellStyle name="출력 24" xfId="2129"/>
    <cellStyle name="출력 25" xfId="2130"/>
    <cellStyle name="출력 26" xfId="2131"/>
    <cellStyle name="출력 27" xfId="2132"/>
    <cellStyle name="출력 28" xfId="2133"/>
    <cellStyle name="출력 29" xfId="2134"/>
    <cellStyle name="출력 3" xfId="2135"/>
    <cellStyle name="출력 3 2" xfId="2136"/>
    <cellStyle name="출력 3 3" xfId="2137"/>
    <cellStyle name="출력 3 4" xfId="2138"/>
    <cellStyle name="출력 30" xfId="2139"/>
    <cellStyle name="출력 31" xfId="2140"/>
    <cellStyle name="출력 32" xfId="2141"/>
    <cellStyle name="출력 33" xfId="2142"/>
    <cellStyle name="출력 34" xfId="2143"/>
    <cellStyle name="출력 35" xfId="2144"/>
    <cellStyle name="출력 36" xfId="2145"/>
    <cellStyle name="출력 37" xfId="2146"/>
    <cellStyle name="출력 38" xfId="2147"/>
    <cellStyle name="출력 39" xfId="2148"/>
    <cellStyle name="출력 4" xfId="2149"/>
    <cellStyle name="출력 4 2" xfId="2150"/>
    <cellStyle name="출력 4 3" xfId="2151"/>
    <cellStyle name="출력 4 4" xfId="2152"/>
    <cellStyle name="출력 40" xfId="2153"/>
    <cellStyle name="출력 41" xfId="2154"/>
    <cellStyle name="출력 42" xfId="2155"/>
    <cellStyle name="출력 43" xfId="2156"/>
    <cellStyle name="출력 44" xfId="2157"/>
    <cellStyle name="출력 45" xfId="2158"/>
    <cellStyle name="출력 46" xfId="2159"/>
    <cellStyle name="출력 47" xfId="2160"/>
    <cellStyle name="출력 48" xfId="2161"/>
    <cellStyle name="출력 5" xfId="2162"/>
    <cellStyle name="출력 6" xfId="2163"/>
    <cellStyle name="출력 7" xfId="2164"/>
    <cellStyle name="출력 8" xfId="2165"/>
    <cellStyle name="출력 9" xfId="2166"/>
    <cellStyle name="콤마 [0]_98jeug" xfId="14"/>
    <cellStyle name="콤마_98jeug" xfId="15"/>
    <cellStyle name="표준" xfId="0" builtinId="0"/>
    <cellStyle name="표준 10" xfId="16"/>
    <cellStyle name="표준 10 2" xfId="2167"/>
    <cellStyle name="표준 11" xfId="2168"/>
    <cellStyle name="표준 12" xfId="2308"/>
    <cellStyle name="표준 12 2" xfId="2309"/>
    <cellStyle name="표준 13" xfId="31"/>
    <cellStyle name="표준 13 2" xfId="2315"/>
    <cellStyle name="표준 14" xfId="2317"/>
    <cellStyle name="표준 15" xfId="2321"/>
    <cellStyle name="표준 2" xfId="17"/>
    <cellStyle name="표준 2 10" xfId="2169"/>
    <cellStyle name="표준 2 11" xfId="2170"/>
    <cellStyle name="표준 2 12" xfId="2171"/>
    <cellStyle name="표준 2 13" xfId="2172"/>
    <cellStyle name="표준 2 14" xfId="2173"/>
    <cellStyle name="표준 2 15" xfId="2174"/>
    <cellStyle name="표준 2 16" xfId="2175"/>
    <cellStyle name="표준 2 17" xfId="2176"/>
    <cellStyle name="표준 2 18" xfId="2177"/>
    <cellStyle name="표준 2 19" xfId="2178"/>
    <cellStyle name="표준 2 2" xfId="18"/>
    <cellStyle name="표준 2 2 10" xfId="2179"/>
    <cellStyle name="표준 2 2 11" xfId="2180"/>
    <cellStyle name="표준 2 2 12" xfId="2181"/>
    <cellStyle name="표준 2 2 13" xfId="2182"/>
    <cellStyle name="표준 2 2 14" xfId="2183"/>
    <cellStyle name="표준 2 2 15" xfId="2184"/>
    <cellStyle name="표준 2 2 16" xfId="2185"/>
    <cellStyle name="표준 2 2 17" xfId="2186"/>
    <cellStyle name="표준 2 2 18" xfId="2187"/>
    <cellStyle name="표준 2 2 19" xfId="2188"/>
    <cellStyle name="표준 2 2 2" xfId="19"/>
    <cellStyle name="표준 2 2 2 2" xfId="2190"/>
    <cellStyle name="표준 2 2 2 3" xfId="2191"/>
    <cellStyle name="표준 2 2 2 4" xfId="2192"/>
    <cellStyle name="표준 2 2 2 5" xfId="2189"/>
    <cellStyle name="표준 2 2 20" xfId="2193"/>
    <cellStyle name="표준 2 2 21" xfId="2194"/>
    <cellStyle name="표준 2 2 22" xfId="2195"/>
    <cellStyle name="표준 2 2 23" xfId="2196"/>
    <cellStyle name="표준 2 2 24" xfId="2197"/>
    <cellStyle name="표준 2 2 25" xfId="2198"/>
    <cellStyle name="표준 2 2 26" xfId="2199"/>
    <cellStyle name="표준 2 2 27" xfId="2200"/>
    <cellStyle name="표준 2 2 28" xfId="2201"/>
    <cellStyle name="표준 2 2 29" xfId="2202"/>
    <cellStyle name="표준 2 2 3" xfId="20"/>
    <cellStyle name="표준 2 2 3 2" xfId="2204"/>
    <cellStyle name="표준 2 2 3 3" xfId="2205"/>
    <cellStyle name="표준 2 2 3 4" xfId="2206"/>
    <cellStyle name="표준 2 2 3 5" xfId="2203"/>
    <cellStyle name="표준 2 2 30" xfId="2207"/>
    <cellStyle name="표준 2 2 31" xfId="2208"/>
    <cellStyle name="표준 2 2 32" xfId="2209"/>
    <cellStyle name="표준 2 2 33" xfId="2210"/>
    <cellStyle name="표준 2 2 34" xfId="2211"/>
    <cellStyle name="표준 2 2 35" xfId="2212"/>
    <cellStyle name="표준 2 2 36" xfId="2213"/>
    <cellStyle name="표준 2 2 37" xfId="2214"/>
    <cellStyle name="표준 2 2 38" xfId="2215"/>
    <cellStyle name="표준 2 2 39" xfId="2216"/>
    <cellStyle name="표준 2 2 4" xfId="21"/>
    <cellStyle name="표준 2 2 4 2" xfId="2217"/>
    <cellStyle name="표준 2 2 40" xfId="2218"/>
    <cellStyle name="표준 2 2 41" xfId="2219"/>
    <cellStyle name="표준 2 2 42" xfId="2220"/>
    <cellStyle name="표준 2 2 43" xfId="2221"/>
    <cellStyle name="표준 2 2 44" xfId="2222"/>
    <cellStyle name="표준 2 2 45" xfId="2223"/>
    <cellStyle name="표준 2 2 46" xfId="2224"/>
    <cellStyle name="표준 2 2 47" xfId="2292"/>
    <cellStyle name="표준 2 2 48" xfId="2293"/>
    <cellStyle name="표준 2 2 49" xfId="2294"/>
    <cellStyle name="표준 2 2 5" xfId="22"/>
    <cellStyle name="표준 2 2 5 2" xfId="2225"/>
    <cellStyle name="표준 2 2 50" xfId="2295"/>
    <cellStyle name="표준 2 2 51" xfId="2296"/>
    <cellStyle name="표준 2 2 52" xfId="2297"/>
    <cellStyle name="표준 2 2 53" xfId="2298"/>
    <cellStyle name="표준 2 2 54" xfId="2299"/>
    <cellStyle name="표준 2 2 55" xfId="2300"/>
    <cellStyle name="표준 2 2 56" xfId="2301"/>
    <cellStyle name="표준 2 2 57" xfId="2302"/>
    <cellStyle name="표준 2 2 58" xfId="2303"/>
    <cellStyle name="표준 2 2 59" xfId="2304"/>
    <cellStyle name="표준 2 2 6" xfId="23"/>
    <cellStyle name="표준 2 2 6 2" xfId="2226"/>
    <cellStyle name="표준 2 2 7" xfId="2227"/>
    <cellStyle name="표준 2 2 8" xfId="2228"/>
    <cellStyle name="표준 2 2 9" xfId="2229"/>
    <cellStyle name="표준 2 20" xfId="2230"/>
    <cellStyle name="표준 2 21" xfId="2231"/>
    <cellStyle name="표준 2 22" xfId="2232"/>
    <cellStyle name="표준 2 23" xfId="2233"/>
    <cellStyle name="표준 2 24" xfId="2234"/>
    <cellStyle name="표준 2 25" xfId="2235"/>
    <cellStyle name="표준 2 26" xfId="2236"/>
    <cellStyle name="표준 2 27" xfId="2237"/>
    <cellStyle name="표준 2 28" xfId="2238"/>
    <cellStyle name="표준 2 29" xfId="2239"/>
    <cellStyle name="표준 2 3" xfId="24"/>
    <cellStyle name="표준 2 3 2" xfId="2240"/>
    <cellStyle name="표준 2 30" xfId="2241"/>
    <cellStyle name="표준 2 31" xfId="2242"/>
    <cellStyle name="표준 2 32" xfId="2243"/>
    <cellStyle name="표준 2 33" xfId="2244"/>
    <cellStyle name="표준 2 34" xfId="2245"/>
    <cellStyle name="표준 2 4" xfId="25"/>
    <cellStyle name="표준 2 4 2" xfId="2247"/>
    <cellStyle name="표준 2 4 3" xfId="2248"/>
    <cellStyle name="표준 2 4 4" xfId="2249"/>
    <cellStyle name="표준 2 4 5" xfId="2246"/>
    <cellStyle name="표준 2 5" xfId="26"/>
    <cellStyle name="표준 2 5 2" xfId="2250"/>
    <cellStyle name="표준 2 6" xfId="27"/>
    <cellStyle name="표준 2 6 2" xfId="2251"/>
    <cellStyle name="표준 2 7" xfId="2252"/>
    <cellStyle name="표준 2 8" xfId="2253"/>
    <cellStyle name="표준 2 9" xfId="2254"/>
    <cellStyle name="표준 2_광명시법원" xfId="2255"/>
    <cellStyle name="표준 3" xfId="28"/>
    <cellStyle name="표준 3 2" xfId="2257"/>
    <cellStyle name="표준 3 2 2" xfId="2258"/>
    <cellStyle name="표준 3 2 2 2" xfId="2259"/>
    <cellStyle name="표준 3 2 2 2 2" xfId="2260"/>
    <cellStyle name="표준 3 2 2 2 3" xfId="2261"/>
    <cellStyle name="표준 3 2 2 2 4" xfId="2262"/>
    <cellStyle name="표준 3 2 2 3" xfId="2263"/>
    <cellStyle name="표준 3 2 2 4" xfId="2264"/>
    <cellStyle name="표준 3 2 3" xfId="2265"/>
    <cellStyle name="표준 3 2 4" xfId="2266"/>
    <cellStyle name="표준 3 2 5" xfId="2267"/>
    <cellStyle name="표준 3 3" xfId="2268"/>
    <cellStyle name="표준 3 4" xfId="2269"/>
    <cellStyle name="표준 3 5" xfId="2270"/>
    <cellStyle name="표준 3 6" xfId="2271"/>
    <cellStyle name="표준 3 7" xfId="2256"/>
    <cellStyle name="표준 3_광명시법원" xfId="2272"/>
    <cellStyle name="표준 4" xfId="29"/>
    <cellStyle name="표준 4 2" xfId="2274"/>
    <cellStyle name="표준 4 3" xfId="2275"/>
    <cellStyle name="표준 4 3 2" xfId="2276"/>
    <cellStyle name="표준 4 3 3" xfId="2277"/>
    <cellStyle name="표준 4 3 4" xfId="2278"/>
    <cellStyle name="표준 4 4" xfId="2279"/>
    <cellStyle name="표준 4 4 2" xfId="2310"/>
    <cellStyle name="표준 4 5" xfId="2280"/>
    <cellStyle name="표준 4 6" xfId="2311"/>
    <cellStyle name="표준 4 6 2" xfId="2316"/>
    <cellStyle name="표준 4 7" xfId="2273"/>
    <cellStyle name="표준 4_광명시법원" xfId="2281"/>
    <cellStyle name="표준 5" xfId="2282"/>
    <cellStyle name="표준 5 2" xfId="2312"/>
    <cellStyle name="표준 59" xfId="2322"/>
    <cellStyle name="표준 6" xfId="2283"/>
    <cellStyle name="표준 6 2" xfId="2284"/>
    <cellStyle name="표준 6 3" xfId="2285"/>
    <cellStyle name="표준 6 4" xfId="2286"/>
    <cellStyle name="표준 7" xfId="30"/>
    <cellStyle name="표준 7 2" xfId="2287"/>
    <cellStyle name="표준 7 3" xfId="2288"/>
    <cellStyle name="표준 7 4" xfId="2289"/>
    <cellStyle name="표준 7 5" xfId="32"/>
    <cellStyle name="표준 8" xfId="2290"/>
    <cellStyle name="표준 8 2" xfId="2313"/>
    <cellStyle name="표준 9" xfId="2291"/>
    <cellStyle name="표준 9 2" xfId="2314"/>
  </cellStyles>
  <dxfs count="0"/>
  <tableStyles count="0" defaultTableStyle="TableStyleMedium9" defaultPivotStyle="PivotStyleLight16"/>
  <colors>
    <mruColors>
      <color rgb="FFC0C0C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Lbls>
            <c:dLbl>
              <c:idx val="0"/>
              <c:layout>
                <c:manualLayout>
                  <c:x val="0.18333333333333493"/>
                  <c:y val="0.1111111111111111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영장</a:t>
                    </a:r>
                  </a:p>
                  <a:p>
                    <a:r>
                      <a:rPr lang="en-US" altLang="ko-KR"/>
                      <a:t>686,753</a:t>
                    </a:r>
                  </a:p>
                  <a:p>
                    <a:r>
                      <a:rPr lang="en-US" altLang="ko-KR"/>
                      <a:t>(39.0%)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DEB-4081-BC03-36AEF2D78655}"/>
                </c:ext>
              </c:extLst>
            </c:dLbl>
            <c:dLbl>
              <c:idx val="1"/>
              <c:layout>
                <c:manualLayout>
                  <c:x val="-0.24166666666666672"/>
                  <c:y val="0.1262252736700595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약식</a:t>
                    </a:r>
                  </a:p>
                  <a:p>
                    <a:r>
                      <a:rPr lang="en-US" altLang="ko-KR"/>
                      <a:t>442,431</a:t>
                    </a:r>
                  </a:p>
                  <a:p>
                    <a:r>
                      <a:rPr lang="en-US" altLang="ko-KR"/>
                      <a:t>(25.1%)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DEB-4081-BC03-36AEF2D78655}"/>
                </c:ext>
              </c:extLst>
            </c:dLbl>
            <c:dLbl>
              <c:idx val="2"/>
              <c:layout>
                <c:manualLayout>
                  <c:x val="-0.17500000000000004"/>
                  <c:y val="-3.8095238095238095E-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공판</a:t>
                    </a:r>
                  </a:p>
                  <a:p>
                    <a:r>
                      <a:rPr lang="en-US" altLang="ko-KR"/>
                      <a:t>347,032</a:t>
                    </a:r>
                  </a:p>
                  <a:p>
                    <a:r>
                      <a:rPr lang="en-US" altLang="ko-KR"/>
                      <a:t>(19.7%)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DEB-4081-BC03-36AEF2D78655}"/>
                </c:ext>
              </c:extLst>
            </c:dLbl>
            <c:dLbl>
              <c:idx val="3"/>
              <c:layout>
                <c:manualLayout>
                  <c:x val="-0.19444444444444445"/>
                  <c:y val="-7.6678189616541853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신청</a:t>
                    </a:r>
                  </a:p>
                  <a:p>
                    <a:r>
                      <a:rPr lang="en-US" altLang="ko-KR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167,396</a:t>
                    </a:r>
                  </a:p>
                  <a:p>
                    <a:r>
                      <a:rPr lang="en-US" altLang="ko-KR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(9.5%)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EB-4081-BC03-36AEF2D78655}"/>
                </c:ext>
              </c:extLst>
            </c:dLbl>
            <c:dLbl>
              <c:idx val="4"/>
              <c:layout>
                <c:manualLayout>
                  <c:x val="-0.17222222222222222"/>
                  <c:y val="-0.12500832213046539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즉결</a:t>
                    </a:r>
                  </a:p>
                  <a:p>
                    <a:r>
                      <a:rPr lang="en-US" altLang="ko-KR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118,997</a:t>
                    </a:r>
                  </a:p>
                  <a:p>
                    <a:r>
                      <a:rPr lang="en-US" altLang="ko-KR" sz="1000" b="1" i="0" u="none" strike="noStrike" kern="1200" baseline="0">
                        <a:solidFill>
                          <a:sysClr val="windowText" lastClr="000000"/>
                        </a:solidFill>
                      </a:rPr>
                      <a:t>(6.7%)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EB-4081-BC03-36AEF2D78655}"/>
                </c:ext>
              </c:extLst>
            </c:dLbl>
            <c:dLbl>
              <c:idx val="5"/>
              <c:layout>
                <c:manualLayout>
                  <c:x val="0.17222222222222244"/>
                  <c:y val="-0.1409523809523830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치료감호</a:t>
                    </a:r>
                  </a:p>
                  <a:p>
                    <a:r>
                      <a:rPr lang="en-US" altLang="ko-KR"/>
                      <a:t>260</a:t>
                    </a:r>
                  </a:p>
                  <a:p>
                    <a:r>
                      <a:rPr lang="en-US" altLang="ko-KR"/>
                      <a:t>(0.0%)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EB-4081-BC03-36AEF2D78655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'1'!$G$6:$G$11</c:f>
              <c:strCache>
                <c:ptCount val="6"/>
                <c:pt idx="0">
                  <c:v>영장</c:v>
                </c:pt>
                <c:pt idx="1">
                  <c:v>약식</c:v>
                </c:pt>
                <c:pt idx="2">
                  <c:v>공판</c:v>
                </c:pt>
                <c:pt idx="3">
                  <c:v> 신청 </c:v>
                </c:pt>
                <c:pt idx="4">
                  <c:v>즉결</c:v>
                </c:pt>
                <c:pt idx="5">
                  <c:v>치료감호</c:v>
                </c:pt>
              </c:strCache>
            </c:strRef>
          </c:cat>
          <c:val>
            <c:numRef>
              <c:f>'1'!$H$6:$H$11</c:f>
              <c:numCache>
                <c:formatCode>_(* #,##0_);_(* \(#,##0\);_(* "-"_);_(@_)</c:formatCode>
                <c:ptCount val="6"/>
                <c:pt idx="0">
                  <c:v>686753</c:v>
                </c:pt>
                <c:pt idx="1">
                  <c:v>442431</c:v>
                </c:pt>
                <c:pt idx="2">
                  <c:v>347032</c:v>
                </c:pt>
                <c:pt idx="3">
                  <c:v>167396</c:v>
                </c:pt>
                <c:pt idx="4">
                  <c:v>118997</c:v>
                </c:pt>
                <c:pt idx="5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EB-4081-BC03-36AEF2D7865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239640708414543E-2"/>
          <c:y val="3.5087719298245612E-2"/>
          <c:w val="0.91140955841835669"/>
          <c:h val="0.89729420186113096"/>
        </c:manualLayout>
      </c:layout>
      <c:lineChart>
        <c:grouping val="standard"/>
        <c:varyColors val="0"/>
        <c:ser>
          <c:idx val="0"/>
          <c:order val="0"/>
          <c:tx>
            <c:strRef>
              <c:f>'1'!$D$54</c:f>
              <c:strCache>
                <c:ptCount val="1"/>
                <c:pt idx="0">
                  <c:v>공판</c:v>
                </c:pt>
              </c:strCache>
            </c:strRef>
          </c:tx>
          <c:cat>
            <c:strRef>
              <c:f>'1'!$C$60:$C$69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'1'!$D$60:$D$69</c:f>
              <c:numCache>
                <c:formatCode>_(* #,##0_);_(* \(#,##0\);_(* "-"_);_(@_)</c:formatCode>
                <c:ptCount val="10"/>
                <c:pt idx="0">
                  <c:v>363652</c:v>
                </c:pt>
                <c:pt idx="1">
                  <c:v>389155</c:v>
                </c:pt>
                <c:pt idx="2">
                  <c:v>371887</c:v>
                </c:pt>
                <c:pt idx="3">
                  <c:v>339753</c:v>
                </c:pt>
                <c:pt idx="4">
                  <c:v>343150</c:v>
                </c:pt>
                <c:pt idx="5">
                  <c:v>352843</c:v>
                </c:pt>
                <c:pt idx="6">
                  <c:v>319750</c:v>
                </c:pt>
                <c:pt idx="7">
                  <c:v>310502</c:v>
                </c:pt>
                <c:pt idx="8">
                  <c:v>337818</c:v>
                </c:pt>
                <c:pt idx="9">
                  <c:v>347292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2A-4AF3-BE97-8345076AE42A}"/>
            </c:ext>
          </c:extLst>
        </c:ser>
        <c:ser>
          <c:idx val="1"/>
          <c:order val="1"/>
          <c:tx>
            <c:strRef>
              <c:f>'1'!$E$54</c:f>
              <c:strCache>
                <c:ptCount val="1"/>
                <c:pt idx="0">
                  <c:v>영장</c:v>
                </c:pt>
              </c:strCache>
            </c:strRef>
          </c:tx>
          <c:cat>
            <c:strRef>
              <c:f>'1'!$C$60:$C$69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'1'!$E$60:$E$69</c:f>
              <c:numCache>
                <c:formatCode>_(* #,##0_);_(* \(#,##0\);_(* "-"_);_(@_)</c:formatCode>
                <c:ptCount val="10"/>
                <c:pt idx="0">
                  <c:v>380799</c:v>
                </c:pt>
                <c:pt idx="1">
                  <c:v>392456</c:v>
                </c:pt>
                <c:pt idx="2">
                  <c:v>396698</c:v>
                </c:pt>
                <c:pt idx="3">
                  <c:v>429985</c:v>
                </c:pt>
                <c:pt idx="4">
                  <c:v>466329</c:v>
                </c:pt>
                <c:pt idx="5">
                  <c:v>474804</c:v>
                </c:pt>
                <c:pt idx="6">
                  <c:v>486697</c:v>
                </c:pt>
                <c:pt idx="7">
                  <c:v>526756</c:v>
                </c:pt>
                <c:pt idx="8">
                  <c:v>603769</c:v>
                </c:pt>
                <c:pt idx="9">
                  <c:v>686753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2A-4AF3-BE97-8345076AE42A}"/>
            </c:ext>
          </c:extLst>
        </c:ser>
        <c:ser>
          <c:idx val="2"/>
          <c:order val="2"/>
          <c:tx>
            <c:strRef>
              <c:f>'1'!$F$54</c:f>
              <c:strCache>
                <c:ptCount val="1"/>
                <c:pt idx="0">
                  <c:v>신청</c:v>
                </c:pt>
              </c:strCache>
            </c:strRef>
          </c:tx>
          <c:cat>
            <c:strRef>
              <c:f>'1'!$C$60:$C$69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'1'!$F$60:$F$69</c:f>
              <c:numCache>
                <c:formatCode>_(* #,##0_);_(* \(#,##0\);_(* "-"_);_(@_)</c:formatCode>
                <c:ptCount val="10"/>
                <c:pt idx="0">
                  <c:v>111525</c:v>
                </c:pt>
                <c:pt idx="1">
                  <c:v>104541</c:v>
                </c:pt>
                <c:pt idx="2">
                  <c:v>101938</c:v>
                </c:pt>
                <c:pt idx="3">
                  <c:v>99770</c:v>
                </c:pt>
                <c:pt idx="4">
                  <c:v>112359</c:v>
                </c:pt>
                <c:pt idx="5">
                  <c:v>119379</c:v>
                </c:pt>
                <c:pt idx="6">
                  <c:v>118045</c:v>
                </c:pt>
                <c:pt idx="7">
                  <c:v>128552</c:v>
                </c:pt>
                <c:pt idx="8">
                  <c:v>152411</c:v>
                </c:pt>
                <c:pt idx="9">
                  <c:v>167396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12A-4AF3-BE97-8345076AE42A}"/>
            </c:ext>
          </c:extLst>
        </c:ser>
        <c:ser>
          <c:idx val="3"/>
          <c:order val="3"/>
          <c:tx>
            <c:strRef>
              <c:f>'1'!$G$54</c:f>
              <c:strCache>
                <c:ptCount val="1"/>
                <c:pt idx="0">
                  <c:v>즉결</c:v>
                </c:pt>
              </c:strCache>
            </c:strRef>
          </c:tx>
          <c:cat>
            <c:strRef>
              <c:f>'1'!$C$60:$C$69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'1'!$G$60:$G$69</c:f>
              <c:numCache>
                <c:formatCode>_(* #,##0_);_(* \(#,##0\);_(* "-"_);_(@_)</c:formatCode>
                <c:ptCount val="10"/>
                <c:pt idx="0">
                  <c:v>54239</c:v>
                </c:pt>
                <c:pt idx="1">
                  <c:v>74580</c:v>
                </c:pt>
                <c:pt idx="2">
                  <c:v>70319</c:v>
                </c:pt>
                <c:pt idx="3">
                  <c:v>65280</c:v>
                </c:pt>
                <c:pt idx="4">
                  <c:v>67864</c:v>
                </c:pt>
                <c:pt idx="5">
                  <c:v>76100</c:v>
                </c:pt>
                <c:pt idx="6">
                  <c:v>113728</c:v>
                </c:pt>
                <c:pt idx="7">
                  <c:v>135327</c:v>
                </c:pt>
                <c:pt idx="8">
                  <c:v>129744</c:v>
                </c:pt>
                <c:pt idx="9">
                  <c:v>118997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12A-4AF3-BE97-8345076AE42A}"/>
            </c:ext>
          </c:extLst>
        </c:ser>
        <c:ser>
          <c:idx val="4"/>
          <c:order val="4"/>
          <c:tx>
            <c:strRef>
              <c:f>'1'!$H$54</c:f>
              <c:strCache>
                <c:ptCount val="1"/>
                <c:pt idx="0">
                  <c:v>약식</c:v>
                </c:pt>
              </c:strCache>
            </c:strRef>
          </c:tx>
          <c:cat>
            <c:strRef>
              <c:f>'1'!$C$60:$C$69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'1'!$H$60:$H$69</c:f>
              <c:numCache>
                <c:formatCode>_(* #,##0_);_(* \(#,##0\);_(* "-"_);_(@_)</c:formatCode>
                <c:ptCount val="10"/>
                <c:pt idx="0">
                  <c:v>667471</c:v>
                </c:pt>
                <c:pt idx="1">
                  <c:v>684072</c:v>
                </c:pt>
                <c:pt idx="2">
                  <c:v>605755</c:v>
                </c:pt>
                <c:pt idx="3">
                  <c:v>520947</c:v>
                </c:pt>
                <c:pt idx="4">
                  <c:v>491690</c:v>
                </c:pt>
                <c:pt idx="5">
                  <c:v>440715</c:v>
                </c:pt>
                <c:pt idx="6">
                  <c:v>381073</c:v>
                </c:pt>
                <c:pt idx="7">
                  <c:v>416410</c:v>
                </c:pt>
                <c:pt idx="8">
                  <c:v>429944</c:v>
                </c:pt>
                <c:pt idx="9">
                  <c:v>442431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12A-4AF3-BE97-8345076AE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1744"/>
        <c:axId val="91898624"/>
      </c:lineChart>
      <c:catAx>
        <c:axId val="8043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년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7.0208606724498024E-2"/>
              <c:y val="0.937771414936769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91898624"/>
        <c:crosses val="autoZero"/>
        <c:auto val="1"/>
        <c:lblAlgn val="ctr"/>
        <c:lblOffset val="100"/>
        <c:noMultiLvlLbl val="0"/>
      </c:catAx>
      <c:valAx>
        <c:axId val="91898624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804317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900"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683340348064897E-2"/>
          <c:y val="3.5087719298245612E-2"/>
          <c:w val="0.92496585877870641"/>
          <c:h val="0.8941044091976541"/>
        </c:manualLayout>
      </c:layout>
      <c:lineChart>
        <c:grouping val="standard"/>
        <c:varyColors val="0"/>
        <c:ser>
          <c:idx val="0"/>
          <c:order val="0"/>
          <c:tx>
            <c:strRef>
              <c:f>'1'!$B$75</c:f>
              <c:strCache>
                <c:ptCount val="1"/>
                <c:pt idx="0">
                  <c:v>제1심</c:v>
                </c:pt>
              </c:strCache>
            </c:strRef>
          </c:tx>
          <c:cat>
            <c:strRef>
              <c:f>'1'!$A$78:$A$87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'1'!$B$78:$B$87</c:f>
              <c:numCache>
                <c:formatCode>_(* #,##0_);_(* \(#,##0\);_(* "-"_);_(@_)</c:formatCode>
                <c:ptCount val="10"/>
                <c:pt idx="0">
                  <c:v>4694</c:v>
                </c:pt>
                <c:pt idx="1">
                  <c:v>4730</c:v>
                </c:pt>
                <c:pt idx="2">
                  <c:v>4468</c:v>
                </c:pt>
                <c:pt idx="3">
                  <c:v>4497</c:v>
                </c:pt>
                <c:pt idx="4">
                  <c:v>5221</c:v>
                </c:pt>
                <c:pt idx="5">
                  <c:v>5630</c:v>
                </c:pt>
                <c:pt idx="6">
                  <c:v>5339</c:v>
                </c:pt>
                <c:pt idx="7">
                  <c:v>5741</c:v>
                </c:pt>
                <c:pt idx="8">
                  <c:v>5854</c:v>
                </c:pt>
                <c:pt idx="9">
                  <c:v>6382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CC-48EE-84D1-49F87948AD23}"/>
            </c:ext>
          </c:extLst>
        </c:ser>
        <c:ser>
          <c:idx val="1"/>
          <c:order val="1"/>
          <c:tx>
            <c:strRef>
              <c:f>'1'!$C$75</c:f>
              <c:strCache>
                <c:ptCount val="1"/>
                <c:pt idx="0">
                  <c:v>항소심</c:v>
                </c:pt>
              </c:strCache>
            </c:strRef>
          </c:tx>
          <c:cat>
            <c:strRef>
              <c:f>'1'!$A$78:$A$87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'1'!$C$78:$C$87</c:f>
              <c:numCache>
                <c:formatCode>_(* #,##0_);_(* \(#,##0\);_(* "-"_);_(@_)</c:formatCode>
                <c:ptCount val="10"/>
                <c:pt idx="0">
                  <c:v>1690</c:v>
                </c:pt>
                <c:pt idx="1">
                  <c:v>1789</c:v>
                </c:pt>
                <c:pt idx="2">
                  <c:v>1669</c:v>
                </c:pt>
                <c:pt idx="3">
                  <c:v>1691</c:v>
                </c:pt>
                <c:pt idx="4">
                  <c:v>1742</c:v>
                </c:pt>
                <c:pt idx="5">
                  <c:v>1934</c:v>
                </c:pt>
                <c:pt idx="6">
                  <c:v>2095</c:v>
                </c:pt>
                <c:pt idx="7">
                  <c:v>2226</c:v>
                </c:pt>
                <c:pt idx="8">
                  <c:v>2420</c:v>
                </c:pt>
                <c:pt idx="9">
                  <c:v>2674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BCC-48EE-84D1-49F87948AD23}"/>
            </c:ext>
          </c:extLst>
        </c:ser>
        <c:ser>
          <c:idx val="2"/>
          <c:order val="2"/>
          <c:tx>
            <c:strRef>
              <c:f>'1'!$D$75</c:f>
              <c:strCache>
                <c:ptCount val="1"/>
                <c:pt idx="0">
                  <c:v>상고심</c:v>
                </c:pt>
              </c:strCache>
            </c:strRef>
          </c:tx>
          <c:cat>
            <c:strRef>
              <c:f>'1'!$A$78:$A$87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'1'!$D$78:$D$87</c:f>
              <c:numCache>
                <c:formatCode>_(* #,##0_);_(* \(#,##0\);_(* "-"_);_(@_)</c:formatCode>
                <c:ptCount val="10"/>
                <c:pt idx="0">
                  <c:v>309</c:v>
                </c:pt>
                <c:pt idx="1">
                  <c:v>438</c:v>
                </c:pt>
                <c:pt idx="2">
                  <c:v>360</c:v>
                </c:pt>
                <c:pt idx="3">
                  <c:v>370</c:v>
                </c:pt>
                <c:pt idx="4">
                  <c:v>349</c:v>
                </c:pt>
                <c:pt idx="5">
                  <c:v>409</c:v>
                </c:pt>
                <c:pt idx="6">
                  <c:v>409</c:v>
                </c:pt>
                <c:pt idx="7">
                  <c:v>437</c:v>
                </c:pt>
                <c:pt idx="8">
                  <c:v>476</c:v>
                </c:pt>
                <c:pt idx="9">
                  <c:v>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BCC-48EE-84D1-49F87948A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1744"/>
        <c:axId val="91898624"/>
      </c:lineChart>
      <c:catAx>
        <c:axId val="8043174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년</a:t>
                </a:r>
                <a:r>
                  <a:rPr lang="en-US"/>
                  <a:t>)</a:t>
                </a:r>
                <a:endParaRPr lang="ko-KR"/>
              </a:p>
            </c:rich>
          </c:tx>
          <c:layout>
            <c:manualLayout>
              <c:xMode val="edge"/>
              <c:yMode val="edge"/>
              <c:x val="5.534424229429008E-2"/>
              <c:y val="0.937771414936769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91898624"/>
        <c:crosses val="autoZero"/>
        <c:auto val="1"/>
        <c:lblAlgn val="ctr"/>
        <c:lblOffset val="100"/>
        <c:noMultiLvlLbl val="0"/>
      </c:catAx>
      <c:valAx>
        <c:axId val="91898624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804317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900"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767719891791E-2"/>
          <c:y val="4.8959027777777775E-2"/>
          <c:w val="0.90072322801082105"/>
          <c:h val="0.84938958333333336"/>
        </c:manualLayout>
      </c:layout>
      <c:lineChart>
        <c:grouping val="standard"/>
        <c:varyColors val="0"/>
        <c:ser>
          <c:idx val="0"/>
          <c:order val="0"/>
          <c:tx>
            <c:strRef>
              <c:f>'2'!$C$18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'2'!$A$19:$A$28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'2'!$C$19:$C$28</c:f>
              <c:numCache>
                <c:formatCode>_(* #,##0_);_(* \(#,##0\);_(* "-"_);_(@_)</c:formatCode>
                <c:ptCount val="10"/>
                <c:pt idx="0">
                  <c:v>10520</c:v>
                </c:pt>
                <c:pt idx="1">
                  <c:v>10917</c:v>
                </c:pt>
                <c:pt idx="2">
                  <c:v>10228</c:v>
                </c:pt>
                <c:pt idx="3">
                  <c:v>9729</c:v>
                </c:pt>
                <c:pt idx="4">
                  <c:v>9351</c:v>
                </c:pt>
                <c:pt idx="5">
                  <c:v>8472</c:v>
                </c:pt>
                <c:pt idx="6">
                  <c:v>8901</c:v>
                </c:pt>
                <c:pt idx="7">
                  <c:v>10059</c:v>
                </c:pt>
                <c:pt idx="8">
                  <c:v>12268</c:v>
                </c:pt>
                <c:pt idx="9">
                  <c:v>12570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4-44FD-9FAE-39947951DB8A}"/>
            </c:ext>
          </c:extLst>
        </c:ser>
        <c:ser>
          <c:idx val="1"/>
          <c:order val="1"/>
          <c:tx>
            <c:strRef>
              <c:f>'2'!$D$18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'2'!$A$19:$A$28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'2'!$D$19:$D$28</c:f>
              <c:numCache>
                <c:formatCode>_(* #,##0_);_(* \(#,##0\);_(* "-"_);_(@_)</c:formatCode>
                <c:ptCount val="10"/>
                <c:pt idx="0">
                  <c:v>69169</c:v>
                </c:pt>
                <c:pt idx="1">
                  <c:v>76570</c:v>
                </c:pt>
                <c:pt idx="2">
                  <c:v>73376</c:v>
                </c:pt>
                <c:pt idx="3">
                  <c:v>65523</c:v>
                </c:pt>
                <c:pt idx="4">
                  <c:v>64484</c:v>
                </c:pt>
                <c:pt idx="5">
                  <c:v>63197</c:v>
                </c:pt>
                <c:pt idx="6">
                  <c:v>64384</c:v>
                </c:pt>
                <c:pt idx="7">
                  <c:v>61108</c:v>
                </c:pt>
                <c:pt idx="8">
                  <c:v>67185</c:v>
                </c:pt>
                <c:pt idx="9">
                  <c:v>69592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4-44FD-9FAE-39947951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98464"/>
        <c:axId val="92008832"/>
      </c:lineChart>
      <c:catAx>
        <c:axId val="9199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415255318149171E-2"/>
              <c:y val="0.9105267361111111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0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08832"/>
        <c:scaling>
          <c:orientation val="minMax"/>
          <c:max val="8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6626256116962354E-2"/>
              <c:y val="0.86043055555555559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19984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37637795275591E-2"/>
          <c:y val="4.8959027777777775E-2"/>
          <c:w val="0.90962362204724412"/>
          <c:h val="0.85857822317664834"/>
        </c:manualLayout>
      </c:layout>
      <c:lineChart>
        <c:grouping val="standard"/>
        <c:varyColors val="0"/>
        <c:ser>
          <c:idx val="0"/>
          <c:order val="0"/>
          <c:cat>
            <c:strRef>
              <c:f>'2'!$A$19:$A$28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'2'!$E$19:$E$28</c:f>
              <c:numCache>
                <c:formatCode>_(* #,##0_);_(* \(#,##0\);_(* "-"_);_(@_)</c:formatCode>
                <c:ptCount val="10"/>
                <c:pt idx="0">
                  <c:v>24043</c:v>
                </c:pt>
                <c:pt idx="1">
                  <c:v>25088</c:v>
                </c:pt>
                <c:pt idx="2">
                  <c:v>25308</c:v>
                </c:pt>
                <c:pt idx="3">
                  <c:v>23975</c:v>
                </c:pt>
                <c:pt idx="4">
                  <c:v>21795</c:v>
                </c:pt>
                <c:pt idx="5">
                  <c:v>20746</c:v>
                </c:pt>
                <c:pt idx="6">
                  <c:v>19929</c:v>
                </c:pt>
                <c:pt idx="7">
                  <c:v>19179</c:v>
                </c:pt>
                <c:pt idx="8">
                  <c:v>21102</c:v>
                </c:pt>
                <c:pt idx="9">
                  <c:v>24889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0-4FA4-9EF1-67E7DF160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37504"/>
        <c:axId val="92039424"/>
      </c:lineChart>
      <c:catAx>
        <c:axId val="9203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7.0572703412073487E-2"/>
              <c:y val="0.9159780481985206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39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394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497217847769029E-2"/>
              <c:y val="0.86918380656963334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375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15971128608924"/>
          <c:y val="4.8959027777777775E-2"/>
          <c:w val="0.89784028871391075"/>
          <c:h val="0.86194352978604949"/>
        </c:manualLayout>
      </c:layout>
      <c:lineChart>
        <c:grouping val="standard"/>
        <c:varyColors val="0"/>
        <c:ser>
          <c:idx val="0"/>
          <c:order val="0"/>
          <c:cat>
            <c:strRef>
              <c:f>'2'!$A$19:$A$28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'2'!$B$19:$B$28</c:f>
              <c:numCache>
                <c:formatCode>_(* #,##0_);_(* \(#,##0\);_(* "-"_);_(@_)</c:formatCode>
                <c:ptCount val="10"/>
                <c:pt idx="0">
                  <c:v>259424</c:v>
                </c:pt>
                <c:pt idx="1">
                  <c:v>276074</c:v>
                </c:pt>
                <c:pt idx="2">
                  <c:v>262612</c:v>
                </c:pt>
                <c:pt idx="3">
                  <c:v>240244</c:v>
                </c:pt>
                <c:pt idx="4">
                  <c:v>247063</c:v>
                </c:pt>
                <c:pt idx="5">
                  <c:v>260154</c:v>
                </c:pt>
                <c:pt idx="6">
                  <c:v>226328</c:v>
                </c:pt>
                <c:pt idx="7">
                  <c:v>219908</c:v>
                </c:pt>
                <c:pt idx="8">
                  <c:v>236981</c:v>
                </c:pt>
                <c:pt idx="9">
                  <c:v>239981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B-49A6-9516-D4B606589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88576"/>
        <c:axId val="92090752"/>
      </c:lineChart>
      <c:catAx>
        <c:axId val="9208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459908136482939E-2"/>
              <c:y val="0.914567088204883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2090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090752"/>
        <c:scaling>
          <c:orientation val="minMax"/>
          <c:min val="10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        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0285693188607175E-2"/>
              <c:y val="0.86484027777777783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0885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5.2946286643747134E-2"/>
          <c:w val="0.97341151842424534"/>
          <c:h val="0.8078873239436615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'6'!$A$41</c:f>
              <c:strCache>
                <c:ptCount val="1"/>
                <c:pt idx="0">
                  <c:v>파기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9.2024539877300623E-2"/>
                  <c:y val="-9.211153483863288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362</a:t>
                    </a:r>
                  </a:p>
                  <a:p>
                    <a:r>
                      <a:rPr lang="en-US" altLang="ko-KR"/>
                      <a:t>(6.1%)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80-4CC5-9014-BD174E80AB6F}"/>
                </c:ext>
              </c:extLst>
            </c:dLbl>
            <c:dLbl>
              <c:idx val="1"/>
              <c:layout>
                <c:manualLayout>
                  <c:x val="0.11042944785276081"/>
                  <c:y val="6.998783688624377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en-US" altLang="ko-KR"/>
                      <a:t>5,446</a:t>
                    </a:r>
                  </a:p>
                  <a:p>
                    <a:r>
                      <a:rPr lang="en-US" altLang="ko-KR"/>
                      <a:t>(45.6%)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80-4CC5-9014-BD174E80AB6F}"/>
                </c:ext>
              </c:extLst>
            </c:dLbl>
            <c:dLbl>
              <c:idx val="2"/>
              <c:layout>
                <c:manualLayout>
                  <c:x val="0.10429447852760827"/>
                  <c:y val="1.1993013068488503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파기</a:t>
                    </a:r>
                  </a:p>
                  <a:p>
                    <a:r>
                      <a:rPr lang="en-US" altLang="ko-KR"/>
                      <a:t>24.538 </a:t>
                    </a:r>
                  </a:p>
                  <a:p>
                    <a:r>
                      <a:rPr lang="en-US" altLang="ko-KR"/>
                      <a:t>(39.4%)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'6'!$B$39:$D$39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'6'!$B$41:$D$41</c:f>
              <c:numCache>
                <c:formatCode>_(* #,##0_);_(* \(#,##0\);_(* "-"_);_(@_)</c:formatCode>
                <c:ptCount val="3"/>
                <c:pt idx="0">
                  <c:v>362</c:v>
                </c:pt>
                <c:pt idx="1">
                  <c:v>5446</c:v>
                </c:pt>
                <c:pt idx="2">
                  <c:v>24538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80-4CC5-9014-BD174E80AB6F}"/>
            </c:ext>
          </c:extLst>
        </c:ser>
        <c:ser>
          <c:idx val="1"/>
          <c:order val="1"/>
          <c:tx>
            <c:strRef>
              <c:f>'6'!$A$40</c:f>
              <c:strCache>
                <c:ptCount val="1"/>
                <c:pt idx="0">
                  <c:v>기각</c:v>
                </c:pt>
              </c:strCache>
            </c:strRef>
          </c:tx>
          <c:spPr>
            <a:gradFill>
              <a:gsLst>
                <a:gs pos="0">
                  <a:srgbClr val="4F81BD">
                    <a:tint val="66000"/>
                    <a:satMod val="160000"/>
                  </a:srgbClr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</c:spPr>
          <c:invertIfNegative val="0"/>
          <c:dLbls>
            <c:dLbl>
              <c:idx val="0"/>
              <c:layout>
                <c:manualLayout>
                  <c:x val="0.10224948875255624"/>
                  <c:y val="-7.8977932636469225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en-US" altLang="ko-KR"/>
                      <a:t>5,572</a:t>
                    </a:r>
                  </a:p>
                  <a:p>
                    <a:r>
                      <a:rPr lang="en-US" altLang="ko-KR"/>
                      <a:t>(93.9%) 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80-4CC5-9014-BD174E80AB6F}"/>
                </c:ext>
              </c:extLst>
            </c:dLbl>
            <c:dLbl>
              <c:idx val="1"/>
              <c:layout>
                <c:manualLayout>
                  <c:x val="0.10838445807770969"/>
                  <c:y val="2.1292824097037511E-17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6,493</a:t>
                    </a:r>
                  </a:p>
                  <a:p>
                    <a:r>
                      <a:rPr lang="en-US" altLang="ko-KR"/>
                      <a:t>(54.4%)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80-4CC5-9014-BD174E80AB6F}"/>
                </c:ext>
              </c:extLst>
            </c:dLbl>
            <c:dLbl>
              <c:idx val="2"/>
              <c:layout>
                <c:manualLayout>
                  <c:x val="0.10224948875255624"/>
                  <c:y val="-2.787456445993041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기각</a:t>
                    </a:r>
                  </a:p>
                  <a:p>
                    <a:r>
                      <a:rPr lang="ko-KR" altLang="en-US"/>
                      <a:t> </a:t>
                    </a:r>
                    <a:r>
                      <a:rPr lang="en-US" altLang="ko-KR"/>
                      <a:t>37,739</a:t>
                    </a:r>
                  </a:p>
                  <a:p>
                    <a:r>
                      <a:rPr lang="en-US" altLang="ko-KR"/>
                      <a:t>(60.6%)</a:t>
                    </a:r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80-4CC5-9014-BD174E80AB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'6'!$B$39:$D$39</c:f>
              <c:strCache>
                <c:ptCount val="3"/>
                <c:pt idx="0">
                  <c:v>상고심</c:v>
                </c:pt>
                <c:pt idx="1">
                  <c:v>고등법원</c:v>
                </c:pt>
                <c:pt idx="2">
                  <c:v>지방법원</c:v>
                </c:pt>
              </c:strCache>
            </c:strRef>
          </c:cat>
          <c:val>
            <c:numRef>
              <c:f>'6'!$B$40:$D$40</c:f>
              <c:numCache>
                <c:formatCode>_(* #,##0_);_(* \(#,##0\);_(* "-"_);_(@_)</c:formatCode>
                <c:ptCount val="3"/>
                <c:pt idx="0">
                  <c:v>5572</c:v>
                </c:pt>
                <c:pt idx="1">
                  <c:v>6493</c:v>
                </c:pt>
                <c:pt idx="2">
                  <c:v>37739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80-4CC5-9014-BD174E80AB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4"/>
        <c:overlap val="100"/>
        <c:axId val="92641152"/>
        <c:axId val="92642688"/>
      </c:barChart>
      <c:catAx>
        <c:axId val="9264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2642688"/>
        <c:crosses val="autoZero"/>
        <c:auto val="1"/>
        <c:lblAlgn val="ctr"/>
        <c:lblOffset val="100"/>
        <c:noMultiLvlLbl val="0"/>
      </c:catAx>
      <c:valAx>
        <c:axId val="92642688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one"/>
        <c:crossAx val="926411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33918586263674"/>
          <c:y val="4.9017746953816201E-2"/>
          <c:w val="0.88566081413736331"/>
          <c:h val="0.86245398133180373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cat>
            <c:strRef>
              <c:f>'7'!$A$35:$A$39</c:f>
              <c:strCache>
                <c:ptCount val="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</c:strCache>
            </c:strRef>
          </c:cat>
          <c:val>
            <c:numRef>
              <c:f>'7'!$B$35:$B$39</c:f>
              <c:numCache>
                <c:formatCode>_(* #,##0_);_(* \(#,##0\);_(* "-"_);_(@_)</c:formatCode>
                <c:ptCount val="5"/>
                <c:pt idx="0">
                  <c:v>9340</c:v>
                </c:pt>
                <c:pt idx="1">
                  <c:v>6847</c:v>
                </c:pt>
                <c:pt idx="2">
                  <c:v>5631</c:v>
                </c:pt>
                <c:pt idx="3">
                  <c:v>3114</c:v>
                </c:pt>
                <c:pt idx="4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1B-44ED-90AD-05FE6364F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2775936"/>
        <c:axId val="92777856"/>
      </c:barChart>
      <c:catAx>
        <c:axId val="9277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1598783847671215"/>
              <c:y val="0.90764526950687452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2777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777856"/>
        <c:scaling>
          <c:orientation val="minMax"/>
          <c:max val="1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4318807975090068E-2"/>
              <c:y val="0.85886356920616713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2775936"/>
        <c:crosses val="autoZero"/>
        <c:crossBetween val="between"/>
        <c:majorUnit val="500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5425925925923"/>
          <c:y val="3.4303300125290419E-2"/>
          <c:w val="0.8843457407407409"/>
          <c:h val="0.89465258888093535"/>
        </c:manualLayout>
      </c:layout>
      <c:lineChart>
        <c:grouping val="standard"/>
        <c:varyColors val="0"/>
        <c:ser>
          <c:idx val="0"/>
          <c:order val="0"/>
          <c:tx>
            <c:strRef>
              <c:f>'8'!$B$21</c:f>
              <c:strCache>
                <c:ptCount val="1"/>
                <c:pt idx="0">
                  <c:v>합의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'8'!$B$22:$B$31</c:f>
              <c:numCache>
                <c:formatCode>_-* #,##0.0_-;\-* #,##0.0_-;_-* "-"_-;_-@_-</c:formatCode>
                <c:ptCount val="10"/>
                <c:pt idx="0">
                  <c:v>68.099999999999994</c:v>
                </c:pt>
                <c:pt idx="1">
                  <c:v>67</c:v>
                </c:pt>
                <c:pt idx="2">
                  <c:v>65.099999999999994</c:v>
                </c:pt>
                <c:pt idx="3">
                  <c:v>65.496817049543324</c:v>
                </c:pt>
                <c:pt idx="4">
                  <c:v>65.734552702544264</c:v>
                </c:pt>
                <c:pt idx="5">
                  <c:v>67.47323747387091</c:v>
                </c:pt>
                <c:pt idx="6">
                  <c:v>65.06330611761922</c:v>
                </c:pt>
                <c:pt idx="7">
                  <c:v>62.369917390837891</c:v>
                </c:pt>
                <c:pt idx="8">
                  <c:v>66.927132366785912</c:v>
                </c:pt>
                <c:pt idx="9">
                  <c:v>67.66924251538569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8-4C41-82D1-C62B21F51422}"/>
            </c:ext>
          </c:extLst>
        </c:ser>
        <c:ser>
          <c:idx val="1"/>
          <c:order val="1"/>
          <c:tx>
            <c:strRef>
              <c:f>'8'!$C$21</c:f>
              <c:strCache>
                <c:ptCount val="1"/>
                <c:pt idx="0">
                  <c:v>단독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'8'!$C$22:$C$31</c:f>
              <c:numCache>
                <c:formatCode>_-* #,##0.0_-;\-* #,##0.0_-;_-* "-"_-;_-@_-</c:formatCode>
                <c:ptCount val="10"/>
                <c:pt idx="0">
                  <c:v>38.700000000000003</c:v>
                </c:pt>
                <c:pt idx="1">
                  <c:v>40.9</c:v>
                </c:pt>
                <c:pt idx="2">
                  <c:v>39.200000000000003</c:v>
                </c:pt>
                <c:pt idx="3">
                  <c:v>39.807876946223367</c:v>
                </c:pt>
                <c:pt idx="4">
                  <c:v>40.781923237297221</c:v>
                </c:pt>
                <c:pt idx="5">
                  <c:v>39.697265394823063</c:v>
                </c:pt>
                <c:pt idx="6">
                  <c:v>42.341359927830041</c:v>
                </c:pt>
                <c:pt idx="7">
                  <c:v>42.501207196993555</c:v>
                </c:pt>
                <c:pt idx="8">
                  <c:v>46.047953276294891</c:v>
                </c:pt>
                <c:pt idx="9">
                  <c:v>46.65006849350744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88-4C41-82D1-C62B21F51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13280"/>
        <c:axId val="93335936"/>
      </c:lineChart>
      <c:catAx>
        <c:axId val="9331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10073296296296297"/>
              <c:y val="0.93576640419947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3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35936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4685185185185182E-2"/>
              <c:y val="0.9079250775471247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132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5425925925923"/>
          <c:y val="3.4303300125290419E-2"/>
          <c:w val="0.8843457407407409"/>
          <c:h val="0.89465258888093535"/>
        </c:manualLayout>
      </c:layout>
      <c:lineChart>
        <c:grouping val="standard"/>
        <c:varyColors val="0"/>
        <c:ser>
          <c:idx val="0"/>
          <c:order val="0"/>
          <c:tx>
            <c:strRef>
              <c:f>'8'!$D$21</c:f>
              <c:strCache>
                <c:ptCount val="1"/>
                <c:pt idx="0">
                  <c:v>고등법원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'8'!$D$22:$D$31</c:f>
              <c:numCache>
                <c:formatCode>_-* #,##0.0_-;\-* #,##0.0_-;_-* "-"_-;_-@_-</c:formatCode>
                <c:ptCount val="10"/>
                <c:pt idx="0">
                  <c:v>41.8</c:v>
                </c:pt>
                <c:pt idx="1">
                  <c:v>40.799999999999997</c:v>
                </c:pt>
                <c:pt idx="2">
                  <c:v>41.2</c:v>
                </c:pt>
                <c:pt idx="3">
                  <c:v>41.344331735592462</c:v>
                </c:pt>
                <c:pt idx="4">
                  <c:v>40.667998224589432</c:v>
                </c:pt>
                <c:pt idx="5">
                  <c:v>46.322628095121352</c:v>
                </c:pt>
                <c:pt idx="6">
                  <c:v>42.234557694578953</c:v>
                </c:pt>
                <c:pt idx="7">
                  <c:v>38.881916714204223</c:v>
                </c:pt>
                <c:pt idx="8">
                  <c:v>39.792418772563174</c:v>
                </c:pt>
                <c:pt idx="9">
                  <c:v>41.54451796632884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C-4D5C-BA98-408E77D2257E}"/>
            </c:ext>
          </c:extLst>
        </c:ser>
        <c:ser>
          <c:idx val="1"/>
          <c:order val="1"/>
          <c:tx>
            <c:strRef>
              <c:f>'8'!$E$21</c:f>
              <c:strCache>
                <c:ptCount val="1"/>
                <c:pt idx="0">
                  <c:v>지방법원</c:v>
                </c:pt>
              </c:strCache>
            </c:strRef>
          </c:tx>
          <c:cat>
            <c:strRef>
              <c:f>'8'!$A$22:$A$31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'8'!$E$22:$E$31</c:f>
              <c:numCache>
                <c:formatCode>_-* #,##0.0_-;\-* #,##0.0_-;_-* "-"_-;_-@_-</c:formatCode>
                <c:ptCount val="10"/>
                <c:pt idx="0">
                  <c:v>33.200000000000003</c:v>
                </c:pt>
                <c:pt idx="1">
                  <c:v>32.700000000000003</c:v>
                </c:pt>
                <c:pt idx="2">
                  <c:v>31.2</c:v>
                </c:pt>
                <c:pt idx="3">
                  <c:v>33.482883860047004</c:v>
                </c:pt>
                <c:pt idx="4">
                  <c:v>33.603931561703675</c:v>
                </c:pt>
                <c:pt idx="5">
                  <c:v>32.001387950399035</c:v>
                </c:pt>
                <c:pt idx="6">
                  <c:v>30.961261494146758</c:v>
                </c:pt>
                <c:pt idx="7">
                  <c:v>30.188679245283019</c:v>
                </c:pt>
                <c:pt idx="8">
                  <c:v>31.292850146914791</c:v>
                </c:pt>
                <c:pt idx="9">
                  <c:v>31.563819708720715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C-4D5C-BA98-408E77D22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79200"/>
        <c:axId val="93389568"/>
      </c:lineChart>
      <c:catAx>
        <c:axId val="9337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9.1325555555555549E-2"/>
              <c:y val="0.9359444046766883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3389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389568"/>
        <c:scaling>
          <c:orientation val="minMax"/>
          <c:min val="1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7037037037037037E-2"/>
              <c:y val="0.9078656645192078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3792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4.0000000000000022E-2" l="0.49000000000000032" r="0.16" t="0.56999999999999995" header="0.5" footer="0.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01435185185181"/>
          <c:y val="3.012863247863248E-2"/>
          <c:w val="0.86698564814814805"/>
          <c:h val="0.822737179487179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'10'!$A$32</c:f>
              <c:strCache>
                <c:ptCount val="1"/>
                <c:pt idx="0">
                  <c:v>2020년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'10'!$B$32:$C$32</c:f>
              <c:numCache>
                <c:formatCode>_-* #,##0.0_-;\-* #,##0.0_-;_-* "-"_-;_-@_-</c:formatCode>
                <c:ptCount val="2"/>
                <c:pt idx="0">
                  <c:v>155.39362494606283</c:v>
                </c:pt>
                <c:pt idx="1">
                  <c:v>176.5835496335815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9-47AB-BDBC-7D1D291E5FE6}"/>
            </c:ext>
          </c:extLst>
        </c:ser>
        <c:ser>
          <c:idx val="2"/>
          <c:order val="1"/>
          <c:tx>
            <c:strRef>
              <c:f>'10'!$A$33</c:f>
              <c:strCache>
                <c:ptCount val="1"/>
                <c:pt idx="0">
                  <c:v>2021년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'10'!$B$33:$C$33</c:f>
              <c:numCache>
                <c:formatCode>_-* #,##0.0_-;\-* #,##0.0_-;_-* "-"_-;_-@_-</c:formatCode>
                <c:ptCount val="2"/>
                <c:pt idx="0">
                  <c:v>173.9401139166097</c:v>
                </c:pt>
                <c:pt idx="1">
                  <c:v>197.75099582463125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59-47AB-BDBC-7D1D291E5FE6}"/>
            </c:ext>
          </c:extLst>
        </c:ser>
        <c:ser>
          <c:idx val="3"/>
          <c:order val="2"/>
          <c:tx>
            <c:strRef>
              <c:f>'10'!$A$34</c:f>
              <c:strCache>
                <c:ptCount val="1"/>
                <c:pt idx="0">
                  <c:v>2022년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'10'!$B$34:$C$34</c:f>
              <c:numCache>
                <c:formatCode>_-* #,##0.0_-;\-* #,##0.0_-;_-* "-"_-;_-@_-</c:formatCode>
                <c:ptCount val="2"/>
                <c:pt idx="0">
                  <c:v>178.12988531282309</c:v>
                </c:pt>
                <c:pt idx="1">
                  <c:v>203.99343782723349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59-47AB-BDBC-7D1D291E5FE6}"/>
            </c:ext>
          </c:extLst>
        </c:ser>
        <c:ser>
          <c:idx val="4"/>
          <c:order val="3"/>
          <c:tx>
            <c:strRef>
              <c:f>'10'!$A$35</c:f>
              <c:strCache>
                <c:ptCount val="1"/>
                <c:pt idx="0">
                  <c:v>2023년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'10'!$B$35:$C$35</c:f>
              <c:numCache>
                <c:formatCode>_-* #,##0.0_-;\-* #,##0.0_-;_-* "-"_-;_-@_-</c:formatCode>
                <c:ptCount val="2"/>
                <c:pt idx="0">
                  <c:v>175.41439569194699</c:v>
                </c:pt>
                <c:pt idx="1">
                  <c:v>208.42611806797899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759-47AB-BDBC-7D1D291E5FE6}"/>
            </c:ext>
          </c:extLst>
        </c:ser>
        <c:ser>
          <c:idx val="0"/>
          <c:order val="4"/>
          <c:tx>
            <c:strRef>
              <c:f>'10'!$A$36</c:f>
              <c:strCache>
                <c:ptCount val="1"/>
                <c:pt idx="0">
                  <c:v>2024년</c:v>
                </c:pt>
              </c:strCache>
            </c:strRef>
          </c:tx>
          <c:invertIfNegative val="0"/>
          <c:cat>
            <c:strRef>
              <c:f>'10'!$B$26:$C$26</c:f>
              <c:strCache>
                <c:ptCount val="2"/>
                <c:pt idx="0">
                  <c:v>단독</c:v>
                </c:pt>
                <c:pt idx="1">
                  <c:v>합의</c:v>
                </c:pt>
              </c:strCache>
            </c:strRef>
          </c:cat>
          <c:val>
            <c:numRef>
              <c:f>'10'!$B$36:$C$36</c:f>
              <c:numCache>
                <c:formatCode>_-* #,##0.0_-;\-* #,##0.0_-;_-* "-"_-;_-@_-</c:formatCode>
                <c:ptCount val="2"/>
                <c:pt idx="0">
                  <c:v>183.82514157937001</c:v>
                </c:pt>
                <c:pt idx="1">
                  <c:v>198.91067634560901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59-47AB-BDBC-7D1D291E5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591808"/>
        <c:axId val="93597696"/>
      </c:barChart>
      <c:catAx>
        <c:axId val="935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597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5976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9976851851851849E-2"/>
              <c:y val="0.8210181623931625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5918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22350721784777"/>
          <c:y val="3.012863247863248E-2"/>
          <c:w val="0.8847764927821522"/>
          <c:h val="0.822737179487179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'10'!$A$32</c:f>
              <c:strCache>
                <c:ptCount val="1"/>
                <c:pt idx="0">
                  <c:v>2020년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'10'!$D$32:$F$32</c:f>
              <c:numCache>
                <c:formatCode>_-* #,##0.0_-;\-* #,##0.0_-;_-* "-"_-;_-@_-</c:formatCode>
                <c:ptCount val="3"/>
                <c:pt idx="0">
                  <c:v>86.970315594950833</c:v>
                </c:pt>
                <c:pt idx="1">
                  <c:v>180.6862794280145</c:v>
                </c:pt>
                <c:pt idx="2">
                  <c:v>157.63536660601142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E-4C53-B0E5-22910D32AFE2}"/>
            </c:ext>
          </c:extLst>
        </c:ser>
        <c:ser>
          <c:idx val="2"/>
          <c:order val="1"/>
          <c:tx>
            <c:strRef>
              <c:f>'10'!$A$33</c:f>
              <c:strCache>
                <c:ptCount val="1"/>
                <c:pt idx="0">
                  <c:v>2021년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'10'!$D$33:$F$33</c:f>
              <c:numCache>
                <c:formatCode>_-* #,##0.0_-;\-* #,##0.0_-;_-* "-"_-;_-@_-</c:formatCode>
                <c:ptCount val="3"/>
                <c:pt idx="0">
                  <c:v>90.359079330508393</c:v>
                </c:pt>
                <c:pt idx="1">
                  <c:v>189.82721017889355</c:v>
                </c:pt>
                <c:pt idx="2">
                  <c:v>161.92172464463169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E-4C53-B0E5-22910D32AFE2}"/>
            </c:ext>
          </c:extLst>
        </c:ser>
        <c:ser>
          <c:idx val="3"/>
          <c:order val="2"/>
          <c:tx>
            <c:strRef>
              <c:f>'10'!$A$34</c:f>
              <c:strCache>
                <c:ptCount val="1"/>
                <c:pt idx="0">
                  <c:v>2022년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'10'!$D$34:$F$34</c:f>
              <c:numCache>
                <c:formatCode>_-* #,##0.0_-;\-* #,##0.0_-;_-* "-"_-;_-@_-</c:formatCode>
                <c:ptCount val="3"/>
                <c:pt idx="0">
                  <c:v>78.168710203652097</c:v>
                </c:pt>
                <c:pt idx="1">
                  <c:v>216.57367580998101</c:v>
                </c:pt>
                <c:pt idx="2">
                  <c:v>155.748421510995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6E-4C53-B0E5-22910D32AFE2}"/>
            </c:ext>
          </c:extLst>
        </c:ser>
        <c:ser>
          <c:idx val="4"/>
          <c:order val="3"/>
          <c:tx>
            <c:strRef>
              <c:f>'10'!$A$35</c:f>
              <c:strCache>
                <c:ptCount val="1"/>
                <c:pt idx="0">
                  <c:v>2023년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'10'!$D$35:$F$35</c:f>
              <c:numCache>
                <c:formatCode>_-* #,##0.0_-;\-* #,##0.0_-;_-* "-"_-;_-@_-</c:formatCode>
                <c:ptCount val="3"/>
                <c:pt idx="0">
                  <c:v>75.309981338578694</c:v>
                </c:pt>
                <c:pt idx="1">
                  <c:v>223.98280000635901</c:v>
                </c:pt>
                <c:pt idx="2">
                  <c:v>160.059826086957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86E-4C53-B0E5-22910D32AFE2}"/>
            </c:ext>
          </c:extLst>
        </c:ser>
        <c:ser>
          <c:idx val="0"/>
          <c:order val="4"/>
          <c:tx>
            <c:strRef>
              <c:f>'10'!$A$36</c:f>
              <c:strCache>
                <c:ptCount val="1"/>
                <c:pt idx="0">
                  <c:v>2024년</c:v>
                </c:pt>
              </c:strCache>
            </c:strRef>
          </c:tx>
          <c:invertIfNegative val="0"/>
          <c:cat>
            <c:strRef>
              <c:f>'10'!$D$26:$F$26</c:f>
              <c:strCache>
                <c:ptCount val="3"/>
                <c:pt idx="0">
                  <c:v>상고심</c:v>
                </c:pt>
                <c:pt idx="1">
                  <c:v>항소심(지법)</c:v>
                </c:pt>
                <c:pt idx="2">
                  <c:v>항소심(고법)</c:v>
                </c:pt>
              </c:strCache>
            </c:strRef>
          </c:cat>
          <c:val>
            <c:numRef>
              <c:f>'10'!$D$36:$F$36</c:f>
              <c:numCache>
                <c:formatCode>_-* #,##0.0_-;\-* #,##0.0_-;_-* "-"_-;_-@_-</c:formatCode>
                <c:ptCount val="3"/>
                <c:pt idx="0">
                  <c:v>73.838753851420705</c:v>
                </c:pt>
                <c:pt idx="1">
                  <c:v>224.96321990486601</c:v>
                </c:pt>
                <c:pt idx="2">
                  <c:v>163.54734448595099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6E-4C53-B0E5-22910D32A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683072"/>
        <c:axId val="93709440"/>
      </c:barChart>
      <c:catAx>
        <c:axId val="936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3709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7094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일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0729166666666664E-2"/>
              <c:y val="0.8210181623931625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36830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822346856720654E-2"/>
          <c:y val="4.0557149534390394E-2"/>
          <c:w val="0.90617765314327936"/>
          <c:h val="0.87523589688275272"/>
        </c:manualLayout>
      </c:layout>
      <c:lineChart>
        <c:grouping val="standard"/>
        <c:varyColors val="0"/>
        <c:ser>
          <c:idx val="0"/>
          <c:order val="0"/>
          <c:cat>
            <c:strRef>
              <c:f>'18'!$A$33:$A$37</c:f>
              <c:strCache>
                <c:ptCount val="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</c:strCache>
            </c:strRef>
          </c:cat>
          <c:val>
            <c:numRef>
              <c:f>'18'!$B$33:$B$37</c:f>
              <c:numCache>
                <c:formatCode>_-* #,##0.0_-;\-* #,##0.0_-;_-* "-"_-;_-@_-</c:formatCode>
                <c:ptCount val="5"/>
                <c:pt idx="0">
                  <c:v>82.014974589750551</c:v>
                </c:pt>
                <c:pt idx="1">
                  <c:v>82.017464071311636</c:v>
                </c:pt>
                <c:pt idx="2">
                  <c:v>81.381142098273571</c:v>
                </c:pt>
                <c:pt idx="3">
                  <c:v>79.480054811205846</c:v>
                </c:pt>
                <c:pt idx="4">
                  <c:v>76.885644768856437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E-40B9-B711-461331B07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73216"/>
        <c:axId val="94075136"/>
      </c:lineChart>
      <c:catAx>
        <c:axId val="9407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8.8943314434062767E-2"/>
              <c:y val="0.925881278538812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940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075136"/>
        <c:scaling>
          <c:orientation val="minMax"/>
          <c:max val="100"/>
          <c:min val="5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9030585795749093E-2"/>
              <c:y val="0.89188278862402459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073216"/>
        <c:crosses val="autoZero"/>
        <c:crossBetween val="between"/>
        <c:majorUnit val="1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943551927803906E-2"/>
          <c:y val="3.9687291099336441E-2"/>
          <c:w val="0.93405644807219601"/>
          <c:h val="0.8886356631694496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'19'!$A$11:$A$20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'19'!$B$11:$B$20</c:f>
              <c:numCache>
                <c:formatCode>_(* #,##0_);_(* \(#,##0\);_(* "-"_);_(@_)</c:formatCode>
                <c:ptCount val="10"/>
                <c:pt idx="0">
                  <c:v>73743</c:v>
                </c:pt>
                <c:pt idx="1">
                  <c:v>71293</c:v>
                </c:pt>
                <c:pt idx="2">
                  <c:v>64886</c:v>
                </c:pt>
                <c:pt idx="3">
                  <c:v>59197</c:v>
                </c:pt>
                <c:pt idx="4">
                  <c:v>62362</c:v>
                </c:pt>
                <c:pt idx="5">
                  <c:v>73012</c:v>
                </c:pt>
                <c:pt idx="6">
                  <c:v>86252</c:v>
                </c:pt>
                <c:pt idx="7">
                  <c:v>100856</c:v>
                </c:pt>
                <c:pt idx="8">
                  <c:v>113508</c:v>
                </c:pt>
                <c:pt idx="9">
                  <c:v>113490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0-4B5F-A596-B99B13125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4166016"/>
        <c:axId val="94180480"/>
      </c:barChart>
      <c:catAx>
        <c:axId val="9416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8676255211688289E-2"/>
              <c:y val="0.92674252179603567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18048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94180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천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0541022115825265E-2"/>
              <c:y val="0.88887096887687966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solidFill>
            <a:schemeClr val="bg1"/>
          </a:solidFill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166016"/>
        <c:crosses val="autoZero"/>
        <c:crossBetween val="between"/>
        <c:dispUnits>
          <c:builtInUnit val="thousands"/>
        </c:dispUnits>
      </c:valAx>
    </c:plotArea>
    <c:plotVisOnly val="1"/>
    <c:dispBlanksAs val="zero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dLbls>
            <c:dLbl>
              <c:idx val="9"/>
              <c:layout>
                <c:manualLayout>
                  <c:x val="-7.1169602511026456E-2"/>
                  <c:y val="2.63781638555234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E5-4132-ACC4-88007BB415E3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'20_수정전'!$J$26:$J$35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'20_수정전'!$K$26:$K$35</c:f>
              <c:numCache>
                <c:formatCode>_(* #,##0_);_(* \(#,##0\);_(* "-"_);_(@_)</c:formatCode>
                <c:ptCount val="10"/>
                <c:pt idx="0">
                  <c:v>4725</c:v>
                </c:pt>
                <c:pt idx="1">
                  <c:v>5479</c:v>
                </c:pt>
                <c:pt idx="2">
                  <c:v>7291</c:v>
                </c:pt>
                <c:pt idx="3">
                  <c:v>8283</c:v>
                </c:pt>
                <c:pt idx="4">
                  <c:v>7118</c:v>
                </c:pt>
                <c:pt idx="5">
                  <c:v>7555</c:v>
                </c:pt>
                <c:pt idx="6">
                  <c:v>8111</c:v>
                </c:pt>
                <c:pt idx="7">
                  <c:v>8995</c:v>
                </c:pt>
                <c:pt idx="8">
                  <c:v>9891</c:v>
                </c:pt>
                <c:pt idx="9">
                  <c:v>7233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3-47F8-9E34-3A91CF4A672C}"/>
            </c:ext>
          </c:extLst>
        </c:ser>
        <c:ser>
          <c:idx val="1"/>
          <c:order val="1"/>
          <c:dLbls>
            <c:dLbl>
              <c:idx val="9"/>
              <c:layout>
                <c:manualLayout>
                  <c:x val="-3.5087128284222092E-2"/>
                  <c:y val="3.9687291099336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E5-4132-ACC4-88007BB415E3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'20_수정전'!$J$26:$J$35</c:f>
              <c:strCach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strCache>
            </c:strRef>
          </c:cat>
          <c:val>
            <c:numRef>
              <c:f>'20_수정전'!$L$26:$L$35</c:f>
              <c:numCache>
                <c:formatCode>_(* #,##0_);_(* \(#,##0\);_(* "-"_);_(@_)</c:formatCode>
                <c:ptCount val="10"/>
                <c:pt idx="0">
                  <c:v>2641</c:v>
                </c:pt>
                <c:pt idx="1">
                  <c:v>3794</c:v>
                </c:pt>
                <c:pt idx="2">
                  <c:v>4676</c:v>
                </c:pt>
                <c:pt idx="3">
                  <c:v>3967</c:v>
                </c:pt>
                <c:pt idx="4">
                  <c:v>3414</c:v>
                </c:pt>
                <c:pt idx="5">
                  <c:v>3105</c:v>
                </c:pt>
                <c:pt idx="6">
                  <c:v>2796</c:v>
                </c:pt>
                <c:pt idx="7">
                  <c:v>2648</c:v>
                </c:pt>
                <c:pt idx="8">
                  <c:v>2403</c:v>
                </c:pt>
                <c:pt idx="9">
                  <c:v>2210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3-47F8-9E34-3A91CF4A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41312"/>
        <c:axId val="94543232"/>
      </c:lineChart>
      <c:catAx>
        <c:axId val="9454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8.9480883188570504E-2"/>
              <c:y val="0.83453083109920001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94543232"/>
        <c:crosses val="autoZero"/>
        <c:auto val="1"/>
        <c:lblAlgn val="ctr"/>
        <c:lblOffset val="100"/>
        <c:noMultiLvlLbl val="0"/>
      </c:catAx>
      <c:valAx>
        <c:axId val="945432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4.9828178694158065E-2"/>
              <c:y val="0.81413917094143351"/>
            </c:manualLayout>
          </c:layout>
          <c:overlay val="0"/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crossAx val="945413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893243382599985E-2"/>
          <c:y val="5.7284776902887129E-2"/>
          <c:w val="0.93210675661740017"/>
          <c:h val="0.875876377952755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'20'!$B$41</c:f>
              <c:strCache>
                <c:ptCount val="1"/>
                <c:pt idx="0">
                  <c:v>변호인</c:v>
                </c:pt>
              </c:strCache>
            </c:strRef>
          </c:tx>
          <c:invertIfNegative val="0"/>
          <c:cat>
            <c:strRef>
              <c:f>'20'!$A$51:$A$55</c:f>
              <c:strCache>
                <c:ptCount val="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</c:strCache>
            </c:strRef>
          </c:cat>
          <c:val>
            <c:numRef>
              <c:f>'20'!$B$51:$B$55</c:f>
              <c:numCache>
                <c:formatCode>_-* #,##0.0_-;\-* #,##0.0_-;_-* "-"_-;_-@_-</c:formatCode>
                <c:ptCount val="5"/>
                <c:pt idx="0">
                  <c:v>11.096433289299867</c:v>
                </c:pt>
                <c:pt idx="1">
                  <c:v>9.232954545454545</c:v>
                </c:pt>
                <c:pt idx="2">
                  <c:v>12.325285895806863</c:v>
                </c:pt>
                <c:pt idx="3">
                  <c:v>14.13793103448276</c:v>
                </c:pt>
                <c:pt idx="4">
                  <c:v>13.679245283018867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7-4B30-B2C5-5A377FD25290}"/>
            </c:ext>
          </c:extLst>
        </c:ser>
        <c:ser>
          <c:idx val="1"/>
          <c:order val="1"/>
          <c:tx>
            <c:strRef>
              <c:f>'20'!$C$41</c:f>
              <c:strCache>
                <c:ptCount val="1"/>
                <c:pt idx="0">
                  <c:v>비변호인</c:v>
                </c:pt>
              </c:strCache>
            </c:strRef>
          </c:tx>
          <c:invertIfNegative val="0"/>
          <c:cat>
            <c:strRef>
              <c:f>'20'!$A$51:$A$55</c:f>
              <c:strCache>
                <c:ptCount val="5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</c:strCache>
            </c:strRef>
          </c:cat>
          <c:val>
            <c:numRef>
              <c:f>'20'!$C$51:$C$55</c:f>
              <c:numCache>
                <c:formatCode>_-* #,##0.0_-;\-* #,##0.0_-;_-* "-"_-;_-@_-</c:formatCode>
                <c:ptCount val="5"/>
                <c:pt idx="0">
                  <c:v>3.8950042337002539</c:v>
                </c:pt>
                <c:pt idx="1">
                  <c:v>3.2384690873405302</c:v>
                </c:pt>
                <c:pt idx="2">
                  <c:v>3.0185758513931891</c:v>
                </c:pt>
                <c:pt idx="3">
                  <c:v>3.7425149700598799</c:v>
                </c:pt>
                <c:pt idx="4">
                  <c:v>3.9441248972884138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7-4B30-B2C5-5A377FD25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4261632"/>
        <c:axId val="94263552"/>
      </c:barChart>
      <c:catAx>
        <c:axId val="9426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5.4259187183351133E-2"/>
              <c:y val="0.93209028871391064"/>
            </c:manualLayout>
          </c:layout>
          <c:overlay val="0"/>
        </c:title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/>
            </a:pPr>
            <a:endParaRPr lang="ko-KR"/>
          </a:p>
        </c:txPr>
        <c:crossAx val="94263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4263552"/>
        <c:scaling>
          <c:orientation val="minMax"/>
          <c:max val="3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(%)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1968736797634135E-2"/>
              <c:y val="0.90460472440944883"/>
            </c:manualLayout>
          </c:layout>
          <c:overlay val="0"/>
          <c:spPr>
            <a:solidFill>
              <a:schemeClr val="bg1"/>
            </a:solidFill>
          </c:spPr>
        </c:title>
        <c:numFmt formatCode="_-* #,##0.0_-;\-* #,##0.0_-;_-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9426163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86809230595224485"/>
          <c:y val="0.22333333333333341"/>
          <c:w val="9.1867775083247727E-2"/>
          <c:h val="0.1269430446194243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298671428957974E-2"/>
          <c:y val="3.9687291099336441E-2"/>
          <c:w val="0.91370132857104214"/>
          <c:h val="0.8779118025796373"/>
        </c:manualLayout>
      </c:layout>
      <c:lineChart>
        <c:grouping val="standard"/>
        <c:varyColors val="0"/>
        <c:ser>
          <c:idx val="0"/>
          <c:order val="0"/>
          <c:cat>
            <c:strRef>
              <c:f>'21'!$A$22:$A$31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'21'!$B$22:$B$31</c:f>
              <c:numCache>
                <c:formatCode>_(* #,##0_);_(* \(#,##0\);_(* "-"_);_(@_)</c:formatCode>
                <c:ptCount val="10"/>
                <c:pt idx="0">
                  <c:v>8283</c:v>
                </c:pt>
                <c:pt idx="1">
                  <c:v>7118</c:v>
                </c:pt>
                <c:pt idx="2">
                  <c:v>7555</c:v>
                </c:pt>
                <c:pt idx="3">
                  <c:v>8111</c:v>
                </c:pt>
                <c:pt idx="4">
                  <c:v>8995</c:v>
                </c:pt>
                <c:pt idx="5">
                  <c:v>9891</c:v>
                </c:pt>
                <c:pt idx="6">
                  <c:v>7233</c:v>
                </c:pt>
                <c:pt idx="7">
                  <c:v>5137</c:v>
                </c:pt>
                <c:pt idx="8">
                  <c:v>8288</c:v>
                </c:pt>
                <c:pt idx="9">
                  <c:v>18584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7-4D8C-BDC4-1BDE0CB0FFC5}"/>
            </c:ext>
          </c:extLst>
        </c:ser>
        <c:ser>
          <c:idx val="1"/>
          <c:order val="1"/>
          <c:cat>
            <c:strRef>
              <c:f>'21'!$A$22:$A$31</c:f>
              <c:strCach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strCache>
            </c:strRef>
          </c:cat>
          <c:val>
            <c:numRef>
              <c:f>'21'!$C$22:$C$31</c:f>
              <c:numCache>
                <c:formatCode>_(* #,##0_);_(* \(#,##0\);_(* "-"_);_(@_)</c:formatCode>
                <c:ptCount val="10"/>
                <c:pt idx="0">
                  <c:v>3967</c:v>
                </c:pt>
                <c:pt idx="1">
                  <c:v>3414</c:v>
                </c:pt>
                <c:pt idx="2">
                  <c:v>3105</c:v>
                </c:pt>
                <c:pt idx="3">
                  <c:v>2796</c:v>
                </c:pt>
                <c:pt idx="4">
                  <c:v>2648</c:v>
                </c:pt>
                <c:pt idx="5">
                  <c:v>2403</c:v>
                </c:pt>
                <c:pt idx="6">
                  <c:v>2210</c:v>
                </c:pt>
                <c:pt idx="7">
                  <c:v>2772</c:v>
                </c:pt>
                <c:pt idx="8">
                  <c:v>3405</c:v>
                </c:pt>
                <c:pt idx="9">
                  <c:v>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F7-4D8C-BDC4-1BDE0CB0F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41312"/>
        <c:axId val="94543232"/>
      </c:lineChart>
      <c:catAx>
        <c:axId val="9454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년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7.9171604838055035E-2"/>
              <c:y val="0.9274709562109025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94543232"/>
        <c:crosses val="autoZero"/>
        <c:auto val="1"/>
        <c:lblAlgn val="ctr"/>
        <c:lblOffset val="100"/>
        <c:noMultiLvlLbl val="0"/>
      </c:catAx>
      <c:valAx>
        <c:axId val="945432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altLang="ko-KR"/>
                  <a:t>(</a:t>
                </a:r>
                <a:r>
                  <a:rPr lang="ko-KR" altLang="en-US"/>
                  <a:t>건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800687285223365E-2"/>
              <c:y val="0.87848233448030788"/>
            </c:manualLayout>
          </c:layout>
          <c:overlay val="0"/>
          <c:spPr>
            <a:solidFill>
              <a:schemeClr val="bg1"/>
            </a:solidFill>
          </c:spPr>
        </c:title>
        <c:numFmt formatCode="_(* #,##0_);_(* \(#,##0\);_(* &quot;-&quot;_);_(@_)" sourceLinked="1"/>
        <c:majorTickMark val="none"/>
        <c:minorTickMark val="none"/>
        <c:tickLblPos val="nextTo"/>
        <c:spPr>
          <a:ln w="9525">
            <a:noFill/>
          </a:ln>
        </c:spPr>
        <c:crossAx val="945413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ko-KR"/>
    </a:p>
  </c:txPr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9</xdr:col>
      <xdr:colOff>0</xdr:colOff>
      <xdr:row>17</xdr:row>
      <xdr:rowOff>0</xdr:rowOff>
    </xdr:to>
    <xdr:graphicFrame macro="">
      <xdr:nvGraphicFramePr>
        <xdr:cNvPr id="34" name="차트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657350"/>
          <a:ext cx="19812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105</xdr:row>
      <xdr:rowOff>47625</xdr:rowOff>
    </xdr:from>
    <xdr:to>
      <xdr:col>1</xdr:col>
      <xdr:colOff>9525</xdr:colOff>
      <xdr:row>107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28575" y="2771775"/>
          <a:ext cx="9048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93</xdr:row>
      <xdr:rowOff>9525</xdr:rowOff>
    </xdr:from>
    <xdr:to>
      <xdr:col>1</xdr:col>
      <xdr:colOff>0</xdr:colOff>
      <xdr:row>95</xdr:row>
      <xdr:rowOff>0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9525" y="1386840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50</xdr:row>
      <xdr:rowOff>0</xdr:rowOff>
    </xdr:from>
    <xdr:to>
      <xdr:col>8</xdr:col>
      <xdr:colOff>923924</xdr:colOff>
      <xdr:row>69</xdr:row>
      <xdr:rowOff>0</xdr:rowOff>
    </xdr:to>
    <xdr:graphicFrame macro="">
      <xdr:nvGraphicFramePr>
        <xdr:cNvPr id="12" name="차트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381000</xdr:colOff>
      <xdr:row>57</xdr:row>
      <xdr:rowOff>114300</xdr:rowOff>
    </xdr:from>
    <xdr:ext cx="441146" cy="314060"/>
    <xdr:sp macro="" textlink="">
      <xdr:nvSpPr>
        <xdr:cNvPr id="13" name="TextBox 12"/>
        <xdr:cNvSpPr txBox="1"/>
      </xdr:nvSpPr>
      <xdr:spPr>
        <a:xfrm>
          <a:off x="8001000" y="1208722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5"/>
              </a:solidFill>
            </a:rPr>
            <a:t>약식</a:t>
          </a:r>
        </a:p>
      </xdr:txBody>
    </xdr:sp>
    <xdr:clientData/>
  </xdr:oneCellAnchor>
  <xdr:twoCellAnchor>
    <xdr:from>
      <xdr:col>0</xdr:col>
      <xdr:colOff>0</xdr:colOff>
      <xdr:row>18</xdr:row>
      <xdr:rowOff>0</xdr:rowOff>
    </xdr:from>
    <xdr:to>
      <xdr:col>3</xdr:col>
      <xdr:colOff>9525</xdr:colOff>
      <xdr:row>20</xdr:row>
      <xdr:rowOff>0</xdr:rowOff>
    </xdr:to>
    <xdr:sp macro="" textlink="">
      <xdr:nvSpPr>
        <xdr:cNvPr id="19" name="Line 2"/>
        <xdr:cNvSpPr>
          <a:spLocks noChangeShapeType="1"/>
        </xdr:cNvSpPr>
      </xdr:nvSpPr>
      <xdr:spPr bwMode="auto">
        <a:xfrm>
          <a:off x="0" y="3800475"/>
          <a:ext cx="28670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105</xdr:row>
      <xdr:rowOff>47625</xdr:rowOff>
    </xdr:from>
    <xdr:to>
      <xdr:col>1</xdr:col>
      <xdr:colOff>9525</xdr:colOff>
      <xdr:row>107</xdr:row>
      <xdr:rowOff>0</xdr:rowOff>
    </xdr:to>
    <xdr:sp macro="" textlink="">
      <xdr:nvSpPr>
        <xdr:cNvPr id="21" name="Line 1"/>
        <xdr:cNvSpPr>
          <a:spLocks noChangeShapeType="1"/>
        </xdr:cNvSpPr>
      </xdr:nvSpPr>
      <xdr:spPr bwMode="auto">
        <a:xfrm>
          <a:off x="28575" y="17049750"/>
          <a:ext cx="9334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93</xdr:row>
      <xdr:rowOff>9525</xdr:rowOff>
    </xdr:from>
    <xdr:to>
      <xdr:col>1</xdr:col>
      <xdr:colOff>0</xdr:colOff>
      <xdr:row>95</xdr:row>
      <xdr:rowOff>0</xdr:rowOff>
    </xdr:to>
    <xdr:sp macro="" textlink="">
      <xdr:nvSpPr>
        <xdr:cNvPr id="22" name="Line 2"/>
        <xdr:cNvSpPr>
          <a:spLocks noChangeShapeType="1"/>
        </xdr:cNvSpPr>
      </xdr:nvSpPr>
      <xdr:spPr bwMode="auto">
        <a:xfrm>
          <a:off x="9525" y="144970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8</xdr:col>
      <xdr:colOff>381000</xdr:colOff>
      <xdr:row>52</xdr:row>
      <xdr:rowOff>95250</xdr:rowOff>
    </xdr:from>
    <xdr:ext cx="441146" cy="314060"/>
    <xdr:sp macro="" textlink="">
      <xdr:nvSpPr>
        <xdr:cNvPr id="25" name="TextBox 24"/>
        <xdr:cNvSpPr txBox="1"/>
      </xdr:nvSpPr>
      <xdr:spPr>
        <a:xfrm>
          <a:off x="8001000" y="1102042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영장</a:t>
          </a:r>
        </a:p>
      </xdr:txBody>
    </xdr:sp>
    <xdr:clientData/>
  </xdr:oneCellAnchor>
  <xdr:oneCellAnchor>
    <xdr:from>
      <xdr:col>8</xdr:col>
      <xdr:colOff>419100</xdr:colOff>
      <xdr:row>63</xdr:row>
      <xdr:rowOff>66675</xdr:rowOff>
    </xdr:from>
    <xdr:ext cx="441146" cy="314060"/>
    <xdr:sp macro="" textlink="">
      <xdr:nvSpPr>
        <xdr:cNvPr id="26" name="TextBox 25"/>
        <xdr:cNvSpPr txBox="1"/>
      </xdr:nvSpPr>
      <xdr:spPr>
        <a:xfrm>
          <a:off x="8039100" y="1329690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3"/>
              </a:solidFill>
            </a:rPr>
            <a:t>신청</a:t>
          </a:r>
        </a:p>
      </xdr:txBody>
    </xdr:sp>
    <xdr:clientData/>
  </xdr:oneCellAnchor>
  <xdr:oneCellAnchor>
    <xdr:from>
      <xdr:col>8</xdr:col>
      <xdr:colOff>400050</xdr:colOff>
      <xdr:row>59</xdr:row>
      <xdr:rowOff>133350</xdr:rowOff>
    </xdr:from>
    <xdr:ext cx="441146" cy="314060"/>
    <xdr:sp macro="" textlink="">
      <xdr:nvSpPr>
        <xdr:cNvPr id="27" name="TextBox 26"/>
        <xdr:cNvSpPr txBox="1"/>
      </xdr:nvSpPr>
      <xdr:spPr>
        <a:xfrm>
          <a:off x="8020050" y="1252537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공판</a:t>
          </a:r>
        </a:p>
      </xdr:txBody>
    </xdr:sp>
    <xdr:clientData/>
  </xdr:oneCellAnchor>
  <xdr:oneCellAnchor>
    <xdr:from>
      <xdr:col>8</xdr:col>
      <xdr:colOff>428625</xdr:colOff>
      <xdr:row>64</xdr:row>
      <xdr:rowOff>114300</xdr:rowOff>
    </xdr:from>
    <xdr:ext cx="441146" cy="285750"/>
    <xdr:sp macro="" textlink="">
      <xdr:nvSpPr>
        <xdr:cNvPr id="28" name="TextBox 27"/>
        <xdr:cNvSpPr txBox="1"/>
      </xdr:nvSpPr>
      <xdr:spPr>
        <a:xfrm>
          <a:off x="8048625" y="13554075"/>
          <a:ext cx="441146" cy="285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ko-KR" altLang="en-US" sz="1000" b="1">
              <a:solidFill>
                <a:schemeClr val="accent4"/>
              </a:solidFill>
            </a:rPr>
            <a:t>즉결</a:t>
          </a:r>
        </a:p>
      </xdr:txBody>
    </xdr:sp>
    <xdr:clientData/>
  </xdr:oneCellAnchor>
  <xdr:twoCellAnchor>
    <xdr:from>
      <xdr:col>0</xdr:col>
      <xdr:colOff>0</xdr:colOff>
      <xdr:row>71</xdr:row>
      <xdr:rowOff>0</xdr:rowOff>
    </xdr:from>
    <xdr:to>
      <xdr:col>8</xdr:col>
      <xdr:colOff>923924</xdr:colOff>
      <xdr:row>90</xdr:row>
      <xdr:rowOff>0</xdr:rowOff>
    </xdr:to>
    <xdr:graphicFrame macro="">
      <xdr:nvGraphicFramePr>
        <xdr:cNvPr id="23" name="차트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295275</xdr:colOff>
      <xdr:row>71</xdr:row>
      <xdr:rowOff>180975</xdr:rowOff>
    </xdr:from>
    <xdr:ext cx="506164" cy="314060"/>
    <xdr:sp macro="" textlink="">
      <xdr:nvSpPr>
        <xdr:cNvPr id="20" name="TextBox 19"/>
        <xdr:cNvSpPr txBox="1"/>
      </xdr:nvSpPr>
      <xdr:spPr>
        <a:xfrm>
          <a:off x="7915275" y="15087600"/>
          <a:ext cx="506164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제</a:t>
          </a:r>
          <a:r>
            <a:rPr lang="en-US" altLang="ko-KR" sz="1000" b="1">
              <a:solidFill>
                <a:schemeClr val="accent1"/>
              </a:solidFill>
            </a:rPr>
            <a:t>1</a:t>
          </a:r>
          <a:r>
            <a:rPr lang="ko-KR" altLang="en-US" sz="1000" b="1">
              <a:solidFill>
                <a:schemeClr val="accent1"/>
              </a:solidFill>
            </a:rPr>
            <a:t>심</a:t>
          </a:r>
        </a:p>
      </xdr:txBody>
    </xdr:sp>
    <xdr:clientData/>
  </xdr:oneCellAnchor>
  <xdr:oneCellAnchor>
    <xdr:from>
      <xdr:col>8</xdr:col>
      <xdr:colOff>361950</xdr:colOff>
      <xdr:row>81</xdr:row>
      <xdr:rowOff>9525</xdr:rowOff>
    </xdr:from>
    <xdr:ext cx="569387" cy="314060"/>
    <xdr:sp macro="" textlink="">
      <xdr:nvSpPr>
        <xdr:cNvPr id="24" name="TextBox 23"/>
        <xdr:cNvSpPr txBox="1"/>
      </xdr:nvSpPr>
      <xdr:spPr>
        <a:xfrm>
          <a:off x="7981950" y="17011650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항소심</a:t>
          </a:r>
        </a:p>
      </xdr:txBody>
    </xdr:sp>
    <xdr:clientData/>
  </xdr:oneCellAnchor>
  <xdr:oneCellAnchor>
    <xdr:from>
      <xdr:col>8</xdr:col>
      <xdr:colOff>190500</xdr:colOff>
      <xdr:row>87</xdr:row>
      <xdr:rowOff>0</xdr:rowOff>
    </xdr:from>
    <xdr:ext cx="569387" cy="314060"/>
    <xdr:sp macro="" textlink="">
      <xdr:nvSpPr>
        <xdr:cNvPr id="30" name="TextBox 29"/>
        <xdr:cNvSpPr txBox="1"/>
      </xdr:nvSpPr>
      <xdr:spPr>
        <a:xfrm>
          <a:off x="7810500" y="18259425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3"/>
              </a:solidFill>
            </a:rPr>
            <a:t>상고심</a:t>
          </a:r>
        </a:p>
      </xdr:txBody>
    </xdr:sp>
    <xdr:clientData/>
  </xdr:oneCellAnchor>
  <xdr:oneCellAnchor>
    <xdr:from>
      <xdr:col>0</xdr:col>
      <xdr:colOff>209550</xdr:colOff>
      <xdr:row>66</xdr:row>
      <xdr:rowOff>200025</xdr:rowOff>
    </xdr:from>
    <xdr:ext cx="390524" cy="291875"/>
    <xdr:sp macro="" textlink="">
      <xdr:nvSpPr>
        <xdr:cNvPr id="32" name="TextBox 31"/>
        <xdr:cNvSpPr txBox="1"/>
      </xdr:nvSpPr>
      <xdr:spPr>
        <a:xfrm>
          <a:off x="209550" y="14058900"/>
          <a:ext cx="390524" cy="2918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r>
            <a:rPr lang="en-US" altLang="ko-KR" sz="900" b="1">
              <a:solidFill>
                <a:sysClr val="windowText" lastClr="000000"/>
              </a:solidFill>
            </a:rPr>
            <a:t>(</a:t>
          </a:r>
          <a:r>
            <a:rPr lang="ko-KR" altLang="en-US" sz="900" b="1">
              <a:solidFill>
                <a:sysClr val="windowText" lastClr="000000"/>
              </a:solidFill>
            </a:rPr>
            <a:t>건</a:t>
          </a:r>
          <a:r>
            <a:rPr lang="en-US" altLang="ko-KR" sz="900" b="1">
              <a:solidFill>
                <a:sysClr val="windowText" lastClr="000000"/>
              </a:solidFill>
            </a:rPr>
            <a:t>)</a:t>
          </a:r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0</xdr:col>
      <xdr:colOff>95250</xdr:colOff>
      <xdr:row>87</xdr:row>
      <xdr:rowOff>180975</xdr:rowOff>
    </xdr:from>
    <xdr:ext cx="372025" cy="291875"/>
    <xdr:sp macro="" textlink="">
      <xdr:nvSpPr>
        <xdr:cNvPr id="33" name="TextBox 32"/>
        <xdr:cNvSpPr txBox="1"/>
      </xdr:nvSpPr>
      <xdr:spPr>
        <a:xfrm>
          <a:off x="95250" y="18440400"/>
          <a:ext cx="372025" cy="29187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altLang="ko-KR" sz="900" b="1">
              <a:solidFill>
                <a:sysClr val="windowText" lastClr="000000"/>
              </a:solidFill>
            </a:rPr>
            <a:t>(</a:t>
          </a:r>
          <a:r>
            <a:rPr lang="ko-KR" altLang="en-US" sz="900" b="1">
              <a:solidFill>
                <a:sysClr val="windowText" lastClr="000000"/>
              </a:solidFill>
            </a:rPr>
            <a:t>건</a:t>
          </a:r>
          <a:r>
            <a:rPr lang="en-US" altLang="ko-KR" sz="900" b="1">
              <a:solidFill>
                <a:sysClr val="windowText" lastClr="000000"/>
              </a:solidFill>
            </a:rPr>
            <a:t>)</a:t>
          </a:r>
          <a:endParaRPr lang="ko-KR" altLang="en-US" sz="9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6</xdr:col>
      <xdr:colOff>133350</xdr:colOff>
      <xdr:row>8</xdr:row>
      <xdr:rowOff>9525</xdr:rowOff>
    </xdr:from>
    <xdr:ext cx="705962" cy="627095"/>
    <xdr:sp macro="" textlink="">
      <xdr:nvSpPr>
        <xdr:cNvPr id="35" name="TextBox 34"/>
        <xdr:cNvSpPr txBox="1"/>
      </xdr:nvSpPr>
      <xdr:spPr>
        <a:xfrm>
          <a:off x="5848350" y="1714500"/>
          <a:ext cx="705962" cy="62709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1,762,869</a:t>
          </a:r>
        </a:p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8</xdr:col>
      <xdr:colOff>0</xdr:colOff>
      <xdr:row>63</xdr:row>
      <xdr:rowOff>0</xdr:rowOff>
    </xdr:to>
    <xdr:graphicFrame macro="">
      <xdr:nvGraphicFramePr>
        <xdr:cNvPr id="1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1</xdr:col>
      <xdr:colOff>9525</xdr:colOff>
      <xdr:row>67</xdr:row>
      <xdr:rowOff>9525</xdr:rowOff>
    </xdr:to>
    <xdr:sp macro="" textlink="">
      <xdr:nvSpPr>
        <xdr:cNvPr id="18" name="Line 2"/>
        <xdr:cNvSpPr>
          <a:spLocks noChangeShapeType="1"/>
        </xdr:cNvSpPr>
      </xdr:nvSpPr>
      <xdr:spPr bwMode="auto">
        <a:xfrm>
          <a:off x="0" y="1866900"/>
          <a:ext cx="19621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6</xdr:col>
      <xdr:colOff>752475</xdr:colOff>
      <xdr:row>32</xdr:row>
      <xdr:rowOff>171450</xdr:rowOff>
    </xdr:from>
    <xdr:ext cx="1162241" cy="304800"/>
    <xdr:sp macro="" textlink="">
      <xdr:nvSpPr>
        <xdr:cNvPr id="19" name="TextBox 18"/>
        <xdr:cNvSpPr txBox="1"/>
      </xdr:nvSpPr>
      <xdr:spPr>
        <a:xfrm>
          <a:off x="6467475" y="6877050"/>
          <a:ext cx="1162241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ko-KR" altLang="en-US" sz="1000" b="1">
              <a:solidFill>
                <a:schemeClr val="accent2"/>
              </a:solidFill>
            </a:rPr>
            <a:t>항소심</a:t>
          </a:r>
          <a:r>
            <a:rPr lang="en-US" altLang="ko-KR" sz="1000" b="1">
              <a:solidFill>
                <a:schemeClr val="accent2"/>
              </a:solidFill>
            </a:rPr>
            <a:t>(</a:t>
          </a:r>
          <a:r>
            <a:rPr lang="ko-KR" altLang="en-US" sz="1000" b="1">
              <a:solidFill>
                <a:schemeClr val="accent2"/>
              </a:solidFill>
            </a:rPr>
            <a:t>지방법원</a:t>
          </a:r>
          <a:r>
            <a:rPr lang="en-US" altLang="ko-KR" sz="1000" b="1">
              <a:solidFill>
                <a:schemeClr val="accent2"/>
              </a:solidFill>
            </a:rPr>
            <a:t>)</a:t>
          </a:r>
          <a:endParaRPr lang="ko-KR" altLang="en-US" sz="1000" b="1">
            <a:solidFill>
              <a:schemeClr val="accent2"/>
            </a:solidFill>
          </a:endParaRPr>
        </a:p>
      </xdr:txBody>
    </xdr:sp>
    <xdr:clientData/>
  </xdr:oneCellAnchor>
  <xdr:oneCellAnchor>
    <xdr:from>
      <xdr:col>6</xdr:col>
      <xdr:colOff>752475</xdr:colOff>
      <xdr:row>41</xdr:row>
      <xdr:rowOff>47625</xdr:rowOff>
    </xdr:from>
    <xdr:ext cx="1162241" cy="314060"/>
    <xdr:sp macro="" textlink="">
      <xdr:nvSpPr>
        <xdr:cNvPr id="20" name="TextBox 19"/>
        <xdr:cNvSpPr txBox="1"/>
      </xdr:nvSpPr>
      <xdr:spPr>
        <a:xfrm>
          <a:off x="6467475" y="8639175"/>
          <a:ext cx="1162241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accent1"/>
              </a:solidFill>
            </a:rPr>
            <a:t>항소심</a:t>
          </a:r>
          <a:r>
            <a:rPr lang="en-US" altLang="ko-KR" sz="1000" b="1">
              <a:solidFill>
                <a:schemeClr val="accent1"/>
              </a:solidFill>
            </a:rPr>
            <a:t>(</a:t>
          </a:r>
          <a:r>
            <a:rPr lang="ko-KR" altLang="en-US" sz="1000" b="1">
              <a:solidFill>
                <a:schemeClr val="accent1"/>
              </a:solidFill>
            </a:rPr>
            <a:t>고등법원</a:t>
          </a:r>
          <a:r>
            <a:rPr lang="en-US" altLang="ko-KR" sz="1000" b="1">
              <a:solidFill>
                <a:schemeClr val="accent1"/>
              </a:solidFill>
            </a:rPr>
            <a:t>)</a:t>
          </a:r>
          <a:endParaRPr lang="ko-KR" altLang="en-US" sz="1000" b="1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9525</xdr:rowOff>
    </xdr:from>
    <xdr:to>
      <xdr:col>1</xdr:col>
      <xdr:colOff>9525</xdr:colOff>
      <xdr:row>11</xdr:row>
      <xdr:rowOff>0</xdr:rowOff>
    </xdr:to>
    <xdr:sp macro="" textlink="">
      <xdr:nvSpPr>
        <xdr:cNvPr id="7900748" name="Line 1"/>
        <xdr:cNvSpPr>
          <a:spLocks noChangeShapeType="1"/>
        </xdr:cNvSpPr>
      </xdr:nvSpPr>
      <xdr:spPr bwMode="auto">
        <a:xfrm>
          <a:off x="19050" y="657225"/>
          <a:ext cx="22669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22</xdr:row>
      <xdr:rowOff>28575</xdr:rowOff>
    </xdr:from>
    <xdr:to>
      <xdr:col>1</xdr:col>
      <xdr:colOff>0</xdr:colOff>
      <xdr:row>24</xdr:row>
      <xdr:rowOff>9525</xdr:rowOff>
    </xdr:to>
    <xdr:sp macro="" textlink="">
      <xdr:nvSpPr>
        <xdr:cNvPr id="7900749" name="Line 2"/>
        <xdr:cNvSpPr>
          <a:spLocks noChangeShapeType="1"/>
        </xdr:cNvSpPr>
      </xdr:nvSpPr>
      <xdr:spPr bwMode="auto">
        <a:xfrm>
          <a:off x="28575" y="5086350"/>
          <a:ext cx="2247900" cy="3905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28575</xdr:rowOff>
    </xdr:from>
    <xdr:to>
      <xdr:col>1</xdr:col>
      <xdr:colOff>0</xdr:colOff>
      <xdr:row>3</xdr:row>
      <xdr:rowOff>0</xdr:rowOff>
    </xdr:to>
    <xdr:sp macro="" textlink="">
      <xdr:nvSpPr>
        <xdr:cNvPr id="7901771" name="Line 1"/>
        <xdr:cNvSpPr>
          <a:spLocks noChangeShapeType="1"/>
        </xdr:cNvSpPr>
      </xdr:nvSpPr>
      <xdr:spPr bwMode="auto">
        <a:xfrm>
          <a:off x="28575" y="342900"/>
          <a:ext cx="1552575" cy="3524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28575</xdr:rowOff>
    </xdr:from>
    <xdr:to>
      <xdr:col>1</xdr:col>
      <xdr:colOff>0</xdr:colOff>
      <xdr:row>31</xdr:row>
      <xdr:rowOff>9525</xdr:rowOff>
    </xdr:to>
    <xdr:sp macro="" textlink="">
      <xdr:nvSpPr>
        <xdr:cNvPr id="7901772" name="Line 2"/>
        <xdr:cNvSpPr>
          <a:spLocks noChangeShapeType="1"/>
        </xdr:cNvSpPr>
      </xdr:nvSpPr>
      <xdr:spPr bwMode="auto">
        <a:xfrm>
          <a:off x="0" y="6315075"/>
          <a:ext cx="123825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47</xdr:row>
      <xdr:rowOff>0</xdr:rowOff>
    </xdr:from>
    <xdr:to>
      <xdr:col>1</xdr:col>
      <xdr:colOff>9524</xdr:colOff>
      <xdr:row>49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10058400"/>
          <a:ext cx="1590674" cy="5619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27</xdr:row>
      <xdr:rowOff>19050</xdr:rowOff>
    </xdr:from>
    <xdr:to>
      <xdr:col>5</xdr:col>
      <xdr:colOff>0</xdr:colOff>
      <xdr:row>29</xdr:row>
      <xdr:rowOff>0</xdr:rowOff>
    </xdr:to>
    <xdr:sp macro="" textlink="">
      <xdr:nvSpPr>
        <xdr:cNvPr id="11025303" name="Line 1"/>
        <xdr:cNvSpPr>
          <a:spLocks noChangeShapeType="1"/>
        </xdr:cNvSpPr>
      </xdr:nvSpPr>
      <xdr:spPr bwMode="auto">
        <a:xfrm>
          <a:off x="19050" y="5562600"/>
          <a:ext cx="2857500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4</xdr:col>
      <xdr:colOff>0</xdr:colOff>
      <xdr:row>7</xdr:row>
      <xdr:rowOff>0</xdr:rowOff>
    </xdr:to>
    <xdr:sp macro="" textlink="">
      <xdr:nvSpPr>
        <xdr:cNvPr id="11025305" name="Line 3"/>
        <xdr:cNvSpPr>
          <a:spLocks noChangeShapeType="1"/>
        </xdr:cNvSpPr>
      </xdr:nvSpPr>
      <xdr:spPr bwMode="auto">
        <a:xfrm>
          <a:off x="9525" y="1152525"/>
          <a:ext cx="18192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1</xdr:col>
      <xdr:colOff>285750</xdr:colOff>
      <xdr:row>9</xdr:row>
      <xdr:rowOff>95250</xdr:rowOff>
    </xdr:from>
    <xdr:to>
      <xdr:col>1</xdr:col>
      <xdr:colOff>447675</xdr:colOff>
      <xdr:row>14</xdr:row>
      <xdr:rowOff>133350</xdr:rowOff>
    </xdr:to>
    <xdr:sp macro="" textlink="">
      <xdr:nvSpPr>
        <xdr:cNvPr id="13" name="AutoShape 4"/>
        <xdr:cNvSpPr>
          <a:spLocks/>
        </xdr:cNvSpPr>
      </xdr:nvSpPr>
      <xdr:spPr bwMode="auto">
        <a:xfrm>
          <a:off x="742950" y="2076450"/>
          <a:ext cx="161925" cy="10858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ysClr val="windowText" lastClr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1" name="Line 2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1095375</xdr:colOff>
      <xdr:row>0</xdr:row>
      <xdr:rowOff>0</xdr:rowOff>
    </xdr:from>
    <xdr:to>
      <xdr:col>1</xdr:col>
      <xdr:colOff>9525</xdr:colOff>
      <xdr:row>0</xdr:row>
      <xdr:rowOff>0</xdr:rowOff>
    </xdr:to>
    <xdr:sp macro="" textlink="">
      <xdr:nvSpPr>
        <xdr:cNvPr id="11857342" name="Line 3"/>
        <xdr:cNvSpPr>
          <a:spLocks noChangeShapeType="1"/>
        </xdr:cNvSpPr>
      </xdr:nvSpPr>
      <xdr:spPr bwMode="auto">
        <a:xfrm>
          <a:off x="361950" y="0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3" name="Line 4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1</xdr:col>
      <xdr:colOff>19050</xdr:colOff>
      <xdr:row>0</xdr:row>
      <xdr:rowOff>0</xdr:rowOff>
    </xdr:to>
    <xdr:sp macro="" textlink="">
      <xdr:nvSpPr>
        <xdr:cNvPr id="11857344" name="Line 5"/>
        <xdr:cNvSpPr>
          <a:spLocks noChangeShapeType="1"/>
        </xdr:cNvSpPr>
      </xdr:nvSpPr>
      <xdr:spPr bwMode="auto">
        <a:xfrm>
          <a:off x="361950" y="0"/>
          <a:ext cx="190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0</xdr:col>
      <xdr:colOff>352425</xdr:colOff>
      <xdr:row>0</xdr:row>
      <xdr:rowOff>0</xdr:rowOff>
    </xdr:to>
    <xdr:sp macro="" textlink="">
      <xdr:nvSpPr>
        <xdr:cNvPr id="11857345" name="Line 6"/>
        <xdr:cNvSpPr>
          <a:spLocks noChangeShapeType="1"/>
        </xdr:cNvSpPr>
      </xdr:nvSpPr>
      <xdr:spPr bwMode="auto">
        <a:xfrm>
          <a:off x="352425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723900</xdr:colOff>
      <xdr:row>0</xdr:row>
      <xdr:rowOff>0</xdr:rowOff>
    </xdr:from>
    <xdr:to>
      <xdr:col>0</xdr:col>
      <xdr:colOff>361950</xdr:colOff>
      <xdr:row>0</xdr:row>
      <xdr:rowOff>0</xdr:rowOff>
    </xdr:to>
    <xdr:sp macro="" textlink="">
      <xdr:nvSpPr>
        <xdr:cNvPr id="11857346" name="Line 7"/>
        <xdr:cNvSpPr>
          <a:spLocks noChangeShapeType="1"/>
        </xdr:cNvSpPr>
      </xdr:nvSpPr>
      <xdr:spPr bwMode="auto">
        <a:xfrm>
          <a:off x="361950" y="0"/>
          <a:ext cx="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47625</xdr:colOff>
      <xdr:row>0</xdr:row>
      <xdr:rowOff>0</xdr:rowOff>
    </xdr:to>
    <xdr:sp macro="" textlink="">
      <xdr:nvSpPr>
        <xdr:cNvPr id="11857347" name="Line 8"/>
        <xdr:cNvSpPr>
          <a:spLocks noChangeShapeType="1"/>
        </xdr:cNvSpPr>
      </xdr:nvSpPr>
      <xdr:spPr bwMode="auto">
        <a:xfrm flipH="1">
          <a:off x="352425" y="0"/>
          <a:ext cx="57150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352425</xdr:colOff>
      <xdr:row>0</xdr:row>
      <xdr:rowOff>0</xdr:rowOff>
    </xdr:from>
    <xdr:to>
      <xdr:col>1</xdr:col>
      <xdr:colOff>152400</xdr:colOff>
      <xdr:row>0</xdr:row>
      <xdr:rowOff>0</xdr:rowOff>
    </xdr:to>
    <xdr:sp macro="" textlink="">
      <xdr:nvSpPr>
        <xdr:cNvPr id="11857348" name="Line 9"/>
        <xdr:cNvSpPr>
          <a:spLocks noChangeShapeType="1"/>
        </xdr:cNvSpPr>
      </xdr:nvSpPr>
      <xdr:spPr bwMode="auto">
        <a:xfrm>
          <a:off x="352425" y="0"/>
          <a:ext cx="1619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3</xdr:col>
      <xdr:colOff>1095375</xdr:colOff>
      <xdr:row>10</xdr:row>
      <xdr:rowOff>0</xdr:rowOff>
    </xdr:from>
    <xdr:to>
      <xdr:col>4</xdr:col>
      <xdr:colOff>9525</xdr:colOff>
      <xdr:row>10</xdr:row>
      <xdr:rowOff>0</xdr:rowOff>
    </xdr:to>
    <xdr:sp macro="" textlink="">
      <xdr:nvSpPr>
        <xdr:cNvPr id="11857349" name="Line 10"/>
        <xdr:cNvSpPr>
          <a:spLocks noChangeShapeType="1"/>
        </xdr:cNvSpPr>
      </xdr:nvSpPr>
      <xdr:spPr bwMode="auto">
        <a:xfrm>
          <a:off x="1895475" y="1895475"/>
          <a:ext cx="9525" cy="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22</xdr:row>
      <xdr:rowOff>19051</xdr:rowOff>
    </xdr:from>
    <xdr:to>
      <xdr:col>4</xdr:col>
      <xdr:colOff>0</xdr:colOff>
      <xdr:row>24</xdr:row>
      <xdr:rowOff>1</xdr:rowOff>
    </xdr:to>
    <xdr:sp macro="" textlink="">
      <xdr:nvSpPr>
        <xdr:cNvPr id="11857350" name="Line 11"/>
        <xdr:cNvSpPr>
          <a:spLocks noChangeShapeType="1"/>
        </xdr:cNvSpPr>
      </xdr:nvSpPr>
      <xdr:spPr bwMode="auto">
        <a:xfrm>
          <a:off x="19050" y="4629151"/>
          <a:ext cx="1200150" cy="7620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</xdr:row>
      <xdr:rowOff>19050</xdr:rowOff>
    </xdr:from>
    <xdr:to>
      <xdr:col>5</xdr:col>
      <xdr:colOff>9525</xdr:colOff>
      <xdr:row>3</xdr:row>
      <xdr:rowOff>9525</xdr:rowOff>
    </xdr:to>
    <xdr:sp macro="" textlink="">
      <xdr:nvSpPr>
        <xdr:cNvPr id="11857351" name="Line 13"/>
        <xdr:cNvSpPr>
          <a:spLocks noChangeShapeType="1"/>
        </xdr:cNvSpPr>
      </xdr:nvSpPr>
      <xdr:spPr bwMode="auto">
        <a:xfrm>
          <a:off x="19050" y="161925"/>
          <a:ext cx="264795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35</xdr:row>
      <xdr:rowOff>0</xdr:rowOff>
    </xdr:from>
    <xdr:to>
      <xdr:col>9</xdr:col>
      <xdr:colOff>647701</xdr:colOff>
      <xdr:row>48</xdr:row>
      <xdr:rowOff>9525</xdr:rowOff>
    </xdr:to>
    <xdr:graphicFrame macro="">
      <xdr:nvGraphicFramePr>
        <xdr:cNvPr id="14" name="차트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9525</xdr:rowOff>
    </xdr:from>
    <xdr:to>
      <xdr:col>1</xdr:col>
      <xdr:colOff>0</xdr:colOff>
      <xdr:row>2</xdr:row>
      <xdr:rowOff>180975</xdr:rowOff>
    </xdr:to>
    <xdr:sp macro="" textlink="">
      <xdr:nvSpPr>
        <xdr:cNvPr id="11859095" name="Line 1"/>
        <xdr:cNvSpPr>
          <a:spLocks noChangeShapeType="1"/>
        </xdr:cNvSpPr>
      </xdr:nvSpPr>
      <xdr:spPr bwMode="auto">
        <a:xfrm>
          <a:off x="38100" y="200025"/>
          <a:ext cx="790575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1859096" name="Line 2"/>
        <xdr:cNvSpPr>
          <a:spLocks noChangeShapeType="1"/>
        </xdr:cNvSpPr>
      </xdr:nvSpPr>
      <xdr:spPr bwMode="auto">
        <a:xfrm>
          <a:off x="9525" y="1876425"/>
          <a:ext cx="819150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32</xdr:row>
      <xdr:rowOff>0</xdr:rowOff>
    </xdr:from>
    <xdr:to>
      <xdr:col>7</xdr:col>
      <xdr:colOff>209550</xdr:colOff>
      <xdr:row>46</xdr:row>
      <xdr:rowOff>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16</xdr:row>
      <xdr:rowOff>0</xdr:rowOff>
    </xdr:from>
    <xdr:to>
      <xdr:col>15</xdr:col>
      <xdr:colOff>0</xdr:colOff>
      <xdr:row>36</xdr:row>
      <xdr:rowOff>129000</xdr:rowOff>
    </xdr:to>
    <xdr:sp macro="" textlink="">
      <xdr:nvSpPr>
        <xdr:cNvPr id="11274616" name="Text Box 1"/>
        <xdr:cNvSpPr txBox="1">
          <a:spLocks noChangeArrowheads="1"/>
        </xdr:cNvSpPr>
      </xdr:nvSpPr>
      <xdr:spPr bwMode="auto">
        <a:xfrm>
          <a:off x="57769125" y="3429000"/>
          <a:ext cx="0" cy="432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9298</xdr:colOff>
      <xdr:row>18</xdr:row>
      <xdr:rowOff>0</xdr:rowOff>
    </xdr:from>
    <xdr:to>
      <xdr:col>6</xdr:col>
      <xdr:colOff>361048</xdr:colOff>
      <xdr:row>38</xdr:row>
      <xdr:rowOff>0</xdr:rowOff>
    </xdr:to>
    <xdr:graphicFrame macro="">
      <xdr:nvGraphicFramePr>
        <xdr:cNvPr id="2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66000</xdr:colOff>
      <xdr:row>38</xdr:row>
      <xdr:rowOff>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0</xdr:colOff>
      <xdr:row>4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0" y="209550"/>
          <a:ext cx="1238250" cy="7048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209549</xdr:rowOff>
    </xdr:from>
    <xdr:to>
      <xdr:col>1</xdr:col>
      <xdr:colOff>9525</xdr:colOff>
      <xdr:row>10</xdr:row>
      <xdr:rowOff>9524</xdr:rowOff>
    </xdr:to>
    <xdr:sp macro="" textlink="">
      <xdr:nvSpPr>
        <xdr:cNvPr id="9" name="Line 1"/>
        <xdr:cNvSpPr>
          <a:spLocks noChangeShapeType="1"/>
        </xdr:cNvSpPr>
      </xdr:nvSpPr>
      <xdr:spPr bwMode="auto">
        <a:xfrm>
          <a:off x="0" y="17525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oneCellAnchor>
    <xdr:from>
      <xdr:col>5</xdr:col>
      <xdr:colOff>638175</xdr:colOff>
      <xdr:row>22</xdr:row>
      <xdr:rowOff>28575</xdr:rowOff>
    </xdr:from>
    <xdr:ext cx="466794" cy="336246"/>
    <xdr:sp macro="" textlink="">
      <xdr:nvSpPr>
        <xdr:cNvPr id="10" name="TextBox 9"/>
        <xdr:cNvSpPr txBox="1"/>
      </xdr:nvSpPr>
      <xdr:spPr>
        <a:xfrm>
          <a:off x="4924425" y="4714875"/>
          <a:ext cx="466794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합의</a:t>
          </a:r>
        </a:p>
      </xdr:txBody>
    </xdr:sp>
    <xdr:clientData/>
  </xdr:oneCellAnchor>
  <xdr:oneCellAnchor>
    <xdr:from>
      <xdr:col>13</xdr:col>
      <xdr:colOff>142875</xdr:colOff>
      <xdr:row>23</xdr:row>
      <xdr:rowOff>66675</xdr:rowOff>
    </xdr:from>
    <xdr:ext cx="723275" cy="325217"/>
    <xdr:sp macro="" textlink="">
      <xdr:nvSpPr>
        <xdr:cNvPr id="11" name="TextBox 10"/>
        <xdr:cNvSpPr txBox="1"/>
      </xdr:nvSpPr>
      <xdr:spPr>
        <a:xfrm>
          <a:off x="10525125" y="4962525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1"/>
              </a:solidFill>
            </a:rPr>
            <a:t>고등법원</a:t>
          </a:r>
        </a:p>
      </xdr:txBody>
    </xdr:sp>
    <xdr:clientData/>
  </xdr:oneCellAnchor>
  <xdr:oneCellAnchor>
    <xdr:from>
      <xdr:col>5</xdr:col>
      <xdr:colOff>638175</xdr:colOff>
      <xdr:row>27</xdr:row>
      <xdr:rowOff>104775</xdr:rowOff>
    </xdr:from>
    <xdr:ext cx="453970" cy="333375"/>
    <xdr:sp macro="" textlink="">
      <xdr:nvSpPr>
        <xdr:cNvPr id="12" name="TextBox 11"/>
        <xdr:cNvSpPr txBox="1"/>
      </xdr:nvSpPr>
      <xdr:spPr>
        <a:xfrm>
          <a:off x="4924425" y="5838825"/>
          <a:ext cx="453970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단독</a:t>
          </a:r>
        </a:p>
      </xdr:txBody>
    </xdr:sp>
    <xdr:clientData/>
  </xdr:oneCellAnchor>
  <xdr:oneCellAnchor>
    <xdr:from>
      <xdr:col>13</xdr:col>
      <xdr:colOff>142875</xdr:colOff>
      <xdr:row>25</xdr:row>
      <xdr:rowOff>38100</xdr:rowOff>
    </xdr:from>
    <xdr:ext cx="723275" cy="325217"/>
    <xdr:sp macro="" textlink="">
      <xdr:nvSpPr>
        <xdr:cNvPr id="13" name="TextBox 12"/>
        <xdr:cNvSpPr txBox="1"/>
      </xdr:nvSpPr>
      <xdr:spPr>
        <a:xfrm>
          <a:off x="10525125" y="5353050"/>
          <a:ext cx="7232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50" b="1">
              <a:solidFill>
                <a:schemeClr val="accent2"/>
              </a:solidFill>
            </a:rPr>
            <a:t>지방법원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19050</xdr:rowOff>
    </xdr:from>
    <xdr:to>
      <xdr:col>1</xdr:col>
      <xdr:colOff>28575</xdr:colOff>
      <xdr:row>24</xdr:row>
      <xdr:rowOff>9525</xdr:rowOff>
    </xdr:to>
    <xdr:sp macro="" textlink="">
      <xdr:nvSpPr>
        <xdr:cNvPr id="10547568" name="Line 1"/>
        <xdr:cNvSpPr>
          <a:spLocks noChangeShapeType="1"/>
        </xdr:cNvSpPr>
      </xdr:nvSpPr>
      <xdr:spPr bwMode="auto">
        <a:xfrm>
          <a:off x="38100" y="5629275"/>
          <a:ext cx="1133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26</xdr:row>
      <xdr:rowOff>85725</xdr:rowOff>
    </xdr:from>
    <xdr:to>
      <xdr:col>0</xdr:col>
      <xdr:colOff>1381125</xdr:colOff>
      <xdr:row>28</xdr:row>
      <xdr:rowOff>133350</xdr:rowOff>
    </xdr:to>
    <xdr:sp macro="" textlink="">
      <xdr:nvSpPr>
        <xdr:cNvPr id="10547569" name="AutoShape 3"/>
        <xdr:cNvSpPr>
          <a:spLocks/>
        </xdr:cNvSpPr>
      </xdr:nvSpPr>
      <xdr:spPr bwMode="auto">
        <a:xfrm>
          <a:off x="1304925" y="59721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1304925</xdr:colOff>
      <xdr:row>30</xdr:row>
      <xdr:rowOff>85725</xdr:rowOff>
    </xdr:from>
    <xdr:to>
      <xdr:col>0</xdr:col>
      <xdr:colOff>1381125</xdr:colOff>
      <xdr:row>32</xdr:row>
      <xdr:rowOff>133350</xdr:rowOff>
    </xdr:to>
    <xdr:sp macro="" textlink="">
      <xdr:nvSpPr>
        <xdr:cNvPr id="10547570" name="AutoShape 4"/>
        <xdr:cNvSpPr>
          <a:spLocks/>
        </xdr:cNvSpPr>
      </xdr:nvSpPr>
      <xdr:spPr bwMode="auto">
        <a:xfrm>
          <a:off x="1304925" y="6810375"/>
          <a:ext cx="76200" cy="466725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1</xdr:col>
      <xdr:colOff>9525</xdr:colOff>
      <xdr:row>7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1085850"/>
          <a:ext cx="1724025" cy="6286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2288</xdr:rowOff>
    </xdr:from>
    <xdr:to>
      <xdr:col>3</xdr:col>
      <xdr:colOff>986250</xdr:colOff>
      <xdr:row>39</xdr:row>
      <xdr:rowOff>72188</xdr:rowOff>
    </xdr:to>
    <xdr:graphicFrame macro="">
      <xdr:nvGraphicFramePr>
        <xdr:cNvPr id="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1</xdr:col>
      <xdr:colOff>9525</xdr:colOff>
      <xdr:row>3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1</xdr:col>
      <xdr:colOff>9525</xdr:colOff>
      <xdr:row>10</xdr:row>
      <xdr:rowOff>9525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209550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8</xdr:col>
      <xdr:colOff>685800</xdr:colOff>
      <xdr:row>39</xdr:row>
      <xdr:rowOff>69900</xdr:rowOff>
    </xdr:to>
    <xdr:graphicFrame macro="">
      <xdr:nvGraphicFramePr>
        <xdr:cNvPr id="1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209549</xdr:rowOff>
    </xdr:from>
    <xdr:to>
      <xdr:col>1</xdr:col>
      <xdr:colOff>9525</xdr:colOff>
      <xdr:row>44</xdr:row>
      <xdr:rowOff>9524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0" y="84581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47</xdr:row>
      <xdr:rowOff>209549</xdr:rowOff>
    </xdr:from>
    <xdr:to>
      <xdr:col>1</xdr:col>
      <xdr:colOff>9525</xdr:colOff>
      <xdr:row>50</xdr:row>
      <xdr:rowOff>9524</xdr:rowOff>
    </xdr:to>
    <xdr:sp macro="" textlink="">
      <xdr:nvSpPr>
        <xdr:cNvPr id="10" name="Line 1"/>
        <xdr:cNvSpPr>
          <a:spLocks noChangeShapeType="1"/>
        </xdr:cNvSpPr>
      </xdr:nvSpPr>
      <xdr:spPr bwMode="auto">
        <a:xfrm>
          <a:off x="0" y="9715499"/>
          <a:ext cx="124777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9525</xdr:rowOff>
    </xdr:from>
    <xdr:to>
      <xdr:col>1</xdr:col>
      <xdr:colOff>9525</xdr:colOff>
      <xdr:row>6</xdr:row>
      <xdr:rowOff>9525</xdr:rowOff>
    </xdr:to>
    <xdr:sp macro="" textlink="">
      <xdr:nvSpPr>
        <xdr:cNvPr id="9674913" name="Line 2"/>
        <xdr:cNvSpPr>
          <a:spLocks noChangeShapeType="1"/>
        </xdr:cNvSpPr>
      </xdr:nvSpPr>
      <xdr:spPr bwMode="auto">
        <a:xfrm>
          <a:off x="19050" y="695325"/>
          <a:ext cx="1000125" cy="4857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2</xdr:col>
      <xdr:colOff>9525</xdr:colOff>
      <xdr:row>21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38671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26</xdr:row>
      <xdr:rowOff>0</xdr:rowOff>
    </xdr:from>
    <xdr:to>
      <xdr:col>2</xdr:col>
      <xdr:colOff>9525</xdr:colOff>
      <xdr:row>28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3340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34</xdr:row>
      <xdr:rowOff>0</xdr:rowOff>
    </xdr:from>
    <xdr:to>
      <xdr:col>2</xdr:col>
      <xdr:colOff>9525</xdr:colOff>
      <xdr:row>36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701040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44</xdr:row>
      <xdr:rowOff>0</xdr:rowOff>
    </xdr:from>
    <xdr:to>
      <xdr:col>2</xdr:col>
      <xdr:colOff>9525</xdr:colOff>
      <xdr:row>46</xdr:row>
      <xdr:rowOff>0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0" y="8896350"/>
          <a:ext cx="218122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19050</xdr:rowOff>
    </xdr:from>
    <xdr:to>
      <xdr:col>1</xdr:col>
      <xdr:colOff>28575</xdr:colOff>
      <xdr:row>5</xdr:row>
      <xdr:rowOff>9525</xdr:rowOff>
    </xdr:to>
    <xdr:sp macro="" textlink="">
      <xdr:nvSpPr>
        <xdr:cNvPr id="7913035" name="Line 1025"/>
        <xdr:cNvSpPr>
          <a:spLocks noChangeShapeType="1"/>
        </xdr:cNvSpPr>
      </xdr:nvSpPr>
      <xdr:spPr bwMode="auto">
        <a:xfrm>
          <a:off x="38100" y="723900"/>
          <a:ext cx="752475" cy="3714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17</xdr:row>
      <xdr:rowOff>19050</xdr:rowOff>
    </xdr:from>
    <xdr:to>
      <xdr:col>1</xdr:col>
      <xdr:colOff>0</xdr:colOff>
      <xdr:row>18</xdr:row>
      <xdr:rowOff>476250</xdr:rowOff>
    </xdr:to>
    <xdr:sp macro="" textlink="">
      <xdr:nvSpPr>
        <xdr:cNvPr id="7913036" name="Line 1026"/>
        <xdr:cNvSpPr>
          <a:spLocks noChangeShapeType="1"/>
        </xdr:cNvSpPr>
      </xdr:nvSpPr>
      <xdr:spPr bwMode="auto">
        <a:xfrm>
          <a:off x="19050" y="3686175"/>
          <a:ext cx="742950" cy="6953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35</xdr:row>
      <xdr:rowOff>19050</xdr:rowOff>
    </xdr:from>
    <xdr:to>
      <xdr:col>1</xdr:col>
      <xdr:colOff>28576</xdr:colOff>
      <xdr:row>38</xdr:row>
      <xdr:rowOff>9525</xdr:rowOff>
    </xdr:to>
    <xdr:sp macro="" textlink="">
      <xdr:nvSpPr>
        <xdr:cNvPr id="7" name="Line 1025"/>
        <xdr:cNvSpPr>
          <a:spLocks noChangeShapeType="1"/>
        </xdr:cNvSpPr>
      </xdr:nvSpPr>
      <xdr:spPr bwMode="auto">
        <a:xfrm>
          <a:off x="9526" y="6934200"/>
          <a:ext cx="12573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1</xdr:col>
      <xdr:colOff>19050</xdr:colOff>
      <xdr:row>12</xdr:row>
      <xdr:rowOff>200025</xdr:rowOff>
    </xdr:to>
    <xdr:sp macro="" textlink="">
      <xdr:nvSpPr>
        <xdr:cNvPr id="8" name="Line 1025"/>
        <xdr:cNvSpPr>
          <a:spLocks noChangeShapeType="1"/>
        </xdr:cNvSpPr>
      </xdr:nvSpPr>
      <xdr:spPr bwMode="auto">
        <a:xfrm>
          <a:off x="0" y="2305050"/>
          <a:ext cx="12573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9526</xdr:colOff>
      <xdr:row>61</xdr:row>
      <xdr:rowOff>19050</xdr:rowOff>
    </xdr:from>
    <xdr:to>
      <xdr:col>1</xdr:col>
      <xdr:colOff>28576</xdr:colOff>
      <xdr:row>64</xdr:row>
      <xdr:rowOff>9525</xdr:rowOff>
    </xdr:to>
    <xdr:sp macro="" textlink="">
      <xdr:nvSpPr>
        <xdr:cNvPr id="9" name="Line 1025"/>
        <xdr:cNvSpPr>
          <a:spLocks noChangeShapeType="1"/>
        </xdr:cNvSpPr>
      </xdr:nvSpPr>
      <xdr:spPr bwMode="auto">
        <a:xfrm>
          <a:off x="9526" y="6934200"/>
          <a:ext cx="12573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0</xdr:rowOff>
    </xdr:from>
    <xdr:to>
      <xdr:col>1</xdr:col>
      <xdr:colOff>0</xdr:colOff>
      <xdr:row>11</xdr:row>
      <xdr:rowOff>9525</xdr:rowOff>
    </xdr:to>
    <xdr:sp macro="" textlink="">
      <xdr:nvSpPr>
        <xdr:cNvPr id="2" name="Line 1025"/>
        <xdr:cNvSpPr>
          <a:spLocks noChangeShapeType="1"/>
        </xdr:cNvSpPr>
      </xdr:nvSpPr>
      <xdr:spPr bwMode="auto">
        <a:xfrm>
          <a:off x="38100" y="1981200"/>
          <a:ext cx="9144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27</xdr:row>
      <xdr:rowOff>9525</xdr:rowOff>
    </xdr:from>
    <xdr:to>
      <xdr:col>1</xdr:col>
      <xdr:colOff>0</xdr:colOff>
      <xdr:row>29</xdr:row>
      <xdr:rowOff>0</xdr:rowOff>
    </xdr:to>
    <xdr:sp macro="" textlink="">
      <xdr:nvSpPr>
        <xdr:cNvPr id="3" name="Line 1026"/>
        <xdr:cNvSpPr>
          <a:spLocks noChangeShapeType="1"/>
        </xdr:cNvSpPr>
      </xdr:nvSpPr>
      <xdr:spPr bwMode="auto">
        <a:xfrm>
          <a:off x="47625" y="5762625"/>
          <a:ext cx="9048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9525</xdr:rowOff>
    </xdr:from>
    <xdr:to>
      <xdr:col>1</xdr:col>
      <xdr:colOff>19050</xdr:colOff>
      <xdr:row>5</xdr:row>
      <xdr:rowOff>19050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38175"/>
          <a:ext cx="12287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12</xdr:row>
      <xdr:rowOff>28575</xdr:rowOff>
    </xdr:from>
    <xdr:to>
      <xdr:col>0</xdr:col>
      <xdr:colOff>1143000</xdr:colOff>
      <xdr:row>15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2543175"/>
          <a:ext cx="1123950" cy="6096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1152524</xdr:colOff>
      <xdr:row>26</xdr:row>
      <xdr:rowOff>9525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0" y="5029200"/>
          <a:ext cx="1152524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19050</xdr:rowOff>
    </xdr:from>
    <xdr:to>
      <xdr:col>2</xdr:col>
      <xdr:colOff>0</xdr:colOff>
      <xdr:row>20</xdr:row>
      <xdr:rowOff>9525</xdr:rowOff>
    </xdr:to>
    <xdr:sp macro="" textlink="">
      <xdr:nvSpPr>
        <xdr:cNvPr id="10551665" name="Line 1"/>
        <xdr:cNvSpPr>
          <a:spLocks noChangeShapeType="1"/>
        </xdr:cNvSpPr>
      </xdr:nvSpPr>
      <xdr:spPr bwMode="auto">
        <a:xfrm>
          <a:off x="0" y="4133850"/>
          <a:ext cx="165735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8</xdr:row>
      <xdr:rowOff>9525</xdr:rowOff>
    </xdr:from>
    <xdr:to>
      <xdr:col>1</xdr:col>
      <xdr:colOff>0</xdr:colOff>
      <xdr:row>11</xdr:row>
      <xdr:rowOff>0</xdr:rowOff>
    </xdr:to>
    <xdr:sp macro="" textlink="">
      <xdr:nvSpPr>
        <xdr:cNvPr id="10551666" name="Line 2"/>
        <xdr:cNvSpPr>
          <a:spLocks noChangeShapeType="1"/>
        </xdr:cNvSpPr>
      </xdr:nvSpPr>
      <xdr:spPr bwMode="auto">
        <a:xfrm>
          <a:off x="19050" y="2581275"/>
          <a:ext cx="809625" cy="7239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37</xdr:row>
      <xdr:rowOff>19050</xdr:rowOff>
    </xdr:from>
    <xdr:to>
      <xdr:col>1</xdr:col>
      <xdr:colOff>0</xdr:colOff>
      <xdr:row>39</xdr:row>
      <xdr:rowOff>9525</xdr:rowOff>
    </xdr:to>
    <xdr:sp macro="" textlink="">
      <xdr:nvSpPr>
        <xdr:cNvPr id="10551667" name="Line 3"/>
        <xdr:cNvSpPr>
          <a:spLocks noChangeShapeType="1"/>
        </xdr:cNvSpPr>
      </xdr:nvSpPr>
      <xdr:spPr bwMode="auto">
        <a:xfrm>
          <a:off x="9525" y="8943975"/>
          <a:ext cx="819150" cy="8191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19050</xdr:rowOff>
    </xdr:from>
    <xdr:to>
      <xdr:col>2</xdr:col>
      <xdr:colOff>0</xdr:colOff>
      <xdr:row>20</xdr:row>
      <xdr:rowOff>9525</xdr:rowOff>
    </xdr:to>
    <xdr:sp macro="" textlink="">
      <xdr:nvSpPr>
        <xdr:cNvPr id="11" name="Line 1"/>
        <xdr:cNvSpPr>
          <a:spLocks noChangeShapeType="1"/>
        </xdr:cNvSpPr>
      </xdr:nvSpPr>
      <xdr:spPr bwMode="auto">
        <a:xfrm>
          <a:off x="0" y="4133850"/>
          <a:ext cx="200025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8</xdr:row>
      <xdr:rowOff>9525</xdr:rowOff>
    </xdr:from>
    <xdr:to>
      <xdr:col>1</xdr:col>
      <xdr:colOff>0</xdr:colOff>
      <xdr:row>11</xdr:row>
      <xdr:rowOff>0</xdr:rowOff>
    </xdr:to>
    <xdr:sp macro="" textlink="">
      <xdr:nvSpPr>
        <xdr:cNvPr id="12" name="Line 2"/>
        <xdr:cNvSpPr>
          <a:spLocks noChangeShapeType="1"/>
        </xdr:cNvSpPr>
      </xdr:nvSpPr>
      <xdr:spPr bwMode="auto">
        <a:xfrm>
          <a:off x="19050" y="2028825"/>
          <a:ext cx="1219200" cy="6191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37</xdr:row>
      <xdr:rowOff>19050</xdr:rowOff>
    </xdr:from>
    <xdr:to>
      <xdr:col>1</xdr:col>
      <xdr:colOff>0</xdr:colOff>
      <xdr:row>39</xdr:row>
      <xdr:rowOff>9525</xdr:rowOff>
    </xdr:to>
    <xdr:sp macro="" textlink="">
      <xdr:nvSpPr>
        <xdr:cNvPr id="13" name="Line 3"/>
        <xdr:cNvSpPr>
          <a:spLocks noChangeShapeType="1"/>
        </xdr:cNvSpPr>
      </xdr:nvSpPr>
      <xdr:spPr bwMode="auto">
        <a:xfrm>
          <a:off x="9525" y="8324850"/>
          <a:ext cx="1228725" cy="4857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19050</xdr:rowOff>
    </xdr:from>
    <xdr:to>
      <xdr:col>1</xdr:col>
      <xdr:colOff>0</xdr:colOff>
      <xdr:row>11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20002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20</xdr:row>
      <xdr:rowOff>19050</xdr:rowOff>
    </xdr:from>
    <xdr:to>
      <xdr:col>1</xdr:col>
      <xdr:colOff>0</xdr:colOff>
      <xdr:row>22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5" y="4305300"/>
          <a:ext cx="9429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</xdr:row>
      <xdr:rowOff>19050</xdr:rowOff>
    </xdr:from>
    <xdr:to>
      <xdr:col>1</xdr:col>
      <xdr:colOff>0</xdr:colOff>
      <xdr:row>11</xdr:row>
      <xdr:rowOff>9525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9525" y="2000250"/>
          <a:ext cx="942975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20</xdr:row>
      <xdr:rowOff>19050</xdr:rowOff>
    </xdr:from>
    <xdr:to>
      <xdr:col>1</xdr:col>
      <xdr:colOff>0</xdr:colOff>
      <xdr:row>22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9525" y="4305300"/>
          <a:ext cx="9429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0</xdr:rowOff>
    </xdr:from>
    <xdr:to>
      <xdr:col>1</xdr:col>
      <xdr:colOff>0</xdr:colOff>
      <xdr:row>6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1085850"/>
          <a:ext cx="14192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4</xdr:row>
      <xdr:rowOff>0</xdr:rowOff>
    </xdr:from>
    <xdr:to>
      <xdr:col>1</xdr:col>
      <xdr:colOff>0</xdr:colOff>
      <xdr:row>6</xdr:row>
      <xdr:rowOff>9525</xdr:rowOff>
    </xdr:to>
    <xdr:sp macro="" textlink="">
      <xdr:nvSpPr>
        <xdr:cNvPr id="10" name="Line 1"/>
        <xdr:cNvSpPr>
          <a:spLocks noChangeShapeType="1"/>
        </xdr:cNvSpPr>
      </xdr:nvSpPr>
      <xdr:spPr bwMode="auto">
        <a:xfrm>
          <a:off x="9525" y="1085850"/>
          <a:ext cx="1419225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0</xdr:rowOff>
    </xdr:from>
    <xdr:to>
      <xdr:col>5</xdr:col>
      <xdr:colOff>885825</xdr:colOff>
      <xdr:row>39</xdr:row>
      <xdr:rowOff>123825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28</xdr:row>
      <xdr:rowOff>9525</xdr:rowOff>
    </xdr:from>
    <xdr:to>
      <xdr:col>1</xdr:col>
      <xdr:colOff>9525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6067425"/>
          <a:ext cx="121920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9</xdr:col>
      <xdr:colOff>9525</xdr:colOff>
      <xdr:row>22</xdr:row>
      <xdr:rowOff>200025</xdr:rowOff>
    </xdr:to>
    <xdr:graphicFrame macro="">
      <xdr:nvGraphicFramePr>
        <xdr:cNvPr id="3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28</xdr:row>
      <xdr:rowOff>9525</xdr:rowOff>
    </xdr:from>
    <xdr:to>
      <xdr:col>1</xdr:col>
      <xdr:colOff>9525</xdr:colOff>
      <xdr:row>30</xdr:row>
      <xdr:rowOff>0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28575" y="6067425"/>
          <a:ext cx="1219200" cy="4095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9525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0</xdr:rowOff>
    </xdr:from>
    <xdr:to>
      <xdr:col>3</xdr:col>
      <xdr:colOff>9525</xdr:colOff>
      <xdr:row>37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7467600"/>
          <a:ext cx="3152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209549</xdr:rowOff>
    </xdr:from>
    <xdr:to>
      <xdr:col>7</xdr:col>
      <xdr:colOff>57150</xdr:colOff>
      <xdr:row>32</xdr:row>
      <xdr:rowOff>200024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438150</xdr:colOff>
      <xdr:row>16</xdr:row>
      <xdr:rowOff>152400</xdr:rowOff>
    </xdr:from>
    <xdr:ext cx="569387" cy="314060"/>
    <xdr:sp macro="" textlink="">
      <xdr:nvSpPr>
        <xdr:cNvPr id="5" name="TextBox 4"/>
        <xdr:cNvSpPr txBox="1"/>
      </xdr:nvSpPr>
      <xdr:spPr>
        <a:xfrm>
          <a:off x="6724650" y="3638550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/>
            <a:t>재항고</a:t>
          </a:r>
          <a:endParaRPr lang="en-US" altLang="ko-KR" sz="1000" b="1"/>
        </a:p>
      </xdr:txBody>
    </xdr:sp>
    <xdr:clientData/>
  </xdr:oneCellAnchor>
  <xdr:oneCellAnchor>
    <xdr:from>
      <xdr:col>6</xdr:col>
      <xdr:colOff>504825</xdr:colOff>
      <xdr:row>25</xdr:row>
      <xdr:rowOff>95250</xdr:rowOff>
    </xdr:from>
    <xdr:ext cx="441146" cy="314060"/>
    <xdr:sp macro="" textlink="">
      <xdr:nvSpPr>
        <xdr:cNvPr id="6" name="TextBox 5"/>
        <xdr:cNvSpPr txBox="1"/>
      </xdr:nvSpPr>
      <xdr:spPr>
        <a:xfrm>
          <a:off x="6791325" y="5467350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/>
            <a:t>항고</a:t>
          </a:r>
          <a:endParaRPr lang="en-US" altLang="ko-KR" sz="1000" b="1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10</xdr:row>
      <xdr:rowOff>85725</xdr:rowOff>
    </xdr:from>
    <xdr:to>
      <xdr:col>1</xdr:col>
      <xdr:colOff>0</xdr:colOff>
      <xdr:row>11</xdr:row>
      <xdr:rowOff>104775</xdr:rowOff>
    </xdr:to>
    <xdr:sp macro="" textlink="">
      <xdr:nvSpPr>
        <xdr:cNvPr id="2" name="AutoShape 4"/>
        <xdr:cNvSpPr>
          <a:spLocks/>
        </xdr:cNvSpPr>
      </xdr:nvSpPr>
      <xdr:spPr bwMode="auto">
        <a:xfrm>
          <a:off x="685800" y="2181225"/>
          <a:ext cx="76200" cy="22860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9</xdr:col>
      <xdr:colOff>657225</xdr:colOff>
      <xdr:row>57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2</xdr:col>
      <xdr:colOff>0</xdr:colOff>
      <xdr:row>5</xdr:row>
      <xdr:rowOff>9525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0" y="628650"/>
          <a:ext cx="1524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21</xdr:row>
      <xdr:rowOff>9525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39814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0</xdr:rowOff>
    </xdr:from>
    <xdr:to>
      <xdr:col>1</xdr:col>
      <xdr:colOff>0</xdr:colOff>
      <xdr:row>31</xdr:row>
      <xdr:rowOff>9525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6076950"/>
          <a:ext cx="762000" cy="4286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9525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0</xdr:rowOff>
    </xdr:from>
    <xdr:to>
      <xdr:col>3</xdr:col>
      <xdr:colOff>9525</xdr:colOff>
      <xdr:row>37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7467600"/>
          <a:ext cx="3152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209549</xdr:rowOff>
    </xdr:from>
    <xdr:to>
      <xdr:col>7</xdr:col>
      <xdr:colOff>57150</xdr:colOff>
      <xdr:row>32</xdr:row>
      <xdr:rowOff>200024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495300</xdr:colOff>
      <xdr:row>19</xdr:row>
      <xdr:rowOff>123825</xdr:rowOff>
    </xdr:from>
    <xdr:ext cx="569387" cy="314060"/>
    <xdr:sp macro="" textlink="">
      <xdr:nvSpPr>
        <xdr:cNvPr id="5" name="TextBox 4"/>
        <xdr:cNvSpPr txBox="1"/>
      </xdr:nvSpPr>
      <xdr:spPr>
        <a:xfrm>
          <a:off x="6781800" y="4238625"/>
          <a:ext cx="569387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chemeClr val="tx2"/>
              </a:solidFill>
            </a:rPr>
            <a:t>재항고</a:t>
          </a:r>
          <a:endParaRPr lang="en-US" altLang="ko-KR" sz="1000" b="1">
            <a:solidFill>
              <a:schemeClr val="tx2"/>
            </a:solidFill>
          </a:endParaRPr>
        </a:p>
      </xdr:txBody>
    </xdr:sp>
    <xdr:clientData/>
  </xdr:oneCellAnchor>
  <xdr:oneCellAnchor>
    <xdr:from>
      <xdr:col>6</xdr:col>
      <xdr:colOff>523875</xdr:colOff>
      <xdr:row>27</xdr:row>
      <xdr:rowOff>28575</xdr:rowOff>
    </xdr:from>
    <xdr:ext cx="441146" cy="314060"/>
    <xdr:sp macro="" textlink="">
      <xdr:nvSpPr>
        <xdr:cNvPr id="6" name="TextBox 5"/>
        <xdr:cNvSpPr txBox="1"/>
      </xdr:nvSpPr>
      <xdr:spPr>
        <a:xfrm>
          <a:off x="6810375" y="5819775"/>
          <a:ext cx="441146" cy="314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ko-KR" altLang="en-US" sz="1000" b="1">
              <a:solidFill>
                <a:srgbClr val="FF0000"/>
              </a:solidFill>
            </a:rPr>
            <a:t>항고</a:t>
          </a:r>
          <a:endParaRPr lang="en-US" altLang="ko-KR" sz="1000" b="1">
            <a:solidFill>
              <a:srgbClr val="FF0000"/>
            </a:solidFill>
          </a:endParaRPr>
        </a:p>
      </xdr:txBody>
    </xdr:sp>
    <xdr:clientData/>
  </xdr:oneCellAnchor>
  <xdr:twoCellAnchor>
    <xdr:from>
      <xdr:col>0</xdr:col>
      <xdr:colOff>0</xdr:colOff>
      <xdr:row>47</xdr:row>
      <xdr:rowOff>0</xdr:rowOff>
    </xdr:from>
    <xdr:to>
      <xdr:col>2</xdr:col>
      <xdr:colOff>9525</xdr:colOff>
      <xdr:row>49</xdr:row>
      <xdr:rowOff>190500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9982200"/>
          <a:ext cx="2105025" cy="6096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9525</xdr:colOff>
      <xdr:row>8</xdr:row>
      <xdr:rowOff>0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0" y="628650"/>
          <a:ext cx="10572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</xdr:col>
      <xdr:colOff>9525</xdr:colOff>
      <xdr:row>20</xdr:row>
      <xdr:rowOff>0</xdr:rowOff>
    </xdr:to>
    <xdr:sp macro="" textlink="">
      <xdr:nvSpPr>
        <xdr:cNvPr id="6" name="Line 1"/>
        <xdr:cNvSpPr>
          <a:spLocks noChangeShapeType="1"/>
        </xdr:cNvSpPr>
      </xdr:nvSpPr>
      <xdr:spPr bwMode="auto">
        <a:xfrm>
          <a:off x="0" y="1466850"/>
          <a:ext cx="1247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30</xdr:row>
      <xdr:rowOff>0</xdr:rowOff>
    </xdr:from>
    <xdr:to>
      <xdr:col>1</xdr:col>
      <xdr:colOff>9525</xdr:colOff>
      <xdr:row>32</xdr:row>
      <xdr:rowOff>0</xdr:rowOff>
    </xdr:to>
    <xdr:sp macro="" textlink="">
      <xdr:nvSpPr>
        <xdr:cNvPr id="7" name="Line 1"/>
        <xdr:cNvSpPr>
          <a:spLocks noChangeShapeType="1"/>
        </xdr:cNvSpPr>
      </xdr:nvSpPr>
      <xdr:spPr bwMode="auto">
        <a:xfrm>
          <a:off x="0" y="3981450"/>
          <a:ext cx="1247775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40.bin"/><Relationship Id="rId1" Type="http://schemas.openxmlformats.org/officeDocument/2006/relationships/printerSettings" Target="../printerSettings/printerSettings3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C11"/>
  <sheetViews>
    <sheetView workbookViewId="0">
      <selection activeCell="A2" sqref="A2"/>
    </sheetView>
  </sheetViews>
  <sheetFormatPr defaultRowHeight="16.5" customHeight="1"/>
  <cols>
    <col min="1" max="1" width="8.88671875" style="355"/>
    <col min="2" max="2" width="39.77734375" style="355" bestFit="1" customWidth="1"/>
    <col min="3" max="3" width="8" style="355" customWidth="1"/>
    <col min="4" max="16384" width="8.88671875" style="354"/>
  </cols>
  <sheetData>
    <row r="5" spans="1:3" ht="16.5" customHeight="1">
      <c r="A5" s="356" t="s">
        <v>599</v>
      </c>
      <c r="B5" s="356" t="s">
        <v>601</v>
      </c>
      <c r="C5" s="356" t="s">
        <v>600</v>
      </c>
    </row>
    <row r="6" spans="1:3" ht="16.5" customHeight="1">
      <c r="A6" s="357">
        <v>1</v>
      </c>
      <c r="B6" s="358" t="s">
        <v>602</v>
      </c>
      <c r="C6" s="359" t="s">
        <v>603</v>
      </c>
    </row>
    <row r="7" spans="1:3" ht="16.5" customHeight="1">
      <c r="A7" s="357">
        <v>10</v>
      </c>
      <c r="B7" s="358" t="s">
        <v>605</v>
      </c>
      <c r="C7" s="359" t="s">
        <v>604</v>
      </c>
    </row>
    <row r="8" spans="1:3" ht="16.5" customHeight="1">
      <c r="A8" s="357">
        <v>10</v>
      </c>
      <c r="B8" s="358" t="s">
        <v>606</v>
      </c>
      <c r="C8" s="359" t="s">
        <v>604</v>
      </c>
    </row>
    <row r="9" spans="1:3" ht="16.5" customHeight="1">
      <c r="A9" s="357">
        <v>20</v>
      </c>
      <c r="B9" s="358" t="s">
        <v>615</v>
      </c>
      <c r="C9" s="359" t="s">
        <v>604</v>
      </c>
    </row>
    <row r="10" spans="1:3" ht="16.5" customHeight="1">
      <c r="A10" s="360"/>
      <c r="B10" s="361"/>
      <c r="C10" s="362"/>
    </row>
    <row r="11" spans="1:3" ht="16.5" customHeight="1">
      <c r="A11" s="360"/>
      <c r="B11" s="361"/>
      <c r="C11" s="362"/>
    </row>
  </sheetData>
  <sheetProtection algorithmName="SHA-512" hashValue="7Qr3FYRpGUKToCEriYKcs4t2qZdogJddnJz9lXOIJsg56XBjOetG6iqSAoqMH5Cbb7lky7hP8O5ICAtMVyKYog==" saltValue="vqWuRgleR3uSCPPuG8X4Bg==" spinCount="100000" sheet="1" objects="1" scenarios="1"/>
  <customSheetViews>
    <customSheetView guid="{4810CB4C-E276-4485-93D3-F920B09A4189}" state="hidden">
      <selection activeCell="A2" sqref="A2"/>
      <pageMargins left="0.7" right="0.7" top="0.75" bottom="0.75" header="0.3" footer="0.3"/>
    </customSheetView>
  </customSheetView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118"/>
  <sheetViews>
    <sheetView showGridLines="0" tabSelected="1" zoomScaleNormal="100" zoomScaleSheetLayoutView="100" workbookViewId="0"/>
  </sheetViews>
  <sheetFormatPr defaultColWidth="8" defaultRowHeight="16.5" customHeight="1"/>
  <cols>
    <col min="1" max="9" width="11.109375" style="76" customWidth="1"/>
    <col min="10" max="16384" width="8" style="47"/>
  </cols>
  <sheetData>
    <row r="1" spans="1:9" s="17" customFormat="1" ht="18.75">
      <c r="A1" s="85" t="s">
        <v>637</v>
      </c>
      <c r="B1" s="3"/>
      <c r="C1" s="3"/>
      <c r="D1" s="3"/>
      <c r="E1" s="3"/>
      <c r="F1" s="3"/>
      <c r="G1" s="3"/>
      <c r="H1" s="3"/>
      <c r="I1" s="3"/>
    </row>
    <row r="2" spans="1:9" s="17" customFormat="1" ht="16.5" customHeight="1">
      <c r="A2" s="72" t="s">
        <v>15</v>
      </c>
      <c r="B2" s="3"/>
      <c r="C2" s="3"/>
      <c r="D2" s="74"/>
      <c r="E2" s="72" t="s">
        <v>193</v>
      </c>
      <c r="F2" s="74"/>
      <c r="G2" s="3"/>
      <c r="H2" s="3"/>
      <c r="I2" s="3"/>
    </row>
    <row r="3" spans="1:9" s="17" customFormat="1" ht="16.5" customHeight="1">
      <c r="A3" s="538" t="s">
        <v>806</v>
      </c>
      <c r="B3" s="538"/>
      <c r="C3" s="538"/>
      <c r="D3" s="344"/>
      <c r="E3" s="344"/>
      <c r="F3" s="344"/>
      <c r="G3" s="344"/>
      <c r="H3" s="344"/>
      <c r="I3" s="344"/>
    </row>
    <row r="4" spans="1:9" s="17" customFormat="1" ht="16.5" customHeight="1">
      <c r="A4" s="538"/>
      <c r="B4" s="538"/>
      <c r="C4" s="538"/>
      <c r="D4" s="344"/>
      <c r="E4" s="3"/>
      <c r="F4" s="3"/>
      <c r="G4" s="3"/>
      <c r="H4" s="3"/>
      <c r="I4" s="3"/>
    </row>
    <row r="5" spans="1:9" s="17" customFormat="1" ht="16.5" customHeight="1">
      <c r="A5" s="538"/>
      <c r="B5" s="538"/>
      <c r="C5" s="538"/>
      <c r="D5" s="344"/>
      <c r="E5" s="3"/>
      <c r="F5" s="10"/>
      <c r="G5" s="349"/>
      <c r="H5" s="476" t="s">
        <v>773</v>
      </c>
      <c r="I5" s="3"/>
    </row>
    <row r="6" spans="1:9" s="17" customFormat="1" ht="16.5" customHeight="1">
      <c r="A6" s="538"/>
      <c r="B6" s="538"/>
      <c r="C6" s="538"/>
      <c r="D6" s="344"/>
      <c r="E6" s="3"/>
      <c r="F6" s="419">
        <v>38.956553209569172</v>
      </c>
      <c r="G6" s="425" t="s">
        <v>436</v>
      </c>
      <c r="H6" s="17">
        <v>686753</v>
      </c>
      <c r="I6" s="3"/>
    </row>
    <row r="7" spans="1:9" s="17" customFormat="1" ht="16.5" customHeight="1">
      <c r="A7" s="538"/>
      <c r="B7" s="538"/>
      <c r="C7" s="538"/>
      <c r="D7" s="344"/>
      <c r="E7" s="3"/>
      <c r="F7" s="419">
        <v>25.097213689729642</v>
      </c>
      <c r="G7" s="425" t="s">
        <v>443</v>
      </c>
      <c r="H7" s="17">
        <v>442431</v>
      </c>
      <c r="I7" s="3"/>
    </row>
    <row r="8" spans="1:9" s="17" customFormat="1" ht="16.5" customHeight="1">
      <c r="A8" s="538"/>
      <c r="B8" s="538"/>
      <c r="C8" s="538"/>
      <c r="D8" s="344"/>
      <c r="E8" s="3"/>
      <c r="F8" s="419">
        <v>19.685637446684918</v>
      </c>
      <c r="G8" s="425" t="s">
        <v>17</v>
      </c>
      <c r="H8" s="17">
        <v>347032</v>
      </c>
      <c r="I8" s="3"/>
    </row>
    <row r="9" spans="1:9" s="17" customFormat="1" ht="16.5" customHeight="1">
      <c r="A9" s="538"/>
      <c r="B9" s="538"/>
      <c r="C9" s="538"/>
      <c r="D9" s="344"/>
      <c r="E9" s="3"/>
      <c r="F9" s="419">
        <v>9.4956573630825662</v>
      </c>
      <c r="G9" s="425" t="s">
        <v>751</v>
      </c>
      <c r="H9" s="17">
        <v>167396</v>
      </c>
      <c r="I9" s="3"/>
    </row>
    <row r="10" spans="1:9" s="17" customFormat="1" ht="16.5" customHeight="1">
      <c r="A10" s="19"/>
      <c r="B10" s="129"/>
      <c r="C10" s="129"/>
      <c r="D10" s="344"/>
      <c r="E10" s="3"/>
      <c r="F10" s="419">
        <v>6.7</v>
      </c>
      <c r="G10" s="425" t="s">
        <v>83</v>
      </c>
      <c r="H10" s="17">
        <v>118997</v>
      </c>
      <c r="I10" s="3"/>
    </row>
    <row r="11" spans="1:9" s="17" customFormat="1" ht="16.5" customHeight="1">
      <c r="A11" s="538" t="s">
        <v>774</v>
      </c>
      <c r="B11" s="538"/>
      <c r="C11" s="538"/>
      <c r="D11" s="344"/>
      <c r="E11" s="3"/>
      <c r="F11" s="419">
        <v>1.474868523979944E-2</v>
      </c>
      <c r="G11" s="425" t="s">
        <v>19</v>
      </c>
      <c r="H11" s="17">
        <v>260</v>
      </c>
      <c r="I11" s="3"/>
    </row>
    <row r="12" spans="1:9" s="17" customFormat="1" ht="16.5" customHeight="1">
      <c r="A12" s="538"/>
      <c r="B12" s="538"/>
      <c r="C12" s="538"/>
      <c r="D12" s="344"/>
      <c r="E12" s="3"/>
      <c r="F12" s="419">
        <v>100</v>
      </c>
      <c r="G12" s="368" t="s">
        <v>31</v>
      </c>
      <c r="H12" s="17">
        <v>1762869</v>
      </c>
      <c r="I12" s="3"/>
    </row>
    <row r="13" spans="1:9" s="17" customFormat="1" ht="16.5" customHeight="1">
      <c r="A13" s="538"/>
      <c r="B13" s="538"/>
      <c r="C13" s="538"/>
      <c r="D13" s="344"/>
      <c r="E13" s="3"/>
      <c r="F13" s="3"/>
      <c r="G13" s="3"/>
      <c r="H13" s="3"/>
      <c r="I13" s="3"/>
    </row>
    <row r="14" spans="1:9" s="17" customFormat="1" ht="16.5" customHeight="1">
      <c r="A14" s="538"/>
      <c r="B14" s="538"/>
      <c r="C14" s="538"/>
      <c r="D14" s="344"/>
      <c r="E14" s="3"/>
      <c r="F14" s="3"/>
      <c r="G14" s="3"/>
      <c r="H14" s="3"/>
      <c r="I14" s="3"/>
    </row>
    <row r="15" spans="1:9" s="17" customFormat="1" ht="16.5" customHeight="1">
      <c r="A15" s="538"/>
      <c r="B15" s="538"/>
      <c r="C15" s="538"/>
      <c r="D15" s="3"/>
      <c r="E15" s="3"/>
      <c r="F15" s="3"/>
      <c r="G15" s="3"/>
      <c r="H15" s="3"/>
      <c r="I15" s="3"/>
    </row>
    <row r="16" spans="1:9" s="17" customFormat="1" ht="16.5" customHeight="1">
      <c r="A16" s="394"/>
      <c r="B16" s="394"/>
      <c r="C16" s="394"/>
      <c r="D16" s="3"/>
      <c r="E16" s="3"/>
      <c r="F16" s="3"/>
      <c r="G16" s="3"/>
      <c r="H16" s="3"/>
      <c r="I16" s="3"/>
    </row>
    <row r="17" spans="1:9" s="17" customFormat="1" ht="16.5" customHeight="1">
      <c r="A17" s="3"/>
      <c r="B17" s="3"/>
      <c r="C17" s="3"/>
      <c r="D17" s="3"/>
      <c r="E17" s="3"/>
      <c r="F17" s="3"/>
      <c r="G17" s="3"/>
      <c r="H17" s="3"/>
      <c r="I17" s="3"/>
    </row>
    <row r="18" spans="1:9" s="17" customFormat="1" ht="16.5" customHeight="1">
      <c r="A18" s="72" t="s">
        <v>647</v>
      </c>
      <c r="B18" s="3"/>
      <c r="C18" s="3"/>
      <c r="D18" s="3"/>
      <c r="E18" s="3"/>
      <c r="F18" s="3"/>
      <c r="G18" s="86"/>
      <c r="H18" s="3"/>
      <c r="I18" s="3"/>
    </row>
    <row r="19" spans="1:9" s="17" customFormat="1" ht="16.5" customHeight="1">
      <c r="A19" s="227"/>
      <c r="B19" s="141"/>
      <c r="C19" s="347" t="s">
        <v>36</v>
      </c>
      <c r="D19" s="546" t="s">
        <v>771</v>
      </c>
      <c r="E19" s="546"/>
      <c r="F19" s="546" t="s">
        <v>741</v>
      </c>
      <c r="G19" s="546"/>
      <c r="H19" s="544" t="s">
        <v>735</v>
      </c>
      <c r="I19" s="545"/>
    </row>
    <row r="20" spans="1:9" s="17" customFormat="1" ht="16.5" customHeight="1">
      <c r="A20" s="227" t="s">
        <v>444</v>
      </c>
      <c r="B20" s="141"/>
      <c r="C20" s="207"/>
      <c r="D20" s="345" t="s">
        <v>182</v>
      </c>
      <c r="E20" s="345" t="s">
        <v>30</v>
      </c>
      <c r="F20" s="423" t="s">
        <v>182</v>
      </c>
      <c r="G20" s="423" t="s">
        <v>30</v>
      </c>
      <c r="H20" s="423" t="s">
        <v>182</v>
      </c>
      <c r="I20" s="423" t="s">
        <v>30</v>
      </c>
    </row>
    <row r="21" spans="1:9" s="17" customFormat="1" ht="16.5" customHeight="1">
      <c r="A21" s="550" t="s">
        <v>86</v>
      </c>
      <c r="B21" s="551"/>
      <c r="C21" s="552"/>
      <c r="D21" s="111">
        <v>1762869</v>
      </c>
      <c r="E21" s="112">
        <v>1741590</v>
      </c>
      <c r="F21" s="111">
        <v>1653686</v>
      </c>
      <c r="G21" s="112">
        <v>1629224</v>
      </c>
      <c r="H21" s="111">
        <v>1517547</v>
      </c>
      <c r="I21" s="112">
        <v>1501959</v>
      </c>
    </row>
    <row r="22" spans="1:9" s="17" customFormat="1" ht="16.5" customHeight="1">
      <c r="A22" s="547" t="s">
        <v>16</v>
      </c>
      <c r="B22" s="540"/>
      <c r="C22" s="541"/>
      <c r="D22" s="111">
        <v>347292</v>
      </c>
      <c r="E22" s="112">
        <v>333547</v>
      </c>
      <c r="F22" s="111">
        <v>337818</v>
      </c>
      <c r="G22" s="112">
        <v>326120</v>
      </c>
      <c r="H22" s="111">
        <v>310502</v>
      </c>
      <c r="I22" s="112">
        <v>313222</v>
      </c>
    </row>
    <row r="23" spans="1:9" s="17" customFormat="1" ht="16.5" customHeight="1">
      <c r="A23" s="539" t="s">
        <v>445</v>
      </c>
      <c r="B23" s="540"/>
      <c r="C23" s="541"/>
      <c r="D23" s="111">
        <v>1415577</v>
      </c>
      <c r="E23" s="112">
        <v>1408043</v>
      </c>
      <c r="F23" s="111">
        <v>1315868</v>
      </c>
      <c r="G23" s="112">
        <v>1303104</v>
      </c>
      <c r="H23" s="111">
        <v>1207045</v>
      </c>
      <c r="I23" s="112">
        <v>1188737</v>
      </c>
    </row>
    <row r="24" spans="1:9" s="17" customFormat="1" ht="16.5" customHeight="1">
      <c r="A24" s="542" t="s">
        <v>446</v>
      </c>
      <c r="B24" s="543" t="s">
        <v>447</v>
      </c>
      <c r="C24" s="87" t="s">
        <v>448</v>
      </c>
      <c r="D24" s="113">
        <v>5718</v>
      </c>
      <c r="E24" s="114">
        <v>4836</v>
      </c>
      <c r="F24" s="113">
        <v>4094</v>
      </c>
      <c r="G24" s="114">
        <v>3852</v>
      </c>
      <c r="H24" s="113">
        <v>3259</v>
      </c>
      <c r="I24" s="114">
        <v>3379</v>
      </c>
    </row>
    <row r="25" spans="1:9" s="17" customFormat="1" ht="16.5" customHeight="1">
      <c r="A25" s="542"/>
      <c r="B25" s="543"/>
      <c r="C25" s="87" t="s">
        <v>449</v>
      </c>
      <c r="D25" s="113">
        <v>18988</v>
      </c>
      <c r="E25" s="114">
        <v>19004</v>
      </c>
      <c r="F25" s="113">
        <v>16787</v>
      </c>
      <c r="G25" s="114">
        <v>16349</v>
      </c>
      <c r="H25" s="113">
        <v>15814</v>
      </c>
      <c r="I25" s="114">
        <v>15901</v>
      </c>
    </row>
    <row r="26" spans="1:9" s="17" customFormat="1" ht="16.5" customHeight="1">
      <c r="A26" s="542"/>
      <c r="B26" s="543"/>
      <c r="C26" s="87" t="s">
        <v>451</v>
      </c>
      <c r="D26" s="113">
        <v>183</v>
      </c>
      <c r="E26" s="114">
        <v>204</v>
      </c>
      <c r="F26" s="113">
        <v>221</v>
      </c>
      <c r="G26" s="114">
        <v>218</v>
      </c>
      <c r="H26" s="113">
        <v>106</v>
      </c>
      <c r="I26" s="114">
        <v>152</v>
      </c>
    </row>
    <row r="27" spans="1:9" s="17" customFormat="1" ht="16.5" customHeight="1">
      <c r="A27" s="542"/>
      <c r="B27" s="543" t="s">
        <v>453</v>
      </c>
      <c r="C27" s="87" t="s">
        <v>450</v>
      </c>
      <c r="D27" s="113">
        <v>12570</v>
      </c>
      <c r="E27" s="114">
        <v>12335</v>
      </c>
      <c r="F27" s="113">
        <v>12268</v>
      </c>
      <c r="G27" s="114">
        <v>11508</v>
      </c>
      <c r="H27" s="113">
        <v>10059</v>
      </c>
      <c r="I27" s="114">
        <v>9201</v>
      </c>
    </row>
    <row r="28" spans="1:9" s="17" customFormat="1" ht="16.5" customHeight="1">
      <c r="A28" s="542"/>
      <c r="B28" s="543"/>
      <c r="C28" s="87" t="s">
        <v>452</v>
      </c>
      <c r="D28" s="113">
        <v>69592</v>
      </c>
      <c r="E28" s="114">
        <v>68420</v>
      </c>
      <c r="F28" s="113">
        <v>67185</v>
      </c>
      <c r="G28" s="114">
        <v>62981</v>
      </c>
      <c r="H28" s="113">
        <v>61108</v>
      </c>
      <c r="I28" s="114">
        <v>60835</v>
      </c>
    </row>
    <row r="29" spans="1:9" s="17" customFormat="1" ht="16.5" customHeight="1">
      <c r="A29" s="542"/>
      <c r="B29" s="543" t="s">
        <v>455</v>
      </c>
      <c r="C29" s="87" t="s">
        <v>448</v>
      </c>
      <c r="D29" s="113">
        <v>27916</v>
      </c>
      <c r="E29" s="114">
        <v>22677</v>
      </c>
      <c r="F29" s="113">
        <v>21497</v>
      </c>
      <c r="G29" s="114">
        <v>22443</v>
      </c>
      <c r="H29" s="113">
        <v>21287</v>
      </c>
      <c r="I29" s="114">
        <v>19800</v>
      </c>
    </row>
    <row r="30" spans="1:9" s="17" customFormat="1" ht="16.5" customHeight="1">
      <c r="A30" s="542"/>
      <c r="B30" s="543"/>
      <c r="C30" s="87" t="s">
        <v>449</v>
      </c>
      <c r="D30" s="113">
        <v>212065</v>
      </c>
      <c r="E30" s="114">
        <v>205815</v>
      </c>
      <c r="F30" s="113">
        <v>215484</v>
      </c>
      <c r="G30" s="114">
        <v>208484</v>
      </c>
      <c r="H30" s="113">
        <v>198621</v>
      </c>
      <c r="I30" s="114">
        <v>203704</v>
      </c>
    </row>
    <row r="31" spans="1:9" s="17" customFormat="1" ht="16.5" customHeight="1">
      <c r="A31" s="548" t="s">
        <v>456</v>
      </c>
      <c r="B31" s="543" t="s">
        <v>447</v>
      </c>
      <c r="C31" s="549"/>
      <c r="D31" s="113">
        <v>30</v>
      </c>
      <c r="E31" s="114">
        <v>29</v>
      </c>
      <c r="F31" s="113">
        <v>26</v>
      </c>
      <c r="G31" s="114">
        <v>23</v>
      </c>
      <c r="H31" s="113">
        <v>19</v>
      </c>
      <c r="I31" s="114">
        <v>17</v>
      </c>
    </row>
    <row r="32" spans="1:9" s="17" customFormat="1" ht="16.5" customHeight="1">
      <c r="A32" s="548"/>
      <c r="B32" s="543" t="s">
        <v>453</v>
      </c>
      <c r="C32" s="549"/>
      <c r="D32" s="113">
        <v>89</v>
      </c>
      <c r="E32" s="114">
        <v>92</v>
      </c>
      <c r="F32" s="113">
        <v>97</v>
      </c>
      <c r="G32" s="114">
        <v>87</v>
      </c>
      <c r="H32" s="113">
        <v>81</v>
      </c>
      <c r="I32" s="114">
        <v>80</v>
      </c>
    </row>
    <row r="33" spans="1:9" s="17" customFormat="1" ht="16.5" customHeight="1">
      <c r="A33" s="548"/>
      <c r="B33" s="543" t="s">
        <v>455</v>
      </c>
      <c r="C33" s="549"/>
      <c r="D33" s="113">
        <v>141</v>
      </c>
      <c r="E33" s="114">
        <v>135</v>
      </c>
      <c r="F33" s="113">
        <v>159</v>
      </c>
      <c r="G33" s="114">
        <v>175</v>
      </c>
      <c r="H33" s="113">
        <v>148</v>
      </c>
      <c r="I33" s="114">
        <v>153</v>
      </c>
    </row>
    <row r="34" spans="1:9" s="17" customFormat="1" ht="16.5" customHeight="1">
      <c r="A34" s="536" t="s">
        <v>458</v>
      </c>
      <c r="B34" s="530"/>
      <c r="C34" s="531"/>
      <c r="D34" s="311">
        <v>442431</v>
      </c>
      <c r="E34" s="110">
        <v>440387</v>
      </c>
      <c r="F34" s="311">
        <v>429944</v>
      </c>
      <c r="G34" s="110">
        <v>421624</v>
      </c>
      <c r="H34" s="311">
        <v>416410</v>
      </c>
      <c r="I34" s="110">
        <v>407119</v>
      </c>
    </row>
    <row r="35" spans="1:9" s="17" customFormat="1" ht="16.5" customHeight="1">
      <c r="A35" s="536" t="s">
        <v>28</v>
      </c>
      <c r="B35" s="530"/>
      <c r="C35" s="531"/>
      <c r="D35" s="113">
        <v>118997</v>
      </c>
      <c r="E35" s="114">
        <v>118997</v>
      </c>
      <c r="F35" s="113">
        <v>129744</v>
      </c>
      <c r="G35" s="114">
        <v>129744</v>
      </c>
      <c r="H35" s="113">
        <v>135327</v>
      </c>
      <c r="I35" s="114">
        <v>135327</v>
      </c>
    </row>
    <row r="36" spans="1:9" s="17" customFormat="1" ht="16.5" customHeight="1">
      <c r="A36" s="536" t="s">
        <v>27</v>
      </c>
      <c r="B36" s="530" t="s">
        <v>454</v>
      </c>
      <c r="C36" s="531"/>
      <c r="D36" s="113">
        <v>34</v>
      </c>
      <c r="E36" s="114">
        <v>34</v>
      </c>
      <c r="F36" s="113">
        <v>21</v>
      </c>
      <c r="G36" s="114">
        <v>21</v>
      </c>
      <c r="H36" s="113">
        <v>13</v>
      </c>
      <c r="I36" s="114">
        <v>13</v>
      </c>
    </row>
    <row r="37" spans="1:9" s="17" customFormat="1" ht="16.5" customHeight="1">
      <c r="A37" s="536"/>
      <c r="B37" s="530" t="s">
        <v>450</v>
      </c>
      <c r="C37" s="531"/>
      <c r="D37" s="113">
        <v>454</v>
      </c>
      <c r="E37" s="114">
        <v>454</v>
      </c>
      <c r="F37" s="113">
        <v>359</v>
      </c>
      <c r="G37" s="114">
        <v>359</v>
      </c>
      <c r="H37" s="113">
        <v>317</v>
      </c>
      <c r="I37" s="114">
        <v>317</v>
      </c>
    </row>
    <row r="38" spans="1:9" s="17" customFormat="1" ht="16.5" customHeight="1">
      <c r="A38" s="536"/>
      <c r="B38" s="530" t="s">
        <v>452</v>
      </c>
      <c r="C38" s="531"/>
      <c r="D38" s="113">
        <v>686265</v>
      </c>
      <c r="E38" s="114">
        <v>686240</v>
      </c>
      <c r="F38" s="113">
        <v>603389</v>
      </c>
      <c r="G38" s="114">
        <v>603396</v>
      </c>
      <c r="H38" s="113">
        <v>526426</v>
      </c>
      <c r="I38" s="114">
        <v>526424</v>
      </c>
    </row>
    <row r="39" spans="1:9" s="17" customFormat="1" ht="16.5" customHeight="1">
      <c r="A39" s="536" t="s">
        <v>459</v>
      </c>
      <c r="B39" s="530" t="s">
        <v>454</v>
      </c>
      <c r="C39" s="531"/>
      <c r="D39" s="113">
        <v>20516</v>
      </c>
      <c r="E39" s="114">
        <v>13023</v>
      </c>
      <c r="F39" s="113">
        <v>9727</v>
      </c>
      <c r="G39" s="114">
        <v>8481</v>
      </c>
      <c r="H39" s="113">
        <v>6401</v>
      </c>
      <c r="I39" s="114">
        <v>6270</v>
      </c>
    </row>
    <row r="40" spans="1:9" s="17" customFormat="1" ht="16.5" customHeight="1">
      <c r="A40" s="536"/>
      <c r="B40" s="530" t="s">
        <v>450</v>
      </c>
      <c r="C40" s="531"/>
      <c r="D40" s="113">
        <v>28867</v>
      </c>
      <c r="E40" s="114">
        <v>33137</v>
      </c>
      <c r="F40" s="113">
        <v>24412</v>
      </c>
      <c r="G40" s="114">
        <v>21942</v>
      </c>
      <c r="H40" s="113">
        <v>17359</v>
      </c>
      <c r="I40" s="114">
        <v>15279</v>
      </c>
    </row>
    <row r="41" spans="1:9" s="17" customFormat="1" ht="16.5" customHeight="1">
      <c r="A41" s="537"/>
      <c r="B41" s="534" t="s">
        <v>452</v>
      </c>
      <c r="C41" s="535"/>
      <c r="D41" s="115">
        <v>118013</v>
      </c>
      <c r="E41" s="116">
        <v>115771</v>
      </c>
      <c r="F41" s="115">
        <v>118272</v>
      </c>
      <c r="G41" s="116">
        <v>117537</v>
      </c>
      <c r="H41" s="115">
        <v>104792</v>
      </c>
      <c r="I41" s="116">
        <v>97988</v>
      </c>
    </row>
    <row r="42" spans="1:9" s="17" customFormat="1" ht="16.5" customHeight="1">
      <c r="A42" s="3" t="s">
        <v>460</v>
      </c>
      <c r="B42" s="3"/>
      <c r="C42" s="3"/>
      <c r="D42" s="3"/>
      <c r="E42" s="3"/>
      <c r="F42" s="3"/>
      <c r="G42" s="3"/>
      <c r="H42" s="3"/>
      <c r="I42" s="3"/>
    </row>
    <row r="43" spans="1:9" s="17" customFormat="1" ht="16.5" customHeight="1">
      <c r="A43" s="386" t="s">
        <v>582</v>
      </c>
      <c r="B43" s="343"/>
      <c r="C43" s="343"/>
      <c r="D43" s="3"/>
      <c r="E43" s="3"/>
      <c r="F43" s="3"/>
      <c r="G43" s="3"/>
      <c r="H43" s="3"/>
      <c r="I43" s="3"/>
    </row>
    <row r="44" spans="1:9" s="17" customFormat="1" ht="16.5" customHeight="1">
      <c r="A44" s="3" t="s">
        <v>816</v>
      </c>
      <c r="B44" s="3"/>
      <c r="C44" s="3"/>
      <c r="D44" s="3"/>
      <c r="E44" s="3"/>
      <c r="F44" s="3"/>
      <c r="G44" s="3"/>
      <c r="H44" s="3"/>
      <c r="I44" s="3"/>
    </row>
    <row r="45" spans="1:9" s="17" customFormat="1" ht="16.5" customHeight="1">
      <c r="A45" s="343"/>
      <c r="B45" s="343"/>
      <c r="C45" s="343"/>
      <c r="D45" s="3"/>
      <c r="E45" s="3"/>
      <c r="F45" s="3"/>
      <c r="G45" s="3"/>
      <c r="H45" s="3"/>
      <c r="I45" s="3"/>
    </row>
    <row r="46" spans="1:9" s="17" customFormat="1" ht="16.5" customHeight="1">
      <c r="A46" s="343"/>
      <c r="B46" s="343"/>
      <c r="C46" s="343"/>
      <c r="D46" s="3"/>
      <c r="E46" s="3"/>
      <c r="F46" s="3"/>
      <c r="G46" s="3"/>
      <c r="H46" s="3"/>
      <c r="I46" s="3"/>
    </row>
    <row r="47" spans="1:9" s="17" customFormat="1" ht="16.5" customHeight="1">
      <c r="A47" s="343"/>
      <c r="B47" s="343"/>
      <c r="C47" s="343"/>
      <c r="D47" s="3"/>
      <c r="E47" s="3"/>
      <c r="F47" s="3"/>
      <c r="G47" s="3"/>
      <c r="H47" s="3"/>
      <c r="I47" s="3"/>
    </row>
    <row r="48" spans="1:9" s="17" customFormat="1" ht="16.5" customHeight="1">
      <c r="A48" s="57" t="s">
        <v>649</v>
      </c>
      <c r="B48" s="3"/>
      <c r="C48" s="3"/>
      <c r="D48" s="3"/>
      <c r="E48" s="3"/>
      <c r="F48" s="3"/>
      <c r="G48" s="3"/>
      <c r="H48" s="3"/>
      <c r="I48" s="3"/>
    </row>
    <row r="49" spans="1:9" ht="16.5" customHeight="1">
      <c r="A49" s="57"/>
      <c r="B49" s="57"/>
      <c r="C49" s="57"/>
      <c r="D49" s="57"/>
      <c r="E49" s="57"/>
      <c r="F49" s="57"/>
      <c r="G49" s="57"/>
      <c r="H49" s="57"/>
      <c r="I49" s="57"/>
    </row>
    <row r="50" spans="1:9" ht="16.5" customHeight="1">
      <c r="A50" s="72" t="s">
        <v>461</v>
      </c>
      <c r="B50" s="343"/>
      <c r="C50" s="343"/>
      <c r="D50" s="3"/>
      <c r="E50" s="3"/>
      <c r="F50" s="3"/>
      <c r="G50" s="3"/>
      <c r="H50" s="3"/>
      <c r="I50" s="3"/>
    </row>
    <row r="51" spans="1:9" ht="16.5" customHeight="1">
      <c r="A51" s="343"/>
      <c r="B51" s="343"/>
      <c r="C51" s="343"/>
      <c r="D51" s="3"/>
      <c r="E51" s="3"/>
      <c r="F51" s="3"/>
      <c r="G51" s="3"/>
      <c r="H51" s="3"/>
      <c r="I51" s="3"/>
    </row>
    <row r="52" spans="1:9" ht="16.5" customHeight="1">
      <c r="A52" s="343"/>
      <c r="B52" s="343"/>
      <c r="C52" s="343"/>
      <c r="D52" s="3"/>
      <c r="E52" s="3"/>
      <c r="F52" s="3"/>
      <c r="G52" s="3"/>
      <c r="H52" s="3"/>
      <c r="I52" s="3"/>
    </row>
    <row r="53" spans="1:9" ht="16.5" customHeight="1">
      <c r="A53" s="343"/>
      <c r="B53" s="343"/>
      <c r="C53" s="47"/>
      <c r="D53" s="234" t="s">
        <v>462</v>
      </c>
      <c r="E53" s="363"/>
      <c r="F53" s="363"/>
      <c r="G53" s="363"/>
      <c r="H53" s="363"/>
      <c r="I53" s="363"/>
    </row>
    <row r="54" spans="1:9" ht="16.5" customHeight="1">
      <c r="A54" s="343"/>
      <c r="B54" s="343"/>
      <c r="C54" s="287"/>
      <c r="D54" s="525" t="s">
        <v>446</v>
      </c>
      <c r="E54" s="525" t="s">
        <v>463</v>
      </c>
      <c r="F54" s="525" t="s">
        <v>457</v>
      </c>
      <c r="G54" s="525" t="s">
        <v>464</v>
      </c>
      <c r="H54" s="525" t="s">
        <v>465</v>
      </c>
      <c r="I54" s="525" t="s">
        <v>466</v>
      </c>
    </row>
    <row r="55" spans="1:9" ht="16.5" customHeight="1">
      <c r="A55" s="343"/>
      <c r="B55" s="343"/>
      <c r="C55" s="364" t="s">
        <v>184</v>
      </c>
      <c r="D55" s="525">
        <v>356587</v>
      </c>
      <c r="E55" s="525">
        <v>312886</v>
      </c>
      <c r="F55" s="525">
        <v>104122</v>
      </c>
      <c r="G55" s="525">
        <v>61349</v>
      </c>
      <c r="H55" s="525">
        <v>868901</v>
      </c>
      <c r="I55" s="525">
        <v>1703845</v>
      </c>
    </row>
    <row r="56" spans="1:9" ht="16.5" customHeight="1">
      <c r="A56" s="343"/>
      <c r="B56" s="343"/>
      <c r="C56" s="364" t="s">
        <v>185</v>
      </c>
      <c r="D56" s="525">
        <v>368992</v>
      </c>
      <c r="E56" s="525">
        <v>310190</v>
      </c>
      <c r="F56" s="525">
        <v>119460</v>
      </c>
      <c r="G56" s="525">
        <v>56334</v>
      </c>
      <c r="H56" s="525">
        <v>800357</v>
      </c>
      <c r="I56" s="525">
        <v>1655333</v>
      </c>
    </row>
    <row r="57" spans="1:9" ht="16.5" customHeight="1">
      <c r="A57" s="343"/>
      <c r="B57" s="343"/>
      <c r="C57" s="364" t="s">
        <v>186</v>
      </c>
      <c r="D57" s="525">
        <v>378617</v>
      </c>
      <c r="E57" s="525">
        <v>307806</v>
      </c>
      <c r="F57" s="525">
        <v>127841</v>
      </c>
      <c r="G57" s="525">
        <v>53054</v>
      </c>
      <c r="H57" s="525">
        <v>751823</v>
      </c>
      <c r="I57" s="525">
        <v>1619141</v>
      </c>
    </row>
    <row r="58" spans="1:9" ht="16.5" customHeight="1">
      <c r="A58" s="343"/>
      <c r="B58" s="343"/>
      <c r="C58" s="364" t="s">
        <v>187</v>
      </c>
      <c r="D58" s="525">
        <v>358213</v>
      </c>
      <c r="E58" s="525">
        <v>372984</v>
      </c>
      <c r="F58" s="525">
        <v>126499</v>
      </c>
      <c r="G58" s="525">
        <v>56099</v>
      </c>
      <c r="H58" s="525">
        <v>743166</v>
      </c>
      <c r="I58" s="525">
        <v>1656961</v>
      </c>
    </row>
    <row r="59" spans="1:9" ht="16.5" customHeight="1">
      <c r="A59" s="343"/>
      <c r="B59" s="343"/>
      <c r="C59" s="364" t="s">
        <v>188</v>
      </c>
      <c r="D59" s="525">
        <v>366772</v>
      </c>
      <c r="E59" s="525">
        <v>367114</v>
      </c>
      <c r="F59" s="525">
        <v>117374</v>
      </c>
      <c r="G59" s="525">
        <v>46469</v>
      </c>
      <c r="H59" s="525">
        <v>684644</v>
      </c>
      <c r="I59" s="525">
        <v>1582373</v>
      </c>
    </row>
    <row r="60" spans="1:9" ht="16.5" customHeight="1">
      <c r="A60" s="343"/>
      <c r="B60" s="343"/>
      <c r="C60" s="364" t="s">
        <v>189</v>
      </c>
      <c r="D60" s="527">
        <v>363652</v>
      </c>
      <c r="E60" s="527">
        <v>380799</v>
      </c>
      <c r="F60" s="527">
        <v>111525</v>
      </c>
      <c r="G60" s="527">
        <v>54239</v>
      </c>
      <c r="H60" s="527">
        <v>667471</v>
      </c>
      <c r="I60" s="525">
        <v>1577686</v>
      </c>
    </row>
    <row r="61" spans="1:9" ht="16.5" customHeight="1">
      <c r="A61" s="343"/>
      <c r="B61" s="343"/>
      <c r="C61" s="364" t="s">
        <v>190</v>
      </c>
      <c r="D61" s="527">
        <v>389155</v>
      </c>
      <c r="E61" s="527">
        <v>392456</v>
      </c>
      <c r="F61" s="527">
        <v>104541</v>
      </c>
      <c r="G61" s="527">
        <v>74580</v>
      </c>
      <c r="H61" s="527">
        <v>684072</v>
      </c>
      <c r="I61" s="525">
        <v>1644804</v>
      </c>
    </row>
    <row r="62" spans="1:9" ht="16.5" customHeight="1">
      <c r="A62" s="343"/>
      <c r="B62" s="343"/>
      <c r="C62" s="364" t="s">
        <v>191</v>
      </c>
      <c r="D62" s="527">
        <v>371887</v>
      </c>
      <c r="E62" s="527">
        <v>396698</v>
      </c>
      <c r="F62" s="527">
        <v>101938</v>
      </c>
      <c r="G62" s="527">
        <v>70319</v>
      </c>
      <c r="H62" s="527">
        <v>605755</v>
      </c>
      <c r="I62" s="525">
        <v>1546597</v>
      </c>
    </row>
    <row r="63" spans="1:9" ht="16.5" customHeight="1">
      <c r="A63" s="343"/>
      <c r="B63" s="343"/>
      <c r="C63" s="364" t="s">
        <v>192</v>
      </c>
      <c r="D63" s="527">
        <v>339753</v>
      </c>
      <c r="E63" s="527">
        <v>429985</v>
      </c>
      <c r="F63" s="527">
        <v>99770</v>
      </c>
      <c r="G63" s="527">
        <v>65280</v>
      </c>
      <c r="H63" s="527">
        <v>520947</v>
      </c>
      <c r="I63" s="525">
        <v>1455735</v>
      </c>
    </row>
    <row r="64" spans="1:9" ht="16.5" customHeight="1">
      <c r="A64" s="343"/>
      <c r="B64" s="343"/>
      <c r="C64" s="364" t="s">
        <v>431</v>
      </c>
      <c r="D64" s="527">
        <v>343150</v>
      </c>
      <c r="E64" s="527">
        <v>466329</v>
      </c>
      <c r="F64" s="527">
        <v>112359</v>
      </c>
      <c r="G64" s="527">
        <v>67864</v>
      </c>
      <c r="H64" s="527">
        <v>491690</v>
      </c>
      <c r="I64" s="525">
        <v>1481392</v>
      </c>
    </row>
    <row r="65" spans="1:9" ht="16.5" customHeight="1">
      <c r="A65" s="343"/>
      <c r="B65" s="343"/>
      <c r="C65" s="364" t="s">
        <v>578</v>
      </c>
      <c r="D65" s="527">
        <v>352843</v>
      </c>
      <c r="E65" s="527">
        <v>474804</v>
      </c>
      <c r="F65" s="527">
        <v>119379</v>
      </c>
      <c r="G65" s="527">
        <v>76100</v>
      </c>
      <c r="H65" s="527">
        <v>440715</v>
      </c>
      <c r="I65" s="525">
        <v>1463841</v>
      </c>
    </row>
    <row r="66" spans="1:9" ht="16.5" customHeight="1">
      <c r="A66" s="343"/>
      <c r="B66" s="343"/>
      <c r="C66" s="364" t="s">
        <v>737</v>
      </c>
      <c r="D66" s="527">
        <v>319750</v>
      </c>
      <c r="E66" s="527">
        <v>486697</v>
      </c>
      <c r="F66" s="527">
        <v>118045</v>
      </c>
      <c r="G66" s="527">
        <v>113728</v>
      </c>
      <c r="H66" s="527">
        <v>381073</v>
      </c>
      <c r="I66" s="525">
        <v>1419293</v>
      </c>
    </row>
    <row r="67" spans="1:9" ht="16.5" customHeight="1">
      <c r="C67" s="364" t="s">
        <v>745</v>
      </c>
      <c r="D67" s="527">
        <v>310502</v>
      </c>
      <c r="E67" s="527">
        <v>526756</v>
      </c>
      <c r="F67" s="527">
        <v>128552</v>
      </c>
      <c r="G67" s="527">
        <v>135327</v>
      </c>
      <c r="H67" s="527">
        <v>416410</v>
      </c>
      <c r="I67" s="525">
        <v>1517547</v>
      </c>
    </row>
    <row r="68" spans="1:9" ht="16.5" customHeight="1">
      <c r="C68" s="364" t="s">
        <v>756</v>
      </c>
      <c r="D68" s="527">
        <v>337818</v>
      </c>
      <c r="E68" s="527">
        <v>603769</v>
      </c>
      <c r="F68" s="527">
        <v>152411</v>
      </c>
      <c r="G68" s="527">
        <v>129744</v>
      </c>
      <c r="H68" s="527">
        <v>429944</v>
      </c>
      <c r="I68" s="525">
        <v>1653686</v>
      </c>
    </row>
    <row r="69" spans="1:9" ht="16.5" customHeight="1">
      <c r="C69" s="364" t="s">
        <v>772</v>
      </c>
      <c r="D69" s="527">
        <v>347292</v>
      </c>
      <c r="E69" s="527">
        <v>686753</v>
      </c>
      <c r="F69" s="527">
        <v>167396</v>
      </c>
      <c r="G69" s="527">
        <v>118997</v>
      </c>
      <c r="H69" s="527">
        <v>442431</v>
      </c>
      <c r="I69" s="525">
        <v>1762869</v>
      </c>
    </row>
    <row r="71" spans="1:9" ht="16.5" customHeight="1">
      <c r="A71" s="396" t="s">
        <v>596</v>
      </c>
    </row>
    <row r="75" spans="1:9" ht="16.5" customHeight="1">
      <c r="A75" s="365"/>
      <c r="B75" s="365" t="s">
        <v>607</v>
      </c>
      <c r="C75" s="366" t="s">
        <v>94</v>
      </c>
      <c r="D75" s="366" t="s">
        <v>95</v>
      </c>
    </row>
    <row r="76" spans="1:9" ht="16.5" customHeight="1">
      <c r="A76" s="367" t="s">
        <v>187</v>
      </c>
      <c r="B76" s="486">
        <v>3519</v>
      </c>
      <c r="C76" s="485">
        <v>932</v>
      </c>
      <c r="D76" s="485">
        <v>245</v>
      </c>
    </row>
    <row r="77" spans="1:9" ht="16.5" customHeight="1">
      <c r="A77" s="367" t="s">
        <v>188</v>
      </c>
      <c r="B77" s="486">
        <v>3751</v>
      </c>
      <c r="C77" s="485">
        <v>1163</v>
      </c>
      <c r="D77" s="485">
        <v>250</v>
      </c>
    </row>
    <row r="78" spans="1:9" ht="16.5" customHeight="1">
      <c r="A78" s="367" t="s">
        <v>189</v>
      </c>
      <c r="B78" s="486">
        <v>4694</v>
      </c>
      <c r="C78" s="485">
        <v>1690</v>
      </c>
      <c r="D78" s="485">
        <v>309</v>
      </c>
    </row>
    <row r="79" spans="1:9" ht="16.5" customHeight="1">
      <c r="A79" s="367" t="s">
        <v>190</v>
      </c>
      <c r="B79" s="486">
        <v>4730</v>
      </c>
      <c r="C79" s="485">
        <v>1789</v>
      </c>
      <c r="D79" s="485">
        <v>438</v>
      </c>
    </row>
    <row r="80" spans="1:9" ht="16.5" customHeight="1">
      <c r="A80" s="367" t="s">
        <v>191</v>
      </c>
      <c r="B80" s="486">
        <v>4468</v>
      </c>
      <c r="C80" s="485">
        <v>1669</v>
      </c>
      <c r="D80" s="485">
        <v>360</v>
      </c>
    </row>
    <row r="81" spans="1:9" ht="16.5" customHeight="1">
      <c r="A81" s="367" t="s">
        <v>192</v>
      </c>
      <c r="B81" s="486">
        <v>4497</v>
      </c>
      <c r="C81" s="485">
        <v>1691</v>
      </c>
      <c r="D81" s="485">
        <v>370</v>
      </c>
    </row>
    <row r="82" spans="1:9" ht="16.5" customHeight="1">
      <c r="A82" s="367" t="s">
        <v>431</v>
      </c>
      <c r="B82" s="486">
        <v>5221</v>
      </c>
      <c r="C82" s="486">
        <v>1742</v>
      </c>
      <c r="D82" s="486">
        <v>349</v>
      </c>
    </row>
    <row r="83" spans="1:9" ht="16.5" customHeight="1">
      <c r="A83" s="367" t="s">
        <v>578</v>
      </c>
      <c r="B83" s="486">
        <v>5630</v>
      </c>
      <c r="C83" s="486">
        <v>1934</v>
      </c>
      <c r="D83" s="486">
        <v>409</v>
      </c>
    </row>
    <row r="84" spans="1:9" ht="16.5" customHeight="1">
      <c r="A84" s="367" t="s">
        <v>589</v>
      </c>
      <c r="B84" s="486">
        <v>5339</v>
      </c>
      <c r="C84" s="486">
        <v>2095</v>
      </c>
      <c r="D84" s="486">
        <v>409</v>
      </c>
    </row>
    <row r="85" spans="1:9" ht="16.5" customHeight="1">
      <c r="A85" s="367" t="s">
        <v>736</v>
      </c>
      <c r="B85" s="486">
        <v>5741</v>
      </c>
      <c r="C85" s="486">
        <v>2226</v>
      </c>
      <c r="D85" s="486">
        <v>437</v>
      </c>
    </row>
    <row r="86" spans="1:9" ht="16.5" customHeight="1">
      <c r="A86" s="367" t="s">
        <v>744</v>
      </c>
      <c r="B86" s="486">
        <v>5854</v>
      </c>
      <c r="C86" s="486">
        <v>2420</v>
      </c>
      <c r="D86" s="486">
        <v>476</v>
      </c>
    </row>
    <row r="87" spans="1:9" ht="16.5" customHeight="1">
      <c r="A87" s="367" t="s">
        <v>772</v>
      </c>
      <c r="B87" s="365">
        <v>6382</v>
      </c>
      <c r="C87" s="365">
        <v>2674</v>
      </c>
      <c r="D87" s="365">
        <v>661</v>
      </c>
    </row>
    <row r="93" spans="1:9" ht="16.5" customHeight="1">
      <c r="A93" s="72" t="s">
        <v>648</v>
      </c>
      <c r="B93" s="3"/>
      <c r="C93" s="3"/>
      <c r="D93" s="3"/>
      <c r="E93" s="3"/>
      <c r="F93" s="3"/>
      <c r="G93" s="3"/>
      <c r="H93" s="53"/>
      <c r="I93" s="53"/>
    </row>
    <row r="94" spans="1:9" ht="16.5" customHeight="1">
      <c r="A94" s="473" t="s">
        <v>467</v>
      </c>
      <c r="B94" s="532" t="s">
        <v>86</v>
      </c>
      <c r="C94" s="532"/>
      <c r="D94" s="532" t="s">
        <v>177</v>
      </c>
      <c r="E94" s="532"/>
      <c r="F94" s="532" t="s">
        <v>178</v>
      </c>
      <c r="G94" s="533"/>
      <c r="H94" s="53"/>
      <c r="I94" s="53"/>
    </row>
    <row r="95" spans="1:9" ht="16.5" customHeight="1">
      <c r="A95" s="207" t="s">
        <v>468</v>
      </c>
      <c r="B95" s="478" t="s">
        <v>469</v>
      </c>
      <c r="C95" s="478" t="s">
        <v>470</v>
      </c>
      <c r="D95" s="478" t="s">
        <v>469</v>
      </c>
      <c r="E95" s="478" t="s">
        <v>470</v>
      </c>
      <c r="F95" s="478" t="s">
        <v>469</v>
      </c>
      <c r="G95" s="479" t="s">
        <v>179</v>
      </c>
      <c r="H95" s="53"/>
      <c r="I95" s="53"/>
    </row>
    <row r="96" spans="1:9" ht="16.5" customHeight="1">
      <c r="A96" s="500">
        <v>2015</v>
      </c>
      <c r="B96" s="118">
        <v>1577686</v>
      </c>
      <c r="C96" s="480">
        <v>100</v>
      </c>
      <c r="D96" s="243">
        <v>363652</v>
      </c>
      <c r="E96" s="481">
        <v>100</v>
      </c>
      <c r="F96" s="243">
        <v>667471</v>
      </c>
      <c r="G96" s="36">
        <v>100</v>
      </c>
      <c r="H96" s="53"/>
      <c r="I96" s="53"/>
    </row>
    <row r="97" spans="1:9" ht="16.5" customHeight="1">
      <c r="A97" s="500">
        <v>2016</v>
      </c>
      <c r="B97" s="118">
        <v>1644804</v>
      </c>
      <c r="C97" s="480">
        <v>104.2542052094016</v>
      </c>
      <c r="D97" s="243">
        <v>389155</v>
      </c>
      <c r="E97" s="481">
        <v>107.01302343999208</v>
      </c>
      <c r="F97" s="243">
        <v>684072</v>
      </c>
      <c r="G97" s="36">
        <v>102.48714925442455</v>
      </c>
      <c r="H97" s="53"/>
      <c r="I97" s="53"/>
    </row>
    <row r="98" spans="1:9" ht="16.5" customHeight="1">
      <c r="A98" s="500">
        <v>2017</v>
      </c>
      <c r="B98" s="118">
        <v>1546597</v>
      </c>
      <c r="C98" s="480">
        <v>98.02945579792177</v>
      </c>
      <c r="D98" s="243">
        <v>371887</v>
      </c>
      <c r="E98" s="481">
        <v>102.26452762531211</v>
      </c>
      <c r="F98" s="243">
        <v>605755</v>
      </c>
      <c r="G98" s="36">
        <v>90.753755593875979</v>
      </c>
      <c r="H98" s="53"/>
      <c r="I98" s="53"/>
    </row>
    <row r="99" spans="1:9" ht="16.5" customHeight="1">
      <c r="A99" s="500">
        <v>2018</v>
      </c>
      <c r="B99" s="118">
        <v>1455735</v>
      </c>
      <c r="C99" s="480">
        <v>92.270261636345879</v>
      </c>
      <c r="D99" s="243">
        <v>339753</v>
      </c>
      <c r="E99" s="481">
        <v>93.428057593523476</v>
      </c>
      <c r="F99" s="243">
        <v>520947</v>
      </c>
      <c r="G99" s="36">
        <v>78.04788522647425</v>
      </c>
      <c r="H99" s="53"/>
      <c r="I99" s="53"/>
    </row>
    <row r="100" spans="1:9" ht="16.5" customHeight="1">
      <c r="A100" s="500">
        <v>2019</v>
      </c>
      <c r="B100" s="118">
        <v>1481392</v>
      </c>
      <c r="C100" s="480">
        <v>93.8965041205918</v>
      </c>
      <c r="D100" s="243">
        <v>343150</v>
      </c>
      <c r="E100" s="481">
        <v>94.362192425725695</v>
      </c>
      <c r="F100" s="243">
        <v>491690</v>
      </c>
      <c r="G100" s="36">
        <v>73.664623631588483</v>
      </c>
      <c r="H100" s="53"/>
      <c r="I100" s="53"/>
    </row>
    <row r="101" spans="1:9" ht="16.5" customHeight="1">
      <c r="A101" s="500">
        <v>2020</v>
      </c>
      <c r="B101" s="118">
        <v>1463841</v>
      </c>
      <c r="C101" s="480">
        <v>92.784052086410099</v>
      </c>
      <c r="D101" s="243">
        <v>352843</v>
      </c>
      <c r="E101" s="481">
        <v>97.027652810929126</v>
      </c>
      <c r="F101" s="243">
        <v>440715</v>
      </c>
      <c r="G101" s="36">
        <v>66.027587715421348</v>
      </c>
      <c r="H101" s="53"/>
      <c r="I101" s="53"/>
    </row>
    <row r="102" spans="1:9" ht="16.5" customHeight="1">
      <c r="A102" s="500">
        <v>2021</v>
      </c>
      <c r="B102" s="118">
        <v>1419293</v>
      </c>
      <c r="C102" s="480">
        <v>89.960423049960511</v>
      </c>
      <c r="D102" s="35">
        <v>319750</v>
      </c>
      <c r="E102" s="481">
        <v>87.927469118827901</v>
      </c>
      <c r="F102" s="35">
        <v>381073</v>
      </c>
      <c r="G102" s="36">
        <v>57.092068419451934</v>
      </c>
      <c r="H102" s="53"/>
      <c r="I102" s="53"/>
    </row>
    <row r="103" spans="1:9" ht="16.5" customHeight="1">
      <c r="A103" s="500">
        <v>2022</v>
      </c>
      <c r="B103" s="118">
        <v>1517547</v>
      </c>
      <c r="C103" s="480">
        <v>96.188151507968001</v>
      </c>
      <c r="D103" s="35">
        <v>310502</v>
      </c>
      <c r="E103" s="481">
        <v>85.384378471725725</v>
      </c>
      <c r="F103" s="35">
        <v>416410</v>
      </c>
      <c r="G103" s="36">
        <v>62.38623101228368</v>
      </c>
      <c r="H103" s="53"/>
      <c r="I103" s="53"/>
    </row>
    <row r="104" spans="1:9" ht="16.5" customHeight="1">
      <c r="A104" s="500">
        <v>2023</v>
      </c>
      <c r="B104" s="118">
        <v>1653686</v>
      </c>
      <c r="C104" s="480">
        <v>104.81718161915616</v>
      </c>
      <c r="D104" s="35">
        <v>337818</v>
      </c>
      <c r="E104" s="481">
        <v>92.895955473914626</v>
      </c>
      <c r="F104" s="35">
        <v>429944</v>
      </c>
      <c r="G104" s="36">
        <v>64.413884648171987</v>
      </c>
      <c r="H104" s="53"/>
      <c r="I104" s="53"/>
    </row>
    <row r="105" spans="1:9" ht="16.5" customHeight="1">
      <c r="A105" s="499">
        <v>2024</v>
      </c>
      <c r="B105" s="505">
        <v>1762869</v>
      </c>
      <c r="C105" s="502">
        <v>111.73763347079205</v>
      </c>
      <c r="D105" s="506">
        <v>347292</v>
      </c>
      <c r="E105" s="503">
        <v>95.501193448681704</v>
      </c>
      <c r="F105" s="506">
        <v>442431</v>
      </c>
      <c r="G105" s="504">
        <v>66.284677536552152</v>
      </c>
      <c r="H105" s="53"/>
      <c r="I105" s="53"/>
    </row>
    <row r="106" spans="1:9" ht="16.5" customHeight="1">
      <c r="A106" s="498" t="s">
        <v>467</v>
      </c>
      <c r="B106" s="528" t="s">
        <v>180</v>
      </c>
      <c r="C106" s="528"/>
      <c r="D106" s="528" t="s">
        <v>181</v>
      </c>
      <c r="E106" s="528"/>
      <c r="F106" s="528" t="s">
        <v>752</v>
      </c>
      <c r="G106" s="529"/>
    </row>
    <row r="107" spans="1:9" ht="16.5" customHeight="1">
      <c r="A107" s="207" t="s">
        <v>468</v>
      </c>
      <c r="B107" s="478" t="s">
        <v>99</v>
      </c>
      <c r="C107" s="478" t="s">
        <v>179</v>
      </c>
      <c r="D107" s="478" t="s">
        <v>99</v>
      </c>
      <c r="E107" s="478" t="s">
        <v>179</v>
      </c>
      <c r="F107" s="478" t="s">
        <v>99</v>
      </c>
      <c r="G107" s="479" t="s">
        <v>179</v>
      </c>
    </row>
    <row r="108" spans="1:9" ht="16.5" customHeight="1">
      <c r="A108" s="475">
        <v>2015</v>
      </c>
      <c r="B108" s="243">
        <v>54239</v>
      </c>
      <c r="C108" s="481">
        <v>100</v>
      </c>
      <c r="D108" s="243">
        <v>380799</v>
      </c>
      <c r="E108" s="481">
        <v>100</v>
      </c>
      <c r="F108" s="35">
        <v>111525</v>
      </c>
      <c r="G108" s="36">
        <v>100</v>
      </c>
    </row>
    <row r="109" spans="1:9" ht="16.5" customHeight="1">
      <c r="A109" s="475">
        <v>2016</v>
      </c>
      <c r="B109" s="243">
        <v>74580</v>
      </c>
      <c r="C109" s="481">
        <v>137.50253507623665</v>
      </c>
      <c r="D109" s="243">
        <v>392456</v>
      </c>
      <c r="E109" s="481">
        <v>103.06119501364238</v>
      </c>
      <c r="F109" s="35">
        <v>104541</v>
      </c>
      <c r="G109" s="36">
        <v>93.737726967047749</v>
      </c>
    </row>
    <row r="110" spans="1:9" ht="16.5" customHeight="1">
      <c r="A110" s="475">
        <v>2017</v>
      </c>
      <c r="B110" s="243">
        <v>70319</v>
      </c>
      <c r="C110" s="481">
        <v>129.64656428031492</v>
      </c>
      <c r="D110" s="243">
        <v>396698</v>
      </c>
      <c r="E110" s="481">
        <v>104.17516852722828</v>
      </c>
      <c r="F110" s="35">
        <v>101938</v>
      </c>
      <c r="G110" s="36">
        <v>91.403721138758115</v>
      </c>
    </row>
    <row r="111" spans="1:9" ht="16.5" customHeight="1">
      <c r="A111" s="475">
        <v>2018</v>
      </c>
      <c r="B111" s="472">
        <v>65280</v>
      </c>
      <c r="C111" s="481">
        <v>120.35620125739781</v>
      </c>
      <c r="D111" s="243">
        <v>429985</v>
      </c>
      <c r="E111" s="481">
        <v>112.91652551608591</v>
      </c>
      <c r="F111" s="117">
        <v>99770</v>
      </c>
      <c r="G111" s="36">
        <v>89.459762385115454</v>
      </c>
    </row>
    <row r="112" spans="1:9" ht="16.5" customHeight="1">
      <c r="A112" s="475">
        <v>2019</v>
      </c>
      <c r="B112" s="472">
        <v>67864</v>
      </c>
      <c r="C112" s="481">
        <v>125.12030089050315</v>
      </c>
      <c r="D112" s="243">
        <v>466329</v>
      </c>
      <c r="E112" s="481">
        <v>122.46066822654471</v>
      </c>
      <c r="F112" s="117">
        <v>112359</v>
      </c>
      <c r="G112" s="36">
        <v>100.74781439139207</v>
      </c>
    </row>
    <row r="113" spans="1:7" ht="16.5" customHeight="1">
      <c r="A113" s="475">
        <v>2020</v>
      </c>
      <c r="B113" s="472">
        <v>76100</v>
      </c>
      <c r="C113" s="481">
        <v>140.30494662512214</v>
      </c>
      <c r="D113" s="243">
        <v>474804</v>
      </c>
      <c r="E113" s="481">
        <v>124.68625180213184</v>
      </c>
      <c r="F113" s="117">
        <v>119379</v>
      </c>
      <c r="G113" s="36">
        <v>107.04236718224614</v>
      </c>
    </row>
    <row r="114" spans="1:7" ht="16.5" customHeight="1">
      <c r="A114" s="475">
        <v>2021</v>
      </c>
      <c r="B114" s="472">
        <v>113728</v>
      </c>
      <c r="C114" s="481">
        <v>209.6793819945058</v>
      </c>
      <c r="D114" s="243">
        <v>486697</v>
      </c>
      <c r="E114" s="481">
        <v>127.80942176843952</v>
      </c>
      <c r="F114" s="117">
        <v>118045</v>
      </c>
      <c r="G114" s="36">
        <v>105.84622281999552</v>
      </c>
    </row>
    <row r="115" spans="1:7" ht="16.5" customHeight="1">
      <c r="A115" s="475">
        <v>2022</v>
      </c>
      <c r="B115" s="117">
        <v>135327</v>
      </c>
      <c r="C115" s="481">
        <v>249.5012813658069</v>
      </c>
      <c r="D115" s="35">
        <v>526756</v>
      </c>
      <c r="E115" s="481">
        <v>138.32914477191378</v>
      </c>
      <c r="F115" s="117">
        <v>128552</v>
      </c>
      <c r="G115" s="36">
        <v>115.26742882761714</v>
      </c>
    </row>
    <row r="116" spans="1:7" ht="16.5" customHeight="1">
      <c r="A116" s="475">
        <v>2023</v>
      </c>
      <c r="B116" s="117">
        <v>129744</v>
      </c>
      <c r="C116" s="481">
        <v>239.20794999907815</v>
      </c>
      <c r="D116" s="35">
        <v>603769</v>
      </c>
      <c r="E116" s="481">
        <v>158.55319998214281</v>
      </c>
      <c r="F116" s="35">
        <v>152411</v>
      </c>
      <c r="G116" s="36">
        <v>136.66083837704551</v>
      </c>
    </row>
    <row r="117" spans="1:7" ht="16.5" customHeight="1">
      <c r="A117" s="200">
        <v>2024</v>
      </c>
      <c r="B117" s="483">
        <v>118997</v>
      </c>
      <c r="C117" s="503">
        <v>219.39379413337267</v>
      </c>
      <c r="D117" s="482">
        <v>686753</v>
      </c>
      <c r="E117" s="503">
        <v>180.34527401595065</v>
      </c>
      <c r="F117" s="482">
        <v>167396</v>
      </c>
      <c r="G117" s="504">
        <v>150.09728760367631</v>
      </c>
    </row>
    <row r="118" spans="1:7" ht="16.5" customHeight="1">
      <c r="A118" s="3" t="s">
        <v>819</v>
      </c>
      <c r="B118" s="3"/>
      <c r="C118" s="3"/>
      <c r="D118" s="3"/>
      <c r="E118" s="3"/>
      <c r="F118" s="3"/>
      <c r="G118" s="3"/>
    </row>
  </sheetData>
  <sheetProtection algorithmName="SHA-512" hashValue="UWmZ/+XZOGHcTaR9SETlxdfHeXywTY171X+skNiVjFy/4Dcfdl3HLI06YKtdHahtbRvT2EYpTMIY1wkDD4dflw==" saltValue="pBn5I6GH84N1DXMLDE3kbA==" spinCount="100000" sheet="1" objects="1" scenarios="1"/>
  <customSheetViews>
    <customSheetView guid="{4810CB4C-E276-4485-93D3-F920B09A4189}" showPageBreaks="1" showGridLines="0" fitToPage="1" printArea="1" view="pageBreakPreview">
      <rowBreaks count="2" manualBreakCount="2">
        <brk id="47" max="8" man="1"/>
        <brk id="91" max="8" man="1"/>
      </rowBreaks>
      <pageMargins left="0.23622047244094491" right="7.874015748031496E-2" top="0.47244094488188981" bottom="0.11811023622047245" header="0.51181102362204722" footer="0.51181102362204722"/>
      <pageSetup paperSize="9" scale="87" fitToHeight="0" pageOrder="overThenDown" orientation="portrait" horizontalDpi="1200" verticalDpi="1200" r:id="rId1"/>
      <headerFooter alignWithMargins="0"/>
    </customSheetView>
  </customSheetViews>
  <mergeCells count="32">
    <mergeCell ref="H19:I19"/>
    <mergeCell ref="D19:E19"/>
    <mergeCell ref="A22:C22"/>
    <mergeCell ref="A31:A33"/>
    <mergeCell ref="B32:C32"/>
    <mergeCell ref="B31:C31"/>
    <mergeCell ref="B33:C33"/>
    <mergeCell ref="A21:C21"/>
    <mergeCell ref="F19:G19"/>
    <mergeCell ref="A39:A41"/>
    <mergeCell ref="A3:C9"/>
    <mergeCell ref="A23:C23"/>
    <mergeCell ref="A24:A30"/>
    <mergeCell ref="B24:B26"/>
    <mergeCell ref="B27:B28"/>
    <mergeCell ref="B29:B30"/>
    <mergeCell ref="A11:C15"/>
    <mergeCell ref="A34:C34"/>
    <mergeCell ref="A35:C35"/>
    <mergeCell ref="A36:A38"/>
    <mergeCell ref="B36:C36"/>
    <mergeCell ref="B37:C37"/>
    <mergeCell ref="F106:G106"/>
    <mergeCell ref="B106:C106"/>
    <mergeCell ref="D106:E106"/>
    <mergeCell ref="B38:C38"/>
    <mergeCell ref="B94:C94"/>
    <mergeCell ref="D94:E94"/>
    <mergeCell ref="F94:G94"/>
    <mergeCell ref="B39:C39"/>
    <mergeCell ref="B40:C40"/>
    <mergeCell ref="B41:C41"/>
  </mergeCells>
  <phoneticPr fontId="6" type="noConversion"/>
  <pageMargins left="0.23622047244094491" right="7.874015748031496E-2" top="0.47244094488188981" bottom="0.11811023622047245" header="0.51181102362204722" footer="0.51181102362204722"/>
  <pageSetup paperSize="9" scale="88" fitToHeight="0" pageOrder="overThenDown" orientation="portrait" horizontalDpi="1200" verticalDpi="1200" r:id="rId2"/>
  <headerFooter alignWithMargins="0"/>
  <rowBreaks count="2" manualBreakCount="2">
    <brk id="47" max="8" man="1"/>
    <brk id="91" max="8" man="1"/>
  </row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87"/>
  <sheetViews>
    <sheetView showGridLines="0" zoomScaleNormal="100" zoomScaleSheetLayoutView="100" workbookViewId="0"/>
  </sheetViews>
  <sheetFormatPr defaultColWidth="8" defaultRowHeight="16.5" customHeight="1"/>
  <cols>
    <col min="1" max="8" width="11.109375" style="90" customWidth="1"/>
    <col min="9" max="9" width="8" style="48"/>
    <col min="10" max="16384" width="8" style="2"/>
  </cols>
  <sheetData>
    <row r="1" spans="1:9" s="1" customFormat="1" ht="16.5" customHeight="1">
      <c r="A1" s="72" t="s">
        <v>22</v>
      </c>
      <c r="B1" s="3"/>
      <c r="C1" s="3"/>
      <c r="D1" s="3"/>
      <c r="E1" s="3"/>
      <c r="F1" s="3"/>
      <c r="G1" s="3"/>
      <c r="H1" s="3"/>
      <c r="I1" s="49"/>
    </row>
    <row r="2" spans="1:9" s="1" customFormat="1" ht="16.5" customHeight="1">
      <c r="A2" s="3"/>
      <c r="B2" s="3"/>
      <c r="C2" s="3"/>
      <c r="D2" s="3"/>
      <c r="E2" s="3"/>
      <c r="F2" s="3"/>
      <c r="G2" s="3"/>
      <c r="H2" s="3"/>
      <c r="I2" s="246"/>
    </row>
    <row r="3" spans="1:9" s="1" customFormat="1" ht="16.5" customHeight="1">
      <c r="A3" s="72" t="s">
        <v>23</v>
      </c>
      <c r="B3" s="3"/>
      <c r="C3" s="3"/>
      <c r="D3" s="3"/>
      <c r="E3" s="3"/>
      <c r="F3" s="3"/>
      <c r="G3" s="3"/>
      <c r="H3" s="3"/>
      <c r="I3" s="246"/>
    </row>
    <row r="4" spans="1:9" s="1" customFormat="1" ht="16.5" customHeight="1">
      <c r="A4" s="538" t="s">
        <v>790</v>
      </c>
      <c r="B4" s="538"/>
      <c r="C4" s="538"/>
      <c r="D4" s="538"/>
      <c r="E4" s="538"/>
      <c r="F4" s="538"/>
      <c r="G4" s="538"/>
      <c r="H4" s="538"/>
      <c r="I4" s="246"/>
    </row>
    <row r="5" spans="1:9" s="1" customFormat="1" ht="16.5" customHeight="1">
      <c r="A5" s="538"/>
      <c r="B5" s="538"/>
      <c r="C5" s="538"/>
      <c r="D5" s="538"/>
      <c r="E5" s="538"/>
      <c r="F5" s="538"/>
      <c r="G5" s="538"/>
      <c r="H5" s="538"/>
      <c r="I5" s="246"/>
    </row>
    <row r="6" spans="1:9" s="1" customFormat="1" ht="16.5" customHeight="1">
      <c r="A6" s="538"/>
      <c r="B6" s="538"/>
      <c r="C6" s="538"/>
      <c r="D6" s="538"/>
      <c r="E6" s="538"/>
      <c r="F6" s="538"/>
      <c r="G6" s="538"/>
      <c r="H6" s="538"/>
      <c r="I6" s="246"/>
    </row>
    <row r="7" spans="1:9" s="1" customFormat="1" ht="16.5" customHeight="1">
      <c r="A7" s="57"/>
      <c r="B7" s="57"/>
      <c r="C7" s="57"/>
      <c r="D7" s="57"/>
      <c r="E7" s="57"/>
      <c r="F7" s="57"/>
      <c r="G7" s="57"/>
      <c r="H7" s="57"/>
      <c r="I7" s="246"/>
    </row>
    <row r="8" spans="1:9" s="1" customFormat="1" ht="16.5" customHeight="1">
      <c r="A8" s="72" t="s">
        <v>24</v>
      </c>
      <c r="B8" s="3"/>
      <c r="C8" s="3"/>
      <c r="D8" s="3"/>
      <c r="E8" s="66"/>
      <c r="F8" s="66"/>
      <c r="G8" s="66"/>
      <c r="H8" s="66"/>
      <c r="I8" s="246"/>
    </row>
    <row r="9" spans="1:9" s="1" customFormat="1" ht="16.5" customHeight="1">
      <c r="A9" s="72" t="s">
        <v>169</v>
      </c>
      <c r="B9" s="3"/>
      <c r="C9" s="3"/>
      <c r="D9" s="3"/>
      <c r="E9" s="3"/>
      <c r="F9" s="3"/>
      <c r="G9" s="3"/>
      <c r="H9" s="3"/>
      <c r="I9" s="246"/>
    </row>
    <row r="10" spans="1:9" s="1" customFormat="1" ht="16.5" customHeight="1">
      <c r="A10" s="57" t="s">
        <v>775</v>
      </c>
      <c r="B10" s="57"/>
      <c r="C10" s="57"/>
      <c r="D10" s="57"/>
      <c r="E10" s="3"/>
      <c r="F10" s="3"/>
      <c r="G10" s="53"/>
      <c r="H10" s="53"/>
      <c r="I10" s="246"/>
    </row>
    <row r="11" spans="1:9" s="1" customFormat="1" ht="16.5" customHeight="1">
      <c r="A11" s="72" t="s">
        <v>25</v>
      </c>
      <c r="B11" s="3"/>
      <c r="C11" s="3"/>
      <c r="D11" s="3"/>
      <c r="E11" s="3"/>
      <c r="F11" s="3"/>
      <c r="G11" s="3"/>
      <c r="H11" s="3"/>
      <c r="I11" s="246"/>
    </row>
    <row r="12" spans="1:9" s="1" customFormat="1" ht="16.5" customHeight="1">
      <c r="A12" s="538" t="s">
        <v>777</v>
      </c>
      <c r="B12" s="538"/>
      <c r="C12" s="538"/>
      <c r="D12" s="538"/>
      <c r="E12" s="538"/>
      <c r="F12" s="538"/>
      <c r="G12" s="538"/>
      <c r="H12" s="538"/>
      <c r="I12" s="246"/>
    </row>
    <row r="13" spans="1:9" s="1" customFormat="1" ht="16.5" customHeight="1">
      <c r="A13" s="538"/>
      <c r="B13" s="538"/>
      <c r="C13" s="538"/>
      <c r="D13" s="538"/>
      <c r="E13" s="538"/>
      <c r="F13" s="538"/>
      <c r="G13" s="538"/>
      <c r="H13" s="538"/>
      <c r="I13" s="246"/>
    </row>
    <row r="14" spans="1:9" s="1" customFormat="1" ht="16.5" customHeight="1">
      <c r="A14" s="57"/>
      <c r="B14" s="57"/>
      <c r="C14" s="57"/>
      <c r="D14" s="57"/>
      <c r="E14" s="57"/>
      <c r="F14" s="57"/>
      <c r="G14" s="57"/>
      <c r="H14" s="57"/>
      <c r="I14" s="22"/>
    </row>
    <row r="15" spans="1:9" s="1" customFormat="1" ht="16.5" customHeight="1">
      <c r="A15" s="72" t="s">
        <v>622</v>
      </c>
      <c r="B15" s="3"/>
      <c r="C15" s="3"/>
      <c r="D15" s="3"/>
      <c r="E15" s="3"/>
      <c r="F15" s="3"/>
      <c r="G15" s="3"/>
      <c r="H15" s="3"/>
      <c r="I15" s="22"/>
    </row>
    <row r="16" spans="1:9" s="1" customFormat="1" ht="16.5" customHeight="1">
      <c r="A16" s="3"/>
      <c r="B16" s="3"/>
      <c r="C16" s="3"/>
      <c r="D16" s="3"/>
      <c r="E16" s="3"/>
      <c r="F16" s="3"/>
      <c r="G16" s="3"/>
      <c r="H16" s="3"/>
      <c r="I16" s="22"/>
    </row>
    <row r="17" spans="1:9" s="1" customFormat="1" ht="16.5" customHeight="1">
      <c r="A17" s="462"/>
      <c r="B17" s="557" t="s">
        <v>80</v>
      </c>
      <c r="C17" s="556" t="s">
        <v>20</v>
      </c>
      <c r="D17" s="556"/>
      <c r="E17" s="556" t="s">
        <v>18</v>
      </c>
      <c r="F17" s="556" t="s">
        <v>152</v>
      </c>
      <c r="G17" s="3"/>
      <c r="H17" s="3"/>
      <c r="I17" s="22"/>
    </row>
    <row r="18" spans="1:9" s="1" customFormat="1" ht="16.5" customHeight="1">
      <c r="A18" s="463"/>
      <c r="B18" s="557"/>
      <c r="C18" s="365" t="s">
        <v>2</v>
      </c>
      <c r="D18" s="365" t="s">
        <v>3</v>
      </c>
      <c r="E18" s="556"/>
      <c r="F18" s="556"/>
      <c r="G18" s="3"/>
      <c r="H18" s="3"/>
      <c r="I18" s="22"/>
    </row>
    <row r="19" spans="1:9" s="1" customFormat="1" ht="16.5" customHeight="1">
      <c r="A19" s="460" t="s">
        <v>189</v>
      </c>
      <c r="B19" s="485">
        <v>259424</v>
      </c>
      <c r="C19" s="487">
        <v>10520</v>
      </c>
      <c r="D19" s="487">
        <v>69169</v>
      </c>
      <c r="E19" s="487">
        <v>24043</v>
      </c>
      <c r="F19" s="486">
        <v>363156</v>
      </c>
      <c r="G19" s="3"/>
      <c r="H19" s="3"/>
      <c r="I19" s="22"/>
    </row>
    <row r="20" spans="1:9" s="1" customFormat="1" ht="16.5" customHeight="1">
      <c r="A20" s="461" t="s">
        <v>190</v>
      </c>
      <c r="B20" s="485">
        <v>276074</v>
      </c>
      <c r="C20" s="487">
        <v>10917</v>
      </c>
      <c r="D20" s="487">
        <v>76570</v>
      </c>
      <c r="E20" s="487">
        <v>25088</v>
      </c>
      <c r="F20" s="486">
        <v>388649</v>
      </c>
      <c r="G20" s="3"/>
      <c r="H20" s="3"/>
      <c r="I20" s="22"/>
    </row>
    <row r="21" spans="1:9" s="1" customFormat="1" ht="16.5" customHeight="1">
      <c r="A21" s="460" t="s">
        <v>191</v>
      </c>
      <c r="B21" s="485">
        <v>262612</v>
      </c>
      <c r="C21" s="487">
        <v>10228</v>
      </c>
      <c r="D21" s="487">
        <v>73376</v>
      </c>
      <c r="E21" s="487">
        <v>25308</v>
      </c>
      <c r="F21" s="486">
        <v>371524</v>
      </c>
      <c r="G21" s="3"/>
      <c r="H21" s="3"/>
      <c r="I21" s="22"/>
    </row>
    <row r="22" spans="1:9" s="1" customFormat="1" ht="16.5" customHeight="1">
      <c r="A22" s="461" t="s">
        <v>192</v>
      </c>
      <c r="B22" s="485">
        <v>240244</v>
      </c>
      <c r="C22" s="487">
        <v>9729</v>
      </c>
      <c r="D22" s="487">
        <v>65523</v>
      </c>
      <c r="E22" s="487">
        <v>23975</v>
      </c>
      <c r="F22" s="486">
        <v>339471</v>
      </c>
      <c r="G22" s="3"/>
      <c r="H22" s="3"/>
      <c r="I22" s="22"/>
    </row>
    <row r="23" spans="1:9" s="1" customFormat="1" ht="16.5" customHeight="1">
      <c r="A23" s="460" t="s">
        <v>431</v>
      </c>
      <c r="B23" s="457">
        <v>247063</v>
      </c>
      <c r="C23" s="457">
        <v>9351</v>
      </c>
      <c r="D23" s="457">
        <v>64484</v>
      </c>
      <c r="E23" s="457">
        <v>21795</v>
      </c>
      <c r="F23" s="486">
        <v>342693</v>
      </c>
      <c r="G23" s="3"/>
      <c r="H23" s="3"/>
      <c r="I23" s="22"/>
    </row>
    <row r="24" spans="1:9" s="1" customFormat="1" ht="16.5" customHeight="1">
      <c r="A24" s="461" t="s">
        <v>578</v>
      </c>
      <c r="B24" s="457">
        <v>260154</v>
      </c>
      <c r="C24" s="457">
        <v>8472</v>
      </c>
      <c r="D24" s="457">
        <v>63197</v>
      </c>
      <c r="E24" s="457">
        <v>20746</v>
      </c>
      <c r="F24" s="486">
        <v>352569</v>
      </c>
      <c r="G24" s="3"/>
      <c r="H24" s="3"/>
      <c r="I24" s="22"/>
    </row>
    <row r="25" spans="1:9" s="1" customFormat="1" ht="16.5" customHeight="1">
      <c r="A25" s="460" t="s">
        <v>737</v>
      </c>
      <c r="B25" s="457">
        <v>226328</v>
      </c>
      <c r="C25" s="457">
        <v>8901</v>
      </c>
      <c r="D25" s="457">
        <v>64384</v>
      </c>
      <c r="E25" s="457">
        <v>19929</v>
      </c>
      <c r="F25" s="486">
        <v>319542</v>
      </c>
      <c r="G25" s="3"/>
      <c r="H25" s="3"/>
      <c r="I25" s="22"/>
    </row>
    <row r="26" spans="1:9" s="1" customFormat="1" ht="16.5" customHeight="1">
      <c r="A26" s="461" t="s">
        <v>745</v>
      </c>
      <c r="B26" s="457">
        <v>219908</v>
      </c>
      <c r="C26" s="457">
        <v>10059</v>
      </c>
      <c r="D26" s="457">
        <v>61108</v>
      </c>
      <c r="E26" s="457">
        <v>19179</v>
      </c>
      <c r="F26" s="486">
        <v>310254</v>
      </c>
      <c r="G26" s="3"/>
      <c r="H26" s="3"/>
      <c r="I26" s="22"/>
    </row>
    <row r="27" spans="1:9" s="1" customFormat="1" ht="16.5" customHeight="1">
      <c r="A27" s="460" t="s">
        <v>756</v>
      </c>
      <c r="B27" s="457">
        <v>236981</v>
      </c>
      <c r="C27" s="457">
        <v>12268</v>
      </c>
      <c r="D27" s="457">
        <v>67185</v>
      </c>
      <c r="E27" s="457">
        <v>21102</v>
      </c>
      <c r="F27" s="486">
        <v>337536</v>
      </c>
      <c r="G27" s="3"/>
      <c r="H27" s="3"/>
      <c r="I27" s="22"/>
    </row>
    <row r="28" spans="1:9" s="1" customFormat="1" ht="16.5" customHeight="1">
      <c r="A28" s="460" t="s">
        <v>776</v>
      </c>
      <c r="B28" s="457">
        <v>239981</v>
      </c>
      <c r="C28" s="457">
        <v>12570</v>
      </c>
      <c r="D28" s="457">
        <v>69592</v>
      </c>
      <c r="E28" s="457">
        <v>24889</v>
      </c>
      <c r="F28" s="471">
        <v>347032</v>
      </c>
      <c r="G28" s="3"/>
      <c r="H28" s="3"/>
      <c r="I28" s="22"/>
    </row>
    <row r="29" spans="1:9" s="1" customFormat="1" ht="16.5" customHeight="1">
      <c r="A29" s="3"/>
      <c r="B29" s="3"/>
      <c r="C29" s="3"/>
      <c r="D29" s="3"/>
      <c r="E29" s="3"/>
      <c r="F29" s="3"/>
      <c r="G29" s="3"/>
      <c r="H29" s="3"/>
      <c r="I29" s="22"/>
    </row>
    <row r="30" spans="1:9" s="1" customFormat="1" ht="16.5" customHeight="1">
      <c r="A30" s="3"/>
      <c r="B30" s="3"/>
      <c r="C30" s="3"/>
      <c r="D30" s="3"/>
      <c r="E30" s="3"/>
      <c r="F30" s="3"/>
      <c r="G30" s="3"/>
      <c r="H30" s="3"/>
      <c r="I30" s="22"/>
    </row>
    <row r="31" spans="1:9" s="1" customFormat="1" ht="16.5" customHeight="1">
      <c r="A31" s="3"/>
      <c r="B31" s="3"/>
      <c r="C31" s="3"/>
      <c r="D31" s="3"/>
      <c r="E31" s="3"/>
      <c r="F31" s="3"/>
      <c r="G31" s="3"/>
      <c r="H31" s="3"/>
      <c r="I31" s="22"/>
    </row>
    <row r="32" spans="1:9" ht="16.5" customHeight="1">
      <c r="A32" s="72" t="s">
        <v>623</v>
      </c>
      <c r="B32" s="3"/>
      <c r="C32" s="3"/>
      <c r="D32" s="3"/>
      <c r="E32" s="3"/>
      <c r="F32" s="3"/>
      <c r="G32" s="3"/>
      <c r="H32" s="3"/>
      <c r="I32" s="261"/>
    </row>
    <row r="33" spans="1:9" ht="16.5" customHeight="1">
      <c r="A33" s="3"/>
      <c r="B33" s="3"/>
      <c r="C33" s="3"/>
      <c r="D33" s="3"/>
      <c r="E33" s="3"/>
      <c r="F33" s="3"/>
      <c r="G33" s="3"/>
      <c r="H33" s="3"/>
      <c r="I33" s="261"/>
    </row>
    <row r="34" spans="1:9" ht="16.5" customHeight="1">
      <c r="A34" s="3"/>
      <c r="B34" s="3"/>
      <c r="C34" s="3"/>
      <c r="D34" s="3"/>
      <c r="E34" s="3"/>
      <c r="F34" s="3"/>
      <c r="G34" s="3"/>
      <c r="H34" s="3"/>
      <c r="I34" s="261"/>
    </row>
    <row r="35" spans="1:9" ht="16.5" customHeight="1">
      <c r="A35" s="3"/>
      <c r="B35" s="3"/>
      <c r="C35" s="3"/>
      <c r="D35" s="3"/>
      <c r="E35" s="3"/>
      <c r="F35" s="3"/>
      <c r="G35" s="3"/>
      <c r="H35" s="3"/>
    </row>
    <row r="36" spans="1:9" ht="16.5" customHeight="1">
      <c r="A36" s="3"/>
      <c r="B36" s="3"/>
      <c r="C36" s="3"/>
      <c r="D36" s="3"/>
      <c r="E36" s="3"/>
      <c r="F36" s="3"/>
      <c r="G36" s="3"/>
      <c r="H36" s="3"/>
      <c r="I36" s="49"/>
    </row>
    <row r="37" spans="1:9" ht="16.5" customHeight="1">
      <c r="A37" s="3"/>
      <c r="B37" s="3"/>
      <c r="C37" s="3"/>
      <c r="D37" s="3"/>
      <c r="E37" s="3"/>
      <c r="F37" s="3"/>
      <c r="G37" s="3"/>
      <c r="H37" s="3"/>
      <c r="I37" s="49"/>
    </row>
    <row r="38" spans="1:9" ht="16.5" customHeight="1">
      <c r="I38" s="49"/>
    </row>
    <row r="39" spans="1:9" ht="16.5" customHeight="1">
      <c r="I39" s="49"/>
    </row>
    <row r="40" spans="1:9" ht="16.5" customHeight="1">
      <c r="I40" s="49"/>
    </row>
    <row r="41" spans="1:9" ht="16.5" customHeight="1">
      <c r="I41" s="49"/>
    </row>
    <row r="42" spans="1:9" ht="16.5" customHeight="1">
      <c r="I42" s="49"/>
    </row>
    <row r="43" spans="1:9" ht="16.5" customHeight="1">
      <c r="I43" s="49"/>
    </row>
    <row r="44" spans="1:9" ht="16.5" customHeight="1">
      <c r="I44" s="49"/>
    </row>
    <row r="45" spans="1:9" ht="16.5" customHeight="1">
      <c r="I45" s="49"/>
    </row>
    <row r="48" spans="1:9" ht="16.5" customHeight="1">
      <c r="A48" s="72" t="s">
        <v>624</v>
      </c>
    </row>
    <row r="65" spans="1:8" ht="16.5" customHeight="1">
      <c r="A65" s="72" t="s">
        <v>650</v>
      </c>
      <c r="B65" s="3"/>
      <c r="C65" s="3"/>
      <c r="D65" s="3"/>
      <c r="E65" s="76"/>
      <c r="F65" s="76"/>
      <c r="G65" s="76"/>
      <c r="H65" s="76"/>
    </row>
    <row r="66" spans="1:8" ht="16.5" customHeight="1">
      <c r="A66" s="165" t="s">
        <v>36</v>
      </c>
      <c r="B66" s="554" t="s">
        <v>86</v>
      </c>
      <c r="C66" s="554" t="s">
        <v>194</v>
      </c>
      <c r="D66" s="555" t="s">
        <v>195</v>
      </c>
      <c r="E66" s="76"/>
      <c r="F66" s="76"/>
      <c r="G66" s="76"/>
      <c r="H66" s="76"/>
    </row>
    <row r="67" spans="1:8" ht="16.5" customHeight="1">
      <c r="A67" s="141" t="s">
        <v>227</v>
      </c>
      <c r="B67" s="554"/>
      <c r="C67" s="554"/>
      <c r="D67" s="555"/>
      <c r="E67" s="76"/>
      <c r="F67" s="76"/>
      <c r="G67" s="76"/>
      <c r="H67" s="76"/>
    </row>
    <row r="68" spans="1:8" ht="16.5" customHeight="1">
      <c r="A68" s="64" t="s">
        <v>196</v>
      </c>
      <c r="B68" s="51">
        <v>347032</v>
      </c>
      <c r="C68" s="32">
        <v>64336</v>
      </c>
      <c r="D68" s="32">
        <v>282696</v>
      </c>
      <c r="E68" s="76"/>
      <c r="F68" s="76"/>
      <c r="G68" s="76"/>
      <c r="H68" s="76"/>
    </row>
    <row r="69" spans="1:8" ht="16.5" customHeight="1">
      <c r="A69" s="63"/>
      <c r="B69" s="50">
        <v>100</v>
      </c>
      <c r="C69" s="33">
        <v>18.538924364323751</v>
      </c>
      <c r="D69" s="33">
        <v>81.461075635676252</v>
      </c>
      <c r="E69" s="76"/>
      <c r="F69" s="76"/>
      <c r="G69" s="76"/>
      <c r="H69" s="76"/>
    </row>
    <row r="70" spans="1:8" ht="16.5" customHeight="1">
      <c r="A70" s="64"/>
      <c r="B70" s="51"/>
      <c r="C70" s="243"/>
      <c r="D70" s="243"/>
      <c r="E70" s="76"/>
      <c r="F70" s="76"/>
      <c r="G70" s="76"/>
      <c r="H70" s="76"/>
    </row>
    <row r="71" spans="1:8" ht="16.5" customHeight="1">
      <c r="A71" s="64" t="s">
        <v>197</v>
      </c>
      <c r="B71" s="51">
        <v>239981</v>
      </c>
      <c r="C71" s="244">
        <v>22018</v>
      </c>
      <c r="D71" s="244">
        <v>217963</v>
      </c>
      <c r="E71" s="76"/>
      <c r="F71" s="76"/>
      <c r="G71" s="76"/>
      <c r="H71" s="76"/>
    </row>
    <row r="72" spans="1:8" ht="16.5" customHeight="1">
      <c r="A72" s="63"/>
      <c r="B72" s="50">
        <v>100</v>
      </c>
      <c r="C72" s="33">
        <v>9.1748930123634782</v>
      </c>
      <c r="D72" s="33">
        <v>90.825106987636516</v>
      </c>
      <c r="E72" s="76"/>
      <c r="F72" s="76"/>
      <c r="G72" s="76"/>
      <c r="H72" s="76"/>
    </row>
    <row r="73" spans="1:8" ht="16.5" customHeight="1">
      <c r="A73" s="63" t="s">
        <v>96</v>
      </c>
      <c r="B73" s="80">
        <v>27916</v>
      </c>
      <c r="C73" s="243">
        <v>6895</v>
      </c>
      <c r="D73" s="243">
        <v>21021</v>
      </c>
    </row>
    <row r="74" spans="1:8" ht="16.5" customHeight="1">
      <c r="A74" s="63" t="s">
        <v>97</v>
      </c>
      <c r="B74" s="80">
        <v>212065</v>
      </c>
      <c r="C74" s="243">
        <v>15123</v>
      </c>
      <c r="D74" s="243">
        <v>196942</v>
      </c>
    </row>
    <row r="75" spans="1:8" ht="16.5" customHeight="1">
      <c r="A75" s="64"/>
      <c r="B75" s="51"/>
      <c r="C75" s="243"/>
      <c r="D75" s="243"/>
    </row>
    <row r="76" spans="1:8" ht="16.5" customHeight="1">
      <c r="A76" s="64" t="s">
        <v>198</v>
      </c>
      <c r="B76" s="51">
        <v>82162</v>
      </c>
      <c r="C76" s="244">
        <v>29589</v>
      </c>
      <c r="D76" s="244">
        <v>52573</v>
      </c>
    </row>
    <row r="77" spans="1:8" ht="16.5" customHeight="1">
      <c r="A77" s="63"/>
      <c r="B77" s="50">
        <v>100</v>
      </c>
      <c r="C77" s="33">
        <v>36.012998709865876</v>
      </c>
      <c r="D77" s="33">
        <v>63.987001290134124</v>
      </c>
    </row>
    <row r="78" spans="1:8" ht="16.5" customHeight="1">
      <c r="A78" s="63" t="s">
        <v>60</v>
      </c>
      <c r="B78" s="80">
        <v>12570</v>
      </c>
      <c r="C78" s="243">
        <v>6885</v>
      </c>
      <c r="D78" s="243">
        <v>5685</v>
      </c>
    </row>
    <row r="79" spans="1:8" ht="16.5" customHeight="1">
      <c r="A79" s="63" t="s">
        <v>7</v>
      </c>
      <c r="B79" s="80">
        <v>69592</v>
      </c>
      <c r="C79" s="243">
        <v>22704</v>
      </c>
      <c r="D79" s="243">
        <v>46888</v>
      </c>
    </row>
    <row r="80" spans="1:8" ht="16.5" customHeight="1">
      <c r="A80" s="64"/>
      <c r="B80" s="51"/>
      <c r="C80" s="243"/>
      <c r="D80" s="243"/>
    </row>
    <row r="81" spans="1:8" ht="16.5" customHeight="1">
      <c r="A81" s="64" t="s">
        <v>199</v>
      </c>
      <c r="B81" s="51">
        <v>24889</v>
      </c>
      <c r="C81" s="244">
        <v>12729</v>
      </c>
      <c r="D81" s="244">
        <v>12160</v>
      </c>
    </row>
    <row r="82" spans="1:8" ht="16.5" customHeight="1">
      <c r="A82" s="63"/>
      <c r="B82" s="50">
        <v>100</v>
      </c>
      <c r="C82" s="33">
        <v>51.143075254128334</v>
      </c>
      <c r="D82" s="33">
        <v>48.856924745871673</v>
      </c>
    </row>
    <row r="83" spans="1:8" ht="16.5" customHeight="1">
      <c r="A83" s="63" t="s">
        <v>200</v>
      </c>
      <c r="B83" s="80">
        <v>5718</v>
      </c>
      <c r="C83" s="243">
        <v>3297</v>
      </c>
      <c r="D83" s="243">
        <v>2421</v>
      </c>
    </row>
    <row r="84" spans="1:8" ht="16.5" customHeight="1">
      <c r="A84" s="63" t="s">
        <v>201</v>
      </c>
      <c r="B84" s="80">
        <v>18988</v>
      </c>
      <c r="C84" s="243">
        <v>9399</v>
      </c>
      <c r="D84" s="243">
        <v>9589</v>
      </c>
    </row>
    <row r="85" spans="1:8" ht="16.5" customHeight="1">
      <c r="A85" s="65" t="s">
        <v>176</v>
      </c>
      <c r="B85" s="226">
        <v>183</v>
      </c>
      <c r="C85" s="46">
        <v>33</v>
      </c>
      <c r="D85" s="46">
        <v>150</v>
      </c>
    </row>
    <row r="86" spans="1:8" ht="16.5" customHeight="1">
      <c r="A86" s="553" t="s">
        <v>817</v>
      </c>
      <c r="B86" s="553"/>
      <c r="C86" s="553"/>
      <c r="D86" s="553"/>
      <c r="E86" s="53"/>
      <c r="F86" s="53"/>
      <c r="G86" s="53"/>
      <c r="H86" s="53"/>
    </row>
    <row r="87" spans="1:8" ht="16.5" customHeight="1">
      <c r="A87" s="196" t="s">
        <v>753</v>
      </c>
      <c r="B87" s="3"/>
      <c r="C87" s="3"/>
      <c r="D87" s="3"/>
      <c r="E87" s="53"/>
      <c r="F87" s="53"/>
      <c r="G87" s="53"/>
      <c r="H87" s="53"/>
    </row>
  </sheetData>
  <sheetProtection algorithmName="SHA-512" hashValue="246PdqgRloNPLfgGZyvvWDU6deJzu5jiuA1+056Ci8iDSI8IZrPUZzooiG2+CUcZPOQDcJo9gQbl4MFF0HVDUA==" saltValue="VlKb0j3EL1X4xwsMUPrVEQ==" spinCount="100000" sheet="1" objects="1" scenarios="1"/>
  <customSheetViews>
    <customSheetView guid="{4810CB4C-E276-4485-93D3-F920B09A4189}" showPageBreaks="1" showGridLines="0" printArea="1" view="pageBreakPreview">
      <rowBreaks count="1" manualBreakCount="1">
        <brk id="47" max="7" man="1"/>
      </rowBreaks>
      <pageMargins left="0.55000000000000004" right="0.52" top="0.63" bottom="0.04" header="0.5" footer="7.0000000000000007E-2"/>
      <pageSetup paperSize="9" scale="79" pageOrder="overThenDown" orientation="portrait" verticalDpi="1200" r:id="rId1"/>
      <headerFooter alignWithMargins="0"/>
    </customSheetView>
  </customSheetViews>
  <mergeCells count="10">
    <mergeCell ref="A4:H6"/>
    <mergeCell ref="A86:D86"/>
    <mergeCell ref="B66:B67"/>
    <mergeCell ref="C66:C67"/>
    <mergeCell ref="D66:D67"/>
    <mergeCell ref="F17:F18"/>
    <mergeCell ref="E17:E18"/>
    <mergeCell ref="B17:B18"/>
    <mergeCell ref="C17:D17"/>
    <mergeCell ref="A12:H13"/>
  </mergeCells>
  <phoneticPr fontId="6" type="noConversion"/>
  <pageMargins left="0.55000000000000004" right="0.52" top="0.63" bottom="0.04" header="0.5" footer="7.0000000000000007E-2"/>
  <pageSetup paperSize="9" scale="79" pageOrder="overThenDown" orientation="portrait" verticalDpi="1200" r:id="rId2"/>
  <headerFooter alignWithMargins="0"/>
  <rowBreaks count="1" manualBreakCount="1">
    <brk id="47" max="7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5"/>
  <sheetViews>
    <sheetView showGridLines="0" zoomScaleNormal="100" zoomScaleSheetLayoutView="100" workbookViewId="0"/>
  </sheetViews>
  <sheetFormatPr defaultColWidth="8" defaultRowHeight="16.5" customHeight="1"/>
  <cols>
    <col min="1" max="1" width="20" style="76" customWidth="1"/>
    <col min="2" max="5" width="12.21875" style="76" customWidth="1"/>
    <col min="6" max="16384" width="8" style="2"/>
  </cols>
  <sheetData>
    <row r="1" spans="1:5" s="1" customFormat="1" ht="16.5" customHeight="1">
      <c r="A1" s="72" t="s">
        <v>208</v>
      </c>
      <c r="B1" s="3"/>
      <c r="C1" s="3"/>
      <c r="D1" s="3"/>
      <c r="E1" s="3"/>
    </row>
    <row r="2" spans="1:5" s="1" customFormat="1" ht="16.5" customHeight="1">
      <c r="A2" s="57" t="s">
        <v>789</v>
      </c>
      <c r="B2" s="57"/>
      <c r="C2" s="57"/>
      <c r="D2" s="57"/>
      <c r="E2" s="57"/>
    </row>
    <row r="3" spans="1:5" s="1" customFormat="1" ht="16.5" customHeight="1">
      <c r="A3" s="57"/>
      <c r="B3" s="57"/>
      <c r="C3" s="57"/>
      <c r="D3" s="57"/>
      <c r="E3" s="3"/>
    </row>
    <row r="4" spans="1:5" s="1" customFormat="1" ht="16.5" customHeight="1">
      <c r="A4" s="72" t="s">
        <v>213</v>
      </c>
      <c r="B4" s="3"/>
      <c r="C4" s="3"/>
      <c r="D4" s="3"/>
      <c r="E4" s="3"/>
    </row>
    <row r="5" spans="1:5" s="1" customFormat="1" ht="52.5" customHeight="1">
      <c r="A5" s="559" t="s">
        <v>778</v>
      </c>
      <c r="B5" s="559"/>
      <c r="C5" s="559"/>
      <c r="D5" s="559"/>
      <c r="E5" s="559"/>
    </row>
    <row r="6" spans="1:5" s="1" customFormat="1" ht="16.5" customHeight="1">
      <c r="A6" s="72" t="s">
        <v>214</v>
      </c>
      <c r="B6" s="3"/>
      <c r="C6" s="3"/>
      <c r="D6" s="3"/>
      <c r="E6" s="3"/>
    </row>
    <row r="7" spans="1:5" s="1" customFormat="1" ht="16.5" customHeight="1">
      <c r="A7" s="3" t="s">
        <v>651</v>
      </c>
      <c r="B7" s="3"/>
      <c r="C7" s="3"/>
      <c r="D7" s="3"/>
      <c r="E7" s="3"/>
    </row>
    <row r="8" spans="1:5" s="1" customFormat="1" ht="16.5" customHeight="1">
      <c r="A8" s="57"/>
      <c r="B8" s="57"/>
      <c r="C8" s="57"/>
      <c r="D8" s="57"/>
      <c r="E8" s="3"/>
    </row>
    <row r="9" spans="1:5" s="1" customFormat="1" ht="16.5" customHeight="1">
      <c r="A9" s="72" t="s">
        <v>652</v>
      </c>
      <c r="B9" s="3"/>
      <c r="C9" s="3"/>
      <c r="D9" s="3"/>
      <c r="E9" s="3"/>
    </row>
    <row r="10" spans="1:5" s="1" customFormat="1" ht="16.5" customHeight="1">
      <c r="A10" s="165" t="s">
        <v>162</v>
      </c>
      <c r="B10" s="554" t="s">
        <v>86</v>
      </c>
      <c r="C10" s="558" t="s">
        <v>101</v>
      </c>
      <c r="D10" s="555" t="s">
        <v>29</v>
      </c>
      <c r="E10" s="3"/>
    </row>
    <row r="11" spans="1:5" s="1" customFormat="1" ht="16.5" customHeight="1">
      <c r="A11" s="141" t="s">
        <v>38</v>
      </c>
      <c r="B11" s="554"/>
      <c r="C11" s="554"/>
      <c r="D11" s="555"/>
      <c r="E11" s="3"/>
    </row>
    <row r="12" spans="1:5" s="5" customFormat="1" ht="16.5" customHeight="1">
      <c r="A12" s="166" t="s">
        <v>196</v>
      </c>
      <c r="B12" s="97">
        <v>347032</v>
      </c>
      <c r="C12" s="32">
        <v>295583</v>
      </c>
      <c r="D12" s="32">
        <v>51449</v>
      </c>
      <c r="E12" s="3"/>
    </row>
    <row r="13" spans="1:5" s="1" customFormat="1" ht="16.5" customHeight="1">
      <c r="A13" s="63"/>
      <c r="B13" s="93">
        <v>100</v>
      </c>
      <c r="C13" s="33">
        <v>85.174566034256202</v>
      </c>
      <c r="D13" s="33">
        <v>14.825433965743793</v>
      </c>
      <c r="E13" s="91"/>
    </row>
    <row r="14" spans="1:5" s="5" customFormat="1" ht="16.5" customHeight="1">
      <c r="A14" s="63" t="s">
        <v>93</v>
      </c>
      <c r="B14" s="94">
        <v>239981</v>
      </c>
      <c r="C14" s="14">
        <v>203284</v>
      </c>
      <c r="D14" s="14">
        <v>36697</v>
      </c>
      <c r="E14" s="92"/>
    </row>
    <row r="15" spans="1:5" s="1" customFormat="1" ht="16.5" customHeight="1">
      <c r="A15" s="63"/>
      <c r="B15" s="95">
        <v>100</v>
      </c>
      <c r="C15" s="18">
        <v>84.708372746175741</v>
      </c>
      <c r="D15" s="18">
        <v>15.291627253824261</v>
      </c>
      <c r="E15" s="91"/>
    </row>
    <row r="16" spans="1:5" s="5" customFormat="1" ht="16.5" customHeight="1">
      <c r="A16" s="63" t="s">
        <v>94</v>
      </c>
      <c r="B16" s="94">
        <v>82162</v>
      </c>
      <c r="C16" s="14">
        <v>70436</v>
      </c>
      <c r="D16" s="14">
        <v>11726</v>
      </c>
      <c r="E16" s="92"/>
    </row>
    <row r="17" spans="1:5" s="1" customFormat="1" ht="16.5" customHeight="1">
      <c r="A17" s="63"/>
      <c r="B17" s="95">
        <v>100</v>
      </c>
      <c r="C17" s="18">
        <v>85.728195516175361</v>
      </c>
      <c r="D17" s="18">
        <v>14.27180448382464</v>
      </c>
      <c r="E17" s="91"/>
    </row>
    <row r="18" spans="1:5" s="5" customFormat="1" ht="16.5" customHeight="1">
      <c r="A18" s="63" t="s">
        <v>95</v>
      </c>
      <c r="B18" s="94">
        <v>24889</v>
      </c>
      <c r="C18" s="14">
        <v>21863</v>
      </c>
      <c r="D18" s="14">
        <v>3026</v>
      </c>
      <c r="E18" s="92"/>
    </row>
    <row r="19" spans="1:5" s="1" customFormat="1" ht="16.5" customHeight="1">
      <c r="A19" s="65"/>
      <c r="B19" s="96">
        <v>100</v>
      </c>
      <c r="C19" s="284">
        <v>87.842018562417138</v>
      </c>
      <c r="D19" s="285">
        <v>12.157981437582869</v>
      </c>
      <c r="E19" s="91"/>
    </row>
    <row r="20" spans="1:5" s="1" customFormat="1" ht="16.5" customHeight="1">
      <c r="A20" s="3" t="s">
        <v>139</v>
      </c>
      <c r="B20" s="3"/>
      <c r="C20" s="3"/>
      <c r="D20" s="3"/>
      <c r="E20" s="92"/>
    </row>
    <row r="21" spans="1:5" s="1" customFormat="1" ht="16.5" customHeight="1">
      <c r="A21" s="3"/>
      <c r="B21" s="3"/>
      <c r="C21" s="3"/>
      <c r="D21" s="3"/>
      <c r="E21" s="3"/>
    </row>
    <row r="22" spans="1:5" s="1" customFormat="1" ht="16.5" customHeight="1">
      <c r="A22" s="72" t="s">
        <v>653</v>
      </c>
      <c r="B22" s="3"/>
      <c r="C22" s="3"/>
      <c r="D22" s="3"/>
      <c r="E22" s="3"/>
    </row>
    <row r="23" spans="1:5" s="1" customFormat="1" ht="16.5" customHeight="1">
      <c r="A23" s="165" t="s">
        <v>215</v>
      </c>
      <c r="B23" s="554" t="s">
        <v>86</v>
      </c>
      <c r="C23" s="554" t="s">
        <v>93</v>
      </c>
      <c r="D23" s="554" t="s">
        <v>94</v>
      </c>
      <c r="E23" s="555" t="s">
        <v>95</v>
      </c>
    </row>
    <row r="24" spans="1:5" s="1" customFormat="1" ht="16.5" customHeight="1">
      <c r="A24" s="141" t="s">
        <v>216</v>
      </c>
      <c r="B24" s="554"/>
      <c r="C24" s="554"/>
      <c r="D24" s="554"/>
      <c r="E24" s="555"/>
    </row>
    <row r="25" spans="1:5" s="1" customFormat="1" ht="16.5" customHeight="1">
      <c r="A25" s="64" t="s">
        <v>86</v>
      </c>
      <c r="B25" s="97">
        <v>347032</v>
      </c>
      <c r="C25" s="32">
        <v>239981</v>
      </c>
      <c r="D25" s="32">
        <v>82162</v>
      </c>
      <c r="E25" s="32">
        <v>24889</v>
      </c>
    </row>
    <row r="26" spans="1:5" s="1" customFormat="1" ht="16.5" customHeight="1">
      <c r="A26" s="64" t="s">
        <v>202</v>
      </c>
      <c r="B26" s="97">
        <v>179886</v>
      </c>
      <c r="C26" s="244">
        <v>122350</v>
      </c>
      <c r="D26" s="32">
        <v>43798</v>
      </c>
      <c r="E26" s="32">
        <v>13738</v>
      </c>
    </row>
    <row r="27" spans="1:5" s="1" customFormat="1" ht="16.5" customHeight="1">
      <c r="A27" s="63" t="s">
        <v>217</v>
      </c>
      <c r="B27" s="94">
        <v>11494</v>
      </c>
      <c r="C27" s="243">
        <v>8337</v>
      </c>
      <c r="D27" s="243">
        <v>2561</v>
      </c>
      <c r="E27" s="243">
        <v>596</v>
      </c>
    </row>
    <row r="28" spans="1:5" s="1" customFormat="1" ht="16.5" customHeight="1">
      <c r="A28" s="63" t="s">
        <v>218</v>
      </c>
      <c r="B28" s="94">
        <v>649</v>
      </c>
      <c r="C28" s="243">
        <v>425</v>
      </c>
      <c r="D28" s="243">
        <v>171</v>
      </c>
      <c r="E28" s="243">
        <v>53</v>
      </c>
    </row>
    <row r="29" spans="1:5" s="1" customFormat="1" ht="16.5" customHeight="1">
      <c r="A29" s="63" t="s">
        <v>219</v>
      </c>
      <c r="B29" s="94">
        <v>3031</v>
      </c>
      <c r="C29" s="243">
        <v>2469</v>
      </c>
      <c r="D29" s="243">
        <v>482</v>
      </c>
      <c r="E29" s="243">
        <v>80</v>
      </c>
    </row>
    <row r="30" spans="1:5" s="1" customFormat="1" ht="16.5" customHeight="1">
      <c r="A30" s="63" t="s">
        <v>220</v>
      </c>
      <c r="B30" s="94">
        <v>25833</v>
      </c>
      <c r="C30" s="243">
        <v>18349</v>
      </c>
      <c r="D30" s="243">
        <v>5802</v>
      </c>
      <c r="E30" s="243">
        <v>1682</v>
      </c>
    </row>
    <row r="31" spans="1:5" s="1" customFormat="1" ht="16.5" customHeight="1">
      <c r="A31" s="63" t="s">
        <v>221</v>
      </c>
      <c r="B31" s="94">
        <v>10331</v>
      </c>
      <c r="C31" s="243">
        <v>5881</v>
      </c>
      <c r="D31" s="243">
        <v>3347</v>
      </c>
      <c r="E31" s="243">
        <v>1103</v>
      </c>
    </row>
    <row r="32" spans="1:5" s="1" customFormat="1" ht="16.5" customHeight="1">
      <c r="A32" s="302" t="s">
        <v>588</v>
      </c>
      <c r="B32" s="94">
        <v>6024</v>
      </c>
      <c r="C32" s="243">
        <v>4015</v>
      </c>
      <c r="D32" s="243">
        <v>1475</v>
      </c>
      <c r="E32" s="243">
        <v>534</v>
      </c>
    </row>
    <row r="33" spans="1:5" s="1" customFormat="1" ht="16.5" customHeight="1">
      <c r="A33" s="63" t="s">
        <v>222</v>
      </c>
      <c r="B33" s="94">
        <v>14068</v>
      </c>
      <c r="C33" s="243">
        <v>10489</v>
      </c>
      <c r="D33" s="243">
        <v>2735</v>
      </c>
      <c r="E33" s="243">
        <v>844</v>
      </c>
    </row>
    <row r="34" spans="1:5" s="1" customFormat="1" ht="16.5" customHeight="1">
      <c r="A34" s="63" t="s">
        <v>223</v>
      </c>
      <c r="B34" s="94">
        <v>69563</v>
      </c>
      <c r="C34" s="243">
        <v>47129</v>
      </c>
      <c r="D34" s="243">
        <v>17533</v>
      </c>
      <c r="E34" s="243">
        <v>4901</v>
      </c>
    </row>
    <row r="35" spans="1:5" s="1" customFormat="1" ht="16.5" customHeight="1">
      <c r="A35" s="63" t="s">
        <v>224</v>
      </c>
      <c r="B35" s="94">
        <v>6709</v>
      </c>
      <c r="C35" s="243">
        <v>4487</v>
      </c>
      <c r="D35" s="243">
        <v>1750</v>
      </c>
      <c r="E35" s="243">
        <v>472</v>
      </c>
    </row>
    <row r="36" spans="1:5" s="1" customFormat="1" ht="16.5" customHeight="1">
      <c r="A36" s="63" t="s">
        <v>76</v>
      </c>
      <c r="B36" s="94">
        <v>32184</v>
      </c>
      <c r="C36" s="243">
        <v>20769</v>
      </c>
      <c r="D36" s="243">
        <v>7942</v>
      </c>
      <c r="E36" s="243">
        <v>3473</v>
      </c>
    </row>
    <row r="37" spans="1:5" s="1" customFormat="1" ht="16.5" customHeight="1">
      <c r="A37" s="64" t="s">
        <v>203</v>
      </c>
      <c r="B37" s="97">
        <v>167146</v>
      </c>
      <c r="C37" s="244">
        <v>117631</v>
      </c>
      <c r="D37" s="244">
        <v>38364</v>
      </c>
      <c r="E37" s="244">
        <v>11151</v>
      </c>
    </row>
    <row r="38" spans="1:5" s="1" customFormat="1" ht="16.5" customHeight="1">
      <c r="A38" s="63" t="s">
        <v>225</v>
      </c>
      <c r="B38" s="94">
        <v>11221</v>
      </c>
      <c r="C38" s="243">
        <v>8959</v>
      </c>
      <c r="D38" s="243">
        <v>1954</v>
      </c>
      <c r="E38" s="243">
        <v>308</v>
      </c>
    </row>
    <row r="39" spans="1:5" s="1" customFormat="1" ht="16.5" customHeight="1">
      <c r="A39" s="63" t="s">
        <v>204</v>
      </c>
      <c r="B39" s="94">
        <v>202</v>
      </c>
      <c r="C39" s="243">
        <v>99</v>
      </c>
      <c r="D39" s="243">
        <v>85</v>
      </c>
      <c r="E39" s="243">
        <v>18</v>
      </c>
    </row>
    <row r="40" spans="1:5" s="1" customFormat="1" ht="16.5" customHeight="1">
      <c r="A40" s="63" t="s">
        <v>205</v>
      </c>
      <c r="B40" s="94">
        <v>39830</v>
      </c>
      <c r="C40" s="243">
        <v>30583</v>
      </c>
      <c r="D40" s="243">
        <v>7638</v>
      </c>
      <c r="E40" s="243">
        <v>1609</v>
      </c>
    </row>
    <row r="41" spans="1:5" s="1" customFormat="1" ht="16.5" customHeight="1">
      <c r="A41" s="63" t="s">
        <v>206</v>
      </c>
      <c r="B41" s="94">
        <v>96</v>
      </c>
      <c r="C41" s="243">
        <v>63</v>
      </c>
      <c r="D41" s="243">
        <v>27</v>
      </c>
      <c r="E41" s="243">
        <v>6</v>
      </c>
    </row>
    <row r="42" spans="1:5" s="1" customFormat="1" ht="16.5" customHeight="1">
      <c r="A42" s="63" t="s">
        <v>207</v>
      </c>
      <c r="B42" s="94">
        <v>605</v>
      </c>
      <c r="C42" s="243">
        <v>471</v>
      </c>
      <c r="D42" s="243">
        <v>114</v>
      </c>
      <c r="E42" s="243">
        <v>20</v>
      </c>
    </row>
    <row r="43" spans="1:5" s="1" customFormat="1" ht="16.5" customHeight="1">
      <c r="A43" s="63" t="s">
        <v>226</v>
      </c>
      <c r="B43" s="94">
        <v>13828</v>
      </c>
      <c r="C43" s="243">
        <v>9107</v>
      </c>
      <c r="D43" s="243">
        <v>3477</v>
      </c>
      <c r="E43" s="243">
        <v>1244</v>
      </c>
    </row>
    <row r="44" spans="1:5" s="1" customFormat="1" ht="16.5" customHeight="1">
      <c r="A44" s="63" t="s">
        <v>352</v>
      </c>
      <c r="B44" s="94">
        <v>6860</v>
      </c>
      <c r="C44" s="243">
        <v>4503</v>
      </c>
      <c r="D44" s="243">
        <v>1851</v>
      </c>
      <c r="E44" s="243">
        <v>506</v>
      </c>
    </row>
    <row r="45" spans="1:5" s="1" customFormat="1" ht="16.5" customHeight="1">
      <c r="A45" s="65" t="s">
        <v>76</v>
      </c>
      <c r="B45" s="226">
        <v>94504</v>
      </c>
      <c r="C45" s="34">
        <v>63846</v>
      </c>
      <c r="D45" s="34">
        <v>23218</v>
      </c>
      <c r="E45" s="34">
        <v>7440</v>
      </c>
    </row>
  </sheetData>
  <sheetProtection algorithmName="SHA-512" hashValue="g1aBcRRoZHklXx03y+A6fZQB38qBZPKQ/RRx1JbT+c0EBcdhtGp2FtCChm6dp7hBQtZg1BEhaCZZPgkZl8UJxQ==" saltValue="kf01V7szSzAQpRyI6NWZkg==" spinCount="100000" sheet="1" objects="1" scenarios="1"/>
  <customSheetViews>
    <customSheetView guid="{4810CB4C-E276-4485-93D3-F920B09A4189}" showPageBreaks="1" showGridLines="0" printArea="1" view="pageBreakPreview">
      <pageMargins left="0.36" right="0.06" top="0.63" bottom="0.17" header="0.5" footer="0.27"/>
      <pageSetup paperSize="9" scale="98" orientation="portrait" verticalDpi="1200" r:id="rId1"/>
      <headerFooter alignWithMargins="0"/>
    </customSheetView>
  </customSheetViews>
  <mergeCells count="8">
    <mergeCell ref="B10:B11"/>
    <mergeCell ref="C10:C11"/>
    <mergeCell ref="D10:D11"/>
    <mergeCell ref="A5:E5"/>
    <mergeCell ref="B23:B24"/>
    <mergeCell ref="C23:C24"/>
    <mergeCell ref="D23:D24"/>
    <mergeCell ref="E23:E24"/>
  </mergeCells>
  <phoneticPr fontId="6" type="noConversion"/>
  <pageMargins left="0.36" right="0.06" top="0.63" bottom="0.17" header="0.5" footer="0.27"/>
  <pageSetup paperSize="9" scale="98" orientation="portrait" verticalDpi="1200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57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6" customWidth="1"/>
    <col min="2" max="13" width="8" style="76" customWidth="1"/>
    <col min="14" max="14" width="8" style="77" customWidth="1"/>
    <col min="15" max="16384" width="8" style="2"/>
  </cols>
  <sheetData>
    <row r="1" spans="1:14" s="1" customFormat="1" ht="16.5" customHeight="1">
      <c r="A1" s="72" t="s">
        <v>654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3"/>
    </row>
    <row r="2" spans="1:14" s="1" customFormat="1" ht="16.5" customHeight="1">
      <c r="A2" s="206" t="s">
        <v>38</v>
      </c>
      <c r="B2" s="546" t="s">
        <v>93</v>
      </c>
      <c r="C2" s="546"/>
      <c r="D2" s="546"/>
      <c r="E2" s="546" t="s">
        <v>94</v>
      </c>
      <c r="F2" s="544"/>
      <c r="G2" s="3"/>
      <c r="H2" s="3"/>
      <c r="I2" s="3"/>
      <c r="J2" s="3"/>
      <c r="K2" s="3"/>
      <c r="L2" s="3"/>
      <c r="M2" s="3"/>
      <c r="N2" s="53"/>
    </row>
    <row r="3" spans="1:14" s="1" customFormat="1" ht="16.5" customHeight="1">
      <c r="A3" s="207" t="s">
        <v>313</v>
      </c>
      <c r="B3" s="208" t="s">
        <v>314</v>
      </c>
      <c r="C3" s="208" t="s">
        <v>96</v>
      </c>
      <c r="D3" s="208" t="s">
        <v>97</v>
      </c>
      <c r="E3" s="208" t="s">
        <v>266</v>
      </c>
      <c r="F3" s="217" t="s">
        <v>265</v>
      </c>
      <c r="G3" s="3"/>
      <c r="H3" s="99"/>
      <c r="I3" s="99"/>
      <c r="J3" s="99"/>
      <c r="K3" s="99"/>
      <c r="L3" s="99"/>
      <c r="M3" s="99"/>
      <c r="N3" s="73"/>
    </row>
    <row r="4" spans="1:14" s="1" customFormat="1" ht="16.5" customHeight="1">
      <c r="A4" s="64" t="s">
        <v>86</v>
      </c>
      <c r="B4" s="43">
        <v>239981</v>
      </c>
      <c r="C4" s="32">
        <v>27916</v>
      </c>
      <c r="D4" s="216">
        <v>212065</v>
      </c>
      <c r="E4" s="32">
        <v>69592</v>
      </c>
      <c r="F4" s="32">
        <v>12570</v>
      </c>
      <c r="G4" s="3"/>
      <c r="H4" s="102"/>
      <c r="I4" s="102"/>
      <c r="J4" s="103"/>
      <c r="K4" s="99"/>
      <c r="L4" s="99"/>
      <c r="M4" s="99"/>
      <c r="N4" s="73"/>
    </row>
    <row r="5" spans="1:14" s="1" customFormat="1" ht="16.5" customHeight="1">
      <c r="A5" s="63" t="s">
        <v>315</v>
      </c>
      <c r="B5" s="81">
        <v>13581</v>
      </c>
      <c r="C5" s="14">
        <v>2318</v>
      </c>
      <c r="D5" s="82">
        <v>11263</v>
      </c>
      <c r="E5" s="14">
        <v>5104</v>
      </c>
      <c r="F5" s="14">
        <v>5372</v>
      </c>
      <c r="G5" s="3"/>
      <c r="H5" s="104"/>
      <c r="I5" s="104"/>
      <c r="J5" s="105"/>
      <c r="K5" s="99"/>
      <c r="L5" s="99"/>
      <c r="M5" s="99"/>
      <c r="N5" s="73"/>
    </row>
    <row r="6" spans="1:14" s="1" customFormat="1" ht="16.5" customHeight="1">
      <c r="A6" s="63" t="s">
        <v>316</v>
      </c>
      <c r="B6" s="81">
        <v>6621</v>
      </c>
      <c r="C6" s="14">
        <v>930</v>
      </c>
      <c r="D6" s="82">
        <v>5691</v>
      </c>
      <c r="E6" s="14">
        <v>2343</v>
      </c>
      <c r="F6" s="14">
        <v>0</v>
      </c>
      <c r="G6" s="3"/>
      <c r="H6" s="104"/>
      <c r="I6" s="104"/>
      <c r="J6" s="105"/>
      <c r="K6" s="99"/>
      <c r="L6" s="99"/>
      <c r="M6" s="99"/>
      <c r="N6" s="73"/>
    </row>
    <row r="7" spans="1:14" s="1" customFormat="1" ht="16.5" customHeight="1">
      <c r="A7" s="63" t="s">
        <v>317</v>
      </c>
      <c r="B7" s="81">
        <v>8749</v>
      </c>
      <c r="C7" s="14">
        <v>1229</v>
      </c>
      <c r="D7" s="82">
        <v>7520</v>
      </c>
      <c r="E7" s="14">
        <v>2643</v>
      </c>
      <c r="F7" s="14">
        <v>0</v>
      </c>
      <c r="G7" s="3"/>
      <c r="H7" s="104"/>
      <c r="I7" s="104"/>
      <c r="J7" s="105"/>
      <c r="K7" s="99"/>
      <c r="L7" s="99"/>
      <c r="M7" s="99"/>
      <c r="N7" s="73"/>
    </row>
    <row r="8" spans="1:14" s="1" customFormat="1" ht="16.5" customHeight="1">
      <c r="A8" s="63" t="s">
        <v>318</v>
      </c>
      <c r="B8" s="81">
        <v>7972</v>
      </c>
      <c r="C8" s="14">
        <v>858</v>
      </c>
      <c r="D8" s="82">
        <v>7114</v>
      </c>
      <c r="E8" s="14">
        <v>2654</v>
      </c>
      <c r="F8" s="14">
        <v>0</v>
      </c>
      <c r="G8" s="3"/>
      <c r="H8" s="104"/>
      <c r="I8" s="104"/>
      <c r="J8" s="105"/>
      <c r="K8" s="99"/>
      <c r="L8" s="99"/>
      <c r="M8" s="99"/>
      <c r="N8" s="73"/>
    </row>
    <row r="9" spans="1:14" s="1" customFormat="1" ht="16.5" customHeight="1">
      <c r="A9" s="63" t="s">
        <v>319</v>
      </c>
      <c r="B9" s="81">
        <v>4953</v>
      </c>
      <c r="C9" s="14">
        <v>610</v>
      </c>
      <c r="D9" s="82">
        <v>4343</v>
      </c>
      <c r="E9" s="14">
        <v>1892</v>
      </c>
      <c r="F9" s="14">
        <v>0</v>
      </c>
      <c r="G9" s="3"/>
      <c r="H9" s="104"/>
      <c r="I9" s="104"/>
      <c r="J9" s="105"/>
      <c r="K9" s="99"/>
      <c r="L9" s="99"/>
      <c r="M9" s="99"/>
      <c r="N9" s="73"/>
    </row>
    <row r="10" spans="1:14" s="1" customFormat="1" ht="16.5" customHeight="1">
      <c r="A10" s="63" t="s">
        <v>320</v>
      </c>
      <c r="B10" s="81">
        <v>14508</v>
      </c>
      <c r="C10" s="14">
        <v>1673</v>
      </c>
      <c r="D10" s="82">
        <v>12835</v>
      </c>
      <c r="E10" s="14">
        <v>4669</v>
      </c>
      <c r="F10" s="14">
        <v>0</v>
      </c>
      <c r="G10" s="3"/>
      <c r="H10" s="102"/>
      <c r="I10" s="102"/>
      <c r="J10" s="103"/>
      <c r="K10" s="99"/>
      <c r="L10" s="99"/>
      <c r="M10" s="99"/>
      <c r="N10" s="73"/>
    </row>
    <row r="11" spans="1:14" s="1" customFormat="1" ht="16.5" customHeight="1">
      <c r="A11" s="63" t="s">
        <v>321</v>
      </c>
      <c r="B11" s="81">
        <v>22003</v>
      </c>
      <c r="C11" s="14">
        <v>2513</v>
      </c>
      <c r="D11" s="82">
        <v>19490</v>
      </c>
      <c r="E11" s="14">
        <v>5660</v>
      </c>
      <c r="F11" s="14">
        <v>0</v>
      </c>
      <c r="G11" s="3"/>
      <c r="H11" s="102"/>
      <c r="I11" s="102"/>
      <c r="J11" s="103"/>
      <c r="K11" s="99"/>
      <c r="L11" s="99"/>
      <c r="M11" s="99"/>
      <c r="N11" s="73"/>
    </row>
    <row r="12" spans="1:14" s="1" customFormat="1" ht="16.5" customHeight="1">
      <c r="A12" s="63" t="s">
        <v>322</v>
      </c>
      <c r="B12" s="81">
        <v>34422</v>
      </c>
      <c r="C12" s="14">
        <v>4334</v>
      </c>
      <c r="D12" s="82">
        <v>30088</v>
      </c>
      <c r="E12" s="14">
        <v>10019</v>
      </c>
      <c r="F12" s="14">
        <v>1938</v>
      </c>
      <c r="G12" s="3"/>
      <c r="H12" s="102"/>
      <c r="I12" s="102"/>
      <c r="J12" s="103"/>
      <c r="K12" s="99"/>
      <c r="L12" s="99"/>
      <c r="M12" s="99"/>
      <c r="N12" s="73"/>
    </row>
    <row r="13" spans="1:14" s="1" customFormat="1" ht="16.5" customHeight="1">
      <c r="A13" s="63" t="s">
        <v>323</v>
      </c>
      <c r="B13" s="81">
        <v>7805</v>
      </c>
      <c r="C13" s="14">
        <v>777</v>
      </c>
      <c r="D13" s="82">
        <v>7028</v>
      </c>
      <c r="E13" s="14">
        <v>2244</v>
      </c>
      <c r="F13" s="14">
        <v>0</v>
      </c>
      <c r="G13" s="3"/>
      <c r="H13" s="102"/>
      <c r="I13" s="102"/>
      <c r="J13" s="103"/>
      <c r="K13" s="99"/>
      <c r="L13" s="99"/>
      <c r="M13" s="99"/>
      <c r="N13" s="73"/>
    </row>
    <row r="14" spans="1:14" s="1" customFormat="1" ht="16.5" customHeight="1">
      <c r="A14" s="63" t="s">
        <v>324</v>
      </c>
      <c r="B14" s="81">
        <v>19380</v>
      </c>
      <c r="C14" s="14">
        <v>2076</v>
      </c>
      <c r="D14" s="82">
        <v>17304</v>
      </c>
      <c r="E14" s="14">
        <v>5080</v>
      </c>
      <c r="F14" s="14">
        <v>1248</v>
      </c>
      <c r="G14" s="3"/>
      <c r="H14" s="102"/>
      <c r="I14" s="102"/>
      <c r="J14" s="103"/>
      <c r="K14" s="99"/>
      <c r="L14" s="99"/>
      <c r="M14" s="99"/>
      <c r="N14" s="73"/>
    </row>
    <row r="15" spans="1:14" s="1" customFormat="1" ht="16.5" customHeight="1">
      <c r="A15" s="63" t="s">
        <v>325</v>
      </c>
      <c r="B15" s="81">
        <v>7690</v>
      </c>
      <c r="C15" s="14">
        <v>792</v>
      </c>
      <c r="D15" s="82">
        <v>6898</v>
      </c>
      <c r="E15" s="14">
        <v>2072</v>
      </c>
      <c r="F15" s="14">
        <v>0</v>
      </c>
      <c r="G15" s="3"/>
      <c r="H15" s="102"/>
      <c r="I15" s="102"/>
      <c r="J15" s="103"/>
      <c r="K15" s="99"/>
      <c r="L15" s="99"/>
      <c r="M15" s="99"/>
      <c r="N15" s="73"/>
    </row>
    <row r="16" spans="1:14" s="1" customFormat="1" ht="16.5" customHeight="1">
      <c r="A16" s="63" t="s">
        <v>326</v>
      </c>
      <c r="B16" s="81">
        <v>23805</v>
      </c>
      <c r="C16" s="14">
        <v>2312</v>
      </c>
      <c r="D16" s="82">
        <v>21493</v>
      </c>
      <c r="E16" s="14">
        <v>5892</v>
      </c>
      <c r="F16" s="14">
        <v>977</v>
      </c>
      <c r="G16" s="3"/>
      <c r="H16" s="102"/>
      <c r="I16" s="102"/>
      <c r="J16" s="103"/>
      <c r="K16" s="99"/>
      <c r="L16" s="99"/>
      <c r="M16" s="99"/>
      <c r="N16" s="73"/>
    </row>
    <row r="17" spans="1:14" s="1" customFormat="1" ht="16.5" customHeight="1">
      <c r="A17" s="63" t="s">
        <v>327</v>
      </c>
      <c r="B17" s="81">
        <v>18049</v>
      </c>
      <c r="C17" s="14">
        <v>1994</v>
      </c>
      <c r="D17" s="82">
        <v>16055</v>
      </c>
      <c r="E17" s="14">
        <v>5375</v>
      </c>
      <c r="F17" s="14">
        <v>1707</v>
      </c>
      <c r="G17" s="3"/>
      <c r="H17" s="102"/>
      <c r="I17" s="102"/>
      <c r="J17" s="103"/>
      <c r="K17" s="99"/>
      <c r="L17" s="99"/>
      <c r="M17" s="99"/>
      <c r="N17" s="73"/>
    </row>
    <row r="18" spans="1:14" s="1" customFormat="1" ht="16.5" customHeight="1">
      <c r="A18" s="63" t="s">
        <v>328</v>
      </c>
      <c r="B18" s="81">
        <v>6967</v>
      </c>
      <c r="C18" s="14">
        <v>705</v>
      </c>
      <c r="D18" s="82">
        <v>6262</v>
      </c>
      <c r="E18" s="14">
        <v>2132</v>
      </c>
      <c r="F18" s="14">
        <v>0</v>
      </c>
      <c r="G18" s="3"/>
      <c r="H18" s="104"/>
      <c r="I18" s="104"/>
      <c r="J18" s="105"/>
      <c r="K18" s="99"/>
      <c r="L18" s="99"/>
      <c r="M18" s="99"/>
      <c r="N18" s="73"/>
    </row>
    <row r="19" spans="1:14" s="1" customFormat="1" ht="16.5" customHeight="1">
      <c r="A19" s="63" t="s">
        <v>329</v>
      </c>
      <c r="B19" s="81">
        <v>13138</v>
      </c>
      <c r="C19" s="14">
        <v>1186</v>
      </c>
      <c r="D19" s="82">
        <v>11952</v>
      </c>
      <c r="E19" s="14">
        <v>4025</v>
      </c>
      <c r="F19" s="14">
        <v>0</v>
      </c>
      <c r="G19" s="3"/>
      <c r="H19" s="102"/>
      <c r="I19" s="102"/>
      <c r="J19" s="103"/>
      <c r="K19" s="99"/>
      <c r="L19" s="99"/>
      <c r="M19" s="99"/>
      <c r="N19" s="73"/>
    </row>
    <row r="20" spans="1:14" s="1" customFormat="1" ht="16.5" customHeight="1">
      <c r="A20" s="63" t="s">
        <v>330</v>
      </c>
      <c r="B20" s="81">
        <v>16962</v>
      </c>
      <c r="C20" s="14">
        <v>1744</v>
      </c>
      <c r="D20" s="82">
        <v>15218</v>
      </c>
      <c r="E20" s="14">
        <v>4415</v>
      </c>
      <c r="F20" s="14">
        <v>1328</v>
      </c>
      <c r="G20" s="3"/>
      <c r="H20" s="102"/>
      <c r="I20" s="102"/>
      <c r="J20" s="103"/>
      <c r="K20" s="99"/>
      <c r="L20" s="99"/>
      <c r="M20" s="99"/>
      <c r="N20" s="73"/>
    </row>
    <row r="21" spans="1:14" s="1" customFormat="1" ht="16.5" customHeight="1">
      <c r="A21" s="63" t="s">
        <v>331</v>
      </c>
      <c r="B21" s="81">
        <v>8504</v>
      </c>
      <c r="C21" s="14">
        <v>909</v>
      </c>
      <c r="D21" s="82">
        <v>7595</v>
      </c>
      <c r="E21" s="14">
        <v>2215</v>
      </c>
      <c r="F21" s="14">
        <v>0</v>
      </c>
      <c r="G21" s="3"/>
      <c r="H21" s="102"/>
      <c r="I21" s="102"/>
      <c r="J21" s="103"/>
      <c r="K21" s="99"/>
      <c r="L21" s="99"/>
      <c r="M21" s="99"/>
      <c r="N21" s="73"/>
    </row>
    <row r="22" spans="1:14" s="1" customFormat="1" ht="16.5" customHeight="1">
      <c r="A22" s="65" t="s">
        <v>332</v>
      </c>
      <c r="B22" s="42">
        <v>4872</v>
      </c>
      <c r="C22" s="34">
        <v>956</v>
      </c>
      <c r="D22" s="45">
        <v>3916</v>
      </c>
      <c r="E22" s="34">
        <v>1158</v>
      </c>
      <c r="F22" s="34">
        <v>0</v>
      </c>
      <c r="G22" s="3"/>
      <c r="H22" s="104"/>
      <c r="I22" s="104"/>
      <c r="J22" s="105"/>
      <c r="K22" s="99"/>
      <c r="L22" s="99"/>
      <c r="M22" s="99"/>
      <c r="N22" s="73"/>
    </row>
    <row r="23" spans="1:14" s="1" customFormat="1" ht="16.5" customHeight="1">
      <c r="A23" s="100"/>
      <c r="B23" s="54"/>
      <c r="C23" s="54"/>
      <c r="D23" s="54"/>
      <c r="E23" s="54"/>
      <c r="F23" s="54"/>
      <c r="G23" s="3"/>
      <c r="H23" s="74"/>
      <c r="I23" s="74"/>
      <c r="J23" s="74"/>
      <c r="K23" s="74"/>
      <c r="L23" s="74"/>
      <c r="M23" s="74"/>
      <c r="N23" s="53"/>
    </row>
    <row r="24" spans="1:14" s="1" customFormat="1" ht="16.5" customHeight="1">
      <c r="A24" s="101" t="s">
        <v>333</v>
      </c>
      <c r="B24" s="54"/>
      <c r="C24" s="54"/>
      <c r="D24" s="54"/>
      <c r="E24" s="54"/>
      <c r="F24" s="54"/>
      <c r="G24" s="3"/>
      <c r="H24" s="3"/>
      <c r="I24" s="3"/>
      <c r="J24" s="3"/>
      <c r="K24" s="3"/>
      <c r="L24" s="3"/>
      <c r="M24" s="3"/>
      <c r="N24" s="53"/>
    </row>
    <row r="25" spans="1:14" s="1" customFormat="1" ht="16.5" customHeight="1">
      <c r="A25" s="54"/>
      <c r="B25" s="54"/>
      <c r="C25" s="54"/>
      <c r="D25" s="54"/>
      <c r="E25" s="54"/>
      <c r="F25" s="54"/>
      <c r="G25" s="3"/>
      <c r="H25" s="3"/>
      <c r="I25" s="3"/>
      <c r="J25" s="3"/>
      <c r="K25" s="3"/>
      <c r="L25" s="3"/>
      <c r="M25" s="3"/>
      <c r="N25" s="53"/>
    </row>
    <row r="26" spans="1:14" s="1" customFormat="1" ht="16.5" customHeight="1">
      <c r="A26" s="101" t="s">
        <v>334</v>
      </c>
      <c r="B26" s="54"/>
      <c r="C26" s="54"/>
      <c r="D26" s="54"/>
      <c r="E26" s="54"/>
      <c r="F26" s="54"/>
      <c r="G26" s="3"/>
      <c r="H26" s="3"/>
      <c r="I26" s="3"/>
      <c r="J26" s="3"/>
      <c r="K26" s="3"/>
      <c r="L26" s="3"/>
      <c r="M26" s="3"/>
      <c r="N26" s="53"/>
    </row>
    <row r="27" spans="1:14" s="1" customFormat="1" ht="16.5" customHeight="1">
      <c r="A27" s="56" t="s">
        <v>793</v>
      </c>
      <c r="B27" s="52"/>
      <c r="C27" s="52"/>
      <c r="D27" s="52"/>
      <c r="E27" s="52"/>
      <c r="F27" s="52"/>
      <c r="G27" s="3"/>
      <c r="H27" s="3"/>
      <c r="I27" s="3"/>
      <c r="J27" s="3"/>
      <c r="K27" s="3"/>
      <c r="L27" s="3"/>
      <c r="M27" s="3"/>
      <c r="N27" s="53"/>
    </row>
    <row r="28" spans="1:14" s="1" customFormat="1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53"/>
    </row>
    <row r="29" spans="1:14" s="1" customFormat="1" ht="16.5" customHeight="1">
      <c r="A29" s="72" t="s">
        <v>655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53"/>
    </row>
    <row r="30" spans="1:14" s="1" customFormat="1" ht="16.5" customHeight="1">
      <c r="A30" s="206" t="s">
        <v>335</v>
      </c>
      <c r="B30" s="554" t="s">
        <v>429</v>
      </c>
      <c r="C30" s="554" t="s">
        <v>336</v>
      </c>
      <c r="D30" s="546" t="s">
        <v>337</v>
      </c>
      <c r="E30" s="544" t="s">
        <v>338</v>
      </c>
      <c r="F30" s="3"/>
      <c r="G30" s="3"/>
      <c r="H30" s="3"/>
      <c r="I30" s="3"/>
      <c r="J30" s="3"/>
      <c r="K30" s="3"/>
      <c r="L30" s="3"/>
      <c r="M30" s="3"/>
      <c r="N30" s="53"/>
    </row>
    <row r="31" spans="1:14" s="1" customFormat="1" ht="16.5" customHeight="1">
      <c r="A31" s="207" t="s">
        <v>215</v>
      </c>
      <c r="B31" s="554"/>
      <c r="C31" s="554"/>
      <c r="D31" s="562"/>
      <c r="E31" s="563"/>
      <c r="F31" s="3"/>
      <c r="G31" s="3"/>
      <c r="H31" s="3"/>
      <c r="I31" s="3"/>
      <c r="J31" s="3"/>
      <c r="K31" s="3"/>
      <c r="L31" s="3"/>
      <c r="M31" s="3"/>
      <c r="N31" s="53"/>
    </row>
    <row r="32" spans="1:14" s="1" customFormat="1" ht="16.5" customHeight="1">
      <c r="A32" s="209" t="s">
        <v>196</v>
      </c>
      <c r="B32" s="43">
        <v>347032</v>
      </c>
      <c r="C32" s="32">
        <v>333291</v>
      </c>
      <c r="D32" s="244">
        <v>186806</v>
      </c>
      <c r="E32" s="37">
        <v>96.040422785218652</v>
      </c>
      <c r="F32" s="3"/>
      <c r="G32" s="3"/>
      <c r="H32" s="3"/>
      <c r="I32" s="3"/>
      <c r="J32" s="3"/>
      <c r="K32" s="3"/>
      <c r="L32" s="3"/>
      <c r="M32" s="3"/>
      <c r="N32" s="53"/>
    </row>
    <row r="33" spans="1:14" s="1" customFormat="1" ht="16.5" customHeight="1">
      <c r="A33" s="119" t="s">
        <v>197</v>
      </c>
      <c r="B33" s="83">
        <v>239981</v>
      </c>
      <c r="C33" s="32">
        <v>228492</v>
      </c>
      <c r="D33" s="32">
        <v>131981</v>
      </c>
      <c r="E33" s="37">
        <v>95.212537659231359</v>
      </c>
      <c r="F33" s="3"/>
      <c r="G33" s="3"/>
      <c r="H33" s="3"/>
      <c r="I33" s="3"/>
      <c r="J33" s="3"/>
      <c r="K33" s="3"/>
      <c r="L33" s="3"/>
      <c r="M33" s="3"/>
      <c r="N33" s="53"/>
    </row>
    <row r="34" spans="1:14" s="1" customFormat="1" ht="16.5" customHeight="1">
      <c r="A34" s="120" t="s">
        <v>96</v>
      </c>
      <c r="B34" s="81">
        <v>27916</v>
      </c>
      <c r="C34" s="14">
        <v>22677</v>
      </c>
      <c r="D34" s="14">
        <v>18520</v>
      </c>
      <c r="E34" s="25">
        <v>81.232984668290584</v>
      </c>
      <c r="F34" s="3"/>
      <c r="G34" s="3"/>
      <c r="H34" s="3"/>
      <c r="I34" s="3"/>
      <c r="J34" s="3"/>
      <c r="K34" s="3"/>
      <c r="L34" s="3"/>
      <c r="M34" s="3"/>
      <c r="N34" s="53"/>
    </row>
    <row r="35" spans="1:14" s="1" customFormat="1" ht="16.5" customHeight="1">
      <c r="A35" s="120" t="s">
        <v>97</v>
      </c>
      <c r="B35" s="81">
        <v>212065</v>
      </c>
      <c r="C35" s="14">
        <v>205815</v>
      </c>
      <c r="D35" s="14">
        <v>113461</v>
      </c>
      <c r="E35" s="25">
        <v>97.052790418032203</v>
      </c>
      <c r="F35" s="3"/>
      <c r="G35" s="3"/>
      <c r="H35" s="3"/>
      <c r="I35" s="3"/>
      <c r="J35" s="3"/>
      <c r="K35" s="3"/>
      <c r="L35" s="3"/>
      <c r="M35" s="3"/>
      <c r="N35" s="53"/>
    </row>
    <row r="36" spans="1:14" s="1" customFormat="1" ht="16.5" customHeight="1">
      <c r="A36" s="119" t="s">
        <v>198</v>
      </c>
      <c r="B36" s="83">
        <v>82162</v>
      </c>
      <c r="C36" s="32">
        <v>80755</v>
      </c>
      <c r="D36" s="32">
        <v>49313</v>
      </c>
      <c r="E36" s="37">
        <v>98.287529514860879</v>
      </c>
      <c r="F36" s="3"/>
      <c r="G36" s="3"/>
      <c r="H36" s="3"/>
      <c r="I36" s="3"/>
      <c r="J36" s="3"/>
      <c r="K36" s="3"/>
      <c r="L36" s="3"/>
      <c r="M36" s="3"/>
      <c r="N36" s="53"/>
    </row>
    <row r="37" spans="1:14" s="1" customFormat="1" ht="16.5" customHeight="1">
      <c r="A37" s="120" t="s">
        <v>60</v>
      </c>
      <c r="B37" s="81">
        <v>12570</v>
      </c>
      <c r="C37" s="14">
        <v>12335</v>
      </c>
      <c r="D37" s="14">
        <v>5821</v>
      </c>
      <c r="E37" s="25">
        <v>98.130469371519496</v>
      </c>
      <c r="F37" s="3"/>
      <c r="G37" s="3"/>
      <c r="H37" s="3"/>
      <c r="I37" s="3"/>
      <c r="J37" s="3"/>
      <c r="K37" s="3"/>
      <c r="L37" s="3"/>
      <c r="M37" s="3"/>
      <c r="N37" s="53"/>
    </row>
    <row r="38" spans="1:14" s="1" customFormat="1" ht="16.5" customHeight="1">
      <c r="A38" s="120" t="s">
        <v>7</v>
      </c>
      <c r="B38" s="81">
        <v>69592</v>
      </c>
      <c r="C38" s="14">
        <v>68420</v>
      </c>
      <c r="D38" s="14">
        <v>43492</v>
      </c>
      <c r="E38" s="25">
        <v>98.315898379124036</v>
      </c>
      <c r="F38" s="3"/>
      <c r="G38" s="3"/>
      <c r="H38" s="3"/>
      <c r="I38" s="3"/>
      <c r="J38" s="3"/>
      <c r="K38" s="3"/>
      <c r="L38" s="3"/>
      <c r="M38" s="3"/>
      <c r="N38" s="53"/>
    </row>
    <row r="39" spans="1:14" s="1" customFormat="1" ht="16.5" customHeight="1">
      <c r="A39" s="119" t="s">
        <v>199</v>
      </c>
      <c r="B39" s="83">
        <v>24889</v>
      </c>
      <c r="C39" s="32">
        <v>24044</v>
      </c>
      <c r="D39" s="32">
        <v>5512</v>
      </c>
      <c r="E39" s="37">
        <v>96.604925870866637</v>
      </c>
      <c r="F39" s="3"/>
      <c r="G39" s="3"/>
      <c r="H39" s="3"/>
      <c r="I39" s="3"/>
      <c r="J39" s="3"/>
      <c r="K39" s="3"/>
      <c r="L39" s="3"/>
      <c r="M39" s="3"/>
      <c r="N39" s="53"/>
    </row>
    <row r="40" spans="1:14" s="1" customFormat="1" ht="16.5" customHeight="1">
      <c r="A40" s="120" t="s">
        <v>200</v>
      </c>
      <c r="B40" s="81">
        <v>5718</v>
      </c>
      <c r="C40" s="14">
        <v>4836</v>
      </c>
      <c r="D40" s="14">
        <v>1827</v>
      </c>
      <c r="E40" s="25">
        <v>84.575026232948574</v>
      </c>
      <c r="F40" s="3"/>
      <c r="G40" s="3"/>
      <c r="H40" s="3"/>
      <c r="I40" s="3"/>
      <c r="J40" s="3"/>
      <c r="K40" s="3"/>
      <c r="L40" s="3"/>
      <c r="M40" s="3"/>
      <c r="N40" s="53"/>
    </row>
    <row r="41" spans="1:14" s="1" customFormat="1" ht="16.5" customHeight="1">
      <c r="A41" s="120" t="s">
        <v>201</v>
      </c>
      <c r="B41" s="81">
        <v>18988</v>
      </c>
      <c r="C41" s="243">
        <v>19004</v>
      </c>
      <c r="D41" s="243">
        <v>3633</v>
      </c>
      <c r="E41" s="25">
        <v>100.08426374552349</v>
      </c>
      <c r="F41" s="3"/>
      <c r="G41" s="3"/>
      <c r="H41" s="3"/>
      <c r="I41" s="3"/>
      <c r="J41" s="3"/>
      <c r="K41" s="3"/>
      <c r="L41" s="3"/>
      <c r="M41" s="3"/>
      <c r="N41" s="53"/>
    </row>
    <row r="42" spans="1:14" s="1" customFormat="1" ht="16.5" customHeight="1">
      <c r="A42" s="62" t="s">
        <v>339</v>
      </c>
      <c r="B42" s="42">
        <v>183</v>
      </c>
      <c r="C42" s="34">
        <v>204</v>
      </c>
      <c r="D42" s="34">
        <v>52</v>
      </c>
      <c r="E42" s="38">
        <v>111.47540983606557</v>
      </c>
      <c r="F42" s="3"/>
      <c r="G42" s="3"/>
      <c r="H42" s="3"/>
      <c r="I42" s="3"/>
      <c r="J42" s="3"/>
      <c r="K42" s="3"/>
      <c r="L42" s="3"/>
      <c r="M42" s="3"/>
      <c r="N42" s="53"/>
    </row>
    <row r="43" spans="1:14" s="1" customFormat="1" ht="16.5" customHeight="1">
      <c r="A43" s="3" t="s">
        <v>560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53"/>
    </row>
    <row r="44" spans="1:14" s="1" customFormat="1" ht="16.5" customHeight="1">
      <c r="A44" s="7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53"/>
    </row>
    <row r="45" spans="1:14" s="1" customFormat="1" ht="16.5" customHeight="1">
      <c r="A45" s="3" t="s">
        <v>656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53"/>
    </row>
    <row r="46" spans="1:14" s="1" customFormat="1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53"/>
    </row>
    <row r="47" spans="1:14" ht="16.5" customHeight="1">
      <c r="A47" s="106" t="s">
        <v>657</v>
      </c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</row>
    <row r="48" spans="1:14" ht="16.5" customHeight="1">
      <c r="A48" s="206" t="s">
        <v>335</v>
      </c>
      <c r="B48" s="560" t="s">
        <v>340</v>
      </c>
      <c r="C48" s="546" t="s">
        <v>341</v>
      </c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</row>
    <row r="49" spans="1:14" ht="22.5">
      <c r="A49" s="207" t="s">
        <v>342</v>
      </c>
      <c r="B49" s="561"/>
      <c r="C49" s="208" t="s">
        <v>74</v>
      </c>
      <c r="D49" s="208" t="s">
        <v>343</v>
      </c>
      <c r="E49" s="208" t="s">
        <v>209</v>
      </c>
      <c r="F49" s="208" t="s">
        <v>344</v>
      </c>
      <c r="G49" s="228" t="s">
        <v>345</v>
      </c>
      <c r="H49" s="208" t="s">
        <v>346</v>
      </c>
      <c r="I49" s="208" t="s">
        <v>347</v>
      </c>
      <c r="J49" s="228" t="s">
        <v>170</v>
      </c>
      <c r="K49" s="228" t="s">
        <v>348</v>
      </c>
      <c r="L49" s="228" t="s">
        <v>349</v>
      </c>
      <c r="M49" s="228" t="s">
        <v>350</v>
      </c>
      <c r="N49" s="208" t="s">
        <v>351</v>
      </c>
    </row>
    <row r="50" spans="1:14" ht="16.5" customHeight="1">
      <c r="A50" s="490">
        <v>2020</v>
      </c>
      <c r="B50" s="409">
        <v>1116</v>
      </c>
      <c r="C50" s="491">
        <v>870</v>
      </c>
      <c r="D50" s="489">
        <v>11</v>
      </c>
      <c r="E50" s="489">
        <v>4</v>
      </c>
      <c r="F50" s="489">
        <v>4</v>
      </c>
      <c r="G50" s="489">
        <v>0</v>
      </c>
      <c r="H50" s="489">
        <v>2</v>
      </c>
      <c r="I50" s="489">
        <v>145</v>
      </c>
      <c r="J50" s="489">
        <v>2</v>
      </c>
      <c r="K50" s="489">
        <v>0</v>
      </c>
      <c r="L50" s="489">
        <v>617</v>
      </c>
      <c r="M50" s="489">
        <v>27</v>
      </c>
      <c r="N50" s="489">
        <v>58</v>
      </c>
    </row>
    <row r="51" spans="1:14" ht="16.5" customHeight="1">
      <c r="A51" s="490">
        <v>2021</v>
      </c>
      <c r="B51" s="409">
        <v>1688</v>
      </c>
      <c r="C51" s="491">
        <v>1139</v>
      </c>
      <c r="D51" s="489">
        <v>22</v>
      </c>
      <c r="E51" s="489">
        <v>8</v>
      </c>
      <c r="F51" s="489">
        <v>1</v>
      </c>
      <c r="G51" s="489">
        <v>0</v>
      </c>
      <c r="H51" s="489">
        <v>2</v>
      </c>
      <c r="I51" s="489">
        <v>426</v>
      </c>
      <c r="J51" s="489">
        <v>1</v>
      </c>
      <c r="K51" s="489">
        <v>0</v>
      </c>
      <c r="L51" s="489">
        <v>581</v>
      </c>
      <c r="M51" s="489">
        <v>24</v>
      </c>
      <c r="N51" s="489">
        <v>74</v>
      </c>
    </row>
    <row r="52" spans="1:14" ht="16.5" customHeight="1">
      <c r="A52" s="488">
        <v>2022</v>
      </c>
      <c r="B52" s="409">
        <v>4548</v>
      </c>
      <c r="C52" s="491">
        <v>4966</v>
      </c>
      <c r="D52" s="489">
        <v>1072</v>
      </c>
      <c r="E52" s="489">
        <v>973</v>
      </c>
      <c r="F52" s="489">
        <v>674</v>
      </c>
      <c r="G52" s="489">
        <v>0</v>
      </c>
      <c r="H52" s="489">
        <v>0</v>
      </c>
      <c r="I52" s="489">
        <v>746</v>
      </c>
      <c r="J52" s="489">
        <v>1</v>
      </c>
      <c r="K52" s="489">
        <v>0</v>
      </c>
      <c r="L52" s="489">
        <v>1170</v>
      </c>
      <c r="M52" s="489">
        <v>159</v>
      </c>
      <c r="N52" s="410">
        <v>171</v>
      </c>
    </row>
    <row r="53" spans="1:14" ht="16.5" customHeight="1">
      <c r="A53" s="490">
        <v>2023</v>
      </c>
      <c r="B53" s="409">
        <v>2218</v>
      </c>
      <c r="C53" s="491">
        <v>2501</v>
      </c>
      <c r="D53" s="489">
        <v>91</v>
      </c>
      <c r="E53" s="489">
        <v>421</v>
      </c>
      <c r="F53" s="489">
        <v>170</v>
      </c>
      <c r="G53" s="489">
        <v>0</v>
      </c>
      <c r="H53" s="489">
        <v>0</v>
      </c>
      <c r="I53" s="489">
        <v>984</v>
      </c>
      <c r="J53" s="489">
        <v>0</v>
      </c>
      <c r="K53" s="489">
        <v>0</v>
      </c>
      <c r="L53" s="489">
        <v>704</v>
      </c>
      <c r="M53" s="489">
        <v>55</v>
      </c>
      <c r="N53" s="489">
        <v>76</v>
      </c>
    </row>
    <row r="54" spans="1:14" ht="16.5" customHeight="1">
      <c r="A54" s="492">
        <v>2024</v>
      </c>
      <c r="B54" s="494">
        <v>1570</v>
      </c>
      <c r="C54" s="495">
        <v>1517</v>
      </c>
      <c r="D54" s="493">
        <v>15</v>
      </c>
      <c r="E54" s="493">
        <v>87</v>
      </c>
      <c r="F54" s="493">
        <v>34</v>
      </c>
      <c r="G54" s="493">
        <v>1</v>
      </c>
      <c r="H54" s="493">
        <v>0</v>
      </c>
      <c r="I54" s="493">
        <v>678</v>
      </c>
      <c r="J54" s="493">
        <v>6</v>
      </c>
      <c r="K54" s="493">
        <v>0</v>
      </c>
      <c r="L54" s="493">
        <v>611</v>
      </c>
      <c r="M54" s="493">
        <v>31</v>
      </c>
      <c r="N54" s="493">
        <v>54</v>
      </c>
    </row>
    <row r="55" spans="1:14" ht="16.5" customHeight="1">
      <c r="A55" s="76" t="s">
        <v>738</v>
      </c>
    </row>
    <row r="57" spans="1:14" ht="16.5" customHeight="1">
      <c r="A57" s="433"/>
      <c r="B57" s="433"/>
    </row>
  </sheetData>
  <sheetProtection algorithmName="SHA-512" hashValue="x2ykei6ldfTVAMf480z+XBkTeTO099cgffE91ikkui9ue65JmsqS1rki+X4j1CkHqyXrx1ni0+FVXor4HBaxQg==" saltValue="p1X3f4mnVqPCGmRWgEUvjw==" spinCount="100000" sheet="1" objects="1" scenarios="1"/>
  <customSheetViews>
    <customSheetView guid="{4810CB4C-E276-4485-93D3-F920B09A4189}" showPageBreaks="1" showGridLines="0" printArea="1" view="pageBreakPreview">
      <pageMargins left="0.45" right="0.18" top="0.61" bottom="0.33" header="0.5" footer="0.5"/>
      <pageSetup paperSize="9" scale="67" pageOrder="overThenDown" orientation="portrait" horizontalDpi="1200" verticalDpi="1200" r:id="rId1"/>
      <headerFooter alignWithMargins="0"/>
    </customSheetView>
  </customSheetViews>
  <mergeCells count="8">
    <mergeCell ref="B48:B49"/>
    <mergeCell ref="C48:N48"/>
    <mergeCell ref="B2:D2"/>
    <mergeCell ref="E2:F2"/>
    <mergeCell ref="B30:B31"/>
    <mergeCell ref="C30:C31"/>
    <mergeCell ref="D30:D31"/>
    <mergeCell ref="E30:E31"/>
  </mergeCells>
  <phoneticPr fontId="6" type="noConversion"/>
  <pageMargins left="0.45" right="0.18" top="0.61" bottom="0.33" header="0.5" footer="0.5"/>
  <pageSetup paperSize="9" scale="67" pageOrder="overThenDown" orientation="portrait" horizontalDpi="1200" verticalDpi="1200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48"/>
  <sheetViews>
    <sheetView showGridLines="0" zoomScaleNormal="100" zoomScaleSheetLayoutView="100" workbookViewId="0"/>
  </sheetViews>
  <sheetFormatPr defaultColWidth="8" defaultRowHeight="16.5" customHeight="1"/>
  <cols>
    <col min="1" max="4" width="5.33203125" style="121" customWidth="1"/>
    <col min="5" max="11" width="11.109375" style="121" customWidth="1"/>
    <col min="12" max="16384" width="8" style="121"/>
  </cols>
  <sheetData>
    <row r="1" spans="1:11" ht="16.5" customHeight="1">
      <c r="A1" s="72" t="s">
        <v>228</v>
      </c>
      <c r="B1" s="3"/>
      <c r="C1" s="3"/>
      <c r="D1" s="3"/>
      <c r="E1" s="3"/>
      <c r="F1" s="3"/>
    </row>
    <row r="2" spans="1:11" ht="24" customHeight="1">
      <c r="A2" s="559" t="s">
        <v>779</v>
      </c>
      <c r="B2" s="559"/>
      <c r="C2" s="559"/>
      <c r="D2" s="559"/>
      <c r="E2" s="559"/>
      <c r="F2" s="559"/>
      <c r="G2" s="559"/>
      <c r="H2" s="559"/>
      <c r="I2" s="559"/>
      <c r="J2" s="559"/>
      <c r="K2" s="559"/>
    </row>
    <row r="4" spans="1:11" s="3" customFormat="1" ht="16.5" customHeight="1">
      <c r="A4" s="72" t="s">
        <v>658</v>
      </c>
      <c r="B4" s="122"/>
    </row>
    <row r="5" spans="1:11" s="3" customFormat="1" ht="16.5" customHeight="1">
      <c r="A5" s="72" t="s">
        <v>21</v>
      </c>
    </row>
    <row r="6" spans="1:11" s="3" customFormat="1" ht="16.5" customHeight="1">
      <c r="A6" s="571" t="s">
        <v>211</v>
      </c>
      <c r="B6" s="571"/>
      <c r="C6" s="571"/>
      <c r="D6" s="572"/>
      <c r="E6" s="546" t="s">
        <v>86</v>
      </c>
      <c r="F6" s="546"/>
      <c r="G6" s="546" t="s">
        <v>96</v>
      </c>
      <c r="H6" s="546"/>
      <c r="I6" s="546" t="s">
        <v>97</v>
      </c>
      <c r="J6" s="544"/>
    </row>
    <row r="7" spans="1:11" s="3" customFormat="1" ht="16.5" customHeight="1">
      <c r="A7" s="569" t="s">
        <v>229</v>
      </c>
      <c r="B7" s="569"/>
      <c r="C7" s="569"/>
      <c r="D7" s="570"/>
      <c r="E7" s="208" t="s">
        <v>194</v>
      </c>
      <c r="F7" s="208" t="s">
        <v>195</v>
      </c>
      <c r="G7" s="208" t="s">
        <v>194</v>
      </c>
      <c r="H7" s="208" t="s">
        <v>195</v>
      </c>
      <c r="I7" s="208" t="s">
        <v>194</v>
      </c>
      <c r="J7" s="217" t="s">
        <v>195</v>
      </c>
    </row>
    <row r="8" spans="1:11" s="3" customFormat="1" ht="16.5" customHeight="1">
      <c r="A8" s="566" t="s">
        <v>86</v>
      </c>
      <c r="B8" s="566"/>
      <c r="C8" s="566"/>
      <c r="D8" s="566"/>
      <c r="E8" s="43">
        <v>21049</v>
      </c>
      <c r="F8" s="216">
        <v>207443</v>
      </c>
      <c r="G8" s="43">
        <v>6049</v>
      </c>
      <c r="H8" s="216">
        <v>16628</v>
      </c>
      <c r="I8" s="43">
        <v>15000</v>
      </c>
      <c r="J8" s="32">
        <v>190815</v>
      </c>
    </row>
    <row r="9" spans="1:11" s="3" customFormat="1" ht="16.5" customHeight="1">
      <c r="A9" s="566" t="s">
        <v>415</v>
      </c>
      <c r="B9" s="566"/>
      <c r="C9" s="566"/>
      <c r="D9" s="566"/>
      <c r="E9" s="83">
        <v>20185</v>
      </c>
      <c r="F9" s="84">
        <v>193415</v>
      </c>
      <c r="G9" s="83">
        <v>5855</v>
      </c>
      <c r="H9" s="84">
        <v>15756</v>
      </c>
      <c r="I9" s="32">
        <v>14330</v>
      </c>
      <c r="J9" s="32">
        <v>177659</v>
      </c>
    </row>
    <row r="10" spans="1:11" s="3" customFormat="1" ht="16.5" customHeight="1">
      <c r="A10" s="565" t="s">
        <v>230</v>
      </c>
      <c r="B10" s="565"/>
      <c r="C10" s="565" t="s">
        <v>231</v>
      </c>
      <c r="D10" s="565"/>
      <c r="E10" s="81">
        <v>0</v>
      </c>
      <c r="F10" s="82">
        <v>0</v>
      </c>
      <c r="G10" s="81">
        <v>0</v>
      </c>
      <c r="H10" s="82">
        <v>0</v>
      </c>
      <c r="I10" s="243">
        <v>0</v>
      </c>
      <c r="J10" s="243">
        <v>0</v>
      </c>
    </row>
    <row r="11" spans="1:11" s="3" customFormat="1" ht="16.5" customHeight="1">
      <c r="A11" s="565"/>
      <c r="B11" s="565"/>
      <c r="C11" s="565" t="s">
        <v>232</v>
      </c>
      <c r="D11" s="565"/>
      <c r="E11" s="81">
        <v>16027</v>
      </c>
      <c r="F11" s="82">
        <v>55940</v>
      </c>
      <c r="G11" s="81">
        <v>4758</v>
      </c>
      <c r="H11" s="82">
        <v>6620</v>
      </c>
      <c r="I11" s="243">
        <v>11269</v>
      </c>
      <c r="J11" s="243">
        <v>49320</v>
      </c>
    </row>
    <row r="12" spans="1:11" s="3" customFormat="1" ht="16.5" customHeight="1">
      <c r="A12" s="565"/>
      <c r="B12" s="565"/>
      <c r="C12" s="565" t="s">
        <v>233</v>
      </c>
      <c r="D12" s="565"/>
      <c r="E12" s="81">
        <v>3788</v>
      </c>
      <c r="F12" s="82">
        <v>69491</v>
      </c>
      <c r="G12" s="81">
        <v>1008</v>
      </c>
      <c r="H12" s="82">
        <v>6414</v>
      </c>
      <c r="I12" s="243">
        <v>2780</v>
      </c>
      <c r="J12" s="243">
        <v>63077</v>
      </c>
    </row>
    <row r="13" spans="1:11" s="3" customFormat="1" ht="16.5" customHeight="1">
      <c r="A13" s="565"/>
      <c r="B13" s="565"/>
      <c r="C13" s="565" t="s">
        <v>234</v>
      </c>
      <c r="D13" s="565"/>
      <c r="E13" s="81">
        <v>0</v>
      </c>
      <c r="F13" s="82">
        <v>0</v>
      </c>
      <c r="G13" s="81">
        <v>0</v>
      </c>
      <c r="H13" s="82">
        <v>0</v>
      </c>
      <c r="I13" s="243">
        <v>0</v>
      </c>
      <c r="J13" s="243">
        <v>0</v>
      </c>
    </row>
    <row r="14" spans="1:11" s="3" customFormat="1" ht="16.5" customHeight="1">
      <c r="A14" s="565"/>
      <c r="B14" s="565"/>
      <c r="C14" s="565" t="s">
        <v>212</v>
      </c>
      <c r="D14" s="565"/>
      <c r="E14" s="81">
        <v>193</v>
      </c>
      <c r="F14" s="82">
        <v>53344</v>
      </c>
      <c r="G14" s="81">
        <v>8</v>
      </c>
      <c r="H14" s="82">
        <v>1031</v>
      </c>
      <c r="I14" s="243">
        <v>185</v>
      </c>
      <c r="J14" s="243">
        <v>52313</v>
      </c>
    </row>
    <row r="15" spans="1:11" s="3" customFormat="1" ht="16.5" customHeight="1">
      <c r="A15" s="565"/>
      <c r="B15" s="565"/>
      <c r="C15" s="565" t="s">
        <v>235</v>
      </c>
      <c r="D15" s="565"/>
      <c r="E15" s="81">
        <v>2</v>
      </c>
      <c r="F15" s="82">
        <v>2356</v>
      </c>
      <c r="G15" s="81">
        <v>0</v>
      </c>
      <c r="H15" s="82">
        <v>86</v>
      </c>
      <c r="I15" s="243">
        <v>2</v>
      </c>
      <c r="J15" s="243">
        <v>2270</v>
      </c>
    </row>
    <row r="16" spans="1:11" s="3" customFormat="1" ht="16.5" customHeight="1">
      <c r="A16" s="565" t="s">
        <v>407</v>
      </c>
      <c r="B16" s="565"/>
      <c r="C16" s="565"/>
      <c r="D16" s="565"/>
      <c r="E16" s="81">
        <v>1</v>
      </c>
      <c r="F16" s="82">
        <v>1844</v>
      </c>
      <c r="G16" s="81">
        <v>0</v>
      </c>
      <c r="H16" s="82">
        <v>180</v>
      </c>
      <c r="I16" s="243">
        <v>1</v>
      </c>
      <c r="J16" s="243">
        <v>1664</v>
      </c>
    </row>
    <row r="17" spans="1:11" s="3" customFormat="1" ht="16.5" customHeight="1">
      <c r="A17" s="565" t="s">
        <v>75</v>
      </c>
      <c r="B17" s="565"/>
      <c r="C17" s="565"/>
      <c r="D17" s="565"/>
      <c r="E17" s="81">
        <v>161</v>
      </c>
      <c r="F17" s="82">
        <v>6564</v>
      </c>
      <c r="G17" s="81">
        <v>76</v>
      </c>
      <c r="H17" s="82">
        <v>1369</v>
      </c>
      <c r="I17" s="243">
        <v>85</v>
      </c>
      <c r="J17" s="243">
        <v>5195</v>
      </c>
    </row>
    <row r="18" spans="1:11" s="3" customFormat="1" ht="16.5" customHeight="1">
      <c r="A18" s="565" t="s">
        <v>171</v>
      </c>
      <c r="B18" s="565"/>
      <c r="C18" s="565"/>
      <c r="D18" s="565"/>
      <c r="E18" s="81">
        <v>3</v>
      </c>
      <c r="F18" s="82">
        <v>407</v>
      </c>
      <c r="G18" s="81">
        <v>3</v>
      </c>
      <c r="H18" s="82">
        <v>35</v>
      </c>
      <c r="I18" s="243">
        <v>0</v>
      </c>
      <c r="J18" s="243">
        <v>372</v>
      </c>
    </row>
    <row r="19" spans="1:11" s="3" customFormat="1" ht="16.5" customHeight="1">
      <c r="A19" s="565" t="s">
        <v>416</v>
      </c>
      <c r="B19" s="565"/>
      <c r="C19" s="565"/>
      <c r="D19" s="565"/>
      <c r="E19" s="81">
        <v>0</v>
      </c>
      <c r="F19" s="82">
        <v>1</v>
      </c>
      <c r="G19" s="81">
        <v>0</v>
      </c>
      <c r="H19" s="82">
        <v>0</v>
      </c>
      <c r="I19" s="243">
        <v>0</v>
      </c>
      <c r="J19" s="243">
        <v>1</v>
      </c>
    </row>
    <row r="20" spans="1:11" s="3" customFormat="1" ht="16.5" customHeight="1">
      <c r="A20" s="565" t="s">
        <v>408</v>
      </c>
      <c r="B20" s="565"/>
      <c r="C20" s="565"/>
      <c r="D20" s="565"/>
      <c r="E20" s="81">
        <v>10</v>
      </c>
      <c r="F20" s="82">
        <v>3468</v>
      </c>
      <c r="G20" s="81">
        <v>2</v>
      </c>
      <c r="H20" s="82">
        <v>21</v>
      </c>
      <c r="I20" s="243">
        <v>8</v>
      </c>
      <c r="J20" s="243">
        <v>3447</v>
      </c>
    </row>
    <row r="21" spans="1:11" s="3" customFormat="1" ht="16.5" customHeight="1">
      <c r="A21" s="566" t="s">
        <v>417</v>
      </c>
      <c r="B21" s="566"/>
      <c r="C21" s="566"/>
      <c r="D21" s="566"/>
      <c r="E21" s="83">
        <v>864</v>
      </c>
      <c r="F21" s="84">
        <v>14028</v>
      </c>
      <c r="G21" s="83">
        <v>194</v>
      </c>
      <c r="H21" s="84">
        <v>872</v>
      </c>
      <c r="I21" s="83">
        <v>670</v>
      </c>
      <c r="J21" s="244">
        <v>13156</v>
      </c>
    </row>
    <row r="22" spans="1:11" s="3" customFormat="1" ht="16.5" customHeight="1">
      <c r="A22" s="565" t="s">
        <v>236</v>
      </c>
      <c r="B22" s="565"/>
      <c r="C22" s="565"/>
      <c r="D22" s="565"/>
      <c r="E22" s="81">
        <v>22</v>
      </c>
      <c r="F22" s="82">
        <v>1769</v>
      </c>
      <c r="G22" s="81">
        <v>10</v>
      </c>
      <c r="H22" s="82">
        <v>113</v>
      </c>
      <c r="I22" s="243">
        <v>12</v>
      </c>
      <c r="J22" s="243">
        <v>1656</v>
      </c>
    </row>
    <row r="23" spans="1:11" s="3" customFormat="1" ht="16.5" customHeight="1">
      <c r="A23" s="565" t="s">
        <v>237</v>
      </c>
      <c r="B23" s="565"/>
      <c r="C23" s="565"/>
      <c r="D23" s="565"/>
      <c r="E23" s="81">
        <v>115</v>
      </c>
      <c r="F23" s="82">
        <v>884</v>
      </c>
      <c r="G23" s="81">
        <v>46</v>
      </c>
      <c r="H23" s="82">
        <v>227</v>
      </c>
      <c r="I23" s="243">
        <v>69</v>
      </c>
      <c r="J23" s="243">
        <v>657</v>
      </c>
    </row>
    <row r="24" spans="1:11" s="3" customFormat="1" ht="16.5" customHeight="1">
      <c r="A24" s="575" t="s">
        <v>238</v>
      </c>
      <c r="B24" s="575"/>
      <c r="C24" s="575"/>
      <c r="D24" s="575"/>
      <c r="E24" s="42">
        <v>727</v>
      </c>
      <c r="F24" s="45">
        <v>11375</v>
      </c>
      <c r="G24" s="42">
        <v>138</v>
      </c>
      <c r="H24" s="45">
        <v>532</v>
      </c>
      <c r="I24" s="34">
        <v>589</v>
      </c>
      <c r="J24" s="34">
        <v>10843</v>
      </c>
    </row>
    <row r="25" spans="1:11" s="3" customFormat="1" ht="16.5" customHeight="1">
      <c r="A25" s="76" t="s">
        <v>738</v>
      </c>
      <c r="D25" s="100"/>
      <c r="E25" s="54"/>
      <c r="F25" s="54"/>
      <c r="G25" s="54"/>
      <c r="H25" s="54"/>
      <c r="I25" s="54"/>
      <c r="J25" s="54"/>
      <c r="K25" s="53"/>
    </row>
    <row r="26" spans="1:11" s="3" customFormat="1" ht="16.5" customHeight="1">
      <c r="A26" s="76"/>
      <c r="D26" s="100"/>
      <c r="E26" s="54"/>
      <c r="F26" s="54"/>
      <c r="G26" s="54"/>
      <c r="H26" s="54"/>
      <c r="I26" s="54"/>
      <c r="J26" s="54"/>
      <c r="K26" s="53"/>
    </row>
    <row r="27" spans="1:11" s="3" customFormat="1" ht="16.5" customHeight="1">
      <c r="A27" s="72" t="s">
        <v>353</v>
      </c>
    </row>
    <row r="28" spans="1:11" s="3" customFormat="1" ht="16.5" customHeight="1">
      <c r="A28" s="571" t="s">
        <v>239</v>
      </c>
      <c r="B28" s="571"/>
      <c r="C28" s="571"/>
      <c r="D28" s="571"/>
      <c r="E28" s="572"/>
      <c r="F28" s="546" t="s">
        <v>86</v>
      </c>
      <c r="G28" s="574"/>
      <c r="H28" s="546" t="s">
        <v>60</v>
      </c>
      <c r="I28" s="574"/>
      <c r="J28" s="546" t="s">
        <v>7</v>
      </c>
      <c r="K28" s="564"/>
    </row>
    <row r="29" spans="1:11" s="3" customFormat="1" ht="16.5" customHeight="1">
      <c r="A29" s="569" t="s">
        <v>240</v>
      </c>
      <c r="B29" s="569"/>
      <c r="C29" s="569"/>
      <c r="D29" s="569"/>
      <c r="E29" s="570"/>
      <c r="F29" s="208" t="s">
        <v>194</v>
      </c>
      <c r="G29" s="208" t="s">
        <v>195</v>
      </c>
      <c r="H29" s="208" t="s">
        <v>194</v>
      </c>
      <c r="I29" s="208" t="s">
        <v>195</v>
      </c>
      <c r="J29" s="208" t="s">
        <v>194</v>
      </c>
      <c r="K29" s="217" t="s">
        <v>195</v>
      </c>
    </row>
    <row r="30" spans="1:11" s="3" customFormat="1" ht="16.5" customHeight="1">
      <c r="A30" s="573" t="s">
        <v>86</v>
      </c>
      <c r="B30" s="573"/>
      <c r="C30" s="573"/>
      <c r="D30" s="573"/>
      <c r="E30" s="573"/>
      <c r="F30" s="43">
        <v>29162</v>
      </c>
      <c r="G30" s="216">
        <v>51593</v>
      </c>
      <c r="H30" s="43">
        <v>6518</v>
      </c>
      <c r="I30" s="216">
        <v>5817</v>
      </c>
      <c r="J30" s="32">
        <v>22644</v>
      </c>
      <c r="K30" s="32">
        <v>45776</v>
      </c>
    </row>
    <row r="31" spans="1:11" s="3" customFormat="1" ht="16.5" customHeight="1">
      <c r="A31" s="579" t="s">
        <v>241</v>
      </c>
      <c r="B31" s="579" t="s">
        <v>242</v>
      </c>
      <c r="C31" s="581" t="s">
        <v>243</v>
      </c>
      <c r="D31" s="584" t="s">
        <v>244</v>
      </c>
      <c r="E31" s="197" t="s">
        <v>403</v>
      </c>
      <c r="F31" s="81">
        <v>0</v>
      </c>
      <c r="G31" s="82">
        <v>0</v>
      </c>
      <c r="H31" s="81">
        <v>0</v>
      </c>
      <c r="I31" s="82">
        <v>0</v>
      </c>
      <c r="J31" s="243">
        <v>0</v>
      </c>
      <c r="K31" s="243">
        <v>0</v>
      </c>
    </row>
    <row r="32" spans="1:11" s="3" customFormat="1" ht="16.5" customHeight="1">
      <c r="A32" s="580"/>
      <c r="B32" s="580"/>
      <c r="C32" s="582"/>
      <c r="D32" s="585"/>
      <c r="E32" s="197" t="s">
        <v>404</v>
      </c>
      <c r="F32" s="81">
        <v>8506</v>
      </c>
      <c r="G32" s="82">
        <v>5483</v>
      </c>
      <c r="H32" s="81">
        <v>2112</v>
      </c>
      <c r="I32" s="82">
        <v>940</v>
      </c>
      <c r="J32" s="243">
        <v>6394</v>
      </c>
      <c r="K32" s="243">
        <v>4543</v>
      </c>
    </row>
    <row r="33" spans="1:11" s="3" customFormat="1" ht="16.5" customHeight="1">
      <c r="A33" s="580"/>
      <c r="B33" s="580"/>
      <c r="C33" s="582"/>
      <c r="D33" s="585"/>
      <c r="E33" s="197" t="s">
        <v>209</v>
      </c>
      <c r="F33" s="81">
        <v>3621</v>
      </c>
      <c r="G33" s="82">
        <v>5575</v>
      </c>
      <c r="H33" s="81">
        <v>897</v>
      </c>
      <c r="I33" s="82">
        <v>894</v>
      </c>
      <c r="J33" s="243">
        <v>2724</v>
      </c>
      <c r="K33" s="243">
        <v>4681</v>
      </c>
    </row>
    <row r="34" spans="1:11" s="3" customFormat="1" ht="16.5" customHeight="1">
      <c r="A34" s="580"/>
      <c r="B34" s="580"/>
      <c r="C34" s="582"/>
      <c r="D34" s="585"/>
      <c r="E34" s="197" t="s">
        <v>405</v>
      </c>
      <c r="F34" s="81">
        <v>0</v>
      </c>
      <c r="G34" s="82">
        <v>0</v>
      </c>
      <c r="H34" s="81">
        <v>0</v>
      </c>
      <c r="I34" s="82">
        <v>0</v>
      </c>
      <c r="J34" s="243">
        <v>0</v>
      </c>
      <c r="K34" s="243">
        <v>0</v>
      </c>
    </row>
    <row r="35" spans="1:11" s="3" customFormat="1" ht="16.5" customHeight="1">
      <c r="A35" s="580"/>
      <c r="B35" s="580"/>
      <c r="C35" s="582"/>
      <c r="D35" s="585"/>
      <c r="E35" s="197" t="s">
        <v>406</v>
      </c>
      <c r="F35" s="81">
        <v>405</v>
      </c>
      <c r="G35" s="82">
        <v>4314</v>
      </c>
      <c r="H35" s="81">
        <v>52</v>
      </c>
      <c r="I35" s="82">
        <v>247</v>
      </c>
      <c r="J35" s="243">
        <v>353</v>
      </c>
      <c r="K35" s="243">
        <v>4067</v>
      </c>
    </row>
    <row r="36" spans="1:11" s="3" customFormat="1" ht="16.5" customHeight="1">
      <c r="A36" s="580"/>
      <c r="B36" s="580"/>
      <c r="C36" s="582"/>
      <c r="D36" s="585"/>
      <c r="E36" s="63" t="s">
        <v>235</v>
      </c>
      <c r="F36" s="81">
        <v>0</v>
      </c>
      <c r="G36" s="82">
        <v>375</v>
      </c>
      <c r="H36" s="81">
        <v>0</v>
      </c>
      <c r="I36" s="82">
        <v>5</v>
      </c>
      <c r="J36" s="243">
        <v>0</v>
      </c>
      <c r="K36" s="243">
        <v>370</v>
      </c>
    </row>
    <row r="37" spans="1:11" s="3" customFormat="1" ht="16.5" customHeight="1">
      <c r="A37" s="580"/>
      <c r="B37" s="580"/>
      <c r="C37" s="582"/>
      <c r="D37" s="567" t="s">
        <v>407</v>
      </c>
      <c r="E37" s="568"/>
      <c r="F37" s="81">
        <v>1</v>
      </c>
      <c r="G37" s="82">
        <v>318</v>
      </c>
      <c r="H37" s="81">
        <v>0</v>
      </c>
      <c r="I37" s="82">
        <v>51</v>
      </c>
      <c r="J37" s="243">
        <v>1</v>
      </c>
      <c r="K37" s="243">
        <v>267</v>
      </c>
    </row>
    <row r="38" spans="1:11" s="3" customFormat="1" ht="16.5" customHeight="1">
      <c r="A38" s="580"/>
      <c r="B38" s="580"/>
      <c r="C38" s="582"/>
      <c r="D38" s="567" t="s">
        <v>75</v>
      </c>
      <c r="E38" s="568"/>
      <c r="F38" s="81">
        <v>111</v>
      </c>
      <c r="G38" s="82">
        <v>1095</v>
      </c>
      <c r="H38" s="81">
        <v>36</v>
      </c>
      <c r="I38" s="82">
        <v>193</v>
      </c>
      <c r="J38" s="243">
        <v>75</v>
      </c>
      <c r="K38" s="243">
        <v>902</v>
      </c>
    </row>
    <row r="39" spans="1:11" s="3" customFormat="1" ht="16.5" customHeight="1">
      <c r="A39" s="580"/>
      <c r="B39" s="580"/>
      <c r="C39" s="582"/>
      <c r="D39" s="567" t="s">
        <v>171</v>
      </c>
      <c r="E39" s="568"/>
      <c r="F39" s="81">
        <v>9</v>
      </c>
      <c r="G39" s="82">
        <v>67</v>
      </c>
      <c r="H39" s="81">
        <v>4</v>
      </c>
      <c r="I39" s="82">
        <v>6</v>
      </c>
      <c r="J39" s="243">
        <v>5</v>
      </c>
      <c r="K39" s="243">
        <v>61</v>
      </c>
    </row>
    <row r="40" spans="1:11" s="3" customFormat="1" ht="16.5" customHeight="1">
      <c r="A40" s="580"/>
      <c r="B40" s="580"/>
      <c r="C40" s="583"/>
      <c r="D40" s="567" t="s">
        <v>408</v>
      </c>
      <c r="E40" s="568"/>
      <c r="F40" s="81">
        <v>3</v>
      </c>
      <c r="G40" s="82">
        <v>54</v>
      </c>
      <c r="H40" s="81">
        <v>0</v>
      </c>
      <c r="I40" s="82">
        <v>0</v>
      </c>
      <c r="J40" s="243">
        <v>3</v>
      </c>
      <c r="K40" s="243">
        <v>54</v>
      </c>
    </row>
    <row r="41" spans="1:11" s="3" customFormat="1" ht="16.5" customHeight="1">
      <c r="A41" s="580"/>
      <c r="B41" s="580"/>
      <c r="C41" s="576" t="s">
        <v>409</v>
      </c>
      <c r="D41" s="576"/>
      <c r="E41" s="568"/>
      <c r="F41" s="81">
        <v>5</v>
      </c>
      <c r="G41" s="82">
        <v>29</v>
      </c>
      <c r="H41" s="81">
        <v>3</v>
      </c>
      <c r="I41" s="82">
        <v>1</v>
      </c>
      <c r="J41" s="243">
        <v>2</v>
      </c>
      <c r="K41" s="243">
        <v>28</v>
      </c>
    </row>
    <row r="42" spans="1:11" s="3" customFormat="1" ht="16.5" customHeight="1">
      <c r="A42" s="580"/>
      <c r="B42" s="580"/>
      <c r="C42" s="576" t="s">
        <v>410</v>
      </c>
      <c r="D42" s="576"/>
      <c r="E42" s="568"/>
      <c r="F42" s="81">
        <v>3</v>
      </c>
      <c r="G42" s="82">
        <v>10</v>
      </c>
      <c r="H42" s="81">
        <v>1</v>
      </c>
      <c r="I42" s="82">
        <v>4</v>
      </c>
      <c r="J42" s="243">
        <v>2</v>
      </c>
      <c r="K42" s="243">
        <v>6</v>
      </c>
    </row>
    <row r="43" spans="1:11" s="3" customFormat="1" ht="16.5" customHeight="1">
      <c r="A43" s="580"/>
      <c r="B43" s="579" t="s">
        <v>245</v>
      </c>
      <c r="C43" s="576" t="s">
        <v>411</v>
      </c>
      <c r="D43" s="576"/>
      <c r="E43" s="568"/>
      <c r="F43" s="81">
        <v>15235</v>
      </c>
      <c r="G43" s="82">
        <v>28941</v>
      </c>
      <c r="H43" s="81">
        <v>3284</v>
      </c>
      <c r="I43" s="82">
        <v>3209</v>
      </c>
      <c r="J43" s="243">
        <v>11951</v>
      </c>
      <c r="K43" s="243">
        <v>25732</v>
      </c>
    </row>
    <row r="44" spans="1:11" s="3" customFormat="1" ht="16.5" customHeight="1">
      <c r="A44" s="580"/>
      <c r="B44" s="580"/>
      <c r="C44" s="576" t="s">
        <v>412</v>
      </c>
      <c r="D44" s="576"/>
      <c r="E44" s="568"/>
      <c r="F44" s="81">
        <v>0</v>
      </c>
      <c r="G44" s="82">
        <v>56</v>
      </c>
      <c r="H44" s="81">
        <v>0</v>
      </c>
      <c r="I44" s="82">
        <v>0</v>
      </c>
      <c r="J44" s="243">
        <v>0</v>
      </c>
      <c r="K44" s="243">
        <v>56</v>
      </c>
    </row>
    <row r="45" spans="1:11" s="3" customFormat="1" ht="16.5" customHeight="1">
      <c r="A45" s="580"/>
      <c r="B45" s="577" t="s">
        <v>210</v>
      </c>
      <c r="C45" s="578"/>
      <c r="D45" s="578"/>
      <c r="E45" s="578"/>
      <c r="F45" s="83">
        <v>27899</v>
      </c>
      <c r="G45" s="84">
        <v>46317</v>
      </c>
      <c r="H45" s="83">
        <v>6389</v>
      </c>
      <c r="I45" s="84">
        <v>5550</v>
      </c>
      <c r="J45" s="32">
        <v>21510</v>
      </c>
      <c r="K45" s="32">
        <v>40767</v>
      </c>
    </row>
    <row r="46" spans="1:11" s="3" customFormat="1" ht="16.5" customHeight="1">
      <c r="A46" s="567" t="s">
        <v>413</v>
      </c>
      <c r="B46" s="576"/>
      <c r="C46" s="576"/>
      <c r="D46" s="576"/>
      <c r="E46" s="568"/>
      <c r="F46" s="81">
        <v>6</v>
      </c>
      <c r="G46" s="82">
        <v>15</v>
      </c>
      <c r="H46" s="81">
        <v>4</v>
      </c>
      <c r="I46" s="82">
        <v>9</v>
      </c>
      <c r="J46" s="243">
        <v>2</v>
      </c>
      <c r="K46" s="243">
        <v>6</v>
      </c>
    </row>
    <row r="47" spans="1:11" s="3" customFormat="1" ht="16.5" customHeight="1">
      <c r="A47" s="567" t="s">
        <v>414</v>
      </c>
      <c r="B47" s="576"/>
      <c r="C47" s="576"/>
      <c r="D47" s="576"/>
      <c r="E47" s="568"/>
      <c r="F47" s="81">
        <v>1056</v>
      </c>
      <c r="G47" s="82">
        <v>2089</v>
      </c>
      <c r="H47" s="81">
        <v>103</v>
      </c>
      <c r="I47" s="82">
        <v>128</v>
      </c>
      <c r="J47" s="243">
        <v>953</v>
      </c>
      <c r="K47" s="243">
        <v>1961</v>
      </c>
    </row>
    <row r="48" spans="1:11" s="3" customFormat="1" ht="16.5" customHeight="1">
      <c r="A48" s="567" t="s">
        <v>76</v>
      </c>
      <c r="B48" s="576"/>
      <c r="C48" s="576"/>
      <c r="D48" s="576"/>
      <c r="E48" s="568"/>
      <c r="F48" s="42">
        <v>201</v>
      </c>
      <c r="G48" s="45">
        <v>3172</v>
      </c>
      <c r="H48" s="42">
        <v>22</v>
      </c>
      <c r="I48" s="45">
        <v>130</v>
      </c>
      <c r="J48" s="34">
        <v>179</v>
      </c>
      <c r="K48" s="34">
        <v>3042</v>
      </c>
    </row>
  </sheetData>
  <sheetProtection algorithmName="SHA-512" hashValue="Jj+fXUL7vxdofqoutg2CJWihzIFeWwfg7pwI4PQvsNVJL0jGM3J9d5hwpm92TnB82C3BWSY7XO+MdTB+Ts5B/w==" saltValue="Rl+S3YwcfS/s8/7nVnNOFg==" spinCount="100000" sheet="1" objects="1" scenarios="1"/>
  <customSheetViews>
    <customSheetView guid="{4810CB4C-E276-4485-93D3-F920B09A4189}" showPageBreaks="1" showGridLines="0" fitToPage="1" printArea="1" view="pageBreakPreview">
      <pageMargins left="0.39370078740157483" right="0.15748031496062992" top="0.51181102362204722" bottom="0.19685039370078741" header="0.51181102362204722" footer="0.51181102362204722"/>
      <pageSetup paperSize="9" scale="86" orientation="portrait" horizontalDpi="1200" verticalDpi="1200" r:id="rId1"/>
      <headerFooter alignWithMargins="0"/>
    </customSheetView>
  </customSheetViews>
  <mergeCells count="47">
    <mergeCell ref="A48:E48"/>
    <mergeCell ref="A46:E46"/>
    <mergeCell ref="A47:E47"/>
    <mergeCell ref="B45:E45"/>
    <mergeCell ref="A31:A45"/>
    <mergeCell ref="B43:B44"/>
    <mergeCell ref="C43:E43"/>
    <mergeCell ref="C44:E44"/>
    <mergeCell ref="C31:C40"/>
    <mergeCell ref="C41:E41"/>
    <mergeCell ref="C42:E42"/>
    <mergeCell ref="B31:B42"/>
    <mergeCell ref="D31:D36"/>
    <mergeCell ref="D37:E37"/>
    <mergeCell ref="D38:E38"/>
    <mergeCell ref="D39:E39"/>
    <mergeCell ref="A2:K2"/>
    <mergeCell ref="I6:J6"/>
    <mergeCell ref="F28:G28"/>
    <mergeCell ref="H28:I28"/>
    <mergeCell ref="C11:D11"/>
    <mergeCell ref="C15:D15"/>
    <mergeCell ref="C10:D10"/>
    <mergeCell ref="C12:D12"/>
    <mergeCell ref="C13:D13"/>
    <mergeCell ref="C14:D14"/>
    <mergeCell ref="G6:H6"/>
    <mergeCell ref="A6:D6"/>
    <mergeCell ref="A7:D7"/>
    <mergeCell ref="A24:D24"/>
    <mergeCell ref="A23:D23"/>
    <mergeCell ref="A22:D22"/>
    <mergeCell ref="D40:E40"/>
    <mergeCell ref="A10:B15"/>
    <mergeCell ref="A20:D20"/>
    <mergeCell ref="A19:D19"/>
    <mergeCell ref="A18:D18"/>
    <mergeCell ref="A17:D17"/>
    <mergeCell ref="A21:D21"/>
    <mergeCell ref="A29:E29"/>
    <mergeCell ref="A28:E28"/>
    <mergeCell ref="A30:E30"/>
    <mergeCell ref="J28:K28"/>
    <mergeCell ref="E6:F6"/>
    <mergeCell ref="A16:D16"/>
    <mergeCell ref="A9:D9"/>
    <mergeCell ref="A8:D8"/>
  </mergeCells>
  <phoneticPr fontId="6" type="noConversion"/>
  <pageMargins left="0.39370078740157483" right="0.15748031496062992" top="0.51181102362204722" bottom="0.19685039370078741" header="0.51181102362204722" footer="0.51181102362204722"/>
  <pageSetup paperSize="9" scale="87" orientation="portrait" horizontalDpi="1200" verticalDpi="1200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Q49"/>
  <sheetViews>
    <sheetView showGridLines="0" zoomScaleNormal="100" zoomScaleSheetLayoutView="100" workbookViewId="0"/>
  </sheetViews>
  <sheetFormatPr defaultColWidth="8" defaultRowHeight="16.5" customHeight="1"/>
  <cols>
    <col min="1" max="4" width="3.5546875" style="76" customWidth="1"/>
    <col min="5" max="5" width="12" style="76" bestFit="1" customWidth="1"/>
    <col min="6" max="17" width="10.44140625" style="76" customWidth="1"/>
    <col min="18" max="16384" width="8" style="2"/>
  </cols>
  <sheetData>
    <row r="1" spans="1:13" ht="16.5" customHeight="1">
      <c r="A1" s="106" t="s">
        <v>18</v>
      </c>
    </row>
    <row r="2" spans="1:13" ht="16.5" customHeight="1">
      <c r="A2" s="619" t="s">
        <v>36</v>
      </c>
      <c r="B2" s="619"/>
      <c r="C2" s="619"/>
      <c r="D2" s="619"/>
      <c r="E2" s="620"/>
      <c r="F2" s="546" t="s">
        <v>86</v>
      </c>
      <c r="G2" s="614"/>
      <c r="H2" s="546" t="s">
        <v>354</v>
      </c>
      <c r="I2" s="614"/>
      <c r="J2" s="546" t="s">
        <v>355</v>
      </c>
      <c r="K2" s="614"/>
      <c r="L2" s="546" t="s">
        <v>428</v>
      </c>
      <c r="M2" s="614"/>
    </row>
    <row r="3" spans="1:13" ht="16.5" customHeight="1">
      <c r="A3" s="588" t="s">
        <v>163</v>
      </c>
      <c r="B3" s="588"/>
      <c r="C3" s="588"/>
      <c r="D3" s="588"/>
      <c r="E3" s="589"/>
      <c r="F3" s="208" t="s">
        <v>194</v>
      </c>
      <c r="G3" s="208" t="s">
        <v>90</v>
      </c>
      <c r="H3" s="208" t="s">
        <v>194</v>
      </c>
      <c r="I3" s="208" t="s">
        <v>90</v>
      </c>
      <c r="J3" s="208" t="s">
        <v>194</v>
      </c>
      <c r="K3" s="208" t="s">
        <v>90</v>
      </c>
      <c r="L3" s="208" t="s">
        <v>194</v>
      </c>
      <c r="M3" s="217" t="s">
        <v>90</v>
      </c>
    </row>
    <row r="4" spans="1:13" ht="16.5" customHeight="1">
      <c r="A4" s="610" t="s">
        <v>86</v>
      </c>
      <c r="B4" s="608"/>
      <c r="C4" s="608"/>
      <c r="D4" s="608"/>
      <c r="E4" s="611"/>
      <c r="F4" s="43">
        <v>12722</v>
      </c>
      <c r="G4" s="216">
        <v>11322</v>
      </c>
      <c r="H4" s="32">
        <v>3288</v>
      </c>
      <c r="I4" s="32">
        <v>1548</v>
      </c>
      <c r="J4" s="43">
        <v>9399</v>
      </c>
      <c r="K4" s="216">
        <v>9605</v>
      </c>
      <c r="L4" s="32">
        <v>35</v>
      </c>
      <c r="M4" s="32">
        <v>169</v>
      </c>
    </row>
    <row r="5" spans="1:13" ht="16.5" customHeight="1">
      <c r="A5" s="602" t="s">
        <v>155</v>
      </c>
      <c r="B5" s="612" t="s">
        <v>84</v>
      </c>
      <c r="C5" s="612" t="s">
        <v>85</v>
      </c>
      <c r="D5" s="604" t="s">
        <v>154</v>
      </c>
      <c r="E5" s="401" t="s">
        <v>33</v>
      </c>
      <c r="F5" s="243">
        <v>0</v>
      </c>
      <c r="G5" s="82">
        <v>0</v>
      </c>
      <c r="H5" s="243">
        <v>0</v>
      </c>
      <c r="I5" s="243">
        <v>0</v>
      </c>
      <c r="J5" s="81">
        <v>0</v>
      </c>
      <c r="K5" s="82">
        <v>0</v>
      </c>
      <c r="L5" s="243">
        <v>0</v>
      </c>
      <c r="M5" s="243">
        <v>0</v>
      </c>
    </row>
    <row r="6" spans="1:13" ht="16.5" customHeight="1">
      <c r="A6" s="596"/>
      <c r="B6" s="597"/>
      <c r="C6" s="597"/>
      <c r="D6" s="605"/>
      <c r="E6" s="400" t="s">
        <v>34</v>
      </c>
      <c r="F6" s="243">
        <v>1</v>
      </c>
      <c r="G6" s="82">
        <v>0</v>
      </c>
      <c r="H6" s="243">
        <v>1</v>
      </c>
      <c r="I6" s="243">
        <v>0</v>
      </c>
      <c r="J6" s="81">
        <v>0</v>
      </c>
      <c r="K6" s="82">
        <v>0</v>
      </c>
      <c r="L6" s="243">
        <v>0</v>
      </c>
      <c r="M6" s="243">
        <v>0</v>
      </c>
    </row>
    <row r="7" spans="1:13" ht="16.5" customHeight="1">
      <c r="A7" s="596"/>
      <c r="B7" s="597"/>
      <c r="C7" s="597"/>
      <c r="D7" s="605"/>
      <c r="E7" s="402" t="s">
        <v>209</v>
      </c>
      <c r="F7" s="243">
        <v>0</v>
      </c>
      <c r="G7" s="82">
        <v>0</v>
      </c>
      <c r="H7" s="243">
        <v>0</v>
      </c>
      <c r="I7" s="243">
        <v>0</v>
      </c>
      <c r="J7" s="81">
        <v>0</v>
      </c>
      <c r="K7" s="82">
        <v>0</v>
      </c>
      <c r="L7" s="243">
        <v>0</v>
      </c>
      <c r="M7" s="243">
        <v>0</v>
      </c>
    </row>
    <row r="8" spans="1:13" ht="16.5" customHeight="1">
      <c r="A8" s="596"/>
      <c r="B8" s="597"/>
      <c r="C8" s="597"/>
      <c r="D8" s="605"/>
      <c r="E8" s="402" t="s">
        <v>405</v>
      </c>
      <c r="F8" s="243">
        <v>0</v>
      </c>
      <c r="G8" s="82">
        <v>0</v>
      </c>
      <c r="H8" s="243">
        <v>0</v>
      </c>
      <c r="I8" s="243">
        <v>0</v>
      </c>
      <c r="J8" s="81">
        <v>0</v>
      </c>
      <c r="K8" s="82">
        <v>0</v>
      </c>
      <c r="L8" s="243">
        <v>0</v>
      </c>
      <c r="M8" s="243">
        <v>0</v>
      </c>
    </row>
    <row r="9" spans="1:13" ht="16.5" customHeight="1">
      <c r="A9" s="596"/>
      <c r="B9" s="597"/>
      <c r="C9" s="597"/>
      <c r="D9" s="605"/>
      <c r="E9" s="402" t="s">
        <v>406</v>
      </c>
      <c r="F9" s="243">
        <v>0</v>
      </c>
      <c r="G9" s="82">
        <v>1</v>
      </c>
      <c r="H9" s="243">
        <v>0</v>
      </c>
      <c r="I9" s="243">
        <v>1</v>
      </c>
      <c r="J9" s="81">
        <v>0</v>
      </c>
      <c r="K9" s="82">
        <v>0</v>
      </c>
      <c r="L9" s="243">
        <v>0</v>
      </c>
      <c r="M9" s="243">
        <v>0</v>
      </c>
    </row>
    <row r="10" spans="1:13" ht="16.5" customHeight="1">
      <c r="A10" s="603"/>
      <c r="B10" s="613"/>
      <c r="C10" s="613"/>
      <c r="D10" s="606"/>
      <c r="E10" s="283" t="s">
        <v>638</v>
      </c>
      <c r="F10" s="243">
        <v>0</v>
      </c>
      <c r="G10" s="82">
        <v>0</v>
      </c>
      <c r="H10" s="243">
        <v>0</v>
      </c>
      <c r="I10" s="243">
        <v>0</v>
      </c>
      <c r="J10" s="245">
        <v>0</v>
      </c>
      <c r="K10" s="251">
        <v>0</v>
      </c>
      <c r="L10" s="243">
        <v>0</v>
      </c>
      <c r="M10" s="243">
        <v>0</v>
      </c>
    </row>
    <row r="11" spans="1:13" ht="16.5" customHeight="1">
      <c r="A11" s="596"/>
      <c r="B11" s="597"/>
      <c r="C11" s="597"/>
      <c r="D11" s="594" t="s">
        <v>407</v>
      </c>
      <c r="E11" s="595"/>
      <c r="F11" s="81">
        <v>0</v>
      </c>
      <c r="G11" s="82">
        <v>0</v>
      </c>
      <c r="H11" s="243">
        <v>0</v>
      </c>
      <c r="I11" s="243">
        <v>0</v>
      </c>
      <c r="J11" s="81">
        <v>0</v>
      </c>
      <c r="K11" s="82">
        <v>0</v>
      </c>
      <c r="L11" s="243">
        <v>0</v>
      </c>
      <c r="M11" s="243">
        <v>0</v>
      </c>
    </row>
    <row r="12" spans="1:13" ht="16.5" customHeight="1">
      <c r="A12" s="596"/>
      <c r="B12" s="597"/>
      <c r="C12" s="597"/>
      <c r="D12" s="594" t="s">
        <v>75</v>
      </c>
      <c r="E12" s="595"/>
      <c r="F12" s="81">
        <v>0</v>
      </c>
      <c r="G12" s="82">
        <v>1</v>
      </c>
      <c r="H12" s="243">
        <v>0</v>
      </c>
      <c r="I12" s="243">
        <v>1</v>
      </c>
      <c r="J12" s="81">
        <v>0</v>
      </c>
      <c r="K12" s="82">
        <v>0</v>
      </c>
      <c r="L12" s="243">
        <v>0</v>
      </c>
      <c r="M12" s="243">
        <v>0</v>
      </c>
    </row>
    <row r="13" spans="1:13" ht="16.5" customHeight="1">
      <c r="A13" s="596"/>
      <c r="B13" s="597"/>
      <c r="C13" s="597"/>
      <c r="D13" s="594" t="s">
        <v>171</v>
      </c>
      <c r="E13" s="595"/>
      <c r="F13" s="81">
        <v>0</v>
      </c>
      <c r="G13" s="82">
        <v>1</v>
      </c>
      <c r="H13" s="243">
        <v>0</v>
      </c>
      <c r="I13" s="243">
        <v>1</v>
      </c>
      <c r="J13" s="81">
        <v>0</v>
      </c>
      <c r="K13" s="82">
        <v>0</v>
      </c>
      <c r="L13" s="243">
        <v>0</v>
      </c>
      <c r="M13" s="243">
        <v>0</v>
      </c>
    </row>
    <row r="14" spans="1:13" ht="16.5" customHeight="1">
      <c r="A14" s="596"/>
      <c r="B14" s="597"/>
      <c r="C14" s="600"/>
      <c r="D14" s="615" t="s">
        <v>408</v>
      </c>
      <c r="E14" s="616"/>
      <c r="F14" s="81">
        <v>0</v>
      </c>
      <c r="G14" s="82">
        <v>2</v>
      </c>
      <c r="H14" s="243">
        <v>0</v>
      </c>
      <c r="I14" s="243">
        <v>0</v>
      </c>
      <c r="J14" s="81">
        <v>0</v>
      </c>
      <c r="K14" s="82">
        <v>2</v>
      </c>
      <c r="L14" s="243">
        <v>0</v>
      </c>
      <c r="M14" s="243">
        <v>0</v>
      </c>
    </row>
    <row r="15" spans="1:13" ht="16.5" customHeight="1">
      <c r="A15" s="596"/>
      <c r="B15" s="597"/>
      <c r="C15" s="617" t="s">
        <v>409</v>
      </c>
      <c r="D15" s="617"/>
      <c r="E15" s="618"/>
      <c r="F15" s="81">
        <v>92</v>
      </c>
      <c r="G15" s="82">
        <v>264</v>
      </c>
      <c r="H15" s="243">
        <v>25</v>
      </c>
      <c r="I15" s="243">
        <v>48</v>
      </c>
      <c r="J15" s="81">
        <v>67</v>
      </c>
      <c r="K15" s="82">
        <v>214</v>
      </c>
      <c r="L15" s="243">
        <v>0</v>
      </c>
      <c r="M15" s="243">
        <v>2</v>
      </c>
    </row>
    <row r="16" spans="1:13" ht="16.5" customHeight="1">
      <c r="A16" s="596"/>
      <c r="B16" s="600"/>
      <c r="C16" s="600" t="s">
        <v>410</v>
      </c>
      <c r="D16" s="600"/>
      <c r="E16" s="601"/>
      <c r="F16" s="81">
        <v>0</v>
      </c>
      <c r="G16" s="82">
        <v>0</v>
      </c>
      <c r="H16" s="243">
        <v>0</v>
      </c>
      <c r="I16" s="243">
        <v>0</v>
      </c>
      <c r="J16" s="81">
        <v>0</v>
      </c>
      <c r="K16" s="82">
        <v>0</v>
      </c>
      <c r="L16" s="243">
        <v>0</v>
      </c>
      <c r="M16" s="243">
        <v>0</v>
      </c>
    </row>
    <row r="17" spans="1:17" ht="16.5" customHeight="1">
      <c r="A17" s="596"/>
      <c r="B17" s="600" t="s">
        <v>418</v>
      </c>
      <c r="C17" s="600"/>
      <c r="D17" s="600"/>
      <c r="E17" s="601"/>
      <c r="F17" s="81">
        <v>2152</v>
      </c>
      <c r="G17" s="82">
        <v>3420</v>
      </c>
      <c r="H17" s="243">
        <v>1287</v>
      </c>
      <c r="I17" s="243">
        <v>740</v>
      </c>
      <c r="J17" s="81">
        <v>856</v>
      </c>
      <c r="K17" s="82">
        <v>2582</v>
      </c>
      <c r="L17" s="243">
        <v>9</v>
      </c>
      <c r="M17" s="243">
        <v>98</v>
      </c>
    </row>
    <row r="18" spans="1:17" ht="16.5" customHeight="1">
      <c r="A18" s="599"/>
      <c r="B18" s="608" t="s">
        <v>31</v>
      </c>
      <c r="C18" s="608"/>
      <c r="D18" s="608"/>
      <c r="E18" s="609"/>
      <c r="F18" s="83">
        <v>2245</v>
      </c>
      <c r="G18" s="84">
        <v>3689</v>
      </c>
      <c r="H18" s="32">
        <v>1313</v>
      </c>
      <c r="I18" s="32">
        <v>791</v>
      </c>
      <c r="J18" s="83">
        <v>923</v>
      </c>
      <c r="K18" s="84">
        <v>2798</v>
      </c>
      <c r="L18" s="32">
        <v>9</v>
      </c>
      <c r="M18" s="32">
        <v>100</v>
      </c>
    </row>
    <row r="19" spans="1:17" ht="16.5" customHeight="1">
      <c r="A19" s="596" t="s">
        <v>419</v>
      </c>
      <c r="B19" s="597"/>
      <c r="C19" s="597"/>
      <c r="D19" s="597"/>
      <c r="E19" s="598"/>
      <c r="F19" s="81">
        <v>3368</v>
      </c>
      <c r="G19" s="82">
        <v>282</v>
      </c>
      <c r="H19" s="243">
        <v>582</v>
      </c>
      <c r="I19" s="243">
        <v>42</v>
      </c>
      <c r="J19" s="81">
        <v>2782</v>
      </c>
      <c r="K19" s="82">
        <v>238</v>
      </c>
      <c r="L19" s="243">
        <v>4</v>
      </c>
      <c r="M19" s="243">
        <v>2</v>
      </c>
    </row>
    <row r="20" spans="1:17" ht="16.5" customHeight="1">
      <c r="A20" s="599" t="s">
        <v>76</v>
      </c>
      <c r="B20" s="600"/>
      <c r="C20" s="600"/>
      <c r="D20" s="600"/>
      <c r="E20" s="601"/>
      <c r="F20" s="42">
        <v>7109</v>
      </c>
      <c r="G20" s="45">
        <v>7351</v>
      </c>
      <c r="H20" s="34">
        <v>1393</v>
      </c>
      <c r="I20" s="34">
        <v>715</v>
      </c>
      <c r="J20" s="42">
        <v>5694</v>
      </c>
      <c r="K20" s="45">
        <v>6569</v>
      </c>
      <c r="L20" s="34">
        <v>22</v>
      </c>
      <c r="M20" s="34">
        <v>67</v>
      </c>
    </row>
    <row r="22" spans="1:17" s="6" customFormat="1" ht="16.5" customHeight="1">
      <c r="A22" s="72" t="s">
        <v>659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</row>
    <row r="23" spans="1:17" s="6" customFormat="1" ht="16.5" customHeight="1">
      <c r="A23" s="571" t="s">
        <v>36</v>
      </c>
      <c r="B23" s="571"/>
      <c r="C23" s="571"/>
      <c r="D23" s="571"/>
      <c r="E23" s="607" t="s">
        <v>420</v>
      </c>
      <c r="F23" s="546" t="s">
        <v>356</v>
      </c>
      <c r="G23" s="546"/>
      <c r="H23" s="544"/>
      <c r="I23" s="544" t="s">
        <v>357</v>
      </c>
      <c r="J23" s="587"/>
      <c r="K23" s="587"/>
      <c r="L23" s="587"/>
      <c r="M23" s="587"/>
      <c r="N23" s="587"/>
      <c r="O23" s="587"/>
      <c r="P23" s="545"/>
      <c r="Q23" s="586" t="s">
        <v>159</v>
      </c>
    </row>
    <row r="24" spans="1:17" s="6" customFormat="1" ht="45">
      <c r="A24" s="569" t="s">
        <v>38</v>
      </c>
      <c r="B24" s="569"/>
      <c r="C24" s="569"/>
      <c r="D24" s="569"/>
      <c r="E24" s="607"/>
      <c r="F24" s="126" t="s">
        <v>156</v>
      </c>
      <c r="G24" s="126" t="s">
        <v>157</v>
      </c>
      <c r="H24" s="127" t="s">
        <v>158</v>
      </c>
      <c r="I24" s="127" t="s">
        <v>566</v>
      </c>
      <c r="J24" s="127" t="s">
        <v>567</v>
      </c>
      <c r="K24" s="127" t="s">
        <v>568</v>
      </c>
      <c r="L24" s="127" t="s">
        <v>569</v>
      </c>
      <c r="M24" s="127" t="s">
        <v>570</v>
      </c>
      <c r="N24" s="127" t="s">
        <v>571</v>
      </c>
      <c r="O24" s="127" t="s">
        <v>572</v>
      </c>
      <c r="P24" s="127" t="s">
        <v>573</v>
      </c>
      <c r="Q24" s="586"/>
    </row>
    <row r="25" spans="1:17" s="6" customFormat="1" ht="16.5" customHeight="1">
      <c r="A25" s="566" t="s">
        <v>21</v>
      </c>
      <c r="B25" s="566"/>
      <c r="C25" s="566"/>
      <c r="D25" s="593"/>
      <c r="E25" s="524">
        <v>75637</v>
      </c>
      <c r="F25" s="32">
        <v>3750</v>
      </c>
      <c r="G25" s="32">
        <v>13508</v>
      </c>
      <c r="H25" s="32">
        <v>10964</v>
      </c>
      <c r="I25" s="32">
        <v>4258</v>
      </c>
      <c r="J25" s="32">
        <v>3741</v>
      </c>
      <c r="K25" s="32">
        <v>162</v>
      </c>
      <c r="L25" s="32">
        <v>10868</v>
      </c>
      <c r="M25" s="32">
        <v>3417</v>
      </c>
      <c r="N25" s="32">
        <v>11</v>
      </c>
      <c r="O25" s="32">
        <v>56</v>
      </c>
      <c r="P25" s="32">
        <v>15</v>
      </c>
      <c r="Q25" s="32">
        <v>50750</v>
      </c>
    </row>
    <row r="26" spans="1:17" s="6" customFormat="1" ht="16.5" customHeight="1">
      <c r="A26" s="566" t="s">
        <v>39</v>
      </c>
      <c r="B26" s="566"/>
      <c r="C26" s="566"/>
      <c r="D26" s="593"/>
      <c r="E26" s="524">
        <v>9571</v>
      </c>
      <c r="F26" s="32">
        <v>322</v>
      </c>
      <c r="G26" s="32">
        <v>1543</v>
      </c>
      <c r="H26" s="32">
        <v>1299</v>
      </c>
      <c r="I26" s="32">
        <v>338</v>
      </c>
      <c r="J26" s="32">
        <v>392</v>
      </c>
      <c r="K26" s="32">
        <v>10</v>
      </c>
      <c r="L26" s="32">
        <v>670</v>
      </c>
      <c r="M26" s="32">
        <v>227</v>
      </c>
      <c r="N26" s="32">
        <v>0</v>
      </c>
      <c r="O26" s="32">
        <v>0</v>
      </c>
      <c r="P26" s="32">
        <v>1</v>
      </c>
      <c r="Q26" s="32">
        <v>4802</v>
      </c>
    </row>
    <row r="27" spans="1:17" s="6" customFormat="1" ht="16.5" customHeight="1">
      <c r="A27" s="565" t="s">
        <v>2</v>
      </c>
      <c r="B27" s="565"/>
      <c r="C27" s="565"/>
      <c r="D27" s="592"/>
      <c r="E27" s="516">
        <v>1796</v>
      </c>
      <c r="F27" s="14">
        <v>51</v>
      </c>
      <c r="G27" s="14">
        <v>132</v>
      </c>
      <c r="H27" s="14">
        <v>604</v>
      </c>
      <c r="I27" s="14">
        <v>33</v>
      </c>
      <c r="J27" s="14">
        <v>118</v>
      </c>
      <c r="K27" s="14">
        <v>2</v>
      </c>
      <c r="L27" s="14">
        <v>177</v>
      </c>
      <c r="M27" s="14">
        <v>84</v>
      </c>
      <c r="N27" s="14">
        <v>0</v>
      </c>
      <c r="O27" s="14">
        <v>0</v>
      </c>
      <c r="P27" s="14">
        <v>0</v>
      </c>
      <c r="Q27" s="14">
        <v>1201</v>
      </c>
    </row>
    <row r="28" spans="1:17" s="6" customFormat="1" ht="16.5" customHeight="1">
      <c r="A28" s="590" t="s">
        <v>3</v>
      </c>
      <c r="B28" s="590"/>
      <c r="C28" s="590"/>
      <c r="D28" s="591"/>
      <c r="E28" s="226">
        <v>7775</v>
      </c>
      <c r="F28" s="46">
        <v>271</v>
      </c>
      <c r="G28" s="46">
        <v>1411</v>
      </c>
      <c r="H28" s="46">
        <v>695</v>
      </c>
      <c r="I28" s="46">
        <v>305</v>
      </c>
      <c r="J28" s="46">
        <v>274</v>
      </c>
      <c r="K28" s="46">
        <v>8</v>
      </c>
      <c r="L28" s="46">
        <v>493</v>
      </c>
      <c r="M28" s="46">
        <v>143</v>
      </c>
      <c r="N28" s="46">
        <v>0</v>
      </c>
      <c r="O28" s="46">
        <v>0</v>
      </c>
      <c r="P28" s="46">
        <v>1</v>
      </c>
      <c r="Q28" s="46">
        <v>3601</v>
      </c>
    </row>
    <row r="29" spans="1:17" s="1" customFormat="1" ht="16.5" customHeight="1">
      <c r="A29" s="128" t="s">
        <v>577</v>
      </c>
      <c r="B29" s="128"/>
      <c r="C29" s="301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73"/>
      <c r="O29" s="73"/>
      <c r="P29" s="73"/>
      <c r="Q29" s="73"/>
    </row>
    <row r="30" spans="1:17" s="1" customFormat="1" ht="16.5" customHeight="1">
      <c r="A30" s="3" t="s">
        <v>576</v>
      </c>
      <c r="B30" s="3"/>
      <c r="C30" s="53"/>
      <c r="D30" s="3"/>
      <c r="E30" s="3"/>
      <c r="F30" s="3"/>
      <c r="G30" s="3"/>
      <c r="H30" s="3"/>
      <c r="I30" s="3"/>
      <c r="J30" s="3"/>
      <c r="K30" s="3"/>
      <c r="L30" s="3"/>
      <c r="M30" s="3"/>
      <c r="N30" s="53"/>
      <c r="O30" s="53"/>
      <c r="P30" s="53"/>
      <c r="Q30" s="53"/>
    </row>
    <row r="31" spans="1:17" s="1" customFormat="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53"/>
      <c r="O31" s="53"/>
      <c r="P31" s="53"/>
      <c r="Q31" s="53"/>
    </row>
    <row r="32" spans="1:17" s="1" customFormat="1" ht="16.5" customHeight="1">
      <c r="A32" s="450" t="s">
        <v>780</v>
      </c>
      <c r="B32" s="448"/>
      <c r="C32" s="448"/>
      <c r="D32" s="448"/>
      <c r="E32" s="448"/>
      <c r="F32" s="448"/>
      <c r="G32" s="448"/>
      <c r="H32" s="448"/>
      <c r="I32" s="448"/>
      <c r="J32" s="448"/>
      <c r="K32" s="448"/>
      <c r="L32" s="448"/>
      <c r="M32" s="448"/>
      <c r="N32" s="449"/>
      <c r="O32" s="449"/>
      <c r="P32" s="129"/>
      <c r="Q32" s="129"/>
    </row>
    <row r="33" spans="1:17" s="1" customFormat="1" ht="16.5" customHeight="1">
      <c r="A33" s="57" t="s">
        <v>781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129"/>
      <c r="O33" s="129"/>
      <c r="P33" s="129"/>
      <c r="Q33" s="129"/>
    </row>
    <row r="34" spans="1:17" s="109" customFormat="1" ht="16.5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2"/>
      <c r="O34" s="132"/>
      <c r="P34" s="132"/>
      <c r="Q34" s="132"/>
    </row>
    <row r="35" spans="1:17" s="109" customFormat="1" ht="16.5" customHeight="1">
      <c r="A35" s="72" t="s">
        <v>625</v>
      </c>
      <c r="B35" s="133"/>
      <c r="C35" s="133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2"/>
      <c r="O35" s="132"/>
      <c r="P35" s="132"/>
      <c r="Q35" s="132"/>
    </row>
    <row r="36" spans="1:17" s="109" customFormat="1" ht="16.5" customHeight="1">
      <c r="A36" s="133"/>
      <c r="B36" s="134"/>
      <c r="C36" s="134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2"/>
      <c r="O36" s="132"/>
      <c r="P36" s="132"/>
      <c r="Q36" s="132"/>
    </row>
    <row r="37" spans="1:17" s="109" customFormat="1" ht="16.5" customHeight="1">
      <c r="A37" s="133"/>
      <c r="B37" s="3"/>
      <c r="C37" s="3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2"/>
      <c r="O37" s="132"/>
      <c r="P37" s="132"/>
      <c r="Q37" s="132"/>
    </row>
    <row r="38" spans="1:17" s="109" customFormat="1" ht="16.5" customHeight="1">
      <c r="B38" s="236" t="s">
        <v>427</v>
      </c>
      <c r="C38" s="464"/>
      <c r="D38" s="464"/>
      <c r="E38" s="131"/>
      <c r="F38" s="131"/>
      <c r="G38" s="131"/>
      <c r="H38" s="131"/>
      <c r="I38" s="131"/>
      <c r="J38" s="131"/>
      <c r="K38" s="131"/>
      <c r="L38" s="131"/>
      <c r="M38" s="131"/>
      <c r="N38" s="132"/>
      <c r="O38" s="132"/>
      <c r="P38" s="132"/>
      <c r="Q38" s="132"/>
    </row>
    <row r="39" spans="1:17" s="109" customFormat="1" ht="16.5" customHeight="1">
      <c r="A39" s="1"/>
      <c r="B39" s="1" t="s">
        <v>18</v>
      </c>
      <c r="C39" s="1" t="s">
        <v>60</v>
      </c>
      <c r="D39" s="1" t="s">
        <v>7</v>
      </c>
      <c r="E39" s="131"/>
      <c r="F39" s="131"/>
      <c r="G39" s="131"/>
      <c r="H39" s="131"/>
      <c r="I39" s="131"/>
      <c r="J39" s="131"/>
      <c r="K39" s="131"/>
      <c r="L39" s="131"/>
      <c r="M39" s="131"/>
      <c r="N39" s="132"/>
      <c r="O39" s="132"/>
      <c r="P39" s="132"/>
      <c r="Q39" s="132"/>
    </row>
    <row r="40" spans="1:17" s="109" customFormat="1" ht="16.5" customHeight="1">
      <c r="A40" s="1" t="s">
        <v>61</v>
      </c>
      <c r="B40" s="1">
        <v>5572</v>
      </c>
      <c r="C40" s="1">
        <v>6493</v>
      </c>
      <c r="D40" s="1">
        <v>37739</v>
      </c>
      <c r="E40" s="131"/>
      <c r="F40" s="131"/>
      <c r="G40" s="131"/>
      <c r="H40" s="131"/>
      <c r="I40" s="131"/>
      <c r="J40" s="131"/>
      <c r="K40" s="131"/>
      <c r="L40" s="131"/>
      <c r="M40" s="131"/>
      <c r="N40" s="132"/>
      <c r="O40" s="132"/>
      <c r="P40" s="132"/>
      <c r="Q40" s="132"/>
    </row>
    <row r="41" spans="1:17" s="109" customFormat="1" ht="16.5" customHeight="1">
      <c r="A41" s="1" t="s">
        <v>59</v>
      </c>
      <c r="B41" s="1">
        <v>362</v>
      </c>
      <c r="C41" s="1">
        <v>5446</v>
      </c>
      <c r="D41" s="1">
        <v>24538</v>
      </c>
      <c r="E41" s="131"/>
      <c r="F41" s="131"/>
      <c r="G41" s="131"/>
      <c r="H41" s="131"/>
      <c r="I41" s="131"/>
      <c r="J41" s="131"/>
      <c r="K41" s="131"/>
      <c r="L41" s="131"/>
      <c r="M41" s="131"/>
      <c r="N41" s="132"/>
      <c r="O41" s="132"/>
      <c r="P41" s="132"/>
      <c r="Q41" s="132"/>
    </row>
    <row r="42" spans="1:17" s="109" customFormat="1" ht="16.5" customHeight="1">
      <c r="A42" s="465" t="s">
        <v>77</v>
      </c>
      <c r="B42" s="466">
        <v>93.899561846983488</v>
      </c>
      <c r="C42" s="466">
        <v>54.384789345841362</v>
      </c>
      <c r="D42" s="466">
        <v>60.598615861393455</v>
      </c>
      <c r="E42" s="131"/>
      <c r="F42" s="131"/>
      <c r="G42" s="131"/>
      <c r="H42" s="131"/>
      <c r="I42" s="131"/>
      <c r="J42" s="131"/>
      <c r="K42" s="131"/>
      <c r="L42" s="131"/>
      <c r="M42" s="131"/>
      <c r="N42" s="132"/>
      <c r="O42" s="132"/>
      <c r="P42" s="132"/>
      <c r="Q42" s="132"/>
    </row>
    <row r="43" spans="1:17" s="109" customFormat="1" ht="16.5" customHeight="1">
      <c r="A43" s="465" t="s">
        <v>246</v>
      </c>
      <c r="B43" s="466">
        <v>6.1004381530165146</v>
      </c>
      <c r="C43" s="466">
        <v>45.615210654158638</v>
      </c>
      <c r="D43" s="466">
        <v>39.401384138606545</v>
      </c>
      <c r="E43" s="131"/>
      <c r="F43" s="131"/>
      <c r="G43" s="131"/>
      <c r="H43" s="131"/>
      <c r="I43" s="131"/>
      <c r="J43" s="131"/>
      <c r="K43" s="131"/>
      <c r="L43" s="131"/>
      <c r="M43" s="131"/>
      <c r="N43" s="132"/>
      <c r="O43" s="132"/>
      <c r="P43" s="132"/>
      <c r="Q43" s="132"/>
    </row>
    <row r="44" spans="1:17" s="109" customFormat="1" ht="16.5" customHeight="1">
      <c r="A44" s="135"/>
      <c r="B44" s="135"/>
      <c r="C44" s="135"/>
      <c r="D44" s="131"/>
      <c r="E44" s="131"/>
      <c r="F44" s="131"/>
      <c r="G44" s="131"/>
      <c r="H44" s="136"/>
      <c r="I44" s="131"/>
      <c r="J44" s="131"/>
      <c r="K44" s="131"/>
      <c r="L44" s="131"/>
      <c r="M44" s="131"/>
      <c r="N44" s="132"/>
      <c r="O44" s="132"/>
      <c r="P44" s="132"/>
      <c r="Q44" s="132"/>
    </row>
    <row r="45" spans="1:17" s="109" customFormat="1" ht="16.5" customHeight="1">
      <c r="A45" s="135"/>
      <c r="B45" s="135"/>
      <c r="C45" s="137"/>
      <c r="D45" s="131"/>
      <c r="E45" s="131"/>
      <c r="F45" s="131"/>
      <c r="G45" s="131"/>
      <c r="H45" s="136"/>
      <c r="I45" s="137"/>
      <c r="J45" s="131"/>
      <c r="K45" s="131"/>
      <c r="L45" s="131"/>
      <c r="M45" s="131"/>
      <c r="N45" s="132"/>
      <c r="O45" s="132"/>
      <c r="P45" s="132"/>
      <c r="Q45" s="132"/>
    </row>
    <row r="46" spans="1:17" s="109" customFormat="1" ht="16.5" customHeight="1">
      <c r="A46" s="135"/>
      <c r="B46" s="135"/>
      <c r="C46" s="137"/>
      <c r="D46" s="131"/>
      <c r="E46" s="131"/>
      <c r="F46" s="131"/>
      <c r="G46" s="131"/>
      <c r="H46" s="136"/>
      <c r="I46" s="137"/>
      <c r="J46" s="131"/>
      <c r="K46" s="131"/>
      <c r="L46" s="131"/>
      <c r="M46" s="131"/>
      <c r="N46" s="132"/>
      <c r="O46" s="132"/>
      <c r="P46" s="132"/>
      <c r="Q46" s="132"/>
    </row>
    <row r="47" spans="1:17" s="109" customFormat="1" ht="16.5" customHeight="1">
      <c r="A47" s="131"/>
      <c r="B47" s="131"/>
      <c r="C47" s="137"/>
      <c r="D47" s="131"/>
      <c r="E47" s="131"/>
      <c r="F47" s="131"/>
      <c r="G47" s="131"/>
      <c r="H47" s="136"/>
      <c r="I47" s="132"/>
      <c r="J47" s="132"/>
      <c r="K47" s="131"/>
      <c r="L47" s="131"/>
      <c r="M47" s="131"/>
      <c r="N47" s="132"/>
      <c r="O47" s="132"/>
      <c r="P47" s="132"/>
      <c r="Q47" s="132"/>
    </row>
    <row r="48" spans="1:17" s="109" customFormat="1" ht="16.5" customHeight="1">
      <c r="A48" s="131"/>
      <c r="B48" s="131"/>
      <c r="C48" s="137"/>
      <c r="D48" s="131"/>
      <c r="E48" s="131"/>
      <c r="F48" s="131"/>
      <c r="G48" s="131"/>
      <c r="H48" s="136"/>
      <c r="I48" s="132"/>
      <c r="J48" s="132"/>
      <c r="K48" s="131"/>
      <c r="L48" s="131"/>
      <c r="M48" s="131"/>
      <c r="N48" s="132"/>
      <c r="O48" s="132"/>
      <c r="P48" s="132"/>
      <c r="Q48" s="132"/>
    </row>
    <row r="49" spans="1:17" s="109" customFormat="1" ht="16.5" customHeight="1">
      <c r="A49" s="131"/>
      <c r="B49" s="131"/>
      <c r="C49" s="137"/>
      <c r="D49" s="131"/>
      <c r="E49" s="131"/>
      <c r="F49" s="131"/>
      <c r="G49" s="131"/>
      <c r="H49" s="136"/>
      <c r="I49" s="132"/>
      <c r="J49" s="132"/>
      <c r="K49" s="131"/>
      <c r="L49" s="131"/>
      <c r="M49" s="131"/>
      <c r="N49" s="132"/>
      <c r="O49" s="132"/>
      <c r="P49" s="132"/>
      <c r="Q49" s="132"/>
    </row>
  </sheetData>
  <sheetProtection algorithmName="SHA-512" hashValue="RLEC4NCxRS7fFY0npkoDlVmlnR+0aACpPcZDvKVNgBBCWKdBEUzHU93KWf8MpWvLkIp9F6AD2z5MaoU6O3rDIQ==" saltValue="pfmPryKDDl7UXYNXsCEdmg==" spinCount="100000" sheet="1" objects="1" scenarios="1"/>
  <customSheetViews>
    <customSheetView guid="{4810CB4C-E276-4485-93D3-F920B09A4189}" showPageBreaks="1" showGridLines="0" fitToPage="1" printArea="1" view="pageBreakPreview">
      <pageMargins left="0.43307086614173229" right="7.874015748031496E-2" top="0.35433070866141736" bottom="7.874015748031496E-2" header="0.35433070866141736" footer="0.11811023622047245"/>
      <pageSetup paperSize="9" scale="56" pageOrder="overThenDown" orientation="portrait" horizontalDpi="1200" verticalDpi="1200" r:id="rId1"/>
      <headerFooter alignWithMargins="0"/>
    </customSheetView>
  </customSheetViews>
  <mergeCells count="31">
    <mergeCell ref="J2:K2"/>
    <mergeCell ref="L2:M2"/>
    <mergeCell ref="F2:G2"/>
    <mergeCell ref="H2:I2"/>
    <mergeCell ref="B5:B16"/>
    <mergeCell ref="D13:E13"/>
    <mergeCell ref="D14:E14"/>
    <mergeCell ref="C15:E15"/>
    <mergeCell ref="C16:E16"/>
    <mergeCell ref="A2:E2"/>
    <mergeCell ref="B17:E17"/>
    <mergeCell ref="B18:E18"/>
    <mergeCell ref="A4:E4"/>
    <mergeCell ref="C5:C14"/>
    <mergeCell ref="D11:E11"/>
    <mergeCell ref="Q23:Q24"/>
    <mergeCell ref="I23:P23"/>
    <mergeCell ref="A3:E3"/>
    <mergeCell ref="A28:D28"/>
    <mergeCell ref="A27:D27"/>
    <mergeCell ref="A26:D26"/>
    <mergeCell ref="A25:D25"/>
    <mergeCell ref="D12:E12"/>
    <mergeCell ref="F23:H23"/>
    <mergeCell ref="A19:E19"/>
    <mergeCell ref="A20:E20"/>
    <mergeCell ref="A5:A18"/>
    <mergeCell ref="D5:D10"/>
    <mergeCell ref="E23:E24"/>
    <mergeCell ref="A24:D24"/>
    <mergeCell ref="A23:D23"/>
  </mergeCells>
  <phoneticPr fontId="55" type="noConversion"/>
  <pageMargins left="0.43307086614173229" right="7.874015748031496E-2" top="0.35433070866141736" bottom="7.874015748031496E-2" header="0.35433070866141736" footer="0.11811023622047245"/>
  <pageSetup paperSize="9" scale="56" pageOrder="overThenDown" orientation="portrait" horizontalDpi="1200" verticalDpi="1200" r:id="rId2"/>
  <headerFooter alignWithMargins="0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46"/>
  <sheetViews>
    <sheetView showGridLines="0" zoomScaleNormal="100" zoomScaleSheetLayoutView="100" workbookViewId="0"/>
  </sheetViews>
  <sheetFormatPr defaultColWidth="8" defaultRowHeight="16.5" customHeight="1"/>
  <cols>
    <col min="1" max="1" width="21.109375" style="2" customWidth="1"/>
    <col min="2" max="13" width="8" style="2" customWidth="1"/>
    <col min="14" max="16384" width="8" style="76"/>
  </cols>
  <sheetData>
    <row r="1" spans="1:13" s="3" customFormat="1" ht="16.5" customHeight="1">
      <c r="A1" s="72" t="s">
        <v>660</v>
      </c>
    </row>
    <row r="2" spans="1:13" s="3" customFormat="1" ht="16.5" customHeight="1">
      <c r="A2" s="138" t="s">
        <v>160</v>
      </c>
      <c r="B2" s="622" t="s">
        <v>86</v>
      </c>
      <c r="C2" s="623" t="s">
        <v>89</v>
      </c>
      <c r="D2" s="623"/>
      <c r="E2" s="623"/>
      <c r="F2" s="623"/>
      <c r="G2" s="623"/>
      <c r="H2" s="623"/>
      <c r="I2" s="623"/>
      <c r="J2" s="623"/>
      <c r="L2" s="56"/>
      <c r="M2" s="56"/>
    </row>
    <row r="3" spans="1:13" s="3" customFormat="1" ht="16.5" customHeight="1">
      <c r="A3" s="229" t="s">
        <v>38</v>
      </c>
      <c r="B3" s="561"/>
      <c r="C3" s="208" t="s">
        <v>88</v>
      </c>
      <c r="D3" s="208" t="s">
        <v>277</v>
      </c>
      <c r="E3" s="208" t="s">
        <v>278</v>
      </c>
      <c r="F3" s="208" t="s">
        <v>279</v>
      </c>
      <c r="G3" s="208" t="s">
        <v>280</v>
      </c>
      <c r="H3" s="208" t="s">
        <v>281</v>
      </c>
      <c r="I3" s="208" t="s">
        <v>37</v>
      </c>
      <c r="J3" s="208" t="s">
        <v>5</v>
      </c>
      <c r="M3" s="56"/>
    </row>
    <row r="4" spans="1:13" s="3" customFormat="1" ht="16.5" customHeight="1">
      <c r="A4" s="63" t="s">
        <v>21</v>
      </c>
      <c r="B4" s="97">
        <v>145246</v>
      </c>
      <c r="C4" s="14">
        <v>29</v>
      </c>
      <c r="D4" s="14">
        <v>774</v>
      </c>
      <c r="E4" s="14">
        <v>4118</v>
      </c>
      <c r="F4" s="14">
        <v>8924</v>
      </c>
      <c r="G4" s="14">
        <v>36355</v>
      </c>
      <c r="H4" s="14">
        <v>21118</v>
      </c>
      <c r="I4" s="14">
        <v>73279</v>
      </c>
      <c r="J4" s="14">
        <v>649</v>
      </c>
      <c r="M4" s="91"/>
    </row>
    <row r="5" spans="1:13" s="3" customFormat="1" ht="16.5" customHeight="1">
      <c r="A5" s="65" t="s">
        <v>20</v>
      </c>
      <c r="B5" s="170">
        <v>23185</v>
      </c>
      <c r="C5" s="34">
        <v>8</v>
      </c>
      <c r="D5" s="34">
        <v>233</v>
      </c>
      <c r="E5" s="34">
        <v>1053</v>
      </c>
      <c r="F5" s="34">
        <v>2041</v>
      </c>
      <c r="G5" s="34">
        <v>6708</v>
      </c>
      <c r="H5" s="34">
        <v>3823</v>
      </c>
      <c r="I5" s="34">
        <v>9196</v>
      </c>
      <c r="J5" s="34">
        <v>123</v>
      </c>
      <c r="K5" s="57"/>
      <c r="L5" s="57"/>
      <c r="M5" s="91"/>
    </row>
    <row r="6" spans="1:13" s="3" customFormat="1" ht="16.5" customHeight="1">
      <c r="L6" s="99"/>
      <c r="M6" s="99"/>
    </row>
    <row r="7" spans="1:13" s="3" customFormat="1" ht="16.5" customHeight="1">
      <c r="A7" s="72" t="s">
        <v>558</v>
      </c>
    </row>
    <row r="8" spans="1:13" s="3" customFormat="1" ht="16.5" customHeight="1">
      <c r="A8" s="57" t="s">
        <v>813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</row>
    <row r="9" spans="1:13" s="3" customFormat="1" ht="16.5" customHeight="1"/>
    <row r="10" spans="1:13" s="3" customFormat="1" ht="16.5" customHeight="1">
      <c r="A10" s="72" t="s">
        <v>661</v>
      </c>
    </row>
    <row r="11" spans="1:13" s="3" customFormat="1" ht="16.5" customHeight="1">
      <c r="A11" s="138" t="s">
        <v>160</v>
      </c>
      <c r="B11" s="624" t="s">
        <v>86</v>
      </c>
      <c r="C11" s="624" t="s">
        <v>33</v>
      </c>
      <c r="D11" s="624" t="s">
        <v>87</v>
      </c>
      <c r="E11" s="626" t="s">
        <v>282</v>
      </c>
      <c r="F11" s="624" t="s">
        <v>283</v>
      </c>
      <c r="G11" s="624" t="s">
        <v>284</v>
      </c>
      <c r="H11" s="624" t="s">
        <v>285</v>
      </c>
      <c r="I11" s="626" t="s">
        <v>286</v>
      </c>
      <c r="J11" s="624" t="s">
        <v>287</v>
      </c>
      <c r="K11" s="624" t="s">
        <v>75</v>
      </c>
      <c r="L11" s="624" t="s">
        <v>288</v>
      </c>
      <c r="M11" s="624" t="s">
        <v>76</v>
      </c>
    </row>
    <row r="12" spans="1:13" s="3" customFormat="1" ht="16.5" customHeight="1">
      <c r="A12" s="229" t="s">
        <v>289</v>
      </c>
      <c r="B12" s="625"/>
      <c r="C12" s="625"/>
      <c r="D12" s="625"/>
      <c r="E12" s="625"/>
      <c r="F12" s="625" t="s">
        <v>290</v>
      </c>
      <c r="G12" s="625"/>
      <c r="H12" s="625"/>
      <c r="I12" s="625"/>
      <c r="J12" s="625"/>
      <c r="K12" s="625"/>
      <c r="L12" s="625"/>
      <c r="M12" s="625"/>
    </row>
    <row r="13" spans="1:13" s="3" customFormat="1" ht="16.5" customHeight="1">
      <c r="A13" s="64" t="s">
        <v>291</v>
      </c>
      <c r="B13" s="97">
        <v>2408</v>
      </c>
      <c r="C13" s="59">
        <v>0</v>
      </c>
      <c r="D13" s="59">
        <v>0</v>
      </c>
      <c r="E13" s="59">
        <v>3</v>
      </c>
      <c r="F13" s="59">
        <v>649</v>
      </c>
      <c r="G13" s="59">
        <v>427</v>
      </c>
      <c r="H13" s="59">
        <v>97</v>
      </c>
      <c r="I13" s="59">
        <v>5</v>
      </c>
      <c r="J13" s="59">
        <v>17</v>
      </c>
      <c r="K13" s="59">
        <v>19</v>
      </c>
      <c r="L13" s="59">
        <v>999</v>
      </c>
      <c r="M13" s="59">
        <v>192</v>
      </c>
    </row>
    <row r="14" spans="1:13" s="3" customFormat="1" ht="16.5" customHeight="1">
      <c r="A14" s="242" t="s">
        <v>6</v>
      </c>
      <c r="B14" s="179">
        <v>100</v>
      </c>
      <c r="C14" s="278" t="s">
        <v>585</v>
      </c>
      <c r="D14" s="278" t="s">
        <v>67</v>
      </c>
      <c r="E14" s="41">
        <v>0.12458471760797342</v>
      </c>
      <c r="F14" s="41">
        <v>26.951827242524917</v>
      </c>
      <c r="G14" s="41">
        <v>17.732558139534884</v>
      </c>
      <c r="H14" s="41">
        <v>4.0282392026578071</v>
      </c>
      <c r="I14" s="41">
        <v>0.20764119601328906</v>
      </c>
      <c r="J14" s="41">
        <v>0.70598006644518274</v>
      </c>
      <c r="K14" s="41">
        <v>0.78903654485049834</v>
      </c>
      <c r="L14" s="41">
        <v>41.486710963455145</v>
      </c>
      <c r="M14" s="41">
        <v>7.9734219269102988</v>
      </c>
    </row>
    <row r="15" spans="1:13" s="3" customFormat="1" ht="16.5" customHeight="1">
      <c r="A15" s="197" t="s">
        <v>423</v>
      </c>
      <c r="B15" s="94">
        <v>749</v>
      </c>
      <c r="C15" s="60">
        <v>0</v>
      </c>
      <c r="D15" s="60">
        <v>0</v>
      </c>
      <c r="E15" s="60">
        <v>1</v>
      </c>
      <c r="F15" s="243">
        <v>193</v>
      </c>
      <c r="G15" s="243">
        <v>119</v>
      </c>
      <c r="H15" s="243">
        <v>12</v>
      </c>
      <c r="I15" s="243">
        <v>0</v>
      </c>
      <c r="J15" s="243">
        <v>3</v>
      </c>
      <c r="K15" s="243">
        <v>1</v>
      </c>
      <c r="L15" s="243">
        <v>344</v>
      </c>
      <c r="M15" s="243">
        <v>76</v>
      </c>
    </row>
    <row r="16" spans="1:13" s="3" customFormat="1" ht="16.5" customHeight="1">
      <c r="A16" s="197" t="s">
        <v>424</v>
      </c>
      <c r="B16" s="94">
        <v>84</v>
      </c>
      <c r="C16" s="60">
        <v>0</v>
      </c>
      <c r="D16" s="60">
        <v>0</v>
      </c>
      <c r="E16" s="60">
        <v>0</v>
      </c>
      <c r="F16" s="243">
        <v>22</v>
      </c>
      <c r="G16" s="243">
        <v>27</v>
      </c>
      <c r="H16" s="243">
        <v>0</v>
      </c>
      <c r="I16" s="243">
        <v>0</v>
      </c>
      <c r="J16" s="243">
        <v>0</v>
      </c>
      <c r="K16" s="243">
        <v>0</v>
      </c>
      <c r="L16" s="243">
        <v>33</v>
      </c>
      <c r="M16" s="243">
        <v>2</v>
      </c>
    </row>
    <row r="17" spans="1:13" s="3" customFormat="1" ht="16.5" customHeight="1">
      <c r="A17" s="197" t="s">
        <v>425</v>
      </c>
      <c r="B17" s="94">
        <v>254</v>
      </c>
      <c r="C17" s="243">
        <v>0</v>
      </c>
      <c r="D17" s="243">
        <v>0</v>
      </c>
      <c r="E17" s="243">
        <v>1</v>
      </c>
      <c r="F17" s="243">
        <v>80</v>
      </c>
      <c r="G17" s="243">
        <v>36</v>
      </c>
      <c r="H17" s="243">
        <v>22</v>
      </c>
      <c r="I17" s="243">
        <v>0</v>
      </c>
      <c r="J17" s="243">
        <v>1</v>
      </c>
      <c r="K17" s="243">
        <v>0</v>
      </c>
      <c r="L17" s="243">
        <v>96</v>
      </c>
      <c r="M17" s="243">
        <v>18</v>
      </c>
    </row>
    <row r="18" spans="1:13" s="3" customFormat="1" ht="16.5" customHeight="1">
      <c r="A18" s="197" t="s">
        <v>426</v>
      </c>
      <c r="B18" s="94">
        <v>72</v>
      </c>
      <c r="C18" s="243">
        <v>0</v>
      </c>
      <c r="D18" s="243">
        <v>0</v>
      </c>
      <c r="E18" s="243">
        <v>0</v>
      </c>
      <c r="F18" s="243">
        <v>25</v>
      </c>
      <c r="G18" s="243">
        <v>5</v>
      </c>
      <c r="H18" s="243">
        <v>4</v>
      </c>
      <c r="I18" s="243">
        <v>0</v>
      </c>
      <c r="J18" s="243">
        <v>0</v>
      </c>
      <c r="K18" s="243">
        <v>0</v>
      </c>
      <c r="L18" s="243">
        <v>36</v>
      </c>
      <c r="M18" s="243">
        <v>2</v>
      </c>
    </row>
    <row r="19" spans="1:13" s="3" customFormat="1" ht="16.5" customHeight="1">
      <c r="A19" s="63" t="s">
        <v>226</v>
      </c>
      <c r="B19" s="94">
        <v>20</v>
      </c>
      <c r="C19" s="243">
        <v>0</v>
      </c>
      <c r="D19" s="243">
        <v>0</v>
      </c>
      <c r="E19" s="243">
        <v>0</v>
      </c>
      <c r="F19" s="243">
        <v>6</v>
      </c>
      <c r="G19" s="243">
        <v>4</v>
      </c>
      <c r="H19" s="243">
        <v>0</v>
      </c>
      <c r="I19" s="243">
        <v>0</v>
      </c>
      <c r="J19" s="243">
        <v>0</v>
      </c>
      <c r="K19" s="243">
        <v>0</v>
      </c>
      <c r="L19" s="243">
        <v>9</v>
      </c>
      <c r="M19" s="243">
        <v>1</v>
      </c>
    </row>
    <row r="20" spans="1:13" s="3" customFormat="1" ht="16.5" customHeight="1">
      <c r="A20" s="63" t="s">
        <v>292</v>
      </c>
      <c r="B20" s="94">
        <v>322</v>
      </c>
      <c r="C20" s="243">
        <v>0</v>
      </c>
      <c r="D20" s="243">
        <v>0</v>
      </c>
      <c r="E20" s="243">
        <v>0</v>
      </c>
      <c r="F20" s="243">
        <v>54</v>
      </c>
      <c r="G20" s="243">
        <v>63</v>
      </c>
      <c r="H20" s="243">
        <v>16</v>
      </c>
      <c r="I20" s="243">
        <v>2</v>
      </c>
      <c r="J20" s="243">
        <v>4</v>
      </c>
      <c r="K20" s="243">
        <v>1</v>
      </c>
      <c r="L20" s="243">
        <v>161</v>
      </c>
      <c r="M20" s="243">
        <v>21</v>
      </c>
    </row>
    <row r="21" spans="1:13" s="3" customFormat="1" ht="16.5" customHeight="1">
      <c r="A21" s="63" t="s">
        <v>293</v>
      </c>
      <c r="B21" s="94">
        <v>149</v>
      </c>
      <c r="C21" s="243">
        <v>0</v>
      </c>
      <c r="D21" s="243">
        <v>0</v>
      </c>
      <c r="E21" s="243">
        <v>0</v>
      </c>
      <c r="F21" s="243">
        <v>55</v>
      </c>
      <c r="G21" s="243">
        <v>31</v>
      </c>
      <c r="H21" s="243">
        <v>4</v>
      </c>
      <c r="I21" s="243">
        <v>0</v>
      </c>
      <c r="J21" s="243">
        <v>0</v>
      </c>
      <c r="K21" s="243">
        <v>3</v>
      </c>
      <c r="L21" s="243">
        <v>47</v>
      </c>
      <c r="M21" s="243">
        <v>9</v>
      </c>
    </row>
    <row r="22" spans="1:13" s="3" customFormat="1" ht="16.5" customHeight="1">
      <c r="A22" s="63" t="s">
        <v>294</v>
      </c>
      <c r="B22" s="94">
        <v>25</v>
      </c>
      <c r="C22" s="243">
        <v>0</v>
      </c>
      <c r="D22" s="243">
        <v>0</v>
      </c>
      <c r="E22" s="243">
        <v>0</v>
      </c>
      <c r="F22" s="243">
        <v>4</v>
      </c>
      <c r="G22" s="243">
        <v>5</v>
      </c>
      <c r="H22" s="243">
        <v>1</v>
      </c>
      <c r="I22" s="243">
        <v>0</v>
      </c>
      <c r="J22" s="243">
        <v>0</v>
      </c>
      <c r="K22" s="243">
        <v>0</v>
      </c>
      <c r="L22" s="243">
        <v>14</v>
      </c>
      <c r="M22" s="243">
        <v>1</v>
      </c>
    </row>
    <row r="23" spans="1:13" s="3" customFormat="1" ht="16.5" customHeight="1">
      <c r="A23" s="65" t="s">
        <v>295</v>
      </c>
      <c r="B23" s="98">
        <v>733</v>
      </c>
      <c r="C23" s="34">
        <v>0</v>
      </c>
      <c r="D23" s="34">
        <v>0</v>
      </c>
      <c r="E23" s="34">
        <v>1</v>
      </c>
      <c r="F23" s="34">
        <v>210</v>
      </c>
      <c r="G23" s="34">
        <v>137</v>
      </c>
      <c r="H23" s="34">
        <v>38</v>
      </c>
      <c r="I23" s="34">
        <v>3</v>
      </c>
      <c r="J23" s="34">
        <v>9</v>
      </c>
      <c r="K23" s="34">
        <v>14</v>
      </c>
      <c r="L23" s="34">
        <v>259</v>
      </c>
      <c r="M23" s="34">
        <v>62</v>
      </c>
    </row>
    <row r="24" spans="1:13" s="3" customFormat="1" ht="16.5" customHeight="1">
      <c r="A24" s="100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spans="1:13" s="3" customFormat="1" ht="16.5" customHeight="1">
      <c r="A25" s="101" t="s">
        <v>296</v>
      </c>
      <c r="B25" s="101"/>
      <c r="C25" s="54"/>
      <c r="D25" s="54"/>
      <c r="E25" s="54"/>
      <c r="F25" s="412"/>
      <c r="G25" s="412"/>
      <c r="H25" s="412"/>
      <c r="I25" s="412"/>
      <c r="J25" s="412"/>
      <c r="K25" s="412"/>
      <c r="L25" s="412"/>
      <c r="M25" s="412"/>
    </row>
    <row r="26" spans="1:13" s="3" customFormat="1" ht="16.5" customHeight="1">
      <c r="A26" s="627" t="s">
        <v>812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</row>
    <row r="27" spans="1:13" s="3" customFormat="1" ht="16.5" customHeight="1">
      <c r="A27" s="627"/>
      <c r="B27" s="627"/>
      <c r="C27" s="627"/>
      <c r="D27" s="627"/>
      <c r="E27" s="627"/>
      <c r="F27" s="627"/>
      <c r="G27" s="627"/>
      <c r="H27" s="627"/>
      <c r="I27" s="627"/>
      <c r="J27" s="627"/>
      <c r="K27" s="627"/>
      <c r="L27" s="627"/>
      <c r="M27" s="627"/>
    </row>
    <row r="28" spans="1:13" s="3" customFormat="1" ht="16.5" customHeight="1">
      <c r="A28" s="8" t="s">
        <v>10</v>
      </c>
      <c r="B28" s="8"/>
      <c r="C28" s="9"/>
      <c r="D28" s="9"/>
      <c r="E28" s="9"/>
      <c r="F28" s="9"/>
      <c r="G28" s="9"/>
      <c r="H28" s="139"/>
      <c r="I28" s="139"/>
      <c r="J28" s="139"/>
      <c r="K28" s="139"/>
      <c r="L28" s="139"/>
      <c r="M28" s="139"/>
    </row>
    <row r="29" spans="1:13" s="3" customFormat="1" ht="16.5" customHeight="1">
      <c r="A29" s="621" t="s">
        <v>782</v>
      </c>
      <c r="B29" s="621"/>
      <c r="C29" s="621"/>
      <c r="D29" s="621"/>
      <c r="E29" s="621"/>
      <c r="F29" s="621"/>
      <c r="G29" s="621"/>
      <c r="H29" s="621"/>
      <c r="I29" s="621"/>
      <c r="J29" s="621"/>
      <c r="K29" s="621"/>
      <c r="L29" s="621"/>
      <c r="M29" s="621"/>
    </row>
    <row r="30" spans="1:13" s="3" customFormat="1" ht="16.5" customHeight="1">
      <c r="A30" s="621"/>
      <c r="B30" s="621"/>
      <c r="C30" s="621"/>
      <c r="D30" s="621"/>
      <c r="E30" s="621"/>
      <c r="F30" s="621"/>
      <c r="G30" s="621"/>
      <c r="H30" s="621"/>
      <c r="I30" s="621"/>
      <c r="J30" s="621"/>
      <c r="K30" s="621"/>
      <c r="L30" s="621"/>
      <c r="M30" s="621"/>
    </row>
    <row r="31" spans="1:13" s="3" customFormat="1" ht="16.5" customHeight="1">
      <c r="A31" s="426"/>
      <c r="B31" s="426"/>
      <c r="C31" s="426"/>
      <c r="D31" s="426"/>
      <c r="E31" s="426"/>
      <c r="F31" s="426"/>
      <c r="G31" s="426"/>
      <c r="H31" s="426"/>
      <c r="I31" s="426"/>
      <c r="J31" s="426"/>
      <c r="K31" s="426"/>
      <c r="L31" s="426"/>
      <c r="M31" s="426"/>
    </row>
    <row r="32" spans="1:13" s="54" customFormat="1" ht="16.5" customHeight="1">
      <c r="A32" s="72" t="s">
        <v>626</v>
      </c>
    </row>
    <row r="33" spans="1:7" s="54" customFormat="1" ht="16.5" customHeight="1"/>
    <row r="34" spans="1:7" s="54" customFormat="1" ht="16.5" customHeight="1"/>
    <row r="35" spans="1:7" s="54" customFormat="1" ht="16.5" customHeight="1">
      <c r="A35" s="458" t="s">
        <v>578</v>
      </c>
      <c r="B35" s="459">
        <v>9340</v>
      </c>
    </row>
    <row r="36" spans="1:7" s="54" customFormat="1" ht="16.5" customHeight="1">
      <c r="A36" s="458" t="s">
        <v>737</v>
      </c>
      <c r="B36" s="459">
        <v>6847</v>
      </c>
    </row>
    <row r="37" spans="1:7" s="54" customFormat="1" ht="16.5" customHeight="1">
      <c r="A37" s="458" t="s">
        <v>745</v>
      </c>
      <c r="B37" s="412">
        <v>5631</v>
      </c>
    </row>
    <row r="38" spans="1:7" s="54" customFormat="1" ht="16.5" customHeight="1">
      <c r="A38" s="458" t="s">
        <v>756</v>
      </c>
      <c r="B38" s="412">
        <v>3114</v>
      </c>
    </row>
    <row r="39" spans="1:7" s="54" customFormat="1" ht="16.5" customHeight="1">
      <c r="A39" s="458" t="s">
        <v>772</v>
      </c>
      <c r="B39" s="412">
        <v>2746</v>
      </c>
    </row>
    <row r="40" spans="1:7" s="54" customFormat="1" ht="16.5" customHeight="1"/>
    <row r="41" spans="1:7" s="54" customFormat="1" ht="16.5" customHeight="1"/>
    <row r="42" spans="1:7" s="54" customFormat="1" ht="16.5" customHeight="1"/>
    <row r="43" spans="1:7" s="54" customFormat="1" ht="16.5" customHeight="1"/>
    <row r="44" spans="1:7" s="54" customFormat="1" ht="16.5" customHeight="1"/>
    <row r="45" spans="1:7" s="54" customFormat="1" ht="16.5" customHeight="1">
      <c r="A45" s="100"/>
      <c r="B45" s="101"/>
      <c r="D45" s="73"/>
      <c r="E45" s="73"/>
      <c r="F45" s="73"/>
      <c r="G45" s="73"/>
    </row>
    <row r="46" spans="1:7" s="54" customFormat="1" ht="16.5" customHeight="1">
      <c r="A46" s="100"/>
      <c r="B46" s="101"/>
      <c r="D46" s="73"/>
      <c r="E46" s="73"/>
      <c r="F46" s="73"/>
      <c r="G46" s="73"/>
    </row>
  </sheetData>
  <sheetProtection algorithmName="SHA-512" hashValue="v+efJSoGHaCI/fJaNOHkRKN5AL8HMs4NQNoWcVqAIkn93UNPjusjqt4yIi2YJuXdLjdV+uYDHgRg/QVvCvA9ig==" saltValue="4mEahVSMHtQvNfThT8YROA==" spinCount="100000" sheet="1" objects="1" scenarios="1"/>
  <customSheetViews>
    <customSheetView guid="{4810CB4C-E276-4485-93D3-F920B09A4189}" showPageBreaks="1" showGridLines="0" printArea="1" view="pageBreakPreview">
      <pageMargins left="0.28999999999999998" right="0.08" top="0.36" bottom="0.05" header="0.5" footer="0.06"/>
      <pageSetup paperSize="9" scale="65" pageOrder="overThenDown" orientation="portrait" horizontalDpi="1200" verticalDpi="1200" r:id="rId1"/>
      <headerFooter alignWithMargins="0"/>
    </customSheetView>
  </customSheetViews>
  <mergeCells count="16">
    <mergeCell ref="A29:M30"/>
    <mergeCell ref="B2:B3"/>
    <mergeCell ref="C2:J2"/>
    <mergeCell ref="B11:B12"/>
    <mergeCell ref="C11:C12"/>
    <mergeCell ref="D11:D12"/>
    <mergeCell ref="E11:E12"/>
    <mergeCell ref="F11:F12"/>
    <mergeCell ref="G11:G12"/>
    <mergeCell ref="H11:H12"/>
    <mergeCell ref="J11:J12"/>
    <mergeCell ref="L11:L12"/>
    <mergeCell ref="M11:M12"/>
    <mergeCell ref="I11:I12"/>
    <mergeCell ref="K11:K12"/>
    <mergeCell ref="A26:M27"/>
  </mergeCells>
  <phoneticPr fontId="6" type="noConversion"/>
  <pageMargins left="0.28999999999999998" right="0.08" top="0.36" bottom="0.05" header="0.5" footer="0.06"/>
  <pageSetup paperSize="9" scale="65" pageOrder="overThenDown" orientation="portrait" horizontalDpi="1200" verticalDpi="1200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O38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6" customWidth="1"/>
    <col min="2" max="15" width="8.88671875" style="76" customWidth="1"/>
    <col min="16" max="16384" width="8" style="76"/>
  </cols>
  <sheetData>
    <row r="1" spans="1:15" s="2" customFormat="1" ht="16.5" customHeight="1">
      <c r="A1" s="72" t="s">
        <v>662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s="2" customFormat="1" ht="16.5" customHeight="1">
      <c r="A2" s="206" t="s">
        <v>160</v>
      </c>
      <c r="B2" s="546" t="s">
        <v>297</v>
      </c>
      <c r="C2" s="544" t="s">
        <v>298</v>
      </c>
      <c r="D2" s="587"/>
      <c r="E2" s="587"/>
      <c r="F2" s="587"/>
      <c r="G2" s="587"/>
      <c r="H2" s="587"/>
      <c r="I2" s="587"/>
      <c r="J2" s="587"/>
      <c r="K2" s="587"/>
      <c r="L2" s="545"/>
      <c r="M2" s="546" t="s">
        <v>299</v>
      </c>
      <c r="N2" s="614"/>
      <c r="O2" s="614"/>
    </row>
    <row r="3" spans="1:15" s="2" customFormat="1" ht="16.5" customHeight="1">
      <c r="A3" s="207"/>
      <c r="B3" s="628"/>
      <c r="C3" s="563" t="s">
        <v>300</v>
      </c>
      <c r="D3" s="631"/>
      <c r="E3" s="631"/>
      <c r="F3" s="631"/>
      <c r="G3" s="561"/>
      <c r="H3" s="630" t="s">
        <v>301</v>
      </c>
      <c r="I3" s="628" t="s">
        <v>302</v>
      </c>
      <c r="J3" s="629" t="s">
        <v>618</v>
      </c>
      <c r="K3" s="629" t="s">
        <v>303</v>
      </c>
      <c r="L3" s="629" t="s">
        <v>304</v>
      </c>
      <c r="M3" s="629" t="s">
        <v>304</v>
      </c>
      <c r="N3" s="629" t="s">
        <v>305</v>
      </c>
      <c r="O3" s="628" t="s">
        <v>295</v>
      </c>
    </row>
    <row r="4" spans="1:15" s="2" customFormat="1" ht="22.5">
      <c r="A4" s="207" t="s">
        <v>65</v>
      </c>
      <c r="B4" s="562"/>
      <c r="C4" s="228" t="s">
        <v>306</v>
      </c>
      <c r="D4" s="228" t="s">
        <v>307</v>
      </c>
      <c r="E4" s="208" t="s">
        <v>308</v>
      </c>
      <c r="F4" s="208" t="s">
        <v>309</v>
      </c>
      <c r="G4" s="228" t="s">
        <v>310</v>
      </c>
      <c r="H4" s="554"/>
      <c r="I4" s="562"/>
      <c r="J4" s="562"/>
      <c r="K4" s="562"/>
      <c r="L4" s="562"/>
      <c r="M4" s="562"/>
      <c r="N4" s="562"/>
      <c r="O4" s="562"/>
    </row>
    <row r="5" spans="1:15" s="7" customFormat="1" ht="16.5" customHeight="1">
      <c r="A5" s="63" t="s">
        <v>422</v>
      </c>
      <c r="B5" s="97">
        <v>2746</v>
      </c>
      <c r="C5" s="243">
        <v>546</v>
      </c>
      <c r="D5" s="243">
        <v>1372</v>
      </c>
      <c r="E5" s="243">
        <v>0</v>
      </c>
      <c r="F5" s="243">
        <v>735</v>
      </c>
      <c r="G5" s="243">
        <v>19</v>
      </c>
      <c r="H5" s="243">
        <v>15</v>
      </c>
      <c r="I5" s="243">
        <v>3</v>
      </c>
      <c r="J5" s="243">
        <v>5</v>
      </c>
      <c r="K5" s="243">
        <v>0</v>
      </c>
      <c r="L5" s="243">
        <v>33</v>
      </c>
      <c r="M5" s="81">
        <v>6</v>
      </c>
      <c r="N5" s="243">
        <v>4</v>
      </c>
      <c r="O5" s="243">
        <v>8</v>
      </c>
    </row>
    <row r="6" spans="1:15" s="7" customFormat="1" ht="16.5" customHeight="1">
      <c r="A6" s="65" t="s">
        <v>311</v>
      </c>
      <c r="B6" s="172">
        <v>100</v>
      </c>
      <c r="C6" s="40">
        <v>19.883466860888564</v>
      </c>
      <c r="D6" s="40">
        <v>49.96358339402768</v>
      </c>
      <c r="E6" s="294" t="s">
        <v>67</v>
      </c>
      <c r="F6" s="40">
        <v>26.766205389657681</v>
      </c>
      <c r="G6" s="40">
        <v>0.69191551347414415</v>
      </c>
      <c r="H6" s="40">
        <v>0.54624908958485063</v>
      </c>
      <c r="I6" s="40">
        <v>0.10924981791697014</v>
      </c>
      <c r="J6" s="40">
        <v>0.1820830298616169</v>
      </c>
      <c r="K6" s="294" t="s">
        <v>312</v>
      </c>
      <c r="L6" s="295">
        <v>1.2017479970866713</v>
      </c>
      <c r="M6" s="296">
        <v>0.21849963583394028</v>
      </c>
      <c r="N6" s="40">
        <v>0.14566642388929352</v>
      </c>
      <c r="O6" s="40">
        <v>0.29133284777858703</v>
      </c>
    </row>
    <row r="7" spans="1:15" s="3" customFormat="1" ht="16.5" customHeight="1">
      <c r="B7" s="282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</row>
    <row r="8" spans="1:15" s="3" customFormat="1" ht="16.5" customHeight="1">
      <c r="A8" s="72" t="s">
        <v>663</v>
      </c>
    </row>
    <row r="9" spans="1:15" s="3" customFormat="1" ht="16.5" customHeight="1">
      <c r="A9" s="206" t="s">
        <v>38</v>
      </c>
      <c r="B9" s="546" t="s">
        <v>93</v>
      </c>
      <c r="C9" s="546"/>
      <c r="D9" s="546"/>
      <c r="E9" s="546" t="s">
        <v>94</v>
      </c>
      <c r="F9" s="546"/>
      <c r="G9" s="544"/>
    </row>
    <row r="10" spans="1:15" s="3" customFormat="1" ht="16.5" customHeight="1">
      <c r="A10" s="207" t="s">
        <v>65</v>
      </c>
      <c r="B10" s="208" t="s">
        <v>574</v>
      </c>
      <c r="C10" s="208" t="s">
        <v>575</v>
      </c>
      <c r="D10" s="208" t="s">
        <v>13</v>
      </c>
      <c r="E10" s="303" t="s">
        <v>574</v>
      </c>
      <c r="F10" s="303" t="s">
        <v>616</v>
      </c>
      <c r="G10" s="217" t="s">
        <v>14</v>
      </c>
    </row>
    <row r="11" spans="1:15" s="3" customFormat="1" ht="16.5" customHeight="1">
      <c r="A11" s="64" t="s">
        <v>86</v>
      </c>
      <c r="B11" s="83">
        <v>213600</v>
      </c>
      <c r="C11" s="32">
        <v>104187</v>
      </c>
      <c r="D11" s="220">
        <v>48.776685393258425</v>
      </c>
      <c r="E11" s="32">
        <v>74216</v>
      </c>
      <c r="F11" s="32">
        <v>24617</v>
      </c>
      <c r="G11" s="37">
        <v>33.169397434515467</v>
      </c>
    </row>
    <row r="12" spans="1:15" s="3" customFormat="1" ht="16.5" customHeight="1">
      <c r="A12" s="63" t="s">
        <v>96</v>
      </c>
      <c r="B12" s="81">
        <v>21611</v>
      </c>
      <c r="C12" s="14">
        <v>14624</v>
      </c>
      <c r="D12" s="173">
        <v>67.66924251538569</v>
      </c>
      <c r="E12" s="14">
        <v>11939</v>
      </c>
      <c r="F12" s="14">
        <v>4960</v>
      </c>
      <c r="G12" s="25">
        <v>41.54451796632884</v>
      </c>
    </row>
    <row r="13" spans="1:15" s="3" customFormat="1" ht="16.5" customHeight="1">
      <c r="A13" s="65" t="s">
        <v>97</v>
      </c>
      <c r="B13" s="174">
        <v>191989</v>
      </c>
      <c r="C13" s="175">
        <v>89563</v>
      </c>
      <c r="D13" s="176">
        <v>46.65006849350744</v>
      </c>
      <c r="E13" s="34">
        <v>62277</v>
      </c>
      <c r="F13" s="34">
        <v>19657</v>
      </c>
      <c r="G13" s="38">
        <v>31.563819708720715</v>
      </c>
    </row>
    <row r="14" spans="1:15" s="3" customFormat="1" ht="16.5" customHeight="1">
      <c r="A14" s="3" t="s">
        <v>358</v>
      </c>
    </row>
    <row r="15" spans="1:15" s="3" customFormat="1" ht="16.5" customHeight="1">
      <c r="A15" s="54"/>
      <c r="B15" s="54"/>
      <c r="C15" s="54"/>
    </row>
    <row r="16" spans="1:15" s="3" customFormat="1" ht="16.5" customHeight="1">
      <c r="A16" s="54" t="s">
        <v>627</v>
      </c>
      <c r="B16" s="54"/>
      <c r="C16" s="54"/>
      <c r="H16" s="140"/>
      <c r="I16" s="140"/>
    </row>
    <row r="17" spans="1:12" s="3" customFormat="1" ht="16.5" customHeight="1">
      <c r="H17" s="140"/>
    </row>
    <row r="18" spans="1:12" s="3" customFormat="1" ht="16.5" customHeight="1">
      <c r="A18" s="72" t="s">
        <v>628</v>
      </c>
      <c r="H18" s="72" t="s">
        <v>629</v>
      </c>
    </row>
    <row r="19" spans="1:12" s="3" customFormat="1" ht="16.5" customHeight="1">
      <c r="H19" s="140"/>
    </row>
    <row r="20" spans="1:12" s="3" customFormat="1" ht="16.5" customHeight="1">
      <c r="L20" s="140"/>
    </row>
    <row r="21" spans="1:12" s="3" customFormat="1" ht="16.5" customHeight="1">
      <c r="A21" s="237"/>
      <c r="B21" s="237" t="s">
        <v>0</v>
      </c>
      <c r="C21" s="237" t="s">
        <v>1</v>
      </c>
      <c r="D21" s="237" t="s">
        <v>2</v>
      </c>
      <c r="E21" s="237" t="s">
        <v>3</v>
      </c>
      <c r="I21" s="53"/>
    </row>
    <row r="22" spans="1:12" s="3" customFormat="1" ht="16.5" customHeight="1">
      <c r="A22" s="467" t="s">
        <v>189</v>
      </c>
      <c r="B22" s="237">
        <v>68.099999999999994</v>
      </c>
      <c r="C22" s="237">
        <v>38.700000000000003</v>
      </c>
      <c r="D22" s="237">
        <v>41.8</v>
      </c>
      <c r="E22" s="237">
        <v>33.200000000000003</v>
      </c>
      <c r="I22" s="53"/>
      <c r="J22" s="53"/>
      <c r="K22" s="53"/>
    </row>
    <row r="23" spans="1:12" s="3" customFormat="1" ht="16.5" customHeight="1">
      <c r="A23" s="467" t="s">
        <v>190</v>
      </c>
      <c r="B23" s="237">
        <v>67</v>
      </c>
      <c r="C23" s="237">
        <v>40.9</v>
      </c>
      <c r="D23" s="237">
        <v>40.799999999999997</v>
      </c>
      <c r="E23" s="237">
        <v>32.700000000000003</v>
      </c>
    </row>
    <row r="24" spans="1:12" s="3" customFormat="1" ht="16.5" customHeight="1">
      <c r="A24" s="467" t="s">
        <v>191</v>
      </c>
      <c r="B24" s="237">
        <v>65.099999999999994</v>
      </c>
      <c r="C24" s="237">
        <v>39.200000000000003</v>
      </c>
      <c r="D24" s="237">
        <v>41.2</v>
      </c>
      <c r="E24" s="237">
        <v>31.2</v>
      </c>
    </row>
    <row r="25" spans="1:12" s="3" customFormat="1" ht="16.5" customHeight="1">
      <c r="A25" s="467" t="s">
        <v>192</v>
      </c>
      <c r="B25" s="237">
        <v>65.496817049543324</v>
      </c>
      <c r="C25" s="237">
        <v>39.807876946223367</v>
      </c>
      <c r="D25" s="237">
        <v>41.344331735592462</v>
      </c>
      <c r="E25" s="237">
        <v>33.482883860047004</v>
      </c>
    </row>
    <row r="26" spans="1:12" s="3" customFormat="1" ht="16.5" customHeight="1">
      <c r="A26" s="467" t="s">
        <v>431</v>
      </c>
      <c r="B26" s="237">
        <v>65.734552702544264</v>
      </c>
      <c r="C26" s="237">
        <v>40.781923237297221</v>
      </c>
      <c r="D26" s="237">
        <v>40.667998224589432</v>
      </c>
      <c r="E26" s="237">
        <v>33.603931561703675</v>
      </c>
    </row>
    <row r="27" spans="1:12" s="3" customFormat="1" ht="16.5" customHeight="1">
      <c r="A27" s="467" t="s">
        <v>578</v>
      </c>
      <c r="B27" s="237">
        <v>67.47323747387091</v>
      </c>
      <c r="C27" s="237">
        <v>39.697265394823063</v>
      </c>
      <c r="D27" s="237">
        <v>46.322628095121352</v>
      </c>
      <c r="E27" s="237">
        <v>32.001387950399035</v>
      </c>
    </row>
    <row r="28" spans="1:12" s="3" customFormat="1" ht="16.5" customHeight="1">
      <c r="A28" s="467" t="s">
        <v>737</v>
      </c>
      <c r="B28" s="237">
        <v>65.06330611761922</v>
      </c>
      <c r="C28" s="237">
        <v>42.341359927830041</v>
      </c>
      <c r="D28" s="237">
        <v>42.234557694578953</v>
      </c>
      <c r="E28" s="237">
        <v>30.961261494146758</v>
      </c>
    </row>
    <row r="29" spans="1:12" s="3" customFormat="1" ht="16.5" customHeight="1">
      <c r="A29" s="467" t="s">
        <v>745</v>
      </c>
      <c r="B29" s="237">
        <v>62.369917390837891</v>
      </c>
      <c r="C29" s="237">
        <v>42.501207196993555</v>
      </c>
      <c r="D29" s="237">
        <v>38.881916714204223</v>
      </c>
      <c r="E29" s="237">
        <v>30.188679245283019</v>
      </c>
    </row>
    <row r="30" spans="1:12" s="3" customFormat="1" ht="16.5" customHeight="1">
      <c r="A30" s="467" t="s">
        <v>756</v>
      </c>
      <c r="B30" s="237">
        <v>66.927132366785912</v>
      </c>
      <c r="C30" s="237">
        <v>46.047953276294891</v>
      </c>
      <c r="D30" s="237">
        <v>39.792418772563174</v>
      </c>
      <c r="E30" s="237">
        <v>31.292850146914791</v>
      </c>
    </row>
    <row r="31" spans="1:12" s="3" customFormat="1" ht="16.5" customHeight="1">
      <c r="A31" s="467" t="s">
        <v>772</v>
      </c>
      <c r="B31" s="237">
        <v>67.66924251538569</v>
      </c>
      <c r="C31" s="237">
        <v>46.65006849350744</v>
      </c>
      <c r="D31" s="237">
        <v>41.54451796632884</v>
      </c>
      <c r="E31" s="237">
        <v>31.563819708720715</v>
      </c>
    </row>
    <row r="32" spans="1:12" s="3" customFormat="1" ht="16.5" customHeight="1">
      <c r="D32" s="53"/>
      <c r="E32" s="53"/>
      <c r="H32" s="140"/>
    </row>
    <row r="33" spans="4:11" s="3" customFormat="1" ht="16.5" customHeight="1">
      <c r="D33" s="53"/>
      <c r="E33" s="53"/>
      <c r="H33" s="140"/>
    </row>
    <row r="34" spans="4:11" s="3" customFormat="1" ht="16.5" customHeight="1">
      <c r="D34" s="53"/>
      <c r="E34" s="53"/>
      <c r="H34" s="140"/>
    </row>
    <row r="35" spans="4:11" s="3" customFormat="1" ht="16.5" customHeight="1">
      <c r="D35" s="53"/>
      <c r="E35" s="53"/>
      <c r="H35" s="140"/>
      <c r="I35" s="53"/>
      <c r="J35" s="53"/>
      <c r="K35" s="53"/>
    </row>
    <row r="36" spans="4:11" s="3" customFormat="1" ht="16.5" customHeight="1">
      <c r="D36" s="53"/>
      <c r="E36" s="53"/>
      <c r="H36" s="140"/>
      <c r="I36" s="53"/>
      <c r="J36" s="53"/>
      <c r="K36" s="53"/>
    </row>
    <row r="37" spans="4:11" s="3" customFormat="1" ht="16.5" customHeight="1">
      <c r="D37" s="53"/>
      <c r="E37" s="53"/>
      <c r="H37" s="140"/>
      <c r="I37" s="53"/>
      <c r="J37" s="53"/>
      <c r="K37" s="53"/>
    </row>
    <row r="38" spans="4:11" s="3" customFormat="1" ht="16.5" customHeight="1">
      <c r="D38" s="53"/>
      <c r="E38" s="53"/>
      <c r="H38" s="140"/>
      <c r="I38" s="53"/>
      <c r="J38" s="53"/>
      <c r="K38" s="53"/>
    </row>
  </sheetData>
  <sheetProtection algorithmName="SHA-512" hashValue="8HANCZswisRR7G2jcLPTx6WJGFpe5p3q1b+BmuwJEN/GNEPyOOWzdUev4shmQugM7EZBkwtE/j+XVgbuiUl8pg==" saltValue="tkPVlEokQuP/r6fLEXvo2Q==" spinCount="100000" sheet="1" objects="1" scenarios="1"/>
  <customSheetViews>
    <customSheetView guid="{4810CB4C-E276-4485-93D3-F920B09A4189}" showPageBreaks="1" showGridLines="0" fitToPage="1" printArea="1" view="pageBreakPreview">
      <pageMargins left="0.47244094488188981" right="0.15748031496062992" top="0.55118110236220474" bottom="3.937007874015748E-2" header="0.51181102362204722" footer="0"/>
      <pageSetup paperSize="9" scale="61" orientation="portrait" horizontalDpi="1200" verticalDpi="1200" r:id="rId1"/>
      <headerFooter alignWithMargins="0"/>
    </customSheetView>
  </customSheetViews>
  <mergeCells count="14">
    <mergeCell ref="B9:D9"/>
    <mergeCell ref="E9:G9"/>
    <mergeCell ref="O3:O4"/>
    <mergeCell ref="M2:O2"/>
    <mergeCell ref="I3:I4"/>
    <mergeCell ref="J3:J4"/>
    <mergeCell ref="B2:B4"/>
    <mergeCell ref="K3:K4"/>
    <mergeCell ref="L3:L4"/>
    <mergeCell ref="M3:M4"/>
    <mergeCell ref="N3:N4"/>
    <mergeCell ref="H3:H4"/>
    <mergeCell ref="C2:L2"/>
    <mergeCell ref="C3:G3"/>
  </mergeCells>
  <phoneticPr fontId="6" type="noConversion"/>
  <pageMargins left="0.47244094488188981" right="0.15748031496062992" top="0.55118110236220474" bottom="3.937007874015748E-2" header="0.51181102362204722" footer="0"/>
  <pageSetup paperSize="9" scale="61" orientation="portrait" horizontalDpi="1200" verticalDpi="120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43"/>
  <sheetViews>
    <sheetView showGridLines="0" zoomScaleNormal="100" zoomScaleSheetLayoutView="100" workbookViewId="0"/>
  </sheetViews>
  <sheetFormatPr defaultColWidth="8" defaultRowHeight="16.5" customHeight="1"/>
  <cols>
    <col min="1" max="1" width="22.21875" style="76" customWidth="1"/>
    <col min="2" max="13" width="8" style="76" customWidth="1"/>
    <col min="14" max="16384" width="8" style="76"/>
  </cols>
  <sheetData>
    <row r="1" spans="1:13" s="1" customFormat="1" ht="16.5" customHeight="1">
      <c r="A1" s="101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1" customFormat="1" ht="30" customHeight="1">
      <c r="A2" s="559" t="s">
        <v>783</v>
      </c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</row>
    <row r="3" spans="1:13" s="1" customFormat="1" ht="16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s="1" customFormat="1" ht="16.5" customHeight="1">
      <c r="A4" s="72" t="s">
        <v>664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s="1" customFormat="1" ht="16.5" customHeight="1">
      <c r="A5" s="165" t="s">
        <v>161</v>
      </c>
      <c r="B5" s="546" t="s">
        <v>86</v>
      </c>
      <c r="C5" s="546"/>
      <c r="D5" s="545" t="s">
        <v>93</v>
      </c>
      <c r="E5" s="546"/>
      <c r="F5" s="546"/>
      <c r="G5" s="544"/>
      <c r="H5" s="635" t="s">
        <v>94</v>
      </c>
      <c r="I5" s="546"/>
      <c r="J5" s="546"/>
      <c r="K5" s="636"/>
      <c r="L5" s="545" t="s">
        <v>95</v>
      </c>
      <c r="M5" s="544"/>
    </row>
    <row r="6" spans="1:13" s="1" customFormat="1" ht="16.5" customHeight="1">
      <c r="A6" s="141"/>
      <c r="B6" s="628"/>
      <c r="C6" s="628"/>
      <c r="D6" s="632" t="s">
        <v>96</v>
      </c>
      <c r="E6" s="628"/>
      <c r="F6" s="628" t="s">
        <v>97</v>
      </c>
      <c r="G6" s="634"/>
      <c r="H6" s="637" t="s">
        <v>265</v>
      </c>
      <c r="I6" s="628"/>
      <c r="J6" s="628" t="s">
        <v>266</v>
      </c>
      <c r="K6" s="638"/>
      <c r="L6" s="632"/>
      <c r="M6" s="634"/>
    </row>
    <row r="7" spans="1:13" s="1" customFormat="1" ht="16.5" customHeight="1">
      <c r="A7" s="141" t="s">
        <v>267</v>
      </c>
      <c r="B7" s="208" t="s">
        <v>98</v>
      </c>
      <c r="C7" s="208" t="s">
        <v>99</v>
      </c>
      <c r="D7" s="167" t="s">
        <v>268</v>
      </c>
      <c r="E7" s="208" t="s">
        <v>269</v>
      </c>
      <c r="F7" s="208" t="s">
        <v>268</v>
      </c>
      <c r="G7" s="217" t="s">
        <v>269</v>
      </c>
      <c r="H7" s="230" t="s">
        <v>268</v>
      </c>
      <c r="I7" s="208" t="s">
        <v>269</v>
      </c>
      <c r="J7" s="208" t="s">
        <v>268</v>
      </c>
      <c r="K7" s="231" t="s">
        <v>269</v>
      </c>
      <c r="L7" s="167" t="s">
        <v>268</v>
      </c>
      <c r="M7" s="217" t="s">
        <v>269</v>
      </c>
    </row>
    <row r="8" spans="1:13" s="1" customFormat="1" ht="16.5" customHeight="1">
      <c r="A8" s="166" t="s">
        <v>86</v>
      </c>
      <c r="B8" s="83">
        <v>140425</v>
      </c>
      <c r="C8" s="216">
        <v>149346</v>
      </c>
      <c r="D8" s="244">
        <v>8582</v>
      </c>
      <c r="E8" s="244">
        <v>9945</v>
      </c>
      <c r="F8" s="32">
        <v>80244</v>
      </c>
      <c r="G8" s="32">
        <v>84920</v>
      </c>
      <c r="H8" s="32">
        <v>5197</v>
      </c>
      <c r="I8" s="32">
        <v>5743</v>
      </c>
      <c r="J8" s="32">
        <v>33198</v>
      </c>
      <c r="K8" s="32">
        <v>34794</v>
      </c>
      <c r="L8" s="32">
        <v>13204</v>
      </c>
      <c r="M8" s="32">
        <v>13944</v>
      </c>
    </row>
    <row r="9" spans="1:13" s="1" customFormat="1" ht="16.5" customHeight="1">
      <c r="A9" s="63" t="s">
        <v>172</v>
      </c>
      <c r="B9" s="81">
        <v>4742</v>
      </c>
      <c r="C9" s="177">
        <v>5291</v>
      </c>
      <c r="D9" s="293">
        <v>2971</v>
      </c>
      <c r="E9" s="293">
        <v>3346</v>
      </c>
      <c r="F9" s="293">
        <v>403</v>
      </c>
      <c r="G9" s="293">
        <v>410</v>
      </c>
      <c r="H9" s="293">
        <v>928</v>
      </c>
      <c r="I9" s="293">
        <v>1050</v>
      </c>
      <c r="J9" s="293">
        <v>268</v>
      </c>
      <c r="K9" s="293">
        <v>287</v>
      </c>
      <c r="L9" s="293">
        <v>172</v>
      </c>
      <c r="M9" s="293">
        <v>198</v>
      </c>
    </row>
    <row r="10" spans="1:13" s="1" customFormat="1" ht="16.5" customHeight="1">
      <c r="A10" s="63" t="s">
        <v>91</v>
      </c>
      <c r="B10" s="81">
        <v>612</v>
      </c>
      <c r="C10" s="177">
        <v>796</v>
      </c>
      <c r="D10" s="243">
        <v>66</v>
      </c>
      <c r="E10" s="243">
        <v>85</v>
      </c>
      <c r="F10" s="243">
        <v>470</v>
      </c>
      <c r="G10" s="243">
        <v>625</v>
      </c>
      <c r="H10" s="243">
        <v>6</v>
      </c>
      <c r="I10" s="243">
        <v>7</v>
      </c>
      <c r="J10" s="243">
        <v>64</v>
      </c>
      <c r="K10" s="243">
        <v>73</v>
      </c>
      <c r="L10" s="243">
        <v>6</v>
      </c>
      <c r="M10" s="243">
        <v>6</v>
      </c>
    </row>
    <row r="11" spans="1:13" s="1" customFormat="1" ht="16.5" customHeight="1">
      <c r="A11" s="63" t="s">
        <v>92</v>
      </c>
      <c r="B11" s="81">
        <v>9505</v>
      </c>
      <c r="C11" s="177">
        <v>9727</v>
      </c>
      <c r="D11" s="243">
        <v>128</v>
      </c>
      <c r="E11" s="243">
        <v>132</v>
      </c>
      <c r="F11" s="243">
        <v>6588</v>
      </c>
      <c r="G11" s="243">
        <v>6734</v>
      </c>
      <c r="H11" s="243">
        <v>26</v>
      </c>
      <c r="I11" s="243">
        <v>26</v>
      </c>
      <c r="J11" s="243">
        <v>1965</v>
      </c>
      <c r="K11" s="243">
        <v>2024</v>
      </c>
      <c r="L11" s="243">
        <v>798</v>
      </c>
      <c r="M11" s="243">
        <v>811</v>
      </c>
    </row>
    <row r="12" spans="1:13" s="1" customFormat="1" ht="16.5" customHeight="1">
      <c r="A12" s="63" t="s">
        <v>740</v>
      </c>
      <c r="B12" s="81">
        <v>45</v>
      </c>
      <c r="C12" s="177">
        <v>47</v>
      </c>
      <c r="D12" s="243">
        <v>1</v>
      </c>
      <c r="E12" s="243">
        <v>1</v>
      </c>
      <c r="F12" s="243">
        <v>32</v>
      </c>
      <c r="G12" s="243">
        <v>34</v>
      </c>
      <c r="H12" s="243">
        <v>0</v>
      </c>
      <c r="I12" s="243">
        <v>0</v>
      </c>
      <c r="J12" s="243">
        <v>10</v>
      </c>
      <c r="K12" s="243">
        <v>10</v>
      </c>
      <c r="L12" s="243">
        <v>2</v>
      </c>
      <c r="M12" s="243">
        <v>2</v>
      </c>
    </row>
    <row r="13" spans="1:13" s="1" customFormat="1" ht="16.5" customHeight="1">
      <c r="A13" s="63" t="s">
        <v>270</v>
      </c>
      <c r="B13" s="81">
        <v>90</v>
      </c>
      <c r="C13" s="177">
        <v>90</v>
      </c>
      <c r="D13" s="243">
        <v>2</v>
      </c>
      <c r="E13" s="243">
        <v>2</v>
      </c>
      <c r="F13" s="243">
        <v>57</v>
      </c>
      <c r="G13" s="243">
        <v>57</v>
      </c>
      <c r="H13" s="243">
        <v>1</v>
      </c>
      <c r="I13" s="243">
        <v>1</v>
      </c>
      <c r="J13" s="243">
        <v>19</v>
      </c>
      <c r="K13" s="243">
        <v>19</v>
      </c>
      <c r="L13" s="243">
        <v>11</v>
      </c>
      <c r="M13" s="243">
        <v>11</v>
      </c>
    </row>
    <row r="14" spans="1:13" s="1" customFormat="1" ht="16.5" customHeight="1">
      <c r="A14" s="63" t="s">
        <v>271</v>
      </c>
      <c r="B14" s="81">
        <v>125275</v>
      </c>
      <c r="C14" s="177">
        <v>133237</v>
      </c>
      <c r="D14" s="293">
        <v>5414</v>
      </c>
      <c r="E14" s="293">
        <v>6379</v>
      </c>
      <c r="F14" s="293">
        <v>72694</v>
      </c>
      <c r="G14" s="293">
        <v>77060</v>
      </c>
      <c r="H14" s="293">
        <v>4134</v>
      </c>
      <c r="I14" s="293">
        <v>4556</v>
      </c>
      <c r="J14" s="293">
        <v>30872</v>
      </c>
      <c r="K14" s="293">
        <v>32381</v>
      </c>
      <c r="L14" s="293">
        <v>12161</v>
      </c>
      <c r="M14" s="293">
        <v>12861</v>
      </c>
    </row>
    <row r="15" spans="1:13" s="1" customFormat="1" ht="16.5" customHeight="1">
      <c r="A15" s="65" t="s">
        <v>746</v>
      </c>
      <c r="B15" s="174">
        <v>156</v>
      </c>
      <c r="C15" s="178">
        <v>158</v>
      </c>
      <c r="D15" s="300">
        <v>0</v>
      </c>
      <c r="E15" s="300">
        <v>0</v>
      </c>
      <c r="F15" s="300">
        <v>0</v>
      </c>
      <c r="G15" s="300">
        <v>0</v>
      </c>
      <c r="H15" s="300">
        <v>102</v>
      </c>
      <c r="I15" s="300">
        <v>103</v>
      </c>
      <c r="J15" s="300">
        <v>0</v>
      </c>
      <c r="K15" s="300">
        <v>0</v>
      </c>
      <c r="L15" s="300">
        <v>54</v>
      </c>
      <c r="M15" s="300">
        <v>55</v>
      </c>
    </row>
    <row r="16" spans="1:13" s="3" customFormat="1" ht="16.5" customHeight="1">
      <c r="A16" s="57" t="s">
        <v>272</v>
      </c>
      <c r="B16" s="142"/>
      <c r="C16" s="143"/>
      <c r="D16" s="89"/>
      <c r="E16" s="57"/>
      <c r="F16" s="57"/>
      <c r="G16" s="57"/>
      <c r="H16" s="57"/>
      <c r="I16" s="57"/>
      <c r="J16" s="57"/>
      <c r="K16" s="57"/>
      <c r="L16" s="57"/>
      <c r="M16" s="57"/>
    </row>
    <row r="17" spans="1:13" s="3" customFormat="1" ht="16.5" customHeight="1">
      <c r="A17" s="526" t="s">
        <v>818</v>
      </c>
      <c r="B17" s="123"/>
      <c r="C17" s="123"/>
      <c r="D17" s="123"/>
      <c r="E17" s="123"/>
      <c r="F17" s="123"/>
      <c r="G17" s="123"/>
      <c r="H17" s="123"/>
      <c r="I17" s="123"/>
      <c r="J17" s="123"/>
      <c r="K17" s="57"/>
      <c r="L17" s="57"/>
      <c r="M17" s="57"/>
    </row>
    <row r="18" spans="1:13" s="3" customFormat="1" ht="16.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spans="1:13" s="3" customFormat="1" ht="16.5" customHeight="1">
      <c r="A19" s="101" t="s">
        <v>273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 t="s">
        <v>274</v>
      </c>
    </row>
    <row r="20" spans="1:13" s="3" customFormat="1" ht="48" customHeight="1">
      <c r="A20" s="559" t="s">
        <v>814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</row>
    <row r="21" spans="1:13" s="3" customFormat="1" ht="16.5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</row>
    <row r="22" spans="1:13" s="3" customFormat="1" ht="16.5" customHeight="1">
      <c r="A22" s="72" t="s">
        <v>665</v>
      </c>
    </row>
    <row r="23" spans="1:13" s="3" customFormat="1" ht="16.5" customHeight="1">
      <c r="A23" s="206" t="s">
        <v>359</v>
      </c>
      <c r="B23" s="554" t="s">
        <v>86</v>
      </c>
      <c r="C23" s="558" t="s">
        <v>360</v>
      </c>
      <c r="D23" s="558" t="s">
        <v>361</v>
      </c>
      <c r="E23" s="558" t="s">
        <v>362</v>
      </c>
      <c r="F23" s="558" t="s">
        <v>363</v>
      </c>
      <c r="G23" s="558" t="s">
        <v>364</v>
      </c>
      <c r="H23" s="558" t="s">
        <v>365</v>
      </c>
      <c r="I23" s="558" t="s">
        <v>366</v>
      </c>
      <c r="J23" s="558" t="s">
        <v>367</v>
      </c>
      <c r="K23" s="558" t="s">
        <v>368</v>
      </c>
      <c r="L23" s="633" t="s">
        <v>369</v>
      </c>
      <c r="M23" s="53"/>
    </row>
    <row r="24" spans="1:13" s="3" customFormat="1" ht="16.5" customHeight="1">
      <c r="A24" s="207" t="s">
        <v>161</v>
      </c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5"/>
      <c r="M24" s="53"/>
    </row>
    <row r="25" spans="1:13" s="1" customFormat="1" ht="16.5" customHeight="1">
      <c r="A25" s="68" t="s">
        <v>197</v>
      </c>
      <c r="B25" s="97">
        <v>228492</v>
      </c>
      <c r="C25" s="32">
        <v>6599</v>
      </c>
      <c r="D25" s="32">
        <v>18690</v>
      </c>
      <c r="E25" s="32">
        <v>34406</v>
      </c>
      <c r="F25" s="32">
        <v>34394</v>
      </c>
      <c r="G25" s="32">
        <v>30203</v>
      </c>
      <c r="H25" s="32">
        <v>26062</v>
      </c>
      <c r="I25" s="32">
        <v>38866</v>
      </c>
      <c r="J25" s="32">
        <v>18670</v>
      </c>
      <c r="K25" s="32">
        <v>16684</v>
      </c>
      <c r="L25" s="32">
        <v>3918</v>
      </c>
      <c r="M25" s="13"/>
    </row>
    <row r="26" spans="1:13" s="7" customFormat="1" ht="16.5" customHeight="1">
      <c r="A26" s="27"/>
      <c r="B26" s="179">
        <v>100</v>
      </c>
      <c r="C26" s="41">
        <v>2.8880661029707824</v>
      </c>
      <c r="D26" s="41">
        <v>8.1797174518145059</v>
      </c>
      <c r="E26" s="41">
        <v>15.057857605517919</v>
      </c>
      <c r="F26" s="41">
        <v>15</v>
      </c>
      <c r="G26" s="41">
        <v>13.218405896048877</v>
      </c>
      <c r="H26" s="41">
        <v>11.406088615793989</v>
      </c>
      <c r="I26" s="41">
        <v>17.009785900600459</v>
      </c>
      <c r="J26" s="41">
        <v>8.1709644101325214</v>
      </c>
      <c r="K26" s="41">
        <v>7.3017873711114607</v>
      </c>
      <c r="L26" s="41">
        <v>1.7147208655007615</v>
      </c>
      <c r="M26" s="13"/>
    </row>
    <row r="27" spans="1:13" s="1" customFormat="1" ht="16.5" customHeight="1">
      <c r="A27" s="12" t="s">
        <v>194</v>
      </c>
      <c r="B27" s="94">
        <v>6049</v>
      </c>
      <c r="C27" s="14">
        <v>82</v>
      </c>
      <c r="D27" s="14">
        <v>551</v>
      </c>
      <c r="E27" s="243">
        <v>1144</v>
      </c>
      <c r="F27" s="243">
        <v>1179</v>
      </c>
      <c r="G27" s="243">
        <v>1028</v>
      </c>
      <c r="H27" s="243">
        <v>1390</v>
      </c>
      <c r="I27" s="243">
        <v>330</v>
      </c>
      <c r="J27" s="243">
        <v>159</v>
      </c>
      <c r="K27" s="243">
        <v>132</v>
      </c>
      <c r="L27" s="243">
        <v>54</v>
      </c>
      <c r="M27" s="13"/>
    </row>
    <row r="28" spans="1:13" s="7" customFormat="1" ht="16.5" customHeight="1">
      <c r="A28" s="26" t="s">
        <v>96</v>
      </c>
      <c r="B28" s="171">
        <v>100</v>
      </c>
      <c r="C28" s="507">
        <v>1.3555959662754173</v>
      </c>
      <c r="D28" s="507">
        <v>9.1089436270457931</v>
      </c>
      <c r="E28" s="507">
        <v>18.912216895354604</v>
      </c>
      <c r="F28" s="507">
        <v>19.490824929740452</v>
      </c>
      <c r="G28" s="507">
        <v>16.994544552818645</v>
      </c>
      <c r="H28" s="507">
        <v>22.979004794180856</v>
      </c>
      <c r="I28" s="507">
        <v>5.4</v>
      </c>
      <c r="J28" s="507">
        <v>2.6285336419242853</v>
      </c>
      <c r="K28" s="507">
        <v>2.1821788725409159</v>
      </c>
      <c r="L28" s="507">
        <v>0.89270953876673842</v>
      </c>
      <c r="M28" s="13"/>
    </row>
    <row r="29" spans="1:13" s="1" customFormat="1" ht="16.5" customHeight="1">
      <c r="A29" s="12" t="s">
        <v>275</v>
      </c>
      <c r="B29" s="94">
        <v>16628</v>
      </c>
      <c r="C29" s="14">
        <v>322</v>
      </c>
      <c r="D29" s="14">
        <v>1273</v>
      </c>
      <c r="E29" s="243">
        <v>2616</v>
      </c>
      <c r="F29" s="243">
        <v>2477</v>
      </c>
      <c r="G29" s="243">
        <v>1955</v>
      </c>
      <c r="H29" s="243">
        <v>1758</v>
      </c>
      <c r="I29" s="243">
        <v>2556</v>
      </c>
      <c r="J29" s="243">
        <v>1299</v>
      </c>
      <c r="K29" s="243">
        <v>1546</v>
      </c>
      <c r="L29" s="243">
        <v>826</v>
      </c>
      <c r="M29" s="13"/>
    </row>
    <row r="30" spans="1:13" s="7" customFormat="1" ht="16.5" customHeight="1">
      <c r="A30" s="26"/>
      <c r="B30" s="171">
        <v>100</v>
      </c>
      <c r="C30" s="507">
        <v>1.9364926629781092</v>
      </c>
      <c r="D30" s="507">
        <v>7.6</v>
      </c>
      <c r="E30" s="507">
        <v>15.732499398604762</v>
      </c>
      <c r="F30" s="507">
        <v>14.896560019244648</v>
      </c>
      <c r="G30" s="507">
        <v>11.757276882367092</v>
      </c>
      <c r="H30" s="507">
        <v>10.572528265576137</v>
      </c>
      <c r="I30" s="507">
        <v>15.371662256434929</v>
      </c>
      <c r="J30" s="507">
        <v>7.8121241279769063</v>
      </c>
      <c r="K30" s="507">
        <v>9.2975703632427233</v>
      </c>
      <c r="L30" s="507">
        <v>4.9675246572047156</v>
      </c>
      <c r="M30" s="13"/>
    </row>
    <row r="31" spans="1:13" s="1" customFormat="1" ht="16.5" customHeight="1">
      <c r="A31" s="12" t="s">
        <v>194</v>
      </c>
      <c r="B31" s="94">
        <v>15000</v>
      </c>
      <c r="C31" s="14">
        <v>481</v>
      </c>
      <c r="D31" s="14">
        <v>3693</v>
      </c>
      <c r="E31" s="243">
        <v>3765</v>
      </c>
      <c r="F31" s="243">
        <v>2133</v>
      </c>
      <c r="G31" s="243">
        <v>1656</v>
      </c>
      <c r="H31" s="243">
        <v>1834</v>
      </c>
      <c r="I31" s="243">
        <v>646</v>
      </c>
      <c r="J31" s="243">
        <v>432</v>
      </c>
      <c r="K31" s="243">
        <v>288</v>
      </c>
      <c r="L31" s="243">
        <v>72</v>
      </c>
      <c r="M31" s="13"/>
    </row>
    <row r="32" spans="1:13" s="7" customFormat="1" ht="16.5" customHeight="1">
      <c r="A32" s="26" t="s">
        <v>97</v>
      </c>
      <c r="B32" s="171">
        <v>100</v>
      </c>
      <c r="C32" s="507">
        <v>3.2066666666666666</v>
      </c>
      <c r="D32" s="507">
        <v>24.62</v>
      </c>
      <c r="E32" s="507">
        <v>25.1</v>
      </c>
      <c r="F32" s="507">
        <v>14.219999999999999</v>
      </c>
      <c r="G32" s="507">
        <v>11.1</v>
      </c>
      <c r="H32" s="507">
        <v>12.226666666666667</v>
      </c>
      <c r="I32" s="507">
        <v>4.3066666666666666</v>
      </c>
      <c r="J32" s="507">
        <v>2.88</v>
      </c>
      <c r="K32" s="507">
        <v>1.92</v>
      </c>
      <c r="L32" s="507">
        <v>0.48</v>
      </c>
      <c r="M32" s="13"/>
    </row>
    <row r="33" spans="1:13" s="1" customFormat="1" ht="16.5" customHeight="1">
      <c r="A33" s="12" t="s">
        <v>275</v>
      </c>
      <c r="B33" s="94">
        <v>190815</v>
      </c>
      <c r="C33" s="14">
        <v>5714</v>
      </c>
      <c r="D33" s="14">
        <v>13173</v>
      </c>
      <c r="E33" s="243">
        <v>26881</v>
      </c>
      <c r="F33" s="243">
        <v>28605</v>
      </c>
      <c r="G33" s="243">
        <v>25564</v>
      </c>
      <c r="H33" s="243">
        <v>21080</v>
      </c>
      <c r="I33" s="243">
        <v>35334</v>
      </c>
      <c r="J33" s="243">
        <v>16780</v>
      </c>
      <c r="K33" s="243">
        <v>14718</v>
      </c>
      <c r="L33" s="243">
        <v>2966</v>
      </c>
      <c r="M33" s="13"/>
    </row>
    <row r="34" spans="1:13" s="7" customFormat="1" ht="16.5" customHeight="1">
      <c r="A34" s="26"/>
      <c r="B34" s="171">
        <v>100</v>
      </c>
      <c r="C34" s="312">
        <v>2.9945234913397791</v>
      </c>
      <c r="D34" s="424">
        <v>6.9035453187642482</v>
      </c>
      <c r="E34" s="424">
        <v>14.087466918219219</v>
      </c>
      <c r="F34" s="424">
        <v>14.990959830202028</v>
      </c>
      <c r="G34" s="424">
        <v>13.397269606687107</v>
      </c>
      <c r="H34" s="424">
        <v>11.047349527028798</v>
      </c>
      <c r="I34" s="424">
        <v>18.517412153132614</v>
      </c>
      <c r="J34" s="424">
        <v>8.7938579252155229</v>
      </c>
      <c r="K34" s="507">
        <v>7.7132300919739007</v>
      </c>
      <c r="L34" s="424">
        <v>1.5543851374367843</v>
      </c>
      <c r="M34" s="19"/>
    </row>
    <row r="35" spans="1:13" s="1" customFormat="1" ht="16.5" customHeight="1">
      <c r="A35" s="68" t="s">
        <v>198</v>
      </c>
      <c r="B35" s="97">
        <v>80755</v>
      </c>
      <c r="C35" s="32">
        <v>2128</v>
      </c>
      <c r="D35" s="32">
        <v>5074</v>
      </c>
      <c r="E35" s="244">
        <v>13574</v>
      </c>
      <c r="F35" s="244">
        <v>10269</v>
      </c>
      <c r="G35" s="244">
        <v>7347</v>
      </c>
      <c r="H35" s="244">
        <v>5849</v>
      </c>
      <c r="I35" s="244">
        <v>11262</v>
      </c>
      <c r="J35" s="244">
        <v>11040</v>
      </c>
      <c r="K35" s="244">
        <v>13579</v>
      </c>
      <c r="L35" s="244">
        <v>633</v>
      </c>
      <c r="M35" s="13"/>
    </row>
    <row r="36" spans="1:13" s="7" customFormat="1" ht="16.5" customHeight="1">
      <c r="A36" s="27"/>
      <c r="B36" s="179">
        <v>100</v>
      </c>
      <c r="C36" s="41">
        <v>2.6351309516438612</v>
      </c>
      <c r="D36" s="41">
        <v>6.2832022784966872</v>
      </c>
      <c r="E36" s="41">
        <v>16.808866324066621</v>
      </c>
      <c r="F36" s="41">
        <v>12.716240480465608</v>
      </c>
      <c r="G36" s="41">
        <v>9.0978886756237998</v>
      </c>
      <c r="H36" s="41">
        <v>7.24289517676924</v>
      </c>
      <c r="I36" s="41">
        <v>14</v>
      </c>
      <c r="J36" s="41">
        <v>13.670980125069654</v>
      </c>
      <c r="K36" s="41">
        <v>16.81505789115225</v>
      </c>
      <c r="L36" s="41">
        <v>0.78385239304067866</v>
      </c>
      <c r="M36" s="13"/>
    </row>
    <row r="37" spans="1:13" s="1" customFormat="1" ht="16.5" customHeight="1">
      <c r="A37" s="12" t="s">
        <v>60</v>
      </c>
      <c r="B37" s="94">
        <v>12335</v>
      </c>
      <c r="C37" s="14">
        <v>179</v>
      </c>
      <c r="D37" s="243">
        <v>592</v>
      </c>
      <c r="E37" s="243">
        <v>2390</v>
      </c>
      <c r="F37" s="243">
        <v>2485</v>
      </c>
      <c r="G37" s="243">
        <v>2026</v>
      </c>
      <c r="H37" s="243">
        <v>1682</v>
      </c>
      <c r="I37" s="243">
        <v>1574</v>
      </c>
      <c r="J37" s="243">
        <v>696</v>
      </c>
      <c r="K37" s="243">
        <v>578</v>
      </c>
      <c r="L37" s="243">
        <v>133</v>
      </c>
      <c r="M37" s="13"/>
    </row>
    <row r="38" spans="1:13" s="7" customFormat="1" ht="16.5" customHeight="1">
      <c r="A38" s="26"/>
      <c r="B38" s="171">
        <v>100</v>
      </c>
      <c r="C38" s="512">
        <v>1.4511552492906363</v>
      </c>
      <c r="D38" s="507">
        <v>4.79935143899473</v>
      </c>
      <c r="E38" s="507">
        <v>19.375760032428051</v>
      </c>
      <c r="F38" s="512">
        <v>20.145926226185651</v>
      </c>
      <c r="G38" s="507">
        <v>16.424807458451561</v>
      </c>
      <c r="H38" s="507">
        <v>13.635995135792461</v>
      </c>
      <c r="I38" s="507">
        <v>12.760437778678558</v>
      </c>
      <c r="J38" s="507">
        <v>5.6424807458451562</v>
      </c>
      <c r="K38" s="507">
        <v>4.6858532630725573</v>
      </c>
      <c r="L38" s="507">
        <v>1.0782326712606405</v>
      </c>
      <c r="M38" s="13"/>
    </row>
    <row r="39" spans="1:13" s="1" customFormat="1" ht="16.5" customHeight="1">
      <c r="A39" s="12" t="s">
        <v>7</v>
      </c>
      <c r="B39" s="94">
        <v>68420</v>
      </c>
      <c r="C39" s="14">
        <v>1949</v>
      </c>
      <c r="D39" s="14">
        <v>4482</v>
      </c>
      <c r="E39" s="243">
        <v>11184</v>
      </c>
      <c r="F39" s="243">
        <v>7784</v>
      </c>
      <c r="G39" s="243">
        <v>5321</v>
      </c>
      <c r="H39" s="243">
        <v>4167</v>
      </c>
      <c r="I39" s="243">
        <v>9688</v>
      </c>
      <c r="J39" s="243">
        <v>10344</v>
      </c>
      <c r="K39" s="243">
        <v>13001</v>
      </c>
      <c r="L39" s="243">
        <v>500</v>
      </c>
      <c r="M39" s="13"/>
    </row>
    <row r="40" spans="1:13" s="7" customFormat="1" ht="16.5" customHeight="1">
      <c r="A40" s="26"/>
      <c r="B40" s="171">
        <v>100</v>
      </c>
      <c r="C40" s="292">
        <v>2.8485822858813212</v>
      </c>
      <c r="D40" s="424">
        <v>6.5507161648640748</v>
      </c>
      <c r="E40" s="424">
        <v>16.346097632271267</v>
      </c>
      <c r="F40" s="424">
        <v>11.376790412160187</v>
      </c>
      <c r="G40" s="424">
        <v>7.7769657994738379</v>
      </c>
      <c r="H40" s="424">
        <v>6.0903244665302543</v>
      </c>
      <c r="I40" s="424">
        <v>14.159602455422391</v>
      </c>
      <c r="J40" s="424">
        <v>15.118386436714411</v>
      </c>
      <c r="K40" s="424">
        <v>19.001753873136508</v>
      </c>
      <c r="L40" s="424">
        <v>0.73078047354574682</v>
      </c>
      <c r="M40" s="297"/>
    </row>
    <row r="41" spans="1:13" s="1" customFormat="1" ht="16.5" customHeight="1">
      <c r="A41" s="68" t="s">
        <v>95</v>
      </c>
      <c r="B41" s="97">
        <v>24044</v>
      </c>
      <c r="C41" s="32">
        <v>3272</v>
      </c>
      <c r="D41" s="32">
        <v>11592</v>
      </c>
      <c r="E41" s="244">
        <v>5052</v>
      </c>
      <c r="F41" s="244">
        <v>1731</v>
      </c>
      <c r="G41" s="244">
        <v>886</v>
      </c>
      <c r="H41" s="244">
        <v>432</v>
      </c>
      <c r="I41" s="244">
        <v>635</v>
      </c>
      <c r="J41" s="244">
        <v>159</v>
      </c>
      <c r="K41" s="244">
        <v>148</v>
      </c>
      <c r="L41" s="244">
        <v>137</v>
      </c>
      <c r="M41" s="13"/>
    </row>
    <row r="42" spans="1:13" s="7" customFormat="1" ht="16.5" customHeight="1">
      <c r="A42" s="144"/>
      <c r="B42" s="172">
        <v>100</v>
      </c>
      <c r="C42" s="298">
        <v>13.608384628181666</v>
      </c>
      <c r="D42" s="298">
        <v>48.211612044584925</v>
      </c>
      <c r="E42" s="298">
        <v>21.011478955248712</v>
      </c>
      <c r="F42" s="298">
        <v>7.1993012809848613</v>
      </c>
      <c r="G42" s="298">
        <v>3.6849109965064049</v>
      </c>
      <c r="H42" s="298">
        <v>1.7967060389286309</v>
      </c>
      <c r="I42" s="298">
        <v>2.6409915155548158</v>
      </c>
      <c r="J42" s="298">
        <v>0.6612876393278988</v>
      </c>
      <c r="K42" s="298">
        <v>0.61553818000332716</v>
      </c>
      <c r="L42" s="298">
        <v>0.56978872067875563</v>
      </c>
      <c r="M42" s="13"/>
    </row>
    <row r="43" spans="1:13" s="3" customFormat="1" ht="16.5" customHeight="1">
      <c r="A43" s="3" t="s">
        <v>276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3"/>
    </row>
  </sheetData>
  <sheetProtection algorithmName="SHA-512" hashValue="VonLvRmPZfRBR/UHlbU6f5hFWwAGe1gPetqrbWPtco7rg4x9dxiyjQQg6PxmXeSmhqJGK7swDhhmQw+4OQPJyQ==" saltValue="yapvpgf3ZKPWO1KziSz2cg==" spinCount="100000" sheet="1" objects="1" scenarios="1"/>
  <customSheetViews>
    <customSheetView guid="{4810CB4C-E276-4485-93D3-F920B09A4189}" showPageBreaks="1" showGridLines="0" fitToPage="1" printArea="1" view="pageBreakPreview">
      <pageMargins left="0" right="0" top="0.51181102362204722" bottom="0.35433070866141736" header="0.51181102362204722" footer="0.51181102362204722"/>
      <pageSetup paperSize="9" scale="74" pageOrder="overThenDown" orientation="portrait" horizontalDpi="1200" verticalDpi="1200" r:id="rId1"/>
      <headerFooter alignWithMargins="0"/>
    </customSheetView>
  </customSheetViews>
  <mergeCells count="21">
    <mergeCell ref="A2:M2"/>
    <mergeCell ref="J23:J24"/>
    <mergeCell ref="H5:K5"/>
    <mergeCell ref="K23:K24"/>
    <mergeCell ref="F6:G6"/>
    <mergeCell ref="I23:I24"/>
    <mergeCell ref="B5:C6"/>
    <mergeCell ref="G23:G24"/>
    <mergeCell ref="H6:I6"/>
    <mergeCell ref="H23:H24"/>
    <mergeCell ref="A20:M20"/>
    <mergeCell ref="B23:B24"/>
    <mergeCell ref="C23:C24"/>
    <mergeCell ref="D23:D24"/>
    <mergeCell ref="J6:K6"/>
    <mergeCell ref="D5:G5"/>
    <mergeCell ref="D6:E6"/>
    <mergeCell ref="L23:L24"/>
    <mergeCell ref="L5:M6"/>
    <mergeCell ref="F23:F24"/>
    <mergeCell ref="E23:E24"/>
  </mergeCells>
  <phoneticPr fontId="6" type="noConversion"/>
  <pageMargins left="0" right="0" top="0.51181102362204722" bottom="0.35433070866141736" header="0.51181102362204722" footer="0.51181102362204722"/>
  <pageSetup paperSize="9" scale="74" pageOrder="overThenDown" orientation="portrait" horizontalDpi="1200" verticalDpi="120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R55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6" customWidth="1"/>
    <col min="2" max="8" width="12.21875" style="76" customWidth="1"/>
    <col min="9" max="9" width="8.88671875" style="77" customWidth="1"/>
    <col min="10" max="11" width="8" style="76"/>
    <col min="12" max="14" width="8.109375" style="76" bestFit="1" customWidth="1"/>
    <col min="15" max="15" width="8.21875" style="76" bestFit="1" customWidth="1"/>
    <col min="16" max="17" width="8.109375" style="76" bestFit="1" customWidth="1"/>
    <col min="18" max="16384" width="8" style="76"/>
  </cols>
  <sheetData>
    <row r="1" spans="1:18" s="3" customFormat="1" ht="16.5" customHeight="1">
      <c r="A1" s="72" t="s">
        <v>666</v>
      </c>
      <c r="D1" s="54"/>
      <c r="E1" s="54"/>
      <c r="F1" s="54"/>
      <c r="G1" s="145" t="s">
        <v>64</v>
      </c>
      <c r="H1" s="100"/>
      <c r="I1" s="53"/>
    </row>
    <row r="2" spans="1:18" s="3" customFormat="1" ht="16.5" customHeight="1">
      <c r="A2" s="165" t="s">
        <v>161</v>
      </c>
      <c r="B2" s="546" t="s">
        <v>93</v>
      </c>
      <c r="C2" s="546"/>
      <c r="D2" s="546" t="s">
        <v>94</v>
      </c>
      <c r="E2" s="546"/>
      <c r="F2" s="546" t="s">
        <v>95</v>
      </c>
      <c r="G2" s="544"/>
      <c r="I2" s="73"/>
      <c r="K2" s="54"/>
      <c r="L2" s="54"/>
      <c r="M2" s="54"/>
    </row>
    <row r="3" spans="1:18" s="3" customFormat="1" ht="16.5" customHeight="1">
      <c r="A3" s="141" t="s">
        <v>160</v>
      </c>
      <c r="B3" s="208" t="s">
        <v>96</v>
      </c>
      <c r="C3" s="208" t="s">
        <v>97</v>
      </c>
      <c r="D3" s="208" t="s">
        <v>2</v>
      </c>
      <c r="E3" s="208" t="s">
        <v>3</v>
      </c>
      <c r="F3" s="208" t="s">
        <v>373</v>
      </c>
      <c r="G3" s="217" t="s">
        <v>374</v>
      </c>
      <c r="K3" s="54"/>
      <c r="L3" s="54"/>
      <c r="M3" s="639"/>
      <c r="N3" s="639"/>
    </row>
    <row r="4" spans="1:18" s="3" customFormat="1" ht="16.5" customHeight="1">
      <c r="A4" s="63" t="s">
        <v>194</v>
      </c>
      <c r="B4" s="232">
        <v>142.03955643826501</v>
      </c>
      <c r="C4" s="221">
        <v>115.167366806695</v>
      </c>
      <c r="D4" s="232">
        <v>125.859315005376</v>
      </c>
      <c r="E4" s="221">
        <v>100.54931136796399</v>
      </c>
      <c r="F4" s="25">
        <v>59.298946716232997</v>
      </c>
      <c r="G4" s="25">
        <v>43.240610859728498</v>
      </c>
      <c r="K4" s="100"/>
      <c r="L4" s="100"/>
      <c r="M4" s="315"/>
      <c r="N4" s="316"/>
      <c r="O4" s="317"/>
      <c r="Q4" s="237"/>
      <c r="R4" s="72"/>
    </row>
    <row r="5" spans="1:18" s="3" customFormat="1" ht="16.5" customHeight="1">
      <c r="A5" s="180" t="s">
        <v>195</v>
      </c>
      <c r="B5" s="183">
        <v>219.67293051359499</v>
      </c>
      <c r="C5" s="221">
        <v>189.22400612422501</v>
      </c>
      <c r="D5" s="232">
        <v>205.83353437877</v>
      </c>
      <c r="E5" s="221">
        <v>286.378716334383</v>
      </c>
      <c r="F5" s="181">
        <v>139.845974329055</v>
      </c>
      <c r="G5" s="38">
        <v>95.149593156686805</v>
      </c>
      <c r="K5" s="79"/>
      <c r="L5" s="100"/>
      <c r="M5" s="236"/>
      <c r="N5" s="240"/>
      <c r="O5" s="317"/>
      <c r="Q5" s="79"/>
    </row>
    <row r="6" spans="1:18" s="3" customFormat="1" ht="16.5" customHeight="1">
      <c r="A6" s="155" t="s">
        <v>561</v>
      </c>
      <c r="B6" s="146"/>
      <c r="C6" s="146"/>
      <c r="D6" s="146"/>
      <c r="E6" s="146"/>
      <c r="F6" s="146"/>
      <c r="G6" s="146"/>
      <c r="K6" s="100"/>
      <c r="L6" s="100"/>
      <c r="M6" s="236"/>
      <c r="N6" s="240"/>
      <c r="O6" s="317"/>
      <c r="Q6" s="237"/>
    </row>
    <row r="7" spans="1:18" s="3" customFormat="1" ht="16.5" customHeight="1">
      <c r="A7" s="157"/>
      <c r="B7" s="147"/>
      <c r="C7" s="147"/>
      <c r="D7" s="147"/>
      <c r="E7" s="147"/>
      <c r="F7" s="147"/>
      <c r="G7" s="147"/>
      <c r="K7" s="79"/>
      <c r="L7" s="100"/>
      <c r="M7" s="236"/>
      <c r="N7" s="240"/>
      <c r="O7" s="317"/>
      <c r="P7" s="79"/>
      <c r="Q7" s="79"/>
    </row>
    <row r="8" spans="1:18" s="3" customFormat="1" ht="16.5" customHeight="1">
      <c r="A8" s="148" t="s">
        <v>667</v>
      </c>
      <c r="B8" s="149"/>
      <c r="C8" s="150"/>
      <c r="D8" s="150"/>
      <c r="E8" s="150"/>
      <c r="F8" s="150"/>
      <c r="G8" s="151" t="s">
        <v>100</v>
      </c>
      <c r="I8" s="108"/>
    </row>
    <row r="9" spans="1:18" s="3" customFormat="1" ht="16.5" customHeight="1">
      <c r="A9" s="304" t="s">
        <v>559</v>
      </c>
      <c r="B9" s="546" t="s">
        <v>370</v>
      </c>
      <c r="C9" s="546"/>
      <c r="D9" s="546" t="s">
        <v>371</v>
      </c>
      <c r="E9" s="546"/>
      <c r="F9" s="546" t="s">
        <v>372</v>
      </c>
      <c r="G9" s="544"/>
      <c r="H9" s="108"/>
      <c r="I9" s="53"/>
      <c r="M9" s="198"/>
      <c r="N9" s="198"/>
    </row>
    <row r="10" spans="1:18" s="3" customFormat="1" ht="16.5" customHeight="1">
      <c r="A10" s="141" t="s">
        <v>160</v>
      </c>
      <c r="B10" s="208" t="s">
        <v>96</v>
      </c>
      <c r="C10" s="208" t="s">
        <v>97</v>
      </c>
      <c r="D10" s="484" t="s">
        <v>2</v>
      </c>
      <c r="E10" s="484" t="s">
        <v>3</v>
      </c>
      <c r="F10" s="382" t="s">
        <v>373</v>
      </c>
      <c r="G10" s="383" t="s">
        <v>374</v>
      </c>
      <c r="H10" s="108"/>
      <c r="I10" s="53"/>
      <c r="K10" s="215"/>
      <c r="L10" s="215"/>
      <c r="M10" s="236"/>
      <c r="N10" s="240"/>
      <c r="O10" s="237"/>
      <c r="P10" s="237"/>
    </row>
    <row r="11" spans="1:18" s="3" customFormat="1" ht="16.5" customHeight="1">
      <c r="A11" s="168" t="s">
        <v>263</v>
      </c>
      <c r="B11" s="81">
        <v>5958</v>
      </c>
      <c r="C11" s="251">
        <v>100363</v>
      </c>
      <c r="D11" s="81">
        <v>6627</v>
      </c>
      <c r="E11" s="251">
        <v>46040</v>
      </c>
      <c r="F11" s="243">
        <v>4484</v>
      </c>
      <c r="G11" s="243">
        <v>18801</v>
      </c>
      <c r="H11" s="108"/>
      <c r="I11" s="53"/>
      <c r="K11" s="215"/>
      <c r="L11" s="215"/>
      <c r="M11" s="236"/>
      <c r="N11" s="240"/>
      <c r="O11" s="237"/>
      <c r="P11" s="237"/>
    </row>
    <row r="12" spans="1:18" s="3" customFormat="1" ht="16.5" customHeight="1">
      <c r="A12" s="182" t="s">
        <v>264</v>
      </c>
      <c r="B12" s="183">
        <v>191.45</v>
      </c>
      <c r="C12" s="176">
        <v>164.53</v>
      </c>
      <c r="D12" s="183">
        <v>406.32</v>
      </c>
      <c r="E12" s="176">
        <v>466.95</v>
      </c>
      <c r="F12" s="181">
        <v>585.54999999999995</v>
      </c>
      <c r="G12" s="38">
        <v>584.25</v>
      </c>
      <c r="H12" s="77"/>
      <c r="I12" s="53"/>
      <c r="K12" s="215"/>
      <c r="L12" s="215"/>
      <c r="M12" s="236"/>
      <c r="N12" s="240"/>
      <c r="O12" s="237"/>
      <c r="P12" s="237"/>
    </row>
    <row r="13" spans="1:18" s="3" customFormat="1" ht="16.5" customHeight="1">
      <c r="A13" s="76" t="s">
        <v>784</v>
      </c>
      <c r="B13" s="150"/>
      <c r="C13" s="150"/>
      <c r="D13" s="150"/>
      <c r="E13" s="150"/>
      <c r="F13" s="150"/>
      <c r="G13" s="150"/>
      <c r="H13" s="150"/>
      <c r="I13" s="77"/>
      <c r="K13" s="215"/>
      <c r="L13" s="215"/>
      <c r="M13" s="236"/>
      <c r="N13" s="240"/>
      <c r="O13" s="237"/>
      <c r="P13" s="237"/>
    </row>
    <row r="14" spans="1:18" s="3" customFormat="1" ht="16.5" customHeight="1">
      <c r="A14" s="155" t="s">
        <v>562</v>
      </c>
      <c r="B14" s="150"/>
      <c r="C14" s="150"/>
      <c r="D14" s="150"/>
      <c r="E14" s="150"/>
      <c r="F14" s="150"/>
      <c r="G14" s="150"/>
      <c r="H14" s="150"/>
      <c r="I14" s="77"/>
      <c r="K14" s="215"/>
      <c r="L14" s="215"/>
      <c r="M14" s="236"/>
      <c r="N14" s="240"/>
      <c r="O14" s="237"/>
      <c r="P14" s="237"/>
    </row>
    <row r="15" spans="1:18" s="3" customFormat="1" ht="16.5" customHeight="1">
      <c r="A15" s="156" t="s">
        <v>563</v>
      </c>
      <c r="B15" s="150"/>
      <c r="C15" s="150"/>
      <c r="D15" s="150"/>
      <c r="E15" s="150"/>
      <c r="F15" s="150"/>
      <c r="G15" s="150"/>
      <c r="H15" s="150"/>
      <c r="I15" s="53"/>
      <c r="K15" s="215"/>
      <c r="L15" s="215"/>
      <c r="M15" s="236"/>
      <c r="N15" s="240"/>
      <c r="O15" s="237"/>
      <c r="P15" s="237"/>
    </row>
    <row r="16" spans="1:18" s="3" customFormat="1" ht="16.5" customHeight="1">
      <c r="H16" s="54"/>
      <c r="K16" s="215"/>
      <c r="L16" s="215"/>
      <c r="M16" s="236"/>
      <c r="N16" s="240"/>
      <c r="O16" s="237"/>
      <c r="P16" s="237"/>
    </row>
    <row r="17" spans="1:17" s="125" customFormat="1" ht="16.5" customHeight="1">
      <c r="A17" s="148" t="s">
        <v>630</v>
      </c>
      <c r="B17" s="3"/>
      <c r="C17" s="3"/>
      <c r="D17" s="3"/>
      <c r="E17" s="148" t="s">
        <v>631</v>
      </c>
      <c r="F17" s="3"/>
      <c r="G17" s="3"/>
      <c r="H17" s="3"/>
      <c r="I17" s="152"/>
      <c r="K17" s="215"/>
      <c r="L17" s="215"/>
      <c r="M17" s="236"/>
      <c r="N17" s="240"/>
      <c r="O17" s="237"/>
      <c r="P17" s="237"/>
    </row>
    <row r="18" spans="1:17" s="125" customFormat="1" ht="16.5" customHeight="1">
      <c r="I18" s="152"/>
      <c r="K18" s="215"/>
      <c r="L18" s="215"/>
      <c r="M18" s="236"/>
      <c r="N18" s="240"/>
      <c r="O18" s="237"/>
      <c r="P18" s="237"/>
    </row>
    <row r="19" spans="1:17" s="125" customFormat="1" ht="16.5" customHeight="1">
      <c r="I19" s="152"/>
      <c r="K19" s="215"/>
      <c r="L19" s="215"/>
      <c r="M19" s="236"/>
      <c r="N19" s="240"/>
      <c r="O19" s="237"/>
      <c r="P19" s="237"/>
    </row>
    <row r="20" spans="1:17" s="125" customFormat="1" ht="16.5" customHeight="1">
      <c r="I20" s="152"/>
      <c r="K20" s="215"/>
      <c r="L20" s="215"/>
      <c r="M20" s="236"/>
      <c r="N20" s="240"/>
      <c r="O20" s="237"/>
      <c r="P20" s="237"/>
    </row>
    <row r="21" spans="1:17" s="125" customFormat="1" ht="16.5" customHeight="1">
      <c r="I21" s="152"/>
      <c r="K21" s="79"/>
      <c r="L21" s="79"/>
      <c r="M21" s="236"/>
      <c r="N21" s="240"/>
      <c r="O21" s="237"/>
      <c r="P21" s="237"/>
    </row>
    <row r="22" spans="1:17" s="125" customFormat="1" ht="16.5" customHeight="1">
      <c r="I22" s="152"/>
      <c r="K22" s="79"/>
      <c r="L22" s="215"/>
      <c r="M22" s="236"/>
      <c r="N22" s="240"/>
      <c r="O22" s="237"/>
      <c r="P22" s="237"/>
    </row>
    <row r="23" spans="1:17" s="125" customFormat="1" ht="16.5" customHeight="1">
      <c r="I23" s="152"/>
      <c r="K23" s="79"/>
      <c r="L23" s="215"/>
      <c r="M23" s="236"/>
      <c r="N23" s="240"/>
      <c r="O23" s="237"/>
      <c r="P23" s="237"/>
    </row>
    <row r="24" spans="1:17" s="125" customFormat="1" ht="16.5" customHeight="1">
      <c r="I24" s="152"/>
      <c r="Q24" s="468"/>
    </row>
    <row r="25" spans="1:17" s="125" customFormat="1" ht="16.5" customHeight="1">
      <c r="B25" s="238" t="s">
        <v>632</v>
      </c>
      <c r="I25" s="152"/>
    </row>
    <row r="26" spans="1:17" s="125" customFormat="1" ht="16.5" customHeight="1">
      <c r="A26" s="215"/>
      <c r="B26" s="215" t="s">
        <v>1</v>
      </c>
      <c r="C26" s="215" t="s">
        <v>0</v>
      </c>
      <c r="D26" s="215" t="s">
        <v>18</v>
      </c>
      <c r="E26" s="215" t="s">
        <v>769</v>
      </c>
      <c r="F26" s="215" t="s">
        <v>770</v>
      </c>
      <c r="I26" s="152"/>
    </row>
    <row r="27" spans="1:17" s="125" customFormat="1" ht="16.5" customHeight="1">
      <c r="A27" s="79" t="s">
        <v>748</v>
      </c>
      <c r="B27" s="237">
        <v>115.5</v>
      </c>
      <c r="C27" s="237">
        <v>148.69999999999999</v>
      </c>
      <c r="D27" s="237">
        <v>85</v>
      </c>
      <c r="E27" s="237">
        <v>137.1</v>
      </c>
      <c r="F27" s="237">
        <v>135.19999999999999</v>
      </c>
      <c r="I27" s="152"/>
    </row>
    <row r="28" spans="1:17" s="125" customFormat="1" ht="16.5" customHeight="1">
      <c r="A28" s="79" t="s">
        <v>749</v>
      </c>
      <c r="B28" s="237">
        <v>119.4</v>
      </c>
      <c r="C28" s="237">
        <v>153.30000000000001</v>
      </c>
      <c r="D28" s="237">
        <v>87.2</v>
      </c>
      <c r="E28" s="237">
        <v>143.69999999999999</v>
      </c>
      <c r="F28" s="237">
        <v>124.4</v>
      </c>
      <c r="I28" s="152"/>
    </row>
    <row r="29" spans="1:17" s="125" customFormat="1" ht="16.5" customHeight="1">
      <c r="A29" s="215" t="s">
        <v>79</v>
      </c>
      <c r="B29" s="237">
        <v>125</v>
      </c>
      <c r="C29" s="237">
        <v>150.80000000000001</v>
      </c>
      <c r="D29" s="237">
        <v>79.5</v>
      </c>
      <c r="E29" s="237">
        <v>141.19999999999999</v>
      </c>
      <c r="F29" s="237">
        <v>125.2</v>
      </c>
      <c r="I29" s="152"/>
      <c r="Q29" s="53"/>
    </row>
    <row r="30" spans="1:17" s="125" customFormat="1" ht="16.5" customHeight="1">
      <c r="A30" s="215" t="s">
        <v>432</v>
      </c>
      <c r="B30" s="237">
        <v>133.78843861915803</v>
      </c>
      <c r="C30" s="237">
        <v>147.81632938119031</v>
      </c>
      <c r="D30" s="237">
        <v>79.967114552650756</v>
      </c>
      <c r="E30" s="237">
        <v>140.78939835779886</v>
      </c>
      <c r="F30" s="237">
        <v>139.86896441543496</v>
      </c>
      <c r="I30" s="152"/>
    </row>
    <row r="31" spans="1:17" s="125" customFormat="1" ht="16.5" customHeight="1">
      <c r="A31" s="215" t="s">
        <v>433</v>
      </c>
      <c r="B31" s="237">
        <v>142.20768006546848</v>
      </c>
      <c r="C31" s="237">
        <v>158.7311349850836</v>
      </c>
      <c r="D31" s="237">
        <v>83.093555593408198</v>
      </c>
      <c r="E31" s="237">
        <v>154.93348247240061</v>
      </c>
      <c r="F31" s="237">
        <v>147.83964050431106</v>
      </c>
      <c r="I31" s="53"/>
    </row>
    <row r="32" spans="1:17" s="125" customFormat="1" ht="16.5" customHeight="1">
      <c r="A32" s="215" t="s">
        <v>579</v>
      </c>
      <c r="B32" s="237">
        <v>155.39362494606283</v>
      </c>
      <c r="C32" s="237">
        <v>176.5835496335815</v>
      </c>
      <c r="D32" s="237">
        <v>86.970315594950833</v>
      </c>
      <c r="E32" s="237">
        <v>180.6862794280145</v>
      </c>
      <c r="F32" s="237">
        <v>157.63536660601142</v>
      </c>
      <c r="H32" s="3"/>
      <c r="I32" s="53"/>
    </row>
    <row r="33" spans="1:17" s="125" customFormat="1" ht="16.5" customHeight="1">
      <c r="A33" s="215" t="s">
        <v>742</v>
      </c>
      <c r="B33" s="237">
        <v>173.9401139166097</v>
      </c>
      <c r="C33" s="237">
        <v>197.75099582463125</v>
      </c>
      <c r="D33" s="237">
        <v>90.359079330508393</v>
      </c>
      <c r="E33" s="237">
        <v>189.82721017889355</v>
      </c>
      <c r="F33" s="237">
        <v>161.92172464463169</v>
      </c>
      <c r="H33" s="3"/>
      <c r="I33" s="53"/>
    </row>
    <row r="34" spans="1:17" s="125" customFormat="1" ht="16.5" customHeight="1">
      <c r="A34" s="215" t="s">
        <v>743</v>
      </c>
      <c r="B34" s="237">
        <v>178.12988531282309</v>
      </c>
      <c r="C34" s="237">
        <v>203.99343782723349</v>
      </c>
      <c r="D34" s="237">
        <v>78.168710203652097</v>
      </c>
      <c r="E34" s="237">
        <v>216.57367580998101</v>
      </c>
      <c r="F34" s="237">
        <v>155.748421510995</v>
      </c>
      <c r="H34" s="3"/>
      <c r="I34" s="53"/>
    </row>
    <row r="35" spans="1:17" s="3" customFormat="1" ht="16.5" customHeight="1">
      <c r="A35" s="215" t="s">
        <v>755</v>
      </c>
      <c r="B35" s="237">
        <v>175.41439569194699</v>
      </c>
      <c r="C35" s="237">
        <v>208.42611806797899</v>
      </c>
      <c r="D35" s="237">
        <v>75.309981338578694</v>
      </c>
      <c r="E35" s="237">
        <v>223.98280000635901</v>
      </c>
      <c r="F35" s="237">
        <v>160.059826086957</v>
      </c>
      <c r="I35" s="53"/>
      <c r="J35" s="125"/>
      <c r="Q35" s="125"/>
    </row>
    <row r="36" spans="1:17" s="3" customFormat="1" ht="16.5" customHeight="1">
      <c r="A36" s="215" t="s">
        <v>785</v>
      </c>
      <c r="B36" s="237">
        <v>183.82514157937001</v>
      </c>
      <c r="C36" s="237">
        <v>198.91067634560901</v>
      </c>
      <c r="D36" s="237">
        <v>73.838753851420705</v>
      </c>
      <c r="E36" s="237">
        <v>224.96321990486601</v>
      </c>
      <c r="F36" s="237">
        <v>163.54734448595099</v>
      </c>
      <c r="H36" s="54"/>
      <c r="I36" s="53"/>
    </row>
    <row r="37" spans="1:17" s="3" customFormat="1" ht="16.5" customHeight="1">
      <c r="H37" s="54"/>
      <c r="I37" s="53"/>
    </row>
    <row r="38" spans="1:17" s="3" customFormat="1" ht="16.5" customHeight="1">
      <c r="H38" s="54"/>
      <c r="I38" s="53"/>
      <c r="P38" s="79"/>
      <c r="Q38" s="79"/>
    </row>
    <row r="39" spans="1:17" s="3" customFormat="1" ht="16.5" customHeight="1">
      <c r="H39" s="54"/>
      <c r="I39" s="53"/>
      <c r="Q39" s="79"/>
    </row>
    <row r="40" spans="1:17" s="3" customFormat="1" ht="16.5" customHeight="1">
      <c r="A40" s="88"/>
      <c r="B40" s="88"/>
      <c r="C40" s="88"/>
      <c r="D40" s="88"/>
      <c r="E40" s="79"/>
      <c r="F40" s="79"/>
      <c r="H40" s="54"/>
      <c r="I40" s="53"/>
      <c r="Q40" s="79"/>
    </row>
    <row r="41" spans="1:17" ht="16.5" customHeight="1">
      <c r="K41" s="3"/>
      <c r="L41" s="3"/>
      <c r="M41" s="3"/>
      <c r="N41" s="3"/>
      <c r="O41" s="3"/>
      <c r="P41" s="3"/>
    </row>
    <row r="42" spans="1:17" ht="16.5" customHeight="1">
      <c r="A42" s="396" t="s">
        <v>668</v>
      </c>
      <c r="B42" s="3"/>
      <c r="C42" s="3"/>
      <c r="D42" s="3"/>
      <c r="E42" s="3"/>
      <c r="F42" s="3"/>
      <c r="G42" s="145" t="s">
        <v>595</v>
      </c>
      <c r="H42" s="395"/>
    </row>
    <row r="43" spans="1:17" ht="16.5" customHeight="1">
      <c r="A43" s="347" t="s">
        <v>38</v>
      </c>
      <c r="B43" s="546" t="s">
        <v>93</v>
      </c>
      <c r="C43" s="546"/>
      <c r="D43" s="546"/>
      <c r="E43" s="546" t="s">
        <v>94</v>
      </c>
      <c r="F43" s="546"/>
      <c r="G43" s="544"/>
    </row>
    <row r="44" spans="1:17" ht="16.5" customHeight="1">
      <c r="A44" s="207" t="s">
        <v>36</v>
      </c>
      <c r="B44" s="345" t="s">
        <v>152</v>
      </c>
      <c r="C44" s="345" t="s">
        <v>0</v>
      </c>
      <c r="D44" s="345" t="s">
        <v>1</v>
      </c>
      <c r="E44" s="345" t="s">
        <v>152</v>
      </c>
      <c r="F44" s="484" t="s">
        <v>2</v>
      </c>
      <c r="G44" s="484" t="s">
        <v>3</v>
      </c>
    </row>
    <row r="45" spans="1:17" ht="16.5" customHeight="1">
      <c r="A45" s="180" t="s">
        <v>593</v>
      </c>
      <c r="B45" s="350">
        <v>2.5495309843824501</v>
      </c>
      <c r="C45" s="351">
        <v>3.3736450584484601</v>
      </c>
      <c r="D45" s="352">
        <v>2.47168030839451</v>
      </c>
      <c r="E45" s="351">
        <v>1.79518468623704</v>
      </c>
      <c r="F45" s="351">
        <v>2.1846802986043499</v>
      </c>
      <c r="G45" s="351">
        <v>1.7292426046341201</v>
      </c>
    </row>
    <row r="46" spans="1:17" ht="16.5" customHeight="1">
      <c r="A46" s="3" t="s">
        <v>594</v>
      </c>
    </row>
    <row r="48" spans="1:17" ht="16.5" customHeight="1">
      <c r="A48" s="396" t="s">
        <v>669</v>
      </c>
      <c r="B48" s="3"/>
      <c r="C48" s="3"/>
      <c r="D48" s="3"/>
      <c r="E48" s="3"/>
      <c r="F48" s="3"/>
      <c r="G48" s="151" t="s">
        <v>100</v>
      </c>
      <c r="H48" s="395"/>
    </row>
    <row r="49" spans="1:7" ht="16.5" customHeight="1">
      <c r="A49" s="347" t="s">
        <v>38</v>
      </c>
      <c r="B49" s="546" t="s">
        <v>597</v>
      </c>
      <c r="C49" s="546"/>
      <c r="D49" s="546"/>
      <c r="E49" s="546" t="s">
        <v>598</v>
      </c>
      <c r="F49" s="546"/>
      <c r="G49" s="544"/>
    </row>
    <row r="50" spans="1:7" ht="16.5" customHeight="1">
      <c r="A50" s="207" t="s">
        <v>342</v>
      </c>
      <c r="B50" s="345" t="s">
        <v>152</v>
      </c>
      <c r="C50" s="345" t="s">
        <v>0</v>
      </c>
      <c r="D50" s="345" t="s">
        <v>1</v>
      </c>
      <c r="E50" s="345" t="s">
        <v>152</v>
      </c>
      <c r="F50" s="345" t="s">
        <v>0</v>
      </c>
      <c r="G50" s="345" t="s">
        <v>1</v>
      </c>
    </row>
    <row r="51" spans="1:7" ht="16.5" customHeight="1">
      <c r="A51" s="408">
        <v>2020</v>
      </c>
      <c r="B51" s="232">
        <v>156.84440553211857</v>
      </c>
      <c r="C51" s="25">
        <v>176.51604071186199</v>
      </c>
      <c r="D51" s="221">
        <v>155.39362494606283</v>
      </c>
      <c r="E51" s="25">
        <v>177.22700170677999</v>
      </c>
      <c r="F51" s="25">
        <v>182.30658284023701</v>
      </c>
      <c r="G51" s="25">
        <v>176.65220666393299</v>
      </c>
    </row>
    <row r="52" spans="1:7" ht="16.5" customHeight="1">
      <c r="A52" s="408">
        <v>2021</v>
      </c>
      <c r="B52" s="232">
        <v>175.76969711408111</v>
      </c>
      <c r="C52" s="25">
        <v>197.75099582463125</v>
      </c>
      <c r="D52" s="173">
        <v>173.9401139166097</v>
      </c>
      <c r="E52" s="25">
        <v>195.53297932837501</v>
      </c>
      <c r="F52" s="25">
        <v>203.72742564930701</v>
      </c>
      <c r="G52" s="25">
        <v>194.522652043703</v>
      </c>
    </row>
    <row r="53" spans="1:7" ht="16.5" customHeight="1">
      <c r="A53" s="408">
        <v>2022</v>
      </c>
      <c r="B53" s="232">
        <v>180.41518785402658</v>
      </c>
      <c r="C53" s="25">
        <v>203.963347339645</v>
      </c>
      <c r="D53" s="173">
        <v>178.12610820501499</v>
      </c>
      <c r="E53" s="25">
        <v>197.52819458870201</v>
      </c>
      <c r="F53" s="25">
        <v>207.428392559027</v>
      </c>
      <c r="G53" s="25">
        <v>196.13262621763101</v>
      </c>
    </row>
    <row r="54" spans="1:7" ht="16.5" customHeight="1">
      <c r="A54" s="346">
        <v>2023</v>
      </c>
      <c r="B54" s="232">
        <v>178.61377723068401</v>
      </c>
      <c r="C54" s="25">
        <v>208.42611806797899</v>
      </c>
      <c r="D54" s="173">
        <v>175.41439569194699</v>
      </c>
      <c r="E54" s="25">
        <v>192.54229891095699</v>
      </c>
      <c r="F54" s="25">
        <v>212.143394059613</v>
      </c>
      <c r="G54" s="25">
        <v>189.63870803111601</v>
      </c>
    </row>
    <row r="55" spans="1:7" ht="16.5" customHeight="1">
      <c r="A55" s="348">
        <v>2024</v>
      </c>
      <c r="B55" s="183">
        <v>185.31792279693599</v>
      </c>
      <c r="C55" s="181">
        <v>198.91067634560901</v>
      </c>
      <c r="D55" s="176">
        <v>183.82514157937001</v>
      </c>
      <c r="E55" s="38">
        <v>195.75870198784699</v>
      </c>
      <c r="F55" s="38">
        <v>203.393098482331</v>
      </c>
      <c r="G55" s="38">
        <v>194.67707761123799</v>
      </c>
    </row>
  </sheetData>
  <sheetProtection algorithmName="SHA-512" hashValue="ZLV9Je7Nub4x0JHWF2Z/YhXAW5jFF7tcof9HPSzqAfu1FsN0Ae+fg/BrSnVsESG9zdgSiisaQOyBmUWlNKBqEw==" saltValue="eRilT2ZVd4N4UsETGxIOeg==" spinCount="100000" sheet="1" objects="1" scenarios="1"/>
  <customSheetViews>
    <customSheetView guid="{4810CB4C-E276-4485-93D3-F920B09A4189}" showPageBreaks="1" showGridLines="0" fitToPage="1" printArea="1" view="pageBreakPreview">
      <pageMargins left="0.39370078740157483" right="0.15748031496062992" top="0.59055118110236227" bottom="7.874015748031496E-2" header="0.62992125984251968" footer="7.874015748031496E-2"/>
      <pageSetup paperSize="9" scale="78" pageOrder="overThenDown" orientation="portrait" r:id="rId1"/>
      <headerFooter alignWithMargins="0"/>
    </customSheetView>
  </customSheetViews>
  <mergeCells count="11">
    <mergeCell ref="B2:C2"/>
    <mergeCell ref="D2:E2"/>
    <mergeCell ref="F2:G2"/>
    <mergeCell ref="D9:E9"/>
    <mergeCell ref="F9:G9"/>
    <mergeCell ref="B43:D43"/>
    <mergeCell ref="E43:G43"/>
    <mergeCell ref="B49:D49"/>
    <mergeCell ref="E49:G49"/>
    <mergeCell ref="M3:N3"/>
    <mergeCell ref="B9:C9"/>
  </mergeCells>
  <phoneticPr fontId="6" type="noConversion"/>
  <pageMargins left="0.39370078740157483" right="0.15748031496062992" top="0.59055118110236227" bottom="7.874015748031496E-2" header="0.62992125984251968" footer="7.874015748031496E-2"/>
  <pageSetup paperSize="9" scale="78" pageOrder="overThenDown" orientation="portrait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H52"/>
  <sheetViews>
    <sheetView showGridLines="0" zoomScaleNormal="100" zoomScaleSheetLayoutView="100" workbookViewId="0">
      <selection sqref="A1:G2"/>
    </sheetView>
  </sheetViews>
  <sheetFormatPr defaultColWidth="8" defaultRowHeight="16.5" customHeight="1"/>
  <cols>
    <col min="1" max="7" width="13.33203125" style="121" customWidth="1"/>
    <col min="8" max="16384" width="8" style="121"/>
  </cols>
  <sheetData>
    <row r="1" spans="1:8" ht="16.5" customHeight="1">
      <c r="A1" s="640" t="s">
        <v>739</v>
      </c>
      <c r="B1" s="640"/>
      <c r="C1" s="640"/>
      <c r="D1" s="640"/>
      <c r="E1" s="640"/>
      <c r="F1" s="640"/>
      <c r="G1" s="640"/>
      <c r="H1" s="54"/>
    </row>
    <row r="2" spans="1:8" ht="16.5" customHeight="1">
      <c r="A2" s="640"/>
      <c r="B2" s="640"/>
      <c r="C2" s="640"/>
      <c r="D2" s="640"/>
      <c r="E2" s="640"/>
      <c r="F2" s="640"/>
      <c r="G2" s="640"/>
      <c r="H2" s="54"/>
    </row>
    <row r="4" spans="1:8" s="3" customFormat="1" ht="16.5" customHeight="1">
      <c r="A4" s="101" t="s">
        <v>670</v>
      </c>
      <c r="B4" s="54"/>
      <c r="C4" s="54"/>
      <c r="D4" s="54"/>
      <c r="E4" s="54"/>
      <c r="F4" s="54"/>
      <c r="G4" s="54"/>
      <c r="H4" s="54"/>
    </row>
    <row r="5" spans="1:8" s="3" customFormat="1" ht="16.5" customHeight="1">
      <c r="A5" s="206" t="s">
        <v>36</v>
      </c>
      <c r="B5" s="555" t="s">
        <v>42</v>
      </c>
      <c r="C5" s="544" t="s">
        <v>43</v>
      </c>
      <c r="D5" s="587"/>
      <c r="E5" s="54"/>
      <c r="F5" s="54"/>
    </row>
    <row r="6" spans="1:8" s="3" customFormat="1" ht="16.5" customHeight="1">
      <c r="A6" s="207" t="s">
        <v>38</v>
      </c>
      <c r="B6" s="555"/>
      <c r="C6" s="217" t="s">
        <v>44</v>
      </c>
      <c r="D6" s="217" t="s">
        <v>45</v>
      </c>
      <c r="E6" s="54"/>
      <c r="F6" s="54"/>
    </row>
    <row r="7" spans="1:8" s="3" customFormat="1" ht="16.5" customHeight="1">
      <c r="A7" s="71" t="s">
        <v>86</v>
      </c>
      <c r="B7" s="97">
        <v>333291</v>
      </c>
      <c r="C7" s="32">
        <v>147911</v>
      </c>
      <c r="D7" s="32">
        <v>101629</v>
      </c>
      <c r="E7" s="54"/>
      <c r="F7" s="54"/>
    </row>
    <row r="8" spans="1:8" s="3" customFormat="1" ht="16.5" customHeight="1">
      <c r="A8" s="71" t="s">
        <v>46</v>
      </c>
      <c r="B8" s="97">
        <v>228492</v>
      </c>
      <c r="C8" s="32">
        <v>93435</v>
      </c>
      <c r="D8" s="32">
        <v>66590</v>
      </c>
      <c r="E8" s="54"/>
    </row>
    <row r="9" spans="1:8" s="3" customFormat="1" ht="16.5" customHeight="1">
      <c r="A9" s="69" t="s">
        <v>96</v>
      </c>
      <c r="B9" s="94">
        <v>22677</v>
      </c>
      <c r="C9" s="243">
        <v>9918</v>
      </c>
      <c r="D9" s="243">
        <v>10926</v>
      </c>
      <c r="E9" s="54"/>
    </row>
    <row r="10" spans="1:8" s="3" customFormat="1" ht="16.5" customHeight="1">
      <c r="A10" s="69" t="s">
        <v>97</v>
      </c>
      <c r="B10" s="94">
        <v>205815</v>
      </c>
      <c r="C10" s="243">
        <v>83517</v>
      </c>
      <c r="D10" s="243">
        <v>55664</v>
      </c>
      <c r="E10" s="54"/>
    </row>
    <row r="11" spans="1:8" s="3" customFormat="1" ht="16.5" customHeight="1">
      <c r="A11" s="71" t="s">
        <v>39</v>
      </c>
      <c r="B11" s="97">
        <v>80755</v>
      </c>
      <c r="C11" s="244">
        <v>40532</v>
      </c>
      <c r="D11" s="32">
        <v>29348</v>
      </c>
      <c r="E11" s="54"/>
    </row>
    <row r="12" spans="1:8" s="3" customFormat="1" ht="16.5" customHeight="1">
      <c r="A12" s="69" t="s">
        <v>2</v>
      </c>
      <c r="B12" s="94">
        <v>12335</v>
      </c>
      <c r="C12" s="243">
        <v>5739</v>
      </c>
      <c r="D12" s="243">
        <v>6623</v>
      </c>
      <c r="E12" s="54"/>
    </row>
    <row r="13" spans="1:8" s="3" customFormat="1" ht="16.5" customHeight="1">
      <c r="A13" s="69" t="s">
        <v>3</v>
      </c>
      <c r="B13" s="94">
        <v>68420</v>
      </c>
      <c r="C13" s="243">
        <v>34793</v>
      </c>
      <c r="D13" s="243">
        <v>22725</v>
      </c>
      <c r="E13" s="54"/>
    </row>
    <row r="14" spans="1:8" s="3" customFormat="1" ht="16.5" customHeight="1">
      <c r="A14" s="71" t="s">
        <v>47</v>
      </c>
      <c r="B14" s="97">
        <v>24044</v>
      </c>
      <c r="C14" s="244">
        <v>13944</v>
      </c>
      <c r="D14" s="32">
        <v>5691</v>
      </c>
      <c r="E14" s="54"/>
    </row>
    <row r="15" spans="1:8" s="3" customFormat="1" ht="16.5" customHeight="1">
      <c r="A15" s="69" t="s">
        <v>40</v>
      </c>
      <c r="B15" s="94">
        <v>5040</v>
      </c>
      <c r="C15" s="243">
        <v>3083</v>
      </c>
      <c r="D15" s="243">
        <v>1812</v>
      </c>
      <c r="E15" s="54"/>
      <c r="F15" s="76"/>
      <c r="G15" s="76"/>
    </row>
    <row r="16" spans="1:8" s="3" customFormat="1" ht="16.5" customHeight="1">
      <c r="A16" s="70" t="s">
        <v>41</v>
      </c>
      <c r="B16" s="98">
        <v>19004</v>
      </c>
      <c r="C16" s="175">
        <v>10861</v>
      </c>
      <c r="D16" s="34">
        <v>3879</v>
      </c>
      <c r="E16" s="54"/>
      <c r="F16" s="76"/>
      <c r="G16" s="76"/>
    </row>
    <row r="17" spans="1:8" s="3" customFormat="1" ht="16.5" customHeight="1">
      <c r="A17" s="54" t="s">
        <v>173</v>
      </c>
      <c r="B17" s="54"/>
      <c r="C17" s="56"/>
      <c r="D17" s="54"/>
      <c r="E17" s="54"/>
      <c r="F17" s="54"/>
      <c r="G17" s="54"/>
      <c r="H17" s="76"/>
    </row>
    <row r="18" spans="1:8" s="3" customFormat="1" ht="16.5" customHeight="1">
      <c r="A18" s="76"/>
      <c r="B18" s="76"/>
      <c r="C18" s="76"/>
      <c r="D18" s="76"/>
      <c r="E18" s="76"/>
      <c r="F18" s="76"/>
      <c r="G18" s="76"/>
      <c r="H18" s="76"/>
    </row>
    <row r="19" spans="1:8" ht="16.5" customHeight="1">
      <c r="A19" s="161" t="s">
        <v>671</v>
      </c>
      <c r="B19" s="162"/>
      <c r="C19" s="162"/>
      <c r="D19" s="162"/>
      <c r="E19" s="162"/>
    </row>
    <row r="20" spans="1:8" ht="16.5" customHeight="1">
      <c r="A20" s="165"/>
      <c r="B20" s="165" t="s">
        <v>160</v>
      </c>
      <c r="C20" s="650" t="s">
        <v>375</v>
      </c>
      <c r="D20" s="651" t="s">
        <v>376</v>
      </c>
      <c r="E20" s="162"/>
    </row>
    <row r="21" spans="1:8" ht="16.5" customHeight="1">
      <c r="A21" s="141" t="s">
        <v>161</v>
      </c>
      <c r="B21" s="141"/>
      <c r="C21" s="647"/>
      <c r="D21" s="651"/>
      <c r="E21" s="162"/>
    </row>
    <row r="22" spans="1:8" ht="16.5" customHeight="1">
      <c r="A22" s="645" t="s">
        <v>68</v>
      </c>
      <c r="B22" s="387" t="s">
        <v>69</v>
      </c>
      <c r="C22" s="245">
        <v>4400</v>
      </c>
      <c r="D22" s="243">
        <v>17145</v>
      </c>
      <c r="E22" s="162"/>
    </row>
    <row r="23" spans="1:8" ht="16.5" customHeight="1">
      <c r="A23" s="646"/>
      <c r="B23" s="388" t="s">
        <v>70</v>
      </c>
      <c r="C23" s="286">
        <v>22644</v>
      </c>
      <c r="D23" s="175">
        <v>60969</v>
      </c>
      <c r="E23" s="162"/>
    </row>
    <row r="24" spans="1:8" ht="16.5" customHeight="1">
      <c r="A24" s="150" t="s">
        <v>71</v>
      </c>
      <c r="B24" s="162"/>
      <c r="C24" s="162"/>
      <c r="D24" s="162"/>
      <c r="E24" s="162"/>
    </row>
    <row r="25" spans="1:8" ht="16.5" customHeight="1">
      <c r="A25" s="162"/>
      <c r="B25" s="162"/>
      <c r="C25" s="162"/>
      <c r="D25" s="162"/>
      <c r="E25" s="162"/>
    </row>
    <row r="26" spans="1:8" ht="16.5" customHeight="1">
      <c r="A26" s="161" t="s">
        <v>672</v>
      </c>
      <c r="B26" s="161"/>
      <c r="C26" s="162"/>
      <c r="D26" s="162"/>
      <c r="E26" s="162"/>
    </row>
    <row r="27" spans="1:8" ht="16.5" customHeight="1">
      <c r="A27" s="165"/>
      <c r="B27" s="164" t="s">
        <v>160</v>
      </c>
      <c r="C27" s="648" t="s">
        <v>261</v>
      </c>
      <c r="D27" s="162"/>
      <c r="E27" s="162"/>
    </row>
    <row r="28" spans="1:8" ht="16.5" customHeight="1">
      <c r="A28" s="141" t="s">
        <v>161</v>
      </c>
      <c r="B28" s="233"/>
      <c r="C28" s="648"/>
      <c r="D28" s="162"/>
      <c r="E28" s="162"/>
    </row>
    <row r="29" spans="1:8" ht="16.5" customHeight="1">
      <c r="A29" s="645" t="s">
        <v>68</v>
      </c>
      <c r="B29" s="387" t="s">
        <v>69</v>
      </c>
      <c r="C29" s="81">
        <v>1367</v>
      </c>
      <c r="D29" s="162"/>
      <c r="E29" s="162"/>
    </row>
    <row r="30" spans="1:8" ht="16.5" customHeight="1">
      <c r="A30" s="646"/>
      <c r="B30" s="388" t="s">
        <v>70</v>
      </c>
      <c r="C30" s="174">
        <v>8408</v>
      </c>
      <c r="D30" s="162"/>
      <c r="E30" s="162"/>
    </row>
    <row r="31" spans="1:8" ht="16.5" customHeight="1">
      <c r="A31" s="150" t="s">
        <v>81</v>
      </c>
      <c r="B31" s="150"/>
      <c r="C31" s="150"/>
      <c r="D31" s="150"/>
      <c r="E31" s="150"/>
    </row>
    <row r="32" spans="1:8" ht="16.5" customHeight="1">
      <c r="A32" s="335" t="s">
        <v>82</v>
      </c>
      <c r="B32" s="150"/>
      <c r="C32" s="150"/>
      <c r="D32" s="150"/>
      <c r="E32" s="150"/>
    </row>
    <row r="33" spans="1:5" ht="16.5" customHeight="1">
      <c r="A33" s="163"/>
      <c r="B33" s="150"/>
      <c r="C33" s="150"/>
      <c r="D33" s="150"/>
      <c r="E33" s="150"/>
    </row>
    <row r="34" spans="1:5" ht="16.5" customHeight="1">
      <c r="A34" s="161" t="s">
        <v>673</v>
      </c>
      <c r="B34" s="161"/>
      <c r="C34" s="161"/>
      <c r="D34" s="150"/>
      <c r="E34" s="150"/>
    </row>
    <row r="35" spans="1:5" ht="16.5" customHeight="1">
      <c r="A35" s="165"/>
      <c r="B35" s="164" t="s">
        <v>160</v>
      </c>
      <c r="C35" s="647" t="s">
        <v>78</v>
      </c>
      <c r="D35" s="648" t="s">
        <v>619</v>
      </c>
      <c r="E35" s="150"/>
    </row>
    <row r="36" spans="1:5" ht="16.5" customHeight="1">
      <c r="A36" s="141" t="s">
        <v>161</v>
      </c>
      <c r="B36" s="233"/>
      <c r="C36" s="647"/>
      <c r="D36" s="648"/>
      <c r="E36" s="150"/>
    </row>
    <row r="37" spans="1:5" ht="16.5" customHeight="1">
      <c r="A37" s="645" t="s">
        <v>68</v>
      </c>
      <c r="B37" s="387" t="s">
        <v>69</v>
      </c>
      <c r="C37" s="392">
        <v>22677</v>
      </c>
      <c r="D37" s="243">
        <v>844</v>
      </c>
      <c r="E37" s="150"/>
    </row>
    <row r="38" spans="1:5" ht="16.5" customHeight="1">
      <c r="A38" s="646"/>
      <c r="B38" s="388" t="s">
        <v>70</v>
      </c>
      <c r="C38" s="393">
        <v>205815</v>
      </c>
      <c r="D38" s="175">
        <v>6967</v>
      </c>
      <c r="E38" s="150"/>
    </row>
    <row r="39" spans="1:5" ht="16.5" customHeight="1">
      <c r="A39" s="150" t="s">
        <v>72</v>
      </c>
      <c r="B39" s="150"/>
      <c r="C39" s="149"/>
      <c r="D39" s="149"/>
      <c r="E39" s="150"/>
    </row>
    <row r="40" spans="1:5" ht="16.5" customHeight="1">
      <c r="A40" s="150" t="s">
        <v>377</v>
      </c>
      <c r="B40" s="150"/>
      <c r="C40" s="150"/>
      <c r="D40" s="150"/>
      <c r="E40" s="150"/>
    </row>
    <row r="41" spans="1:5" ht="16.5" customHeight="1">
      <c r="A41" s="150" t="s">
        <v>378</v>
      </c>
      <c r="B41" s="150"/>
      <c r="C41" s="150"/>
      <c r="D41" s="150"/>
      <c r="E41" s="150"/>
    </row>
    <row r="42" spans="1:5" ht="16.5" customHeight="1">
      <c r="A42" s="150" t="s">
        <v>379</v>
      </c>
      <c r="B42" s="150"/>
      <c r="C42" s="150"/>
      <c r="D42" s="150"/>
      <c r="E42" s="150"/>
    </row>
    <row r="43" spans="1:5" ht="16.5" customHeight="1">
      <c r="A43" s="150"/>
      <c r="B43" s="150"/>
      <c r="C43" s="150"/>
      <c r="D43" s="150"/>
      <c r="E43" s="150"/>
    </row>
    <row r="44" spans="1:5" ht="16.5" customHeight="1">
      <c r="A44" s="161" t="s">
        <v>674</v>
      </c>
      <c r="B44" s="161"/>
      <c r="C44" s="161"/>
      <c r="D44" s="162"/>
      <c r="E44" s="150"/>
    </row>
    <row r="45" spans="1:5" ht="16.5" customHeight="1">
      <c r="A45" s="165"/>
      <c r="B45" s="164" t="s">
        <v>160</v>
      </c>
      <c r="C45" s="647" t="s">
        <v>262</v>
      </c>
      <c r="D45" s="648" t="s">
        <v>102</v>
      </c>
      <c r="E45" s="150"/>
    </row>
    <row r="46" spans="1:5" ht="16.5" customHeight="1">
      <c r="A46" s="141" t="s">
        <v>161</v>
      </c>
      <c r="B46" s="233"/>
      <c r="C46" s="647"/>
      <c r="D46" s="648"/>
      <c r="E46" s="150"/>
    </row>
    <row r="47" spans="1:5" ht="16.5" customHeight="1">
      <c r="A47" s="641" t="s">
        <v>73</v>
      </c>
      <c r="B47" s="642"/>
      <c r="C47" s="501">
        <v>11322</v>
      </c>
      <c r="D47" s="496">
        <v>0</v>
      </c>
      <c r="E47" s="150"/>
    </row>
    <row r="48" spans="1:5" ht="16.5" customHeight="1">
      <c r="A48" s="649" t="s">
        <v>20</v>
      </c>
      <c r="B48" s="385" t="s">
        <v>2</v>
      </c>
      <c r="C48" s="392">
        <v>5817</v>
      </c>
      <c r="D48" s="243">
        <v>325</v>
      </c>
      <c r="E48" s="150"/>
    </row>
    <row r="49" spans="1:5" ht="16.5" customHeight="1">
      <c r="A49" s="644"/>
      <c r="B49" s="389" t="s">
        <v>3</v>
      </c>
      <c r="C49" s="392">
        <v>45776</v>
      </c>
      <c r="D49" s="243">
        <v>1785</v>
      </c>
      <c r="E49" s="150"/>
    </row>
    <row r="50" spans="1:5" ht="16.5" customHeight="1">
      <c r="A50" s="643" t="s">
        <v>21</v>
      </c>
      <c r="B50" s="385" t="s">
        <v>0</v>
      </c>
      <c r="C50" s="392">
        <v>16628</v>
      </c>
      <c r="D50" s="243">
        <v>2127</v>
      </c>
      <c r="E50" s="150"/>
    </row>
    <row r="51" spans="1:5" ht="16.5" customHeight="1">
      <c r="A51" s="644"/>
      <c r="B51" s="389" t="s">
        <v>1</v>
      </c>
      <c r="C51" s="393">
        <v>190815</v>
      </c>
      <c r="D51" s="175">
        <v>11581</v>
      </c>
      <c r="E51" s="150"/>
    </row>
    <row r="52" spans="1:5" ht="16.5" customHeight="1">
      <c r="A52" s="76" t="s">
        <v>750</v>
      </c>
      <c r="B52" s="150"/>
      <c r="C52" s="149"/>
      <c r="D52" s="149"/>
      <c r="E52" s="150"/>
    </row>
  </sheetData>
  <sheetProtection algorithmName="SHA-512" hashValue="HM+gO+WEChUKW//iudxVGop57Es3McAQ95TEkIxJ/6HMJ7fgyAHyNBqPEHc3n8Rs8ZXhRbKU6nHvlG1JcxdKMQ==" saltValue="GKws63WGoomWkXjG6pMAUw==" spinCount="100000" sheet="1" objects="1" scenarios="1"/>
  <customSheetViews>
    <customSheetView guid="{4810CB4C-E276-4485-93D3-F920B09A4189}" showPageBreaks="1" showGridLines="0" fitToPage="1" printArea="1" view="pageBreakPreview">
      <selection sqref="A1:G2"/>
      <pageMargins left="0.70866141732283472" right="0.70866141732283472" top="0.74803149606299213" bottom="0.74803149606299213" header="0.31496062992125984" footer="0.31496062992125984"/>
      <pageSetup paperSize="9" scale="81" orientation="portrait" verticalDpi="400" r:id="rId1"/>
    </customSheetView>
  </customSheetViews>
  <mergeCells count="16">
    <mergeCell ref="A1:G2"/>
    <mergeCell ref="B5:B6"/>
    <mergeCell ref="C5:D5"/>
    <mergeCell ref="A47:B47"/>
    <mergeCell ref="A50:A51"/>
    <mergeCell ref="A29:A30"/>
    <mergeCell ref="C35:C36"/>
    <mergeCell ref="D35:D36"/>
    <mergeCell ref="A37:A38"/>
    <mergeCell ref="C45:C46"/>
    <mergeCell ref="D45:D46"/>
    <mergeCell ref="A48:A49"/>
    <mergeCell ref="C20:C21"/>
    <mergeCell ref="D20:D21"/>
    <mergeCell ref="A22:A23"/>
    <mergeCell ref="C27:C28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81" orientation="portrait" verticalDpi="400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47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6" customWidth="1"/>
    <col min="2" max="12" width="8" style="76" customWidth="1"/>
    <col min="13" max="16384" width="8" style="76"/>
  </cols>
  <sheetData>
    <row r="1" spans="1:12" s="3" customFormat="1" ht="16.5" customHeight="1">
      <c r="A1" s="56" t="s">
        <v>821</v>
      </c>
      <c r="B1" s="56"/>
      <c r="C1" s="56"/>
      <c r="D1" s="56"/>
      <c r="E1" s="56"/>
      <c r="F1" s="56"/>
      <c r="G1" s="56"/>
      <c r="H1" s="56"/>
      <c r="I1" s="56"/>
      <c r="J1" s="56"/>
      <c r="K1" s="55"/>
      <c r="L1" s="55"/>
    </row>
    <row r="2" spans="1:12" s="3" customFormat="1" ht="16.5" customHeight="1">
      <c r="A2" s="54"/>
      <c r="B2" s="54"/>
      <c r="C2" s="54"/>
      <c r="D2" s="54"/>
      <c r="E2" s="54"/>
      <c r="F2" s="54"/>
      <c r="G2" s="54"/>
      <c r="I2" s="54"/>
    </row>
    <row r="3" spans="1:12" s="3" customFormat="1" ht="16.5" customHeight="1">
      <c r="A3" s="72" t="s">
        <v>646</v>
      </c>
    </row>
    <row r="4" spans="1:12" s="3" customFormat="1" ht="16.5" customHeight="1">
      <c r="A4" s="206" t="s">
        <v>164</v>
      </c>
      <c r="B4" s="554" t="s">
        <v>86</v>
      </c>
      <c r="C4" s="558" t="s">
        <v>360</v>
      </c>
      <c r="D4" s="558" t="s">
        <v>556</v>
      </c>
      <c r="E4" s="558" t="s">
        <v>362</v>
      </c>
      <c r="F4" s="558" t="s">
        <v>363</v>
      </c>
      <c r="G4" s="558" t="s">
        <v>364</v>
      </c>
      <c r="H4" s="558" t="s">
        <v>557</v>
      </c>
      <c r="I4" s="558" t="s">
        <v>366</v>
      </c>
      <c r="J4" s="558" t="s">
        <v>367</v>
      </c>
      <c r="K4" s="558" t="s">
        <v>368</v>
      </c>
      <c r="L4" s="633" t="s">
        <v>369</v>
      </c>
    </row>
    <row r="5" spans="1:12" s="3" customFormat="1" ht="16.5" customHeight="1">
      <c r="A5" s="207" t="s">
        <v>36</v>
      </c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5"/>
    </row>
    <row r="6" spans="1:12" s="3" customFormat="1" ht="16.5" customHeight="1">
      <c r="A6" s="159" t="s">
        <v>86</v>
      </c>
      <c r="B6" s="97">
        <v>2746</v>
      </c>
      <c r="C6" s="244">
        <v>17</v>
      </c>
      <c r="D6" s="244">
        <v>311</v>
      </c>
      <c r="E6" s="244">
        <v>667</v>
      </c>
      <c r="F6" s="244">
        <v>629</v>
      </c>
      <c r="G6" s="244">
        <v>428</v>
      </c>
      <c r="H6" s="244">
        <v>254</v>
      </c>
      <c r="I6" s="244">
        <v>318</v>
      </c>
      <c r="J6" s="244">
        <v>74</v>
      </c>
      <c r="K6" s="244">
        <v>40</v>
      </c>
      <c r="L6" s="244">
        <v>8</v>
      </c>
    </row>
    <row r="7" spans="1:12" s="3" customFormat="1" ht="16.5" customHeight="1">
      <c r="A7" s="159"/>
      <c r="B7" s="179">
        <v>100</v>
      </c>
      <c r="C7" s="41">
        <v>0.61908230152949739</v>
      </c>
      <c r="D7" s="41">
        <v>11.325564457392572</v>
      </c>
      <c r="E7" s="41">
        <v>24.289876183539693</v>
      </c>
      <c r="F7" s="41">
        <v>22.906045156591407</v>
      </c>
      <c r="G7" s="41">
        <v>15.586307356154405</v>
      </c>
      <c r="H7" s="41">
        <v>9.2498179169701373</v>
      </c>
      <c r="I7" s="41">
        <v>11.580480699198835</v>
      </c>
      <c r="J7" s="41">
        <v>2.6948288419519302</v>
      </c>
      <c r="K7" s="41">
        <v>1.4566642388929352</v>
      </c>
      <c r="L7" s="41">
        <v>0.29133284777858703</v>
      </c>
    </row>
    <row r="8" spans="1:12" s="3" customFormat="1" ht="16.5" customHeight="1">
      <c r="A8" s="158" t="s">
        <v>194</v>
      </c>
      <c r="B8" s="94">
        <v>130</v>
      </c>
      <c r="C8" s="243">
        <v>13</v>
      </c>
      <c r="D8" s="243">
        <v>46</v>
      </c>
      <c r="E8" s="243">
        <v>32</v>
      </c>
      <c r="F8" s="243">
        <v>12</v>
      </c>
      <c r="G8" s="243">
        <v>8</v>
      </c>
      <c r="H8" s="243">
        <v>7</v>
      </c>
      <c r="I8" s="243">
        <v>10</v>
      </c>
      <c r="J8" s="243">
        <v>2</v>
      </c>
      <c r="K8" s="243">
        <v>0</v>
      </c>
      <c r="L8" s="243">
        <v>0</v>
      </c>
    </row>
    <row r="9" spans="1:12" s="3" customFormat="1" ht="16.5" customHeight="1">
      <c r="A9" s="158"/>
      <c r="B9" s="171">
        <v>100</v>
      </c>
      <c r="C9" s="477">
        <v>10</v>
      </c>
      <c r="D9" s="497">
        <v>35.384615384615387</v>
      </c>
      <c r="E9" s="497">
        <v>24.615384615384617</v>
      </c>
      <c r="F9" s="497">
        <v>9.2307692307692317</v>
      </c>
      <c r="G9" s="497">
        <v>6.1538461538461542</v>
      </c>
      <c r="H9" s="497">
        <v>5.384615384615385</v>
      </c>
      <c r="I9" s="497">
        <v>7.6923076923076925</v>
      </c>
      <c r="J9" s="497">
        <v>1.5384615384615385</v>
      </c>
      <c r="K9" s="67" t="s">
        <v>786</v>
      </c>
      <c r="L9" s="67" t="s">
        <v>786</v>
      </c>
    </row>
    <row r="10" spans="1:12" s="3" customFormat="1" ht="16.5" customHeight="1">
      <c r="A10" s="158" t="s">
        <v>195</v>
      </c>
      <c r="B10" s="94">
        <v>2616</v>
      </c>
      <c r="C10" s="243">
        <v>4</v>
      </c>
      <c r="D10" s="243">
        <v>265</v>
      </c>
      <c r="E10" s="243">
        <v>635</v>
      </c>
      <c r="F10" s="243">
        <v>617</v>
      </c>
      <c r="G10" s="243">
        <v>420</v>
      </c>
      <c r="H10" s="243">
        <v>247</v>
      </c>
      <c r="I10" s="243">
        <v>308</v>
      </c>
      <c r="J10" s="243">
        <v>72</v>
      </c>
      <c r="K10" s="243">
        <v>40</v>
      </c>
      <c r="L10" s="243">
        <v>8</v>
      </c>
    </row>
    <row r="11" spans="1:12" s="3" customFormat="1" ht="16.5" customHeight="1">
      <c r="A11" s="160"/>
      <c r="B11" s="187">
        <v>100</v>
      </c>
      <c r="C11" s="40">
        <v>0.1529051987767584</v>
      </c>
      <c r="D11" s="40">
        <v>10.129969418960243</v>
      </c>
      <c r="E11" s="40">
        <v>24.273700305810397</v>
      </c>
      <c r="F11" s="40">
        <v>23.585626911314986</v>
      </c>
      <c r="G11" s="40">
        <v>16.055045871559635</v>
      </c>
      <c r="H11" s="40">
        <v>9.4418960244648318</v>
      </c>
      <c r="I11" s="40">
        <v>11.773700305810397</v>
      </c>
      <c r="J11" s="40">
        <v>2.7</v>
      </c>
      <c r="K11" s="40">
        <v>1.5290519877675841</v>
      </c>
      <c r="L11" s="40">
        <v>0.3058103975535168</v>
      </c>
    </row>
    <row r="12" spans="1:12" s="3" customFormat="1" ht="16.5" customHeight="1">
      <c r="A12" s="3" t="s">
        <v>383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s="3" customFormat="1" ht="16.5" customHeight="1">
      <c r="C13" s="282"/>
      <c r="D13" s="282"/>
      <c r="E13" s="282"/>
      <c r="F13" s="282"/>
      <c r="G13" s="282"/>
      <c r="H13" s="282"/>
      <c r="I13" s="282"/>
      <c r="J13" s="282"/>
      <c r="K13" s="282"/>
      <c r="L13" s="282"/>
    </row>
    <row r="14" spans="1:12" s="3" customFormat="1" ht="16.5" customHeight="1">
      <c r="A14" s="72" t="s">
        <v>48</v>
      </c>
    </row>
    <row r="15" spans="1:12" s="3" customFormat="1" ht="25.5" customHeight="1">
      <c r="A15" s="559" t="s">
        <v>791</v>
      </c>
      <c r="B15" s="559"/>
      <c r="C15" s="559"/>
      <c r="D15" s="559"/>
      <c r="E15" s="559"/>
      <c r="F15" s="559"/>
      <c r="G15" s="559"/>
      <c r="H15" s="559"/>
      <c r="I15" s="559"/>
      <c r="J15" s="559"/>
      <c r="K15" s="559"/>
      <c r="L15" s="559"/>
    </row>
    <row r="16" spans="1:12" s="3" customFormat="1" ht="16.5" customHeight="1"/>
    <row r="17" spans="1:12" s="3" customFormat="1" ht="16.5" customHeight="1">
      <c r="A17" s="72" t="s">
        <v>645</v>
      </c>
    </row>
    <row r="18" spans="1:12" s="3" customFormat="1" ht="16.5" customHeight="1">
      <c r="A18" s="206" t="s">
        <v>36</v>
      </c>
      <c r="B18" s="546" t="s">
        <v>196</v>
      </c>
      <c r="C18" s="546" t="s">
        <v>381</v>
      </c>
      <c r="D18" s="546"/>
      <c r="E18" s="546"/>
      <c r="F18" s="546"/>
      <c r="G18" s="546"/>
      <c r="H18" s="546" t="s">
        <v>380</v>
      </c>
      <c r="I18" s="544" t="s">
        <v>49</v>
      </c>
    </row>
    <row r="19" spans="1:12" s="3" customFormat="1" ht="22.5">
      <c r="A19" s="207" t="s">
        <v>38</v>
      </c>
      <c r="B19" s="562"/>
      <c r="C19" s="208" t="s">
        <v>4</v>
      </c>
      <c r="D19" s="228" t="s">
        <v>50</v>
      </c>
      <c r="E19" s="208" t="s">
        <v>104</v>
      </c>
      <c r="F19" s="208" t="s">
        <v>105</v>
      </c>
      <c r="G19" s="208" t="s">
        <v>106</v>
      </c>
      <c r="H19" s="562"/>
      <c r="I19" s="563"/>
    </row>
    <row r="20" spans="1:12" s="3" customFormat="1" ht="16.5" customHeight="1">
      <c r="A20" s="159" t="s">
        <v>196</v>
      </c>
      <c r="B20" s="97">
        <v>186806</v>
      </c>
      <c r="C20" s="83">
        <v>186297</v>
      </c>
      <c r="D20" s="244">
        <v>123690</v>
      </c>
      <c r="E20" s="244">
        <v>41053</v>
      </c>
      <c r="F20" s="244">
        <v>16824</v>
      </c>
      <c r="G20" s="216">
        <v>4730</v>
      </c>
      <c r="H20" s="83">
        <v>4</v>
      </c>
      <c r="I20" s="244">
        <v>505</v>
      </c>
      <c r="J20" s="1"/>
      <c r="K20" s="1"/>
      <c r="L20" s="1"/>
    </row>
    <row r="21" spans="1:12" s="3" customFormat="1" ht="16.5" customHeight="1">
      <c r="A21" s="159"/>
      <c r="B21" s="179">
        <v>100</v>
      </c>
      <c r="C21" s="188">
        <v>99.727524811836872</v>
      </c>
      <c r="D21" s="41">
        <v>66.213076667772981</v>
      </c>
      <c r="E21" s="41">
        <v>21.976274851985483</v>
      </c>
      <c r="F21" s="41">
        <v>9.0061347065940076</v>
      </c>
      <c r="G21" s="189">
        <v>2.5320385854844063</v>
      </c>
      <c r="H21" s="188">
        <v>2.1412588460756081E-3</v>
      </c>
      <c r="I21" s="41">
        <v>0.27033392931704547</v>
      </c>
      <c r="J21" s="61"/>
      <c r="K21" s="7"/>
      <c r="L21" s="7"/>
    </row>
    <row r="22" spans="1:12" s="3" customFormat="1" ht="16.5" customHeight="1">
      <c r="A22" s="159"/>
      <c r="B22" s="186"/>
      <c r="C22" s="190"/>
      <c r="D22" s="185"/>
      <c r="E22" s="185"/>
      <c r="F22" s="185"/>
      <c r="G22" s="191"/>
      <c r="H22" s="190"/>
      <c r="I22" s="185"/>
      <c r="K22" s="54"/>
    </row>
    <row r="23" spans="1:12" s="3" customFormat="1" ht="16.5" customHeight="1">
      <c r="A23" s="159" t="s">
        <v>197</v>
      </c>
      <c r="B23" s="97">
        <v>131981</v>
      </c>
      <c r="C23" s="83">
        <v>131472</v>
      </c>
      <c r="D23" s="244">
        <v>91522</v>
      </c>
      <c r="E23" s="244">
        <v>23293</v>
      </c>
      <c r="F23" s="244">
        <v>12434</v>
      </c>
      <c r="G23" s="192">
        <v>4223</v>
      </c>
      <c r="H23" s="83">
        <v>4</v>
      </c>
      <c r="I23" s="244">
        <v>505</v>
      </c>
      <c r="J23" s="1"/>
      <c r="K23" s="1"/>
      <c r="L23" s="1"/>
    </row>
    <row r="24" spans="1:12" s="3" customFormat="1" ht="16.5" customHeight="1">
      <c r="A24" s="158"/>
      <c r="B24" s="179">
        <v>100</v>
      </c>
      <c r="C24" s="188">
        <v>99.614338427500925</v>
      </c>
      <c r="D24" s="41">
        <v>69.344829937642544</v>
      </c>
      <c r="E24" s="41">
        <v>17.7</v>
      </c>
      <c r="F24" s="41">
        <v>9.4210530303604312</v>
      </c>
      <c r="G24" s="189">
        <v>3.1997029875512379</v>
      </c>
      <c r="H24" s="188">
        <v>3.0307392730771852E-3</v>
      </c>
      <c r="I24" s="41">
        <v>0.38263083322599467</v>
      </c>
      <c r="J24" s="7"/>
      <c r="K24" s="7"/>
      <c r="L24" s="7"/>
    </row>
    <row r="25" spans="1:12" s="3" customFormat="1" ht="16.5" customHeight="1">
      <c r="A25" s="158" t="s">
        <v>96</v>
      </c>
      <c r="B25" s="94">
        <v>18520</v>
      </c>
      <c r="C25" s="81">
        <v>18174</v>
      </c>
      <c r="D25" s="243">
        <v>12172</v>
      </c>
      <c r="E25" s="243">
        <v>2841</v>
      </c>
      <c r="F25" s="243">
        <v>2008</v>
      </c>
      <c r="G25" s="177">
        <v>1153</v>
      </c>
      <c r="H25" s="81">
        <v>0</v>
      </c>
      <c r="I25" s="243">
        <v>346</v>
      </c>
      <c r="J25" s="1"/>
      <c r="K25" s="1"/>
      <c r="L25" s="1"/>
    </row>
    <row r="26" spans="1:12" s="3" customFormat="1" ht="16.5" customHeight="1">
      <c r="A26" s="158"/>
      <c r="B26" s="171">
        <v>100</v>
      </c>
      <c r="C26" s="193">
        <v>98.131749460043196</v>
      </c>
      <c r="D26" s="508">
        <v>65.723542116630668</v>
      </c>
      <c r="E26" s="508">
        <v>15.340172786177106</v>
      </c>
      <c r="F26" s="508">
        <v>10.9</v>
      </c>
      <c r="G26" s="194">
        <v>6.2257019438444923</v>
      </c>
      <c r="H26" s="288" t="s">
        <v>382</v>
      </c>
      <c r="I26" s="384">
        <v>1.8682505399568035</v>
      </c>
      <c r="J26" s="7"/>
      <c r="K26" s="7"/>
      <c r="L26" s="7"/>
    </row>
    <row r="27" spans="1:12" s="3" customFormat="1" ht="16.5" customHeight="1">
      <c r="A27" s="158" t="s">
        <v>97</v>
      </c>
      <c r="B27" s="94">
        <v>113461</v>
      </c>
      <c r="C27" s="81">
        <v>113298</v>
      </c>
      <c r="D27" s="243">
        <v>79350</v>
      </c>
      <c r="E27" s="243">
        <v>20452</v>
      </c>
      <c r="F27" s="243">
        <v>10426</v>
      </c>
      <c r="G27" s="177">
        <v>3070</v>
      </c>
      <c r="H27" s="81">
        <v>4</v>
      </c>
      <c r="I27" s="243">
        <v>159</v>
      </c>
      <c r="J27" s="1"/>
      <c r="K27" s="1"/>
      <c r="L27" s="1"/>
    </row>
    <row r="28" spans="1:12" s="3" customFormat="1" ht="16.5" customHeight="1">
      <c r="A28" s="158"/>
      <c r="B28" s="171">
        <v>100</v>
      </c>
      <c r="C28" s="193">
        <v>99.856338301266518</v>
      </c>
      <c r="D28" s="508">
        <v>70</v>
      </c>
      <c r="E28" s="508">
        <v>18.025577070535252</v>
      </c>
      <c r="F28" s="508">
        <v>9.1890605582534963</v>
      </c>
      <c r="G28" s="508">
        <v>2.7057755528331322</v>
      </c>
      <c r="H28" s="193">
        <v>3.5254404597174359E-3</v>
      </c>
      <c r="I28" s="384">
        <v>0.14013625827376808</v>
      </c>
      <c r="J28" s="299"/>
      <c r="K28" s="7"/>
      <c r="L28" s="7"/>
    </row>
    <row r="29" spans="1:12" s="3" customFormat="1" ht="16.5" customHeight="1">
      <c r="A29" s="159"/>
      <c r="B29" s="186"/>
      <c r="C29" s="190"/>
      <c r="D29" s="185"/>
      <c r="E29" s="185"/>
      <c r="F29" s="185"/>
      <c r="G29" s="191"/>
      <c r="H29" s="190"/>
      <c r="I29" s="185"/>
      <c r="J29" s="57"/>
    </row>
    <row r="30" spans="1:12" s="3" customFormat="1" ht="16.5" customHeight="1">
      <c r="A30" s="159" t="s">
        <v>198</v>
      </c>
      <c r="B30" s="97">
        <v>49313</v>
      </c>
      <c r="C30" s="83">
        <v>49313</v>
      </c>
      <c r="D30" s="244">
        <v>27386</v>
      </c>
      <c r="E30" s="244">
        <v>17320</v>
      </c>
      <c r="F30" s="244">
        <v>4249</v>
      </c>
      <c r="G30" s="192">
        <v>358</v>
      </c>
      <c r="H30" s="83">
        <v>0</v>
      </c>
      <c r="I30" s="244">
        <v>0</v>
      </c>
      <c r="J30" s="17"/>
      <c r="K30" s="1"/>
      <c r="L30" s="1"/>
    </row>
    <row r="31" spans="1:12" s="3" customFormat="1" ht="16.5" customHeight="1">
      <c r="A31" s="159"/>
      <c r="B31" s="179">
        <v>100</v>
      </c>
      <c r="C31" s="188">
        <v>100</v>
      </c>
      <c r="D31" s="41">
        <v>55.6</v>
      </c>
      <c r="E31" s="41">
        <v>35.122584308397379</v>
      </c>
      <c r="F31" s="41">
        <v>8.6163891874353631</v>
      </c>
      <c r="G31" s="189">
        <v>0.72597489505809831</v>
      </c>
      <c r="H31" s="289" t="s">
        <v>382</v>
      </c>
      <c r="I31" s="59" t="s">
        <v>382</v>
      </c>
      <c r="J31" s="61"/>
      <c r="K31" s="7"/>
      <c r="L31" s="7"/>
    </row>
    <row r="32" spans="1:12" s="3" customFormat="1" ht="16.5" customHeight="1">
      <c r="A32" s="158" t="s">
        <v>60</v>
      </c>
      <c r="B32" s="94">
        <v>5821</v>
      </c>
      <c r="C32" s="81">
        <v>5821</v>
      </c>
      <c r="D32" s="243">
        <v>4274</v>
      </c>
      <c r="E32" s="243">
        <v>1228</v>
      </c>
      <c r="F32" s="243">
        <v>213</v>
      </c>
      <c r="G32" s="177">
        <v>106</v>
      </c>
      <c r="H32" s="81">
        <v>0</v>
      </c>
      <c r="I32" s="243">
        <v>0</v>
      </c>
      <c r="J32" s="17"/>
      <c r="K32" s="1"/>
      <c r="L32" s="1"/>
    </row>
    <row r="33" spans="1:12" s="3" customFormat="1" ht="16.5" customHeight="1">
      <c r="A33" s="158"/>
      <c r="B33" s="171">
        <v>100</v>
      </c>
      <c r="C33" s="193">
        <v>100</v>
      </c>
      <c r="D33" s="384">
        <v>73.423810341865661</v>
      </c>
      <c r="E33" s="384">
        <v>21.096031609689057</v>
      </c>
      <c r="F33" s="452">
        <v>3.6591650919086067</v>
      </c>
      <c r="G33" s="411">
        <v>1.8209929565366774</v>
      </c>
      <c r="H33" s="288" t="s">
        <v>382</v>
      </c>
      <c r="I33" s="60" t="s">
        <v>382</v>
      </c>
      <c r="J33" s="61"/>
      <c r="K33" s="7"/>
      <c r="L33" s="7"/>
    </row>
    <row r="34" spans="1:12" s="3" customFormat="1" ht="16.5" customHeight="1">
      <c r="A34" s="158" t="s">
        <v>7</v>
      </c>
      <c r="B34" s="94">
        <v>43492</v>
      </c>
      <c r="C34" s="81">
        <v>43492</v>
      </c>
      <c r="D34" s="243">
        <v>23112</v>
      </c>
      <c r="E34" s="243">
        <v>16092</v>
      </c>
      <c r="F34" s="243">
        <v>4036</v>
      </c>
      <c r="G34" s="177">
        <v>252</v>
      </c>
      <c r="H34" s="81">
        <v>0</v>
      </c>
      <c r="I34" s="243">
        <v>0</v>
      </c>
      <c r="J34" s="17"/>
      <c r="K34" s="1"/>
      <c r="L34" s="1"/>
    </row>
    <row r="35" spans="1:12" s="3" customFormat="1" ht="16.5" customHeight="1">
      <c r="A35" s="158"/>
      <c r="B35" s="171">
        <v>100</v>
      </c>
      <c r="C35" s="193">
        <v>100</v>
      </c>
      <c r="D35" s="384">
        <v>53.140807504828466</v>
      </c>
      <c r="E35" s="411">
        <v>36.999908029062816</v>
      </c>
      <c r="F35" s="384">
        <v>9.2798675618504554</v>
      </c>
      <c r="G35" s="194">
        <v>0.57941690425825443</v>
      </c>
      <c r="H35" s="288" t="s">
        <v>382</v>
      </c>
      <c r="I35" s="60" t="s">
        <v>382</v>
      </c>
      <c r="J35" s="61"/>
      <c r="K35" s="7"/>
      <c r="L35" s="7"/>
    </row>
    <row r="36" spans="1:12" s="3" customFormat="1" ht="16.5" customHeight="1">
      <c r="A36" s="159"/>
      <c r="B36" s="186"/>
      <c r="C36" s="190"/>
      <c r="D36" s="185"/>
      <c r="E36" s="185"/>
      <c r="F36" s="185"/>
      <c r="G36" s="191"/>
      <c r="H36" s="190"/>
      <c r="I36" s="185"/>
      <c r="J36" s="57"/>
    </row>
    <row r="37" spans="1:12" s="3" customFormat="1" ht="16.5" customHeight="1">
      <c r="A37" s="159" t="s">
        <v>199</v>
      </c>
      <c r="B37" s="97">
        <v>5512</v>
      </c>
      <c r="C37" s="83">
        <v>5512</v>
      </c>
      <c r="D37" s="244">
        <v>4782</v>
      </c>
      <c r="E37" s="244">
        <v>440</v>
      </c>
      <c r="F37" s="244">
        <v>141</v>
      </c>
      <c r="G37" s="244">
        <v>149</v>
      </c>
      <c r="H37" s="83">
        <v>0</v>
      </c>
      <c r="I37" s="244">
        <v>0</v>
      </c>
      <c r="J37" s="17"/>
      <c r="K37" s="1"/>
      <c r="L37" s="1"/>
    </row>
    <row r="38" spans="1:12" s="3" customFormat="1" ht="16.5" customHeight="1">
      <c r="A38" s="159"/>
      <c r="B38" s="179">
        <v>100</v>
      </c>
      <c r="C38" s="188">
        <v>100</v>
      </c>
      <c r="D38" s="41">
        <v>86.7</v>
      </c>
      <c r="E38" s="41">
        <v>7.9825834542815679</v>
      </c>
      <c r="F38" s="41">
        <v>2.558055152394775</v>
      </c>
      <c r="G38" s="189">
        <v>2.7031930333817127</v>
      </c>
      <c r="H38" s="289" t="s">
        <v>382</v>
      </c>
      <c r="I38" s="59" t="s">
        <v>382</v>
      </c>
      <c r="J38" s="61"/>
      <c r="K38" s="7"/>
      <c r="L38" s="7"/>
    </row>
    <row r="39" spans="1:12" s="3" customFormat="1" ht="16.5" customHeight="1">
      <c r="A39" s="158" t="s">
        <v>200</v>
      </c>
      <c r="B39" s="94">
        <v>1827</v>
      </c>
      <c r="C39" s="81">
        <v>1827</v>
      </c>
      <c r="D39" s="243">
        <v>1556</v>
      </c>
      <c r="E39" s="243">
        <v>210</v>
      </c>
      <c r="F39" s="243">
        <v>33</v>
      </c>
      <c r="G39" s="177">
        <v>28</v>
      </c>
      <c r="H39" s="81">
        <v>0</v>
      </c>
      <c r="I39" s="243">
        <v>0</v>
      </c>
      <c r="J39" s="17"/>
      <c r="K39" s="1"/>
      <c r="L39" s="1"/>
    </row>
    <row r="40" spans="1:12" s="3" customFormat="1" ht="16.5" customHeight="1">
      <c r="A40" s="158"/>
      <c r="B40" s="171">
        <v>100</v>
      </c>
      <c r="C40" s="193">
        <v>100</v>
      </c>
      <c r="D40" s="497">
        <v>85.166940339354142</v>
      </c>
      <c r="E40" s="477">
        <v>11.494252873563218</v>
      </c>
      <c r="F40" s="477">
        <v>1.8062397372742198</v>
      </c>
      <c r="G40" s="477">
        <v>1.5325670498084289</v>
      </c>
      <c r="H40" s="288" t="s">
        <v>382</v>
      </c>
      <c r="I40" s="60" t="s">
        <v>382</v>
      </c>
      <c r="J40" s="61"/>
      <c r="K40" s="7"/>
      <c r="L40" s="7"/>
    </row>
    <row r="41" spans="1:12" s="3" customFormat="1" ht="16.5" customHeight="1">
      <c r="A41" s="158" t="s">
        <v>201</v>
      </c>
      <c r="B41" s="94">
        <v>3633</v>
      </c>
      <c r="C41" s="81">
        <v>3633</v>
      </c>
      <c r="D41" s="243">
        <v>3193</v>
      </c>
      <c r="E41" s="243">
        <v>224</v>
      </c>
      <c r="F41" s="243">
        <v>98</v>
      </c>
      <c r="G41" s="177">
        <v>118</v>
      </c>
      <c r="H41" s="81">
        <v>0</v>
      </c>
      <c r="I41" s="243">
        <v>0</v>
      </c>
      <c r="J41" s="17"/>
      <c r="K41" s="1"/>
      <c r="L41" s="1"/>
    </row>
    <row r="42" spans="1:12" s="3" customFormat="1" ht="16.5" customHeight="1">
      <c r="A42" s="158"/>
      <c r="B42" s="171">
        <v>100</v>
      </c>
      <c r="C42" s="193">
        <v>100</v>
      </c>
      <c r="D42" s="384">
        <v>87.888797137352043</v>
      </c>
      <c r="E42" s="384">
        <v>6.1657032755298653</v>
      </c>
      <c r="F42" s="384">
        <v>2.6974951830443161</v>
      </c>
      <c r="G42" s="497">
        <v>3.2480044040737686</v>
      </c>
      <c r="H42" s="288" t="s">
        <v>382</v>
      </c>
      <c r="I42" s="60" t="s">
        <v>382</v>
      </c>
      <c r="J42" s="7"/>
      <c r="K42" s="7"/>
      <c r="L42" s="7"/>
    </row>
    <row r="43" spans="1:12" s="3" customFormat="1" ht="16.5" customHeight="1">
      <c r="A43" s="158" t="s">
        <v>176</v>
      </c>
      <c r="B43" s="94">
        <v>52</v>
      </c>
      <c r="C43" s="81">
        <v>52</v>
      </c>
      <c r="D43" s="243">
        <v>33</v>
      </c>
      <c r="E43" s="243">
        <v>6</v>
      </c>
      <c r="F43" s="243">
        <v>10</v>
      </c>
      <c r="G43" s="177">
        <v>3</v>
      </c>
      <c r="H43" s="81">
        <v>0</v>
      </c>
      <c r="I43" s="243">
        <v>0</v>
      </c>
      <c r="J43" s="1"/>
      <c r="K43" s="1"/>
      <c r="L43" s="1"/>
    </row>
    <row r="44" spans="1:12" s="3" customFormat="1" ht="16.5" customHeight="1">
      <c r="A44" s="180"/>
      <c r="B44" s="187">
        <v>100</v>
      </c>
      <c r="C44" s="195">
        <v>100</v>
      </c>
      <c r="D44" s="451">
        <v>63.46153846153846</v>
      </c>
      <c r="E44" s="474">
        <v>11.538461538461538</v>
      </c>
      <c r="F44" s="474">
        <v>19.230769230769234</v>
      </c>
      <c r="G44" s="451">
        <v>5.7692307692307692</v>
      </c>
      <c r="H44" s="290" t="s">
        <v>382</v>
      </c>
      <c r="I44" s="291" t="s">
        <v>382</v>
      </c>
      <c r="J44" s="7"/>
      <c r="K44" s="7"/>
      <c r="L44" s="7"/>
    </row>
    <row r="45" spans="1:12" s="3" customFormat="1" ht="16.5" customHeight="1">
      <c r="A45" s="3" t="s">
        <v>260</v>
      </c>
      <c r="C45" s="128"/>
      <c r="D45" s="128"/>
      <c r="E45" s="128"/>
      <c r="F45" s="128"/>
      <c r="G45" s="128"/>
    </row>
    <row r="46" spans="1:12" s="3" customFormat="1" ht="16.5" customHeight="1">
      <c r="A46" s="3" t="s">
        <v>586</v>
      </c>
    </row>
    <row r="47" spans="1:12" s="3" customFormat="1" ht="16.5" customHeight="1">
      <c r="A47" s="3" t="s">
        <v>103</v>
      </c>
    </row>
  </sheetData>
  <sheetProtection algorithmName="SHA-512" hashValue="iVRQNVgEA2F4NOZK/UZtJzbKy1nFELyBtmFP9lYQDHksNYQ0ZSnBXx7i6J64kNxYnJYGsocXLWQnoHNtUk85pw==" saltValue="xmEIcEhUUIQYNJU8hNTejw==" spinCount="100000" sheet="1" objects="1" scenarios="1"/>
  <customSheetViews>
    <customSheetView guid="{4810CB4C-E276-4485-93D3-F920B09A4189}" showPageBreaks="1" showGridLines="0" fitToPage="1" printArea="1" view="pageBreakPreview">
      <pageMargins left="0.39370078740157483" right="0" top="0.59055118110236227" bottom="0.15748031496062992" header="0.51181102362204722" footer="3.937007874015748E-2"/>
      <pageSetup paperSize="9" scale="82" orientation="portrait" r:id="rId1"/>
      <headerFooter alignWithMargins="0"/>
    </customSheetView>
  </customSheetViews>
  <mergeCells count="16">
    <mergeCell ref="J4:J5"/>
    <mergeCell ref="K4:K5"/>
    <mergeCell ref="L4:L5"/>
    <mergeCell ref="B18:B19"/>
    <mergeCell ref="C18:G18"/>
    <mergeCell ref="H18:H19"/>
    <mergeCell ref="B4:B5"/>
    <mergeCell ref="C4:C5"/>
    <mergeCell ref="F4:F5"/>
    <mergeCell ref="G4:G5"/>
    <mergeCell ref="I18:I19"/>
    <mergeCell ref="H4:H5"/>
    <mergeCell ref="I4:I5"/>
    <mergeCell ref="D4:D5"/>
    <mergeCell ref="E4:E5"/>
    <mergeCell ref="A15:L15"/>
  </mergeCells>
  <phoneticPr fontId="6" type="noConversion"/>
  <pageMargins left="0.39370078740157483" right="0" top="0.59055118110236227" bottom="0.15748031496062992" header="0.51181102362204722" footer="3.937007874015748E-2"/>
  <pageSetup paperSize="9" scale="83" orientation="portrait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J71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6" customWidth="1"/>
    <col min="2" max="10" width="8" style="76" customWidth="1"/>
    <col min="11" max="16384" width="8" style="76"/>
  </cols>
  <sheetData>
    <row r="1" spans="1:10" s="3" customFormat="1" ht="16.5" customHeight="1">
      <c r="A1" s="72" t="s">
        <v>643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s="3" customFormat="1" ht="16.5" customHeight="1">
      <c r="A2" s="56"/>
      <c r="B2" s="56"/>
      <c r="C2" s="56"/>
      <c r="D2" s="56"/>
      <c r="E2" s="56"/>
      <c r="F2" s="56"/>
      <c r="G2" s="56"/>
      <c r="H2" s="56"/>
      <c r="I2" s="56"/>
      <c r="J2" s="56"/>
    </row>
    <row r="3" spans="1:10" s="3" customFormat="1" ht="16.5" customHeight="1">
      <c r="A3" s="72" t="s">
        <v>23</v>
      </c>
      <c r="B3" s="56"/>
      <c r="C3" s="56"/>
      <c r="D3" s="56"/>
      <c r="E3" s="56"/>
      <c r="F3" s="56"/>
      <c r="G3" s="56"/>
      <c r="H3" s="56"/>
      <c r="I3" s="56"/>
      <c r="J3" s="56"/>
    </row>
    <row r="4" spans="1:10" s="3" customFormat="1" ht="33" customHeight="1">
      <c r="A4" s="538" t="s">
        <v>815</v>
      </c>
      <c r="B4" s="538"/>
      <c r="C4" s="538"/>
      <c r="D4" s="538"/>
      <c r="E4" s="538"/>
      <c r="F4" s="538"/>
      <c r="G4" s="538"/>
      <c r="H4" s="538"/>
      <c r="I4" s="538"/>
      <c r="J4" s="538"/>
    </row>
    <row r="5" spans="1:10" s="3" customFormat="1" ht="16.5" customHeight="1">
      <c r="A5" s="54"/>
      <c r="B5" s="54"/>
      <c r="C5" s="54"/>
      <c r="D5" s="54"/>
      <c r="E5" s="54"/>
      <c r="F5" s="54"/>
      <c r="G5" s="54"/>
      <c r="I5" s="54"/>
    </row>
    <row r="6" spans="1:10" s="3" customFormat="1" ht="16.5" customHeight="1">
      <c r="A6" s="72" t="s">
        <v>53</v>
      </c>
      <c r="B6" s="54"/>
      <c r="C6" s="54"/>
      <c r="D6" s="54"/>
      <c r="E6" s="54"/>
      <c r="F6" s="54"/>
      <c r="G6" s="54"/>
      <c r="I6" s="54"/>
    </row>
    <row r="7" spans="1:10" s="3" customFormat="1" ht="16.5" customHeight="1">
      <c r="A7" s="54" t="s">
        <v>644</v>
      </c>
      <c r="B7" s="54"/>
      <c r="C7" s="54"/>
      <c r="D7" s="54"/>
      <c r="E7" s="54"/>
      <c r="F7" s="54"/>
      <c r="G7" s="54"/>
      <c r="I7" s="54"/>
    </row>
    <row r="8" spans="1:10" s="3" customFormat="1" ht="16.5" customHeight="1">
      <c r="A8" s="54"/>
      <c r="B8" s="54"/>
      <c r="C8" s="54"/>
      <c r="D8" s="54"/>
      <c r="E8" s="54"/>
      <c r="F8" s="54"/>
      <c r="G8" s="54"/>
      <c r="I8" s="54"/>
    </row>
    <row r="9" spans="1:10" s="3" customFormat="1" ht="16.5" customHeight="1">
      <c r="A9" s="72" t="s">
        <v>766</v>
      </c>
    </row>
    <row r="10" spans="1:10" s="3" customFormat="1" ht="16.5" customHeight="1">
      <c r="J10" s="405" t="s">
        <v>808</v>
      </c>
    </row>
    <row r="11" spans="1:10" s="3" customFormat="1" ht="16.5" customHeight="1">
      <c r="A11" s="404" t="s">
        <v>164</v>
      </c>
      <c r="B11" s="652" t="s">
        <v>698</v>
      </c>
      <c r="C11" s="654" t="s">
        <v>700</v>
      </c>
      <c r="D11" s="655"/>
      <c r="E11" s="655"/>
      <c r="F11" s="655"/>
      <c r="G11" s="655"/>
      <c r="H11" s="655"/>
      <c r="I11" s="656"/>
      <c r="J11" s="652" t="s">
        <v>699</v>
      </c>
    </row>
    <row r="12" spans="1:10" s="3" customFormat="1" ht="16.5" customHeight="1">
      <c r="A12" s="398"/>
      <c r="B12" s="554"/>
      <c r="C12" s="634" t="s">
        <v>694</v>
      </c>
      <c r="D12" s="632"/>
      <c r="E12" s="634" t="s">
        <v>695</v>
      </c>
      <c r="F12" s="632"/>
      <c r="G12" s="634" t="s">
        <v>696</v>
      </c>
      <c r="H12" s="632"/>
      <c r="I12" s="399" t="s">
        <v>697</v>
      </c>
      <c r="J12" s="554"/>
    </row>
    <row r="13" spans="1:10" s="3" customFormat="1" ht="16.5" customHeight="1">
      <c r="A13" s="406" t="s">
        <v>36</v>
      </c>
      <c r="B13" s="653"/>
      <c r="C13" s="407" t="s">
        <v>692</v>
      </c>
      <c r="D13" s="407" t="s">
        <v>693</v>
      </c>
      <c r="E13" s="407" t="s">
        <v>692</v>
      </c>
      <c r="F13" s="407" t="s">
        <v>693</v>
      </c>
      <c r="G13" s="407" t="s">
        <v>692</v>
      </c>
      <c r="H13" s="407" t="s">
        <v>693</v>
      </c>
      <c r="I13" s="407" t="s">
        <v>692</v>
      </c>
      <c r="J13" s="653"/>
    </row>
    <row r="14" spans="1:10" s="3" customFormat="1" ht="16.5" customHeight="1">
      <c r="A14" s="397" t="s">
        <v>757</v>
      </c>
      <c r="B14" s="94">
        <v>233</v>
      </c>
      <c r="C14" s="81">
        <v>64</v>
      </c>
      <c r="D14" s="403">
        <v>0.29799999999999999</v>
      </c>
      <c r="E14" s="243">
        <v>61</v>
      </c>
      <c r="F14" s="403">
        <v>0.28399999999999997</v>
      </c>
      <c r="G14" s="243">
        <v>90</v>
      </c>
      <c r="H14" s="403">
        <v>0.41899999999999998</v>
      </c>
      <c r="I14" s="260">
        <v>215</v>
      </c>
      <c r="J14" s="243">
        <v>18</v>
      </c>
    </row>
    <row r="15" spans="1:10" s="3" customFormat="1" ht="16.5" customHeight="1">
      <c r="A15" s="397" t="s">
        <v>758</v>
      </c>
      <c r="B15" s="94">
        <v>336</v>
      </c>
      <c r="C15" s="81">
        <v>95</v>
      </c>
      <c r="D15" s="403">
        <v>0.308</v>
      </c>
      <c r="E15" s="243">
        <v>75</v>
      </c>
      <c r="F15" s="403">
        <v>0.24399999999999999</v>
      </c>
      <c r="G15" s="243">
        <v>138</v>
      </c>
      <c r="H15" s="403">
        <v>0.44800000000000001</v>
      </c>
      <c r="I15" s="260">
        <v>308</v>
      </c>
      <c r="J15" s="243">
        <v>46</v>
      </c>
    </row>
    <row r="16" spans="1:10" s="3" customFormat="1" ht="16.5" customHeight="1">
      <c r="A16" s="397" t="s">
        <v>759</v>
      </c>
      <c r="B16" s="94">
        <v>438</v>
      </c>
      <c r="C16" s="81">
        <v>162</v>
      </c>
      <c r="D16" s="403">
        <v>0.39100000000000001</v>
      </c>
      <c r="E16" s="243">
        <v>75</v>
      </c>
      <c r="F16" s="403">
        <v>0.18099999999999999</v>
      </c>
      <c r="G16" s="243">
        <v>177</v>
      </c>
      <c r="H16" s="403">
        <v>0.42799999999999999</v>
      </c>
      <c r="I16" s="260">
        <v>414</v>
      </c>
      <c r="J16" s="243">
        <v>70</v>
      </c>
    </row>
    <row r="17" spans="1:10" s="3" customFormat="1" ht="16.5" customHeight="1">
      <c r="A17" s="397" t="s">
        <v>760</v>
      </c>
      <c r="B17" s="94">
        <v>489</v>
      </c>
      <c r="C17" s="81">
        <v>253</v>
      </c>
      <c r="D17" s="403">
        <v>0.51200000000000001</v>
      </c>
      <c r="E17" s="243">
        <v>63</v>
      </c>
      <c r="F17" s="403">
        <v>0.128</v>
      </c>
      <c r="G17" s="243">
        <v>178</v>
      </c>
      <c r="H17" s="403">
        <v>0.36</v>
      </c>
      <c r="I17" s="260">
        <v>494</v>
      </c>
      <c r="J17" s="243">
        <v>65</v>
      </c>
    </row>
    <row r="18" spans="1:10" s="3" customFormat="1" ht="16.5" customHeight="1">
      <c r="A18" s="397" t="s">
        <v>761</v>
      </c>
      <c r="B18" s="94">
        <v>756</v>
      </c>
      <c r="C18" s="81">
        <v>274</v>
      </c>
      <c r="D18" s="403">
        <v>0.40500000000000003</v>
      </c>
      <c r="E18" s="243">
        <v>124</v>
      </c>
      <c r="F18" s="403">
        <v>0.183</v>
      </c>
      <c r="G18" s="243">
        <v>278</v>
      </c>
      <c r="H18" s="403">
        <v>0.41099999999999998</v>
      </c>
      <c r="I18" s="260">
        <v>676</v>
      </c>
      <c r="J18" s="243">
        <v>145</v>
      </c>
    </row>
    <row r="19" spans="1:10" s="3" customFormat="1" ht="16.5" customHeight="1">
      <c r="A19" s="397" t="s">
        <v>762</v>
      </c>
      <c r="B19" s="94">
        <v>764</v>
      </c>
      <c r="C19" s="81">
        <v>345</v>
      </c>
      <c r="D19" s="403">
        <v>0.433</v>
      </c>
      <c r="E19" s="243">
        <v>118</v>
      </c>
      <c r="F19" s="403">
        <v>0.14799999999999999</v>
      </c>
      <c r="G19" s="243">
        <v>334</v>
      </c>
      <c r="H19" s="403">
        <v>0.41899999999999998</v>
      </c>
      <c r="I19" s="260">
        <v>797</v>
      </c>
      <c r="J19" s="243">
        <v>112</v>
      </c>
    </row>
    <row r="20" spans="1:10" s="3" customFormat="1" ht="16.5" customHeight="1">
      <c r="A20" s="397" t="s">
        <v>747</v>
      </c>
      <c r="B20" s="94">
        <v>608</v>
      </c>
      <c r="C20" s="81">
        <v>271</v>
      </c>
      <c r="D20" s="403">
        <v>0.44400000000000001</v>
      </c>
      <c r="E20" s="243">
        <v>107</v>
      </c>
      <c r="F20" s="403">
        <v>0.17499999999999999</v>
      </c>
      <c r="G20" s="243">
        <v>233</v>
      </c>
      <c r="H20" s="403">
        <v>0.38100000000000001</v>
      </c>
      <c r="I20" s="260">
        <v>611</v>
      </c>
      <c r="J20" s="243">
        <v>109</v>
      </c>
    </row>
    <row r="21" spans="1:10" s="3" customFormat="1" ht="16.5" customHeight="1">
      <c r="A21" s="397" t="s">
        <v>748</v>
      </c>
      <c r="B21" s="94">
        <v>505</v>
      </c>
      <c r="C21" s="81">
        <v>203</v>
      </c>
      <c r="D21" s="403">
        <v>0.38600000000000001</v>
      </c>
      <c r="E21" s="243">
        <v>106</v>
      </c>
      <c r="F21" s="403">
        <v>0.20200000000000001</v>
      </c>
      <c r="G21" s="243">
        <v>217</v>
      </c>
      <c r="H21" s="403">
        <v>0.41299999999999998</v>
      </c>
      <c r="I21" s="260">
        <v>526</v>
      </c>
      <c r="J21" s="243">
        <v>88</v>
      </c>
    </row>
    <row r="22" spans="1:10" s="3" customFormat="1" ht="16.5" customHeight="1">
      <c r="A22" s="397" t="s">
        <v>749</v>
      </c>
      <c r="B22" s="94">
        <v>860</v>
      </c>
      <c r="C22" s="81">
        <v>305</v>
      </c>
      <c r="D22" s="403">
        <v>0.38900000000000001</v>
      </c>
      <c r="E22" s="243">
        <v>151</v>
      </c>
      <c r="F22" s="403">
        <v>0.193</v>
      </c>
      <c r="G22" s="243">
        <v>328</v>
      </c>
      <c r="H22" s="403">
        <v>0.41799999999999998</v>
      </c>
      <c r="I22" s="260">
        <v>784</v>
      </c>
      <c r="J22" s="243">
        <v>164</v>
      </c>
    </row>
    <row r="23" spans="1:10" s="3" customFormat="1" ht="16.5" customHeight="1">
      <c r="A23" s="397" t="s">
        <v>79</v>
      </c>
      <c r="B23" s="94">
        <v>712</v>
      </c>
      <c r="C23" s="81">
        <v>295</v>
      </c>
      <c r="D23" s="403">
        <v>0.372</v>
      </c>
      <c r="E23" s="243">
        <v>195</v>
      </c>
      <c r="F23" s="403">
        <v>0.246</v>
      </c>
      <c r="G23" s="243">
        <v>304</v>
      </c>
      <c r="H23" s="403">
        <v>0.38300000000000001</v>
      </c>
      <c r="I23" s="260">
        <v>794</v>
      </c>
      <c r="J23" s="243">
        <v>82</v>
      </c>
    </row>
    <row r="24" spans="1:10" s="3" customFormat="1" ht="16.5" customHeight="1">
      <c r="A24" s="397" t="s">
        <v>432</v>
      </c>
      <c r="B24" s="94">
        <v>665</v>
      </c>
      <c r="C24" s="81">
        <v>180</v>
      </c>
      <c r="D24" s="403">
        <v>0.28799999999999998</v>
      </c>
      <c r="E24" s="243">
        <v>183</v>
      </c>
      <c r="F24" s="403">
        <v>0.29299999999999998</v>
      </c>
      <c r="G24" s="243">
        <v>261</v>
      </c>
      <c r="H24" s="403">
        <v>0.41799999999999998</v>
      </c>
      <c r="I24" s="260">
        <v>624</v>
      </c>
      <c r="J24" s="243">
        <v>123</v>
      </c>
    </row>
    <row r="25" spans="1:10" s="3" customFormat="1" ht="16.5" customHeight="1">
      <c r="A25" s="397" t="s">
        <v>433</v>
      </c>
      <c r="B25" s="94">
        <v>630</v>
      </c>
      <c r="C25" s="81">
        <v>175</v>
      </c>
      <c r="D25" s="403">
        <v>0.28000000000000003</v>
      </c>
      <c r="E25" s="243">
        <v>187</v>
      </c>
      <c r="F25" s="403">
        <v>0.29899999999999999</v>
      </c>
      <c r="G25" s="243">
        <v>263</v>
      </c>
      <c r="H25" s="403">
        <v>0.42099999999999999</v>
      </c>
      <c r="I25" s="260">
        <v>625</v>
      </c>
      <c r="J25" s="243">
        <v>128</v>
      </c>
    </row>
    <row r="26" spans="1:10" s="3" customFormat="1" ht="16.5" customHeight="1">
      <c r="A26" s="397" t="s">
        <v>579</v>
      </c>
      <c r="B26" s="94">
        <v>865</v>
      </c>
      <c r="C26" s="81">
        <v>96</v>
      </c>
      <c r="D26" s="403">
        <v>0.124</v>
      </c>
      <c r="E26" s="243">
        <v>293</v>
      </c>
      <c r="F26" s="403">
        <v>0.378</v>
      </c>
      <c r="G26" s="243">
        <v>387</v>
      </c>
      <c r="H26" s="403">
        <v>0.499</v>
      </c>
      <c r="I26" s="260">
        <v>776</v>
      </c>
      <c r="J26" s="243">
        <v>217</v>
      </c>
    </row>
    <row r="27" spans="1:10" s="3" customFormat="1" ht="16.5" customHeight="1">
      <c r="A27" s="397" t="s">
        <v>742</v>
      </c>
      <c r="B27" s="94">
        <v>767</v>
      </c>
      <c r="C27" s="81">
        <v>84</v>
      </c>
      <c r="D27" s="403">
        <v>0.107</v>
      </c>
      <c r="E27" s="243">
        <v>306</v>
      </c>
      <c r="F27" s="403">
        <v>0.39100000000000001</v>
      </c>
      <c r="G27" s="243">
        <v>393</v>
      </c>
      <c r="H27" s="403">
        <v>0.502</v>
      </c>
      <c r="I27" s="260">
        <v>783</v>
      </c>
      <c r="J27" s="243">
        <v>201</v>
      </c>
    </row>
    <row r="28" spans="1:10" s="3" customFormat="1" ht="16.5" customHeight="1">
      <c r="A28" s="421" t="s">
        <v>743</v>
      </c>
      <c r="B28" s="94">
        <v>811</v>
      </c>
      <c r="C28" s="81">
        <v>92</v>
      </c>
      <c r="D28" s="403">
        <v>0.113</v>
      </c>
      <c r="E28" s="243">
        <v>241</v>
      </c>
      <c r="F28" s="403">
        <v>0.29599999999999999</v>
      </c>
      <c r="G28" s="243">
        <v>480</v>
      </c>
      <c r="H28" s="403">
        <v>0.59</v>
      </c>
      <c r="I28" s="260">
        <v>813</v>
      </c>
      <c r="J28" s="243">
        <v>199</v>
      </c>
    </row>
    <row r="29" spans="1:10" s="3" customFormat="1" ht="16.5" customHeight="1">
      <c r="A29" s="455" t="s">
        <v>755</v>
      </c>
      <c r="B29" s="94">
        <v>674</v>
      </c>
      <c r="C29" s="81">
        <v>95</v>
      </c>
      <c r="D29" s="403">
        <v>0.13</v>
      </c>
      <c r="E29" s="243">
        <v>226</v>
      </c>
      <c r="F29" s="403">
        <v>0.31</v>
      </c>
      <c r="G29" s="243">
        <v>407</v>
      </c>
      <c r="H29" s="403">
        <v>0.55900000000000005</v>
      </c>
      <c r="I29" s="260">
        <v>728</v>
      </c>
      <c r="J29" s="243">
        <v>145</v>
      </c>
    </row>
    <row r="30" spans="1:10" s="3" customFormat="1" ht="16.5" customHeight="1">
      <c r="A30" s="519" t="s">
        <v>809</v>
      </c>
      <c r="B30" s="94">
        <v>719</v>
      </c>
      <c r="C30" s="81">
        <v>91</v>
      </c>
      <c r="D30" s="403">
        <v>0.13600000000000001</v>
      </c>
      <c r="E30" s="243">
        <v>212</v>
      </c>
      <c r="F30" s="403">
        <v>0.318</v>
      </c>
      <c r="G30" s="243">
        <v>364</v>
      </c>
      <c r="H30" s="403">
        <v>0.54600000000000004</v>
      </c>
      <c r="I30" s="260">
        <v>667</v>
      </c>
      <c r="J30" s="243">
        <v>197</v>
      </c>
    </row>
    <row r="31" spans="1:10" s="3" customFormat="1" ht="16.5" customHeight="1">
      <c r="A31" s="422" t="s">
        <v>86</v>
      </c>
      <c r="B31" s="226">
        <v>10832</v>
      </c>
      <c r="C31" s="286">
        <v>3080</v>
      </c>
      <c r="D31" s="523">
        <v>0.28999999999999998</v>
      </c>
      <c r="E31" s="517">
        <v>2723</v>
      </c>
      <c r="F31" s="523">
        <v>0.25600000000000001</v>
      </c>
      <c r="G31" s="517">
        <v>4832</v>
      </c>
      <c r="H31" s="523">
        <v>0.45400000000000001</v>
      </c>
      <c r="I31" s="521">
        <v>10635</v>
      </c>
      <c r="J31" s="517">
        <v>197</v>
      </c>
    </row>
    <row r="32" spans="1:10" s="3" customFormat="1" ht="16.5" customHeight="1">
      <c r="A32" s="3" t="s">
        <v>701</v>
      </c>
    </row>
    <row r="33" spans="1:10" s="3" customFormat="1" ht="16.5" customHeight="1">
      <c r="A33" s="72"/>
    </row>
    <row r="34" spans="1:10" s="3" customFormat="1" ht="16.5" customHeight="1">
      <c r="A34" s="72" t="s">
        <v>765</v>
      </c>
    </row>
    <row r="35" spans="1:10" s="3" customFormat="1" ht="16.5" customHeight="1">
      <c r="A35" s="72"/>
      <c r="J35" s="405" t="s">
        <v>810</v>
      </c>
    </row>
    <row r="36" spans="1:10" s="3" customFormat="1" ht="16.5" customHeight="1">
      <c r="A36" s="404" t="s">
        <v>164</v>
      </c>
      <c r="B36" s="652" t="s">
        <v>698</v>
      </c>
      <c r="C36" s="654" t="s">
        <v>700</v>
      </c>
      <c r="D36" s="655"/>
      <c r="E36" s="655"/>
      <c r="F36" s="655"/>
      <c r="G36" s="655"/>
      <c r="H36" s="655"/>
      <c r="I36" s="656"/>
      <c r="J36" s="652" t="s">
        <v>699</v>
      </c>
    </row>
    <row r="37" spans="1:10" s="3" customFormat="1" ht="16.5" customHeight="1">
      <c r="A37" s="398"/>
      <c r="B37" s="554"/>
      <c r="C37" s="634" t="s">
        <v>694</v>
      </c>
      <c r="D37" s="632"/>
      <c r="E37" s="634" t="s">
        <v>695</v>
      </c>
      <c r="F37" s="632"/>
      <c r="G37" s="634" t="s">
        <v>696</v>
      </c>
      <c r="H37" s="632"/>
      <c r="I37" s="399" t="s">
        <v>697</v>
      </c>
      <c r="J37" s="554"/>
    </row>
    <row r="38" spans="1:10" s="3" customFormat="1" ht="16.5" customHeight="1">
      <c r="A38" s="406" t="s">
        <v>313</v>
      </c>
      <c r="B38" s="653"/>
      <c r="C38" s="407" t="s">
        <v>692</v>
      </c>
      <c r="D38" s="407" t="s">
        <v>693</v>
      </c>
      <c r="E38" s="407" t="s">
        <v>692</v>
      </c>
      <c r="F38" s="407" t="s">
        <v>693</v>
      </c>
      <c r="G38" s="407" t="s">
        <v>692</v>
      </c>
      <c r="H38" s="407" t="s">
        <v>693</v>
      </c>
      <c r="I38" s="407" t="s">
        <v>692</v>
      </c>
      <c r="J38" s="653"/>
    </row>
    <row r="39" spans="1:10" s="3" customFormat="1" ht="16.5" customHeight="1">
      <c r="A39" s="397" t="s">
        <v>702</v>
      </c>
      <c r="B39" s="94">
        <v>920</v>
      </c>
      <c r="C39" s="81">
        <v>258</v>
      </c>
      <c r="D39" s="403">
        <v>0.28199999999999997</v>
      </c>
      <c r="E39" s="243">
        <v>164</v>
      </c>
      <c r="F39" s="403">
        <v>0.17899999999999999</v>
      </c>
      <c r="G39" s="243">
        <v>494</v>
      </c>
      <c r="H39" s="403">
        <v>0.53900000000000003</v>
      </c>
      <c r="I39" s="260">
        <v>916</v>
      </c>
      <c r="J39" s="243">
        <v>4</v>
      </c>
    </row>
    <row r="40" spans="1:10" s="3" customFormat="1" ht="16.5" customHeight="1">
      <c r="A40" s="397" t="s">
        <v>703</v>
      </c>
      <c r="B40" s="94">
        <v>420</v>
      </c>
      <c r="C40" s="81">
        <v>187</v>
      </c>
      <c r="D40" s="403">
        <v>0.45500000000000002</v>
      </c>
      <c r="E40" s="243">
        <v>84</v>
      </c>
      <c r="F40" s="403">
        <v>0.20399999999999999</v>
      </c>
      <c r="G40" s="243">
        <v>140</v>
      </c>
      <c r="H40" s="403">
        <v>0.34100000000000003</v>
      </c>
      <c r="I40" s="260">
        <v>411</v>
      </c>
      <c r="J40" s="243">
        <v>9</v>
      </c>
    </row>
    <row r="41" spans="1:10" s="3" customFormat="1" ht="16.5" customHeight="1">
      <c r="A41" s="397" t="s">
        <v>704</v>
      </c>
      <c r="B41" s="94">
        <v>570</v>
      </c>
      <c r="C41" s="81">
        <v>164</v>
      </c>
      <c r="D41" s="403">
        <v>0.28999999999999998</v>
      </c>
      <c r="E41" s="243">
        <v>88</v>
      </c>
      <c r="F41" s="403">
        <v>0.156</v>
      </c>
      <c r="G41" s="243">
        <v>313</v>
      </c>
      <c r="H41" s="403">
        <v>0.55400000000000005</v>
      </c>
      <c r="I41" s="260">
        <v>565</v>
      </c>
      <c r="J41" s="243">
        <v>5</v>
      </c>
    </row>
    <row r="42" spans="1:10" s="3" customFormat="1" ht="16.5" customHeight="1">
      <c r="A42" s="397" t="s">
        <v>705</v>
      </c>
      <c r="B42" s="94">
        <v>589</v>
      </c>
      <c r="C42" s="81">
        <v>225</v>
      </c>
      <c r="D42" s="403">
        <v>0.38700000000000001</v>
      </c>
      <c r="E42" s="243">
        <v>78</v>
      </c>
      <c r="F42" s="403">
        <v>0.13400000000000001</v>
      </c>
      <c r="G42" s="243">
        <v>279</v>
      </c>
      <c r="H42" s="403">
        <v>0.47899999999999998</v>
      </c>
      <c r="I42" s="260">
        <v>582</v>
      </c>
      <c r="J42" s="243">
        <v>7</v>
      </c>
    </row>
    <row r="43" spans="1:10" s="3" customFormat="1" ht="16.5" customHeight="1">
      <c r="A43" s="397" t="s">
        <v>706</v>
      </c>
      <c r="B43" s="94">
        <v>381</v>
      </c>
      <c r="C43" s="81">
        <v>133</v>
      </c>
      <c r="D43" s="403">
        <v>0.35399999999999998</v>
      </c>
      <c r="E43" s="243">
        <v>60</v>
      </c>
      <c r="F43" s="403">
        <v>0.16</v>
      </c>
      <c r="G43" s="243">
        <v>183</v>
      </c>
      <c r="H43" s="403">
        <v>0.48699999999999999</v>
      </c>
      <c r="I43" s="260">
        <v>376</v>
      </c>
      <c r="J43" s="243">
        <v>5</v>
      </c>
    </row>
    <row r="44" spans="1:10" s="3" customFormat="1" ht="16.5" customHeight="1">
      <c r="A44" s="397" t="s">
        <v>707</v>
      </c>
      <c r="B44" s="94">
        <v>780</v>
      </c>
      <c r="C44" s="81">
        <v>166</v>
      </c>
      <c r="D44" s="403">
        <v>0.216</v>
      </c>
      <c r="E44" s="243">
        <v>320</v>
      </c>
      <c r="F44" s="403">
        <v>0.41699999999999998</v>
      </c>
      <c r="G44" s="243">
        <v>282</v>
      </c>
      <c r="H44" s="403">
        <v>0.36699999999999999</v>
      </c>
      <c r="I44" s="260">
        <v>768</v>
      </c>
      <c r="J44" s="243">
        <v>11</v>
      </c>
    </row>
    <row r="45" spans="1:10" s="3" customFormat="1" ht="16.5" customHeight="1">
      <c r="A45" s="397" t="s">
        <v>708</v>
      </c>
      <c r="B45" s="94">
        <v>895</v>
      </c>
      <c r="C45" s="81">
        <v>213</v>
      </c>
      <c r="D45" s="403">
        <v>0.251</v>
      </c>
      <c r="E45" s="243">
        <v>181</v>
      </c>
      <c r="F45" s="403">
        <v>0.21299999999999999</v>
      </c>
      <c r="G45" s="243">
        <v>456</v>
      </c>
      <c r="H45" s="403">
        <v>0.53600000000000003</v>
      </c>
      <c r="I45" s="260">
        <v>850</v>
      </c>
      <c r="J45" s="243">
        <v>45</v>
      </c>
    </row>
    <row r="46" spans="1:10" s="3" customFormat="1" ht="16.5" customHeight="1">
      <c r="A46" s="397" t="s">
        <v>709</v>
      </c>
      <c r="B46" s="94">
        <v>1306</v>
      </c>
      <c r="C46" s="81">
        <v>371</v>
      </c>
      <c r="D46" s="403">
        <v>0.29099999999999998</v>
      </c>
      <c r="E46" s="243">
        <v>392</v>
      </c>
      <c r="F46" s="403">
        <v>0.307</v>
      </c>
      <c r="G46" s="243">
        <v>513</v>
      </c>
      <c r="H46" s="403">
        <v>0.40200000000000002</v>
      </c>
      <c r="I46" s="260">
        <v>1276</v>
      </c>
      <c r="J46" s="243">
        <v>31</v>
      </c>
    </row>
    <row r="47" spans="1:10" s="3" customFormat="1" ht="16.5" customHeight="1">
      <c r="A47" s="397" t="s">
        <v>710</v>
      </c>
      <c r="B47" s="94">
        <v>303</v>
      </c>
      <c r="C47" s="81">
        <v>77</v>
      </c>
      <c r="D47" s="403">
        <v>0.25900000000000001</v>
      </c>
      <c r="E47" s="243">
        <v>129</v>
      </c>
      <c r="F47" s="403">
        <v>0.434</v>
      </c>
      <c r="G47" s="243">
        <v>91</v>
      </c>
      <c r="H47" s="403">
        <v>0.30599999999999999</v>
      </c>
      <c r="I47" s="260">
        <v>297</v>
      </c>
      <c r="J47" s="243">
        <v>6</v>
      </c>
    </row>
    <row r="48" spans="1:10" s="3" customFormat="1" ht="16.5" customHeight="1">
      <c r="A48" s="397" t="s">
        <v>711</v>
      </c>
      <c r="B48" s="94">
        <v>816</v>
      </c>
      <c r="C48" s="81">
        <v>231</v>
      </c>
      <c r="D48" s="403">
        <v>0.29099999999999998</v>
      </c>
      <c r="E48" s="243">
        <v>244</v>
      </c>
      <c r="F48" s="403">
        <v>0.308</v>
      </c>
      <c r="G48" s="243">
        <v>318</v>
      </c>
      <c r="H48" s="403">
        <v>0.40100000000000002</v>
      </c>
      <c r="I48" s="260">
        <v>793</v>
      </c>
      <c r="J48" s="243">
        <v>23</v>
      </c>
    </row>
    <row r="49" spans="1:10" s="3" customFormat="1" ht="16.5" customHeight="1">
      <c r="A49" s="397" t="s">
        <v>712</v>
      </c>
      <c r="B49" s="94">
        <v>340</v>
      </c>
      <c r="C49" s="81">
        <v>124</v>
      </c>
      <c r="D49" s="403">
        <v>0.371</v>
      </c>
      <c r="E49" s="243">
        <v>108</v>
      </c>
      <c r="F49" s="403">
        <v>0.32300000000000001</v>
      </c>
      <c r="G49" s="243">
        <v>102</v>
      </c>
      <c r="H49" s="403">
        <v>0.30499999999999999</v>
      </c>
      <c r="I49" s="260">
        <v>334</v>
      </c>
      <c r="J49" s="243">
        <v>6</v>
      </c>
    </row>
    <row r="50" spans="1:10" s="3" customFormat="1" ht="16.5" customHeight="1">
      <c r="A50" s="397" t="s">
        <v>713</v>
      </c>
      <c r="B50" s="94">
        <v>875</v>
      </c>
      <c r="C50" s="81">
        <v>300</v>
      </c>
      <c r="D50" s="403">
        <v>0.34699999999999998</v>
      </c>
      <c r="E50" s="243">
        <v>214</v>
      </c>
      <c r="F50" s="403">
        <v>0.248</v>
      </c>
      <c r="G50" s="243">
        <v>350</v>
      </c>
      <c r="H50" s="403">
        <v>0.40500000000000003</v>
      </c>
      <c r="I50" s="260">
        <v>864</v>
      </c>
      <c r="J50" s="243">
        <v>11</v>
      </c>
    </row>
    <row r="51" spans="1:10" s="3" customFormat="1" ht="16.5" customHeight="1">
      <c r="A51" s="397" t="s">
        <v>714</v>
      </c>
      <c r="B51" s="94">
        <v>791</v>
      </c>
      <c r="C51" s="81">
        <v>154</v>
      </c>
      <c r="D51" s="403">
        <v>0.19800000000000001</v>
      </c>
      <c r="E51" s="243">
        <v>155</v>
      </c>
      <c r="F51" s="403">
        <v>0.19900000000000001</v>
      </c>
      <c r="G51" s="243">
        <v>470</v>
      </c>
      <c r="H51" s="403">
        <v>0.60299999999999998</v>
      </c>
      <c r="I51" s="260">
        <v>779</v>
      </c>
      <c r="J51" s="243">
        <v>12</v>
      </c>
    </row>
    <row r="52" spans="1:10" s="3" customFormat="1" ht="16.5" customHeight="1">
      <c r="A52" s="397" t="s">
        <v>715</v>
      </c>
      <c r="B52" s="94">
        <v>267</v>
      </c>
      <c r="C52" s="81">
        <v>102</v>
      </c>
      <c r="D52" s="403">
        <v>0.38800000000000001</v>
      </c>
      <c r="E52" s="243">
        <v>27</v>
      </c>
      <c r="F52" s="403">
        <v>0.10299999999999999</v>
      </c>
      <c r="G52" s="243">
        <v>134</v>
      </c>
      <c r="H52" s="403">
        <v>0.51</v>
      </c>
      <c r="I52" s="260">
        <v>263</v>
      </c>
      <c r="J52" s="243">
        <v>4</v>
      </c>
    </row>
    <row r="53" spans="1:10" s="3" customFormat="1" ht="16.5" customHeight="1">
      <c r="A53" s="397" t="s">
        <v>716</v>
      </c>
      <c r="B53" s="94">
        <v>489</v>
      </c>
      <c r="C53" s="81">
        <v>145</v>
      </c>
      <c r="D53" s="403">
        <v>0.30099999999999999</v>
      </c>
      <c r="E53" s="243">
        <v>141</v>
      </c>
      <c r="F53" s="403">
        <v>0.29299999999999998</v>
      </c>
      <c r="G53" s="243">
        <v>196</v>
      </c>
      <c r="H53" s="403">
        <v>0.40699999999999997</v>
      </c>
      <c r="I53" s="260">
        <v>482</v>
      </c>
      <c r="J53" s="243">
        <v>7</v>
      </c>
    </row>
    <row r="54" spans="1:10" s="3" customFormat="1" ht="16.5" customHeight="1">
      <c r="A54" s="397" t="s">
        <v>717</v>
      </c>
      <c r="B54" s="94">
        <v>555</v>
      </c>
      <c r="C54" s="81">
        <v>106</v>
      </c>
      <c r="D54" s="403">
        <v>0.193</v>
      </c>
      <c r="E54" s="243">
        <v>155</v>
      </c>
      <c r="F54" s="403">
        <v>0.28199999999999997</v>
      </c>
      <c r="G54" s="243">
        <v>288</v>
      </c>
      <c r="H54" s="403">
        <v>0.52500000000000002</v>
      </c>
      <c r="I54" s="260">
        <v>549</v>
      </c>
      <c r="J54" s="243">
        <v>6</v>
      </c>
    </row>
    <row r="55" spans="1:10" s="3" customFormat="1" ht="16.5" customHeight="1">
      <c r="A55" s="397" t="s">
        <v>718</v>
      </c>
      <c r="B55" s="94">
        <v>321</v>
      </c>
      <c r="C55" s="81">
        <v>83</v>
      </c>
      <c r="D55" s="403">
        <v>0.26200000000000001</v>
      </c>
      <c r="E55" s="243">
        <v>140</v>
      </c>
      <c r="F55" s="403">
        <v>0.442</v>
      </c>
      <c r="G55" s="243">
        <v>94</v>
      </c>
      <c r="H55" s="403">
        <v>0.29699999999999999</v>
      </c>
      <c r="I55" s="260">
        <v>317</v>
      </c>
      <c r="J55" s="243">
        <v>4</v>
      </c>
    </row>
    <row r="56" spans="1:10" s="3" customFormat="1" ht="16.5" customHeight="1">
      <c r="A56" s="397" t="s">
        <v>719</v>
      </c>
      <c r="B56" s="516">
        <v>214</v>
      </c>
      <c r="C56" s="243">
        <v>41</v>
      </c>
      <c r="D56" s="403">
        <v>0.192</v>
      </c>
      <c r="E56" s="243">
        <v>43</v>
      </c>
      <c r="F56" s="403">
        <v>0.20200000000000001</v>
      </c>
      <c r="G56" s="243">
        <v>129</v>
      </c>
      <c r="H56" s="403">
        <v>0.60599999999999998</v>
      </c>
      <c r="I56" s="251">
        <v>213</v>
      </c>
      <c r="J56" s="243">
        <v>1</v>
      </c>
    </row>
    <row r="57" spans="1:10" s="3" customFormat="1" ht="16.5" customHeight="1">
      <c r="A57" s="422" t="s">
        <v>691</v>
      </c>
      <c r="B57" s="226">
        <v>10832</v>
      </c>
      <c r="C57" s="286">
        <v>3080</v>
      </c>
      <c r="D57" s="523">
        <v>0.28999999999999998</v>
      </c>
      <c r="E57" s="517">
        <v>2723</v>
      </c>
      <c r="F57" s="523">
        <v>0.25600000000000001</v>
      </c>
      <c r="G57" s="517">
        <v>4832</v>
      </c>
      <c r="H57" s="523">
        <v>0.45400000000000001</v>
      </c>
      <c r="I57" s="521">
        <v>10635</v>
      </c>
      <c r="J57" s="517">
        <v>197</v>
      </c>
    </row>
    <row r="58" spans="1:10" s="3" customFormat="1" ht="16.5" customHeight="1">
      <c r="A58" s="3" t="s">
        <v>701</v>
      </c>
    </row>
    <row r="59" spans="1:10" s="3" customFormat="1" ht="16.5" customHeight="1"/>
    <row r="60" spans="1:10" s="3" customFormat="1" ht="16.5" customHeight="1">
      <c r="A60" s="72" t="s">
        <v>767</v>
      </c>
    </row>
    <row r="61" spans="1:10" s="3" customFormat="1" ht="16.5" customHeight="1">
      <c r="J61" s="405" t="s">
        <v>810</v>
      </c>
    </row>
    <row r="62" spans="1:10" s="3" customFormat="1" ht="16.5" customHeight="1">
      <c r="A62" s="404" t="s">
        <v>164</v>
      </c>
      <c r="B62" s="652" t="s">
        <v>698</v>
      </c>
      <c r="C62" s="654" t="s">
        <v>700</v>
      </c>
      <c r="D62" s="655"/>
      <c r="E62" s="655"/>
      <c r="F62" s="655"/>
      <c r="G62" s="655"/>
      <c r="H62" s="655"/>
      <c r="I62" s="656"/>
      <c r="J62" s="652" t="s">
        <v>699</v>
      </c>
    </row>
    <row r="63" spans="1:10" s="3" customFormat="1" ht="16.5" customHeight="1">
      <c r="A63" s="398"/>
      <c r="B63" s="554"/>
      <c r="C63" s="634" t="s">
        <v>694</v>
      </c>
      <c r="D63" s="632"/>
      <c r="E63" s="634" t="s">
        <v>695</v>
      </c>
      <c r="F63" s="632"/>
      <c r="G63" s="634" t="s">
        <v>696</v>
      </c>
      <c r="H63" s="632"/>
      <c r="I63" s="399" t="s">
        <v>697</v>
      </c>
      <c r="J63" s="554"/>
    </row>
    <row r="64" spans="1:10" s="3" customFormat="1" ht="16.5" customHeight="1">
      <c r="A64" s="406" t="s">
        <v>724</v>
      </c>
      <c r="B64" s="653"/>
      <c r="C64" s="407" t="s">
        <v>692</v>
      </c>
      <c r="D64" s="407" t="s">
        <v>693</v>
      </c>
      <c r="E64" s="407" t="s">
        <v>692</v>
      </c>
      <c r="F64" s="407" t="s">
        <v>693</v>
      </c>
      <c r="G64" s="407" t="s">
        <v>692</v>
      </c>
      <c r="H64" s="407" t="s">
        <v>693</v>
      </c>
      <c r="I64" s="407" t="s">
        <v>692</v>
      </c>
      <c r="J64" s="653"/>
    </row>
    <row r="65" spans="1:10" s="3" customFormat="1" ht="16.5" customHeight="1">
      <c r="A65" s="397" t="s">
        <v>720</v>
      </c>
      <c r="B65" s="94">
        <v>1147</v>
      </c>
      <c r="C65" s="81">
        <v>565</v>
      </c>
      <c r="D65" s="403">
        <v>0.49399999999999999</v>
      </c>
      <c r="E65" s="243">
        <v>195</v>
      </c>
      <c r="F65" s="403">
        <v>0.17100000000000001</v>
      </c>
      <c r="G65" s="243">
        <v>383</v>
      </c>
      <c r="H65" s="403">
        <v>0.33500000000000002</v>
      </c>
      <c r="I65" s="260">
        <v>1143</v>
      </c>
      <c r="J65" s="243">
        <v>4</v>
      </c>
    </row>
    <row r="66" spans="1:10" s="3" customFormat="1" ht="16.5" customHeight="1">
      <c r="A66" s="397" t="s">
        <v>721</v>
      </c>
      <c r="B66" s="94">
        <v>977</v>
      </c>
      <c r="C66" s="81">
        <v>357</v>
      </c>
      <c r="D66" s="403">
        <v>0.36599999999999999</v>
      </c>
      <c r="E66" s="243">
        <v>181</v>
      </c>
      <c r="F66" s="403">
        <v>0.185</v>
      </c>
      <c r="G66" s="243">
        <v>438</v>
      </c>
      <c r="H66" s="403">
        <v>0.44900000000000001</v>
      </c>
      <c r="I66" s="260">
        <v>976</v>
      </c>
      <c r="J66" s="243">
        <v>1</v>
      </c>
    </row>
    <row r="67" spans="1:10" s="3" customFormat="1" ht="16.5" customHeight="1">
      <c r="A67" s="397" t="s">
        <v>722</v>
      </c>
      <c r="B67" s="94">
        <v>357</v>
      </c>
      <c r="C67" s="81">
        <v>134</v>
      </c>
      <c r="D67" s="403">
        <v>0.379</v>
      </c>
      <c r="E67" s="243">
        <v>67</v>
      </c>
      <c r="F67" s="403">
        <v>0.189</v>
      </c>
      <c r="G67" s="243">
        <v>153</v>
      </c>
      <c r="H67" s="403">
        <v>0.432</v>
      </c>
      <c r="I67" s="260">
        <v>354</v>
      </c>
      <c r="J67" s="243">
        <v>3</v>
      </c>
    </row>
    <row r="68" spans="1:10" s="3" customFormat="1" ht="16.5" customHeight="1">
      <c r="A68" s="397" t="s">
        <v>723</v>
      </c>
      <c r="B68" s="94">
        <v>2612</v>
      </c>
      <c r="C68" s="81">
        <v>481</v>
      </c>
      <c r="D68" s="403">
        <v>0.187</v>
      </c>
      <c r="E68" s="243">
        <v>920</v>
      </c>
      <c r="F68" s="403">
        <v>0.35799999999999998</v>
      </c>
      <c r="G68" s="243">
        <v>1171</v>
      </c>
      <c r="H68" s="403">
        <v>0.45500000000000002</v>
      </c>
      <c r="I68" s="260">
        <v>2572</v>
      </c>
      <c r="J68" s="243">
        <v>40</v>
      </c>
    </row>
    <row r="69" spans="1:10" s="3" customFormat="1" ht="16.5" customHeight="1">
      <c r="A69" s="397" t="s">
        <v>76</v>
      </c>
      <c r="B69" s="94">
        <v>5739</v>
      </c>
      <c r="C69" s="81">
        <v>1543</v>
      </c>
      <c r="D69" s="403">
        <v>0.27600000000000002</v>
      </c>
      <c r="E69" s="243">
        <v>1360</v>
      </c>
      <c r="F69" s="403">
        <v>0.24299999999999999</v>
      </c>
      <c r="G69" s="243">
        <v>2687</v>
      </c>
      <c r="H69" s="403">
        <v>0.48099999999999998</v>
      </c>
      <c r="I69" s="260">
        <v>5590</v>
      </c>
      <c r="J69" s="243">
        <v>149</v>
      </c>
    </row>
    <row r="70" spans="1:10" s="3" customFormat="1" ht="16.5" customHeight="1">
      <c r="A70" s="422" t="s">
        <v>86</v>
      </c>
      <c r="B70" s="226">
        <v>10832</v>
      </c>
      <c r="C70" s="286">
        <v>3080</v>
      </c>
      <c r="D70" s="523">
        <v>0.28999999999999998</v>
      </c>
      <c r="E70" s="517">
        <v>2723</v>
      </c>
      <c r="F70" s="523">
        <v>0.25600000000000001</v>
      </c>
      <c r="G70" s="517">
        <v>4832</v>
      </c>
      <c r="H70" s="523">
        <v>0.45400000000000001</v>
      </c>
      <c r="I70" s="521">
        <v>10635</v>
      </c>
      <c r="J70" s="517">
        <v>197</v>
      </c>
    </row>
    <row r="71" spans="1:10" s="3" customFormat="1" ht="16.5" customHeight="1">
      <c r="A71" s="3" t="s">
        <v>701</v>
      </c>
    </row>
  </sheetData>
  <sheetProtection algorithmName="SHA-512" hashValue="gLdEX0K9HRIEb6oDFAIt4vekVmyZ3P4xCXoi2KieQJt7KyqZ2nX/5WSHV+bo+mxgX2AfOCgd1skgS7qTPlnvoQ==" saltValue="ybmhoq6FYbHJbPZIxTfR9g==" spinCount="100000" sheet="1" objects="1" scenarios="1"/>
  <customSheetViews>
    <customSheetView guid="{4810CB4C-E276-4485-93D3-F920B09A4189}" showPageBreaks="1" showGridLines="0" fitToPage="1" printArea="1" view="pageBreakPreview">
      <pageMargins left="0.39370078740157483" right="0" top="0.59055118110236227" bottom="0.15748031496062992" header="0.51181102362204722" footer="3.937007874015748E-2"/>
      <pageSetup paperSize="9" scale="66" orientation="portrait" r:id="rId1"/>
      <headerFooter alignWithMargins="0"/>
    </customSheetView>
  </customSheetViews>
  <mergeCells count="19">
    <mergeCell ref="A4:J4"/>
    <mergeCell ref="B11:B13"/>
    <mergeCell ref="C11:I11"/>
    <mergeCell ref="J11:J13"/>
    <mergeCell ref="C12:D12"/>
    <mergeCell ref="E12:F12"/>
    <mergeCell ref="G12:H12"/>
    <mergeCell ref="B36:B38"/>
    <mergeCell ref="C36:I36"/>
    <mergeCell ref="J36:J38"/>
    <mergeCell ref="C37:D37"/>
    <mergeCell ref="E37:F37"/>
    <mergeCell ref="G37:H37"/>
    <mergeCell ref="B62:B64"/>
    <mergeCell ref="C62:I62"/>
    <mergeCell ref="J62:J64"/>
    <mergeCell ref="C63:D63"/>
    <mergeCell ref="E63:F63"/>
    <mergeCell ref="G63:H63"/>
  </mergeCells>
  <phoneticPr fontId="6" type="noConversion"/>
  <pageMargins left="0.39370078740157483" right="0" top="0.59055118110236227" bottom="0.15748031496062992" header="0.51181102362204722" footer="3.937007874015748E-2"/>
  <pageSetup paperSize="9" scale="65" orientation="portrait" r:id="rId2"/>
  <headerFooter alignWithMargins="0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T36"/>
  <sheetViews>
    <sheetView showGridLines="0" zoomScaleNormal="100" zoomScaleSheetLayoutView="100" workbookViewId="0"/>
  </sheetViews>
  <sheetFormatPr defaultColWidth="8" defaultRowHeight="16.5" customHeight="1"/>
  <cols>
    <col min="1" max="1" width="11.109375" style="76" customWidth="1"/>
    <col min="2" max="20" width="7.109375" style="76" customWidth="1"/>
    <col min="21" max="16384" width="8" style="76"/>
  </cols>
  <sheetData>
    <row r="1" spans="1:20" s="3" customFormat="1" ht="16.5" customHeight="1">
      <c r="A1" s="72" t="s">
        <v>639</v>
      </c>
    </row>
    <row r="2" spans="1:20" s="3" customFormat="1" ht="16.5" customHeight="1"/>
    <row r="3" spans="1:20" s="3" customFormat="1" ht="16.5" customHeight="1">
      <c r="A3" s="72" t="s">
        <v>23</v>
      </c>
    </row>
    <row r="4" spans="1:20" s="3" customFormat="1" ht="16.5" customHeight="1">
      <c r="A4" s="57" t="s">
        <v>805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</row>
    <row r="5" spans="1:20" s="3" customFormat="1" ht="16.5" customHeight="1"/>
    <row r="6" spans="1:20" s="3" customFormat="1" ht="16.5" customHeight="1">
      <c r="A6" s="72" t="s">
        <v>24</v>
      </c>
    </row>
    <row r="7" spans="1:20" s="3" customFormat="1" ht="24" customHeight="1">
      <c r="A7" s="559" t="s">
        <v>787</v>
      </c>
      <c r="B7" s="559"/>
      <c r="C7" s="559"/>
      <c r="D7" s="559"/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</row>
    <row r="8" spans="1:20" s="3" customFormat="1" ht="16.5" customHeight="1"/>
    <row r="9" spans="1:20" s="3" customFormat="1" ht="16.5" customHeight="1">
      <c r="A9" s="101" t="s">
        <v>675</v>
      </c>
    </row>
    <row r="10" spans="1:20" s="3" customFormat="1" ht="16.5" customHeight="1">
      <c r="A10" s="267" t="s">
        <v>165</v>
      </c>
      <c r="B10" s="554" t="s">
        <v>471</v>
      </c>
      <c r="C10" s="558" t="s">
        <v>472</v>
      </c>
      <c r="D10" s="558" t="s">
        <v>473</v>
      </c>
      <c r="E10" s="558" t="s">
        <v>474</v>
      </c>
      <c r="F10" s="558" t="s">
        <v>475</v>
      </c>
      <c r="G10" s="558" t="s">
        <v>476</v>
      </c>
      <c r="H10" s="554" t="s">
        <v>477</v>
      </c>
      <c r="I10" s="554" t="s">
        <v>478</v>
      </c>
      <c r="J10" s="554" t="s">
        <v>479</v>
      </c>
      <c r="K10" s="554" t="s">
        <v>480</v>
      </c>
      <c r="L10" s="554" t="s">
        <v>481</v>
      </c>
      <c r="M10" s="554" t="s">
        <v>482</v>
      </c>
      <c r="N10" s="554" t="s">
        <v>483</v>
      </c>
      <c r="O10" s="554" t="s">
        <v>484</v>
      </c>
      <c r="P10" s="554" t="s">
        <v>485</v>
      </c>
      <c r="Q10" s="554" t="s">
        <v>486</v>
      </c>
      <c r="R10" s="554" t="s">
        <v>487</v>
      </c>
      <c r="S10" s="554" t="s">
        <v>488</v>
      </c>
      <c r="T10" s="555" t="s">
        <v>489</v>
      </c>
    </row>
    <row r="11" spans="1:20" s="3" customFormat="1" ht="16.5" customHeight="1">
      <c r="A11" s="207" t="s">
        <v>490</v>
      </c>
      <c r="B11" s="554"/>
      <c r="C11" s="554"/>
      <c r="D11" s="554"/>
      <c r="E11" s="554"/>
      <c r="F11" s="554"/>
      <c r="G11" s="554"/>
      <c r="H11" s="554"/>
      <c r="I11" s="554"/>
      <c r="J11" s="554"/>
      <c r="K11" s="554"/>
      <c r="L11" s="554"/>
      <c r="M11" s="554"/>
      <c r="N11" s="554"/>
      <c r="O11" s="554"/>
      <c r="P11" s="554"/>
      <c r="Q11" s="554"/>
      <c r="R11" s="554"/>
      <c r="S11" s="554"/>
      <c r="T11" s="555"/>
    </row>
    <row r="12" spans="1:20" s="3" customFormat="1" ht="16.5" customHeight="1">
      <c r="A12" s="272" t="s">
        <v>491</v>
      </c>
      <c r="B12" s="97">
        <v>141</v>
      </c>
      <c r="C12" s="244">
        <v>13</v>
      </c>
      <c r="D12" s="244">
        <v>4</v>
      </c>
      <c r="E12" s="244">
        <v>12</v>
      </c>
      <c r="F12" s="244">
        <v>4</v>
      </c>
      <c r="G12" s="244">
        <v>4</v>
      </c>
      <c r="H12" s="244">
        <v>4</v>
      </c>
      <c r="I12" s="244">
        <v>12</v>
      </c>
      <c r="J12" s="244">
        <v>25</v>
      </c>
      <c r="K12" s="244">
        <v>2</v>
      </c>
      <c r="L12" s="244">
        <v>21</v>
      </c>
      <c r="M12" s="244">
        <v>2</v>
      </c>
      <c r="N12" s="244">
        <v>10</v>
      </c>
      <c r="O12" s="244">
        <v>7</v>
      </c>
      <c r="P12" s="244">
        <v>0</v>
      </c>
      <c r="Q12" s="244">
        <v>7</v>
      </c>
      <c r="R12" s="244">
        <v>7</v>
      </c>
      <c r="S12" s="244">
        <v>5</v>
      </c>
      <c r="T12" s="244">
        <v>2</v>
      </c>
    </row>
    <row r="13" spans="1:20" s="3" customFormat="1" ht="16.5" customHeight="1">
      <c r="A13" s="241"/>
      <c r="B13" s="179">
        <v>100</v>
      </c>
      <c r="C13" s="41">
        <v>9.2198581560283674</v>
      </c>
      <c r="D13" s="41">
        <v>2.8368794326241136</v>
      </c>
      <c r="E13" s="41">
        <v>8.5106382978723403</v>
      </c>
      <c r="F13" s="41">
        <v>2.8368794326241136</v>
      </c>
      <c r="G13" s="41">
        <v>2.8368794326241136</v>
      </c>
      <c r="H13" s="41">
        <v>2.8368794326241136</v>
      </c>
      <c r="I13" s="41">
        <v>8.5106382978723403</v>
      </c>
      <c r="J13" s="41">
        <v>17.8</v>
      </c>
      <c r="K13" s="41">
        <v>1.4184397163120568</v>
      </c>
      <c r="L13" s="41">
        <v>14.893617021276595</v>
      </c>
      <c r="M13" s="41">
        <v>1.4184397163120568</v>
      </c>
      <c r="N13" s="41">
        <v>7.0921985815602842</v>
      </c>
      <c r="O13" s="41">
        <v>4.9645390070921991</v>
      </c>
      <c r="P13" s="278" t="s">
        <v>786</v>
      </c>
      <c r="Q13" s="41">
        <v>4.9645390070921991</v>
      </c>
      <c r="R13" s="41">
        <v>4.9645390070921991</v>
      </c>
      <c r="S13" s="41">
        <v>3.6</v>
      </c>
      <c r="T13" s="41">
        <v>1.4184397163120568</v>
      </c>
    </row>
    <row r="14" spans="1:20" s="3" customFormat="1" ht="16.5" customHeight="1">
      <c r="A14" s="271" t="s">
        <v>384</v>
      </c>
      <c r="B14" s="94">
        <v>5</v>
      </c>
      <c r="C14" s="243">
        <v>0</v>
      </c>
      <c r="D14" s="243">
        <v>0</v>
      </c>
      <c r="E14" s="243">
        <v>0</v>
      </c>
      <c r="F14" s="243">
        <v>0</v>
      </c>
      <c r="G14" s="243">
        <v>0</v>
      </c>
      <c r="H14" s="243">
        <v>0</v>
      </c>
      <c r="I14" s="243">
        <v>0</v>
      </c>
      <c r="J14" s="243">
        <v>1</v>
      </c>
      <c r="K14" s="243">
        <v>0</v>
      </c>
      <c r="L14" s="243">
        <v>1</v>
      </c>
      <c r="M14" s="243">
        <v>0</v>
      </c>
      <c r="N14" s="243">
        <v>0</v>
      </c>
      <c r="O14" s="243">
        <v>1</v>
      </c>
      <c r="P14" s="243">
        <v>0</v>
      </c>
      <c r="Q14" s="243">
        <v>1</v>
      </c>
      <c r="R14" s="243">
        <v>0</v>
      </c>
      <c r="S14" s="243">
        <v>0</v>
      </c>
      <c r="T14" s="243">
        <v>1</v>
      </c>
    </row>
    <row r="15" spans="1:20" s="3" customFormat="1" ht="16.5" customHeight="1">
      <c r="A15" s="271" t="s">
        <v>492</v>
      </c>
      <c r="B15" s="94">
        <v>136</v>
      </c>
      <c r="C15" s="243">
        <v>13</v>
      </c>
      <c r="D15" s="243">
        <v>4</v>
      </c>
      <c r="E15" s="243">
        <v>12</v>
      </c>
      <c r="F15" s="243">
        <v>4</v>
      </c>
      <c r="G15" s="243">
        <v>4</v>
      </c>
      <c r="H15" s="243">
        <v>4</v>
      </c>
      <c r="I15" s="243">
        <v>12</v>
      </c>
      <c r="J15" s="243">
        <v>24</v>
      </c>
      <c r="K15" s="243">
        <v>2</v>
      </c>
      <c r="L15" s="243">
        <v>20</v>
      </c>
      <c r="M15" s="243">
        <v>2</v>
      </c>
      <c r="N15" s="243">
        <v>10</v>
      </c>
      <c r="O15" s="243">
        <v>6</v>
      </c>
      <c r="P15" s="243">
        <v>0</v>
      </c>
      <c r="Q15" s="243">
        <v>6</v>
      </c>
      <c r="R15" s="243">
        <v>7</v>
      </c>
      <c r="S15" s="243">
        <v>5</v>
      </c>
      <c r="T15" s="243">
        <v>1</v>
      </c>
    </row>
    <row r="16" spans="1:20" s="3" customFormat="1" ht="16.5" customHeight="1">
      <c r="A16" s="275" t="s">
        <v>493</v>
      </c>
      <c r="B16" s="276">
        <v>135</v>
      </c>
      <c r="C16" s="257">
        <v>8</v>
      </c>
      <c r="D16" s="257">
        <v>4</v>
      </c>
      <c r="E16" s="257">
        <v>8</v>
      </c>
      <c r="F16" s="257">
        <v>5</v>
      </c>
      <c r="G16" s="257">
        <v>0</v>
      </c>
      <c r="H16" s="257">
        <v>2</v>
      </c>
      <c r="I16" s="257">
        <v>12</v>
      </c>
      <c r="J16" s="257">
        <v>23</v>
      </c>
      <c r="K16" s="257">
        <v>3</v>
      </c>
      <c r="L16" s="257">
        <v>24</v>
      </c>
      <c r="M16" s="257">
        <v>3</v>
      </c>
      <c r="N16" s="257">
        <v>12</v>
      </c>
      <c r="O16" s="257">
        <v>4</v>
      </c>
      <c r="P16" s="257">
        <v>0</v>
      </c>
      <c r="Q16" s="257">
        <v>7</v>
      </c>
      <c r="R16" s="257">
        <v>7</v>
      </c>
      <c r="S16" s="257">
        <v>8</v>
      </c>
      <c r="T16" s="257">
        <v>5</v>
      </c>
    </row>
    <row r="17" spans="1:20" s="3" customFormat="1" ht="16.5" customHeight="1">
      <c r="A17" s="3" t="s">
        <v>564</v>
      </c>
      <c r="B17" s="198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</row>
    <row r="18" spans="1:20" s="3" customFormat="1" ht="16.5" customHeight="1"/>
    <row r="19" spans="1:20" s="3" customFormat="1" ht="16.5" customHeight="1">
      <c r="A19" s="72" t="s">
        <v>494</v>
      </c>
      <c r="B19" s="198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s="3" customFormat="1" ht="16.5" customHeight="1">
      <c r="B20" s="198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s="3" customFormat="1" ht="16.5" customHeight="1">
      <c r="A21" s="72" t="s">
        <v>495</v>
      </c>
      <c r="B21" s="198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</row>
    <row r="22" spans="1:20" s="3" customFormat="1" ht="16.5" customHeight="1">
      <c r="A22" s="57" t="s">
        <v>792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</row>
    <row r="23" spans="1:20" s="3" customFormat="1" ht="16.5" customHeight="1">
      <c r="B23" s="198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</row>
    <row r="24" spans="1:20" s="3" customFormat="1" ht="16.5" customHeight="1">
      <c r="A24" s="72" t="s">
        <v>496</v>
      </c>
      <c r="B24" s="198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</row>
    <row r="25" spans="1:20" s="3" customFormat="1" ht="16.5" customHeight="1">
      <c r="A25" s="57" t="s">
        <v>804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</row>
    <row r="26" spans="1:20" s="3" customFormat="1" ht="16.5" customHeight="1">
      <c r="B26" s="198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</row>
    <row r="27" spans="1:20" s="3" customFormat="1" ht="16.5" customHeight="1">
      <c r="A27" s="72" t="s">
        <v>820</v>
      </c>
      <c r="I27" s="54"/>
    </row>
    <row r="28" spans="1:20" s="3" customFormat="1" ht="16.5" customHeight="1">
      <c r="A28" s="267" t="s">
        <v>490</v>
      </c>
      <c r="B28" s="555" t="s">
        <v>497</v>
      </c>
      <c r="C28" s="555" t="s">
        <v>493</v>
      </c>
      <c r="D28" s="555" t="s">
        <v>498</v>
      </c>
      <c r="E28" s="555" t="s">
        <v>499</v>
      </c>
      <c r="Q28" s="123"/>
    </row>
    <row r="29" spans="1:20" s="3" customFormat="1" ht="16.5" customHeight="1">
      <c r="A29" s="207" t="s">
        <v>500</v>
      </c>
      <c r="B29" s="555"/>
      <c r="C29" s="555"/>
      <c r="D29" s="555"/>
      <c r="E29" s="555"/>
      <c r="Q29" s="123"/>
    </row>
    <row r="30" spans="1:20" s="3" customFormat="1" ht="16.5" customHeight="1">
      <c r="A30" s="272" t="s">
        <v>86</v>
      </c>
      <c r="B30" s="43">
        <v>260</v>
      </c>
      <c r="C30" s="244">
        <v>256</v>
      </c>
      <c r="D30" s="244">
        <v>84</v>
      </c>
      <c r="E30" s="37">
        <v>98.461538461538467</v>
      </c>
      <c r="Q30" s="123"/>
    </row>
    <row r="31" spans="1:20" s="3" customFormat="1" ht="16.5" customHeight="1">
      <c r="A31" s="272" t="s">
        <v>501</v>
      </c>
      <c r="B31" s="43">
        <v>141</v>
      </c>
      <c r="C31" s="244">
        <v>135</v>
      </c>
      <c r="D31" s="244">
        <v>49</v>
      </c>
      <c r="E31" s="37">
        <v>95.744680851063833</v>
      </c>
      <c r="Q31" s="123"/>
    </row>
    <row r="32" spans="1:20" s="3" customFormat="1" ht="16.5" customHeight="1">
      <c r="A32" s="271" t="s">
        <v>502</v>
      </c>
      <c r="B32" s="245">
        <v>5</v>
      </c>
      <c r="C32" s="243">
        <v>6</v>
      </c>
      <c r="D32" s="243">
        <v>3</v>
      </c>
      <c r="E32" s="25">
        <v>120</v>
      </c>
      <c r="Q32" s="123"/>
    </row>
    <row r="33" spans="1:17" s="3" customFormat="1" ht="16.5" customHeight="1">
      <c r="A33" s="271" t="s">
        <v>492</v>
      </c>
      <c r="B33" s="245">
        <v>136</v>
      </c>
      <c r="C33" s="243">
        <v>129</v>
      </c>
      <c r="D33" s="243">
        <v>46</v>
      </c>
      <c r="E33" s="25">
        <v>94.85294117647058</v>
      </c>
      <c r="Q33" s="123"/>
    </row>
    <row r="34" spans="1:17" s="3" customFormat="1" ht="16.5" customHeight="1">
      <c r="A34" s="272" t="s">
        <v>503</v>
      </c>
      <c r="B34" s="43">
        <v>89</v>
      </c>
      <c r="C34" s="244">
        <v>92</v>
      </c>
      <c r="D34" s="244">
        <v>28</v>
      </c>
      <c r="E34" s="37">
        <v>103.37078651685394</v>
      </c>
      <c r="Q34" s="123"/>
    </row>
    <row r="35" spans="1:17" s="3" customFormat="1" ht="16.5" customHeight="1">
      <c r="A35" s="275" t="s">
        <v>504</v>
      </c>
      <c r="B35" s="256">
        <v>30</v>
      </c>
      <c r="C35" s="257">
        <v>29</v>
      </c>
      <c r="D35" s="257">
        <v>7</v>
      </c>
      <c r="E35" s="277">
        <v>96.666666666666671</v>
      </c>
      <c r="Q35" s="123"/>
    </row>
    <row r="36" spans="1:17" s="3" customFormat="1" ht="16.5" customHeight="1">
      <c r="A36" s="3" t="s">
        <v>560</v>
      </c>
    </row>
  </sheetData>
  <sheetProtection algorithmName="SHA-512" hashValue="Yl0OcB/PEwL9ZGg2xC+htt/z8I2/ZI/RsETq5gkvTP67/yLukOdZAvF29Bu7p3b9zfDXoSbSrkmL2uOuQqfInQ==" saltValue="b5yWcGF928RF/VHe6mHiIg==" spinCount="100000" sheet="1" objects="1" scenarios="1"/>
  <customSheetViews>
    <customSheetView guid="{4810CB4C-E276-4485-93D3-F920B09A4189}" showPageBreaks="1" showGridLines="0" fitToPage="1" printArea="1" view="pageBreakPreview">
      <pageMargins left="0.27559055118110237" right="3.937007874015748E-2" top="0.59055118110236227" bottom="3.937007874015748E-2" header="0.51181102362204722" footer="0.51181102362204722"/>
      <pageSetup paperSize="9" scale="58" orientation="portrait" r:id="rId1"/>
      <headerFooter alignWithMargins="0"/>
    </customSheetView>
  </customSheetViews>
  <mergeCells count="24">
    <mergeCell ref="R10:R11"/>
    <mergeCell ref="S10:S11"/>
    <mergeCell ref="T10:T11"/>
    <mergeCell ref="B28:B29"/>
    <mergeCell ref="C28:C29"/>
    <mergeCell ref="D28:D29"/>
    <mergeCell ref="E28:E29"/>
    <mergeCell ref="J10:J11"/>
    <mergeCell ref="A7:T7"/>
    <mergeCell ref="B10:B11"/>
    <mergeCell ref="C10:C11"/>
    <mergeCell ref="D10:D11"/>
    <mergeCell ref="E10:E11"/>
    <mergeCell ref="F10:F11"/>
    <mergeCell ref="G10:G11"/>
    <mergeCell ref="H10:H11"/>
    <mergeCell ref="I10:I11"/>
    <mergeCell ref="K10:K11"/>
    <mergeCell ref="L10:L11"/>
    <mergeCell ref="M10:M11"/>
    <mergeCell ref="N10:N11"/>
    <mergeCell ref="O10:O11"/>
    <mergeCell ref="P10:P11"/>
    <mergeCell ref="Q10:Q11"/>
  </mergeCells>
  <phoneticPr fontId="6" type="noConversion"/>
  <pageMargins left="0.27559055118110237" right="3.937007874015748E-2" top="0.59055118110236227" bottom="3.937007874015748E-2" header="0.51181102362204722" footer="0.51181102362204722"/>
  <pageSetup paperSize="9" scale="59" orientation="portrait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28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6" customWidth="1"/>
    <col min="2" max="8" width="9.5546875" style="76" customWidth="1"/>
    <col min="9" max="16384" width="8" style="76"/>
  </cols>
  <sheetData>
    <row r="1" spans="1:8" s="3" customFormat="1" ht="16.5" customHeight="1">
      <c r="A1" s="72" t="s">
        <v>676</v>
      </c>
    </row>
    <row r="2" spans="1:8" s="3" customFormat="1" ht="16.5" customHeight="1">
      <c r="A2" s="72"/>
    </row>
    <row r="3" spans="1:8" s="3" customFormat="1" ht="16.5" customHeight="1">
      <c r="A3" s="72" t="s">
        <v>21</v>
      </c>
    </row>
    <row r="4" spans="1:8" s="3" customFormat="1" ht="16.5" customHeight="1">
      <c r="A4" s="304" t="s">
        <v>565</v>
      </c>
      <c r="B4" s="554" t="s">
        <v>86</v>
      </c>
      <c r="C4" s="554" t="s">
        <v>107</v>
      </c>
      <c r="D4" s="558" t="s">
        <v>401</v>
      </c>
      <c r="E4" s="558" t="s">
        <v>402</v>
      </c>
      <c r="F4" s="558" t="s">
        <v>505</v>
      </c>
      <c r="G4" s="555" t="s">
        <v>35</v>
      </c>
    </row>
    <row r="5" spans="1:8" s="3" customFormat="1" ht="16.5" customHeight="1">
      <c r="A5" s="207" t="s">
        <v>36</v>
      </c>
      <c r="B5" s="554"/>
      <c r="C5" s="554"/>
      <c r="D5" s="554"/>
      <c r="E5" s="554"/>
      <c r="F5" s="554"/>
      <c r="G5" s="555"/>
    </row>
    <row r="6" spans="1:8" s="3" customFormat="1" ht="16.5" customHeight="1">
      <c r="A6" s="269" t="s">
        <v>86</v>
      </c>
      <c r="B6" s="97">
        <v>135</v>
      </c>
      <c r="C6" s="244">
        <v>107</v>
      </c>
      <c r="D6" s="244">
        <v>19</v>
      </c>
      <c r="E6" s="244">
        <v>0</v>
      </c>
      <c r="F6" s="244">
        <v>0</v>
      </c>
      <c r="G6" s="244">
        <v>9</v>
      </c>
    </row>
    <row r="7" spans="1:8" s="3" customFormat="1" ht="16.5" customHeight="1">
      <c r="A7" s="28"/>
      <c r="B7" s="93">
        <v>100</v>
      </c>
      <c r="C7" s="41">
        <v>79.2</v>
      </c>
      <c r="D7" s="41">
        <v>14.074074074074074</v>
      </c>
      <c r="E7" s="278" t="s">
        <v>67</v>
      </c>
      <c r="F7" s="278" t="s">
        <v>67</v>
      </c>
      <c r="G7" s="41">
        <v>6.666666666666667</v>
      </c>
      <c r="H7" s="1"/>
    </row>
    <row r="8" spans="1:8" s="3" customFormat="1" ht="16.5" customHeight="1">
      <c r="A8" s="268" t="s">
        <v>384</v>
      </c>
      <c r="B8" s="94">
        <v>6</v>
      </c>
      <c r="C8" s="243">
        <v>2</v>
      </c>
      <c r="D8" s="243">
        <v>1</v>
      </c>
      <c r="E8" s="243">
        <v>0</v>
      </c>
      <c r="F8" s="243">
        <v>0</v>
      </c>
      <c r="G8" s="243">
        <v>3</v>
      </c>
    </row>
    <row r="9" spans="1:8" s="3" customFormat="1" ht="16.5" customHeight="1">
      <c r="A9" s="180" t="s">
        <v>385</v>
      </c>
      <c r="B9" s="226">
        <v>129</v>
      </c>
      <c r="C9" s="175">
        <v>105</v>
      </c>
      <c r="D9" s="175">
        <v>18</v>
      </c>
      <c r="E9" s="175">
        <v>0</v>
      </c>
      <c r="F9" s="175">
        <v>0</v>
      </c>
      <c r="G9" s="175">
        <v>6</v>
      </c>
    </row>
    <row r="10" spans="1:8" s="3" customFormat="1" ht="16.5" customHeight="1">
      <c r="A10" s="54" t="s">
        <v>506</v>
      </c>
      <c r="B10" s="54"/>
      <c r="C10" s="54"/>
      <c r="D10" s="54"/>
      <c r="E10" s="54"/>
      <c r="F10" s="54"/>
      <c r="G10" s="54"/>
      <c r="H10" s="54"/>
    </row>
    <row r="11" spans="1:8" s="3" customFormat="1" ht="16.5" customHeight="1">
      <c r="A11" s="54"/>
      <c r="B11" s="54"/>
      <c r="C11" s="54"/>
      <c r="D11" s="54"/>
      <c r="E11" s="54"/>
      <c r="F11" s="54"/>
      <c r="G11" s="54"/>
      <c r="H11" s="54"/>
    </row>
    <row r="12" spans="1:8" s="3" customFormat="1" ht="16.5" customHeight="1">
      <c r="A12" s="72" t="s">
        <v>507</v>
      </c>
    </row>
    <row r="13" spans="1:8" s="3" customFormat="1" ht="16.5" customHeight="1">
      <c r="A13" s="304" t="s">
        <v>30</v>
      </c>
      <c r="B13" s="546" t="s">
        <v>86</v>
      </c>
      <c r="C13" s="546" t="s">
        <v>108</v>
      </c>
      <c r="D13" s="546"/>
      <c r="E13" s="546"/>
      <c r="F13" s="546"/>
      <c r="G13" s="546" t="s">
        <v>109</v>
      </c>
      <c r="H13" s="544" t="s">
        <v>76</v>
      </c>
    </row>
    <row r="14" spans="1:8" s="3" customFormat="1" ht="16.5" customHeight="1">
      <c r="A14" s="207"/>
      <c r="B14" s="628"/>
      <c r="C14" s="628" t="s">
        <v>508</v>
      </c>
      <c r="D14" s="628" t="s">
        <v>59</v>
      </c>
      <c r="E14" s="628"/>
      <c r="F14" s="628" t="s">
        <v>110</v>
      </c>
      <c r="G14" s="628"/>
      <c r="H14" s="634"/>
    </row>
    <row r="15" spans="1:8" s="3" customFormat="1" ht="16.5" customHeight="1">
      <c r="A15" s="207" t="s">
        <v>500</v>
      </c>
      <c r="B15" s="562"/>
      <c r="C15" s="562"/>
      <c r="D15" s="263" t="s">
        <v>509</v>
      </c>
      <c r="E15" s="262" t="s">
        <v>174</v>
      </c>
      <c r="F15" s="562"/>
      <c r="G15" s="562"/>
      <c r="H15" s="563"/>
    </row>
    <row r="16" spans="1:8" s="3" customFormat="1" ht="16.5" customHeight="1">
      <c r="A16" s="268" t="s">
        <v>503</v>
      </c>
      <c r="B16" s="97">
        <v>92</v>
      </c>
      <c r="C16" s="243">
        <v>79</v>
      </c>
      <c r="D16" s="243">
        <v>18</v>
      </c>
      <c r="E16" s="243">
        <v>0</v>
      </c>
      <c r="F16" s="243">
        <v>61</v>
      </c>
      <c r="G16" s="243">
        <v>1</v>
      </c>
      <c r="H16" s="243">
        <v>12</v>
      </c>
    </row>
    <row r="17" spans="1:8" s="3" customFormat="1" ht="16.5" customHeight="1">
      <c r="A17" s="26"/>
      <c r="B17" s="93">
        <v>100</v>
      </c>
      <c r="C17" s="508">
        <v>85.869565217391312</v>
      </c>
      <c r="D17" s="508">
        <v>19.565217391304348</v>
      </c>
      <c r="E17" s="67" t="s">
        <v>510</v>
      </c>
      <c r="F17" s="508">
        <v>66.304347826086953</v>
      </c>
      <c r="G17" s="508">
        <v>1.0869565217391304</v>
      </c>
      <c r="H17" s="508">
        <v>13.043478260869565</v>
      </c>
    </row>
    <row r="18" spans="1:8" s="3" customFormat="1" ht="16.5" customHeight="1">
      <c r="A18" s="268" t="s">
        <v>504</v>
      </c>
      <c r="B18" s="97">
        <v>29</v>
      </c>
      <c r="C18" s="243">
        <v>25</v>
      </c>
      <c r="D18" s="243">
        <v>0</v>
      </c>
      <c r="E18" s="243">
        <v>0</v>
      </c>
      <c r="F18" s="243">
        <v>25</v>
      </c>
      <c r="G18" s="243">
        <v>3</v>
      </c>
      <c r="H18" s="243">
        <v>1</v>
      </c>
    </row>
    <row r="19" spans="1:8" s="3" customFormat="1" ht="16.5" customHeight="1">
      <c r="A19" s="279"/>
      <c r="B19" s="280">
        <v>100</v>
      </c>
      <c r="C19" s="511">
        <v>86.206896551724128</v>
      </c>
      <c r="D19" s="252" t="s">
        <v>67</v>
      </c>
      <c r="E19" s="252" t="s">
        <v>510</v>
      </c>
      <c r="F19" s="511">
        <v>86.206896551724128</v>
      </c>
      <c r="G19" s="511">
        <v>10.344827586206897</v>
      </c>
      <c r="H19" s="511">
        <v>3.5</v>
      </c>
    </row>
    <row r="20" spans="1:8" s="3" customFormat="1" ht="16.5" customHeight="1">
      <c r="A20" s="54"/>
    </row>
    <row r="21" spans="1:8" s="3" customFormat="1" ht="16.5" customHeight="1">
      <c r="A21" s="101" t="s">
        <v>511</v>
      </c>
      <c r="B21" s="54"/>
      <c r="C21" s="54"/>
      <c r="D21" s="54"/>
      <c r="E21" s="54"/>
      <c r="F21" s="54"/>
      <c r="G21" s="54"/>
      <c r="H21" s="54"/>
    </row>
    <row r="22" spans="1:8" s="3" customFormat="1" ht="16.5" customHeight="1">
      <c r="A22" s="56" t="s">
        <v>788</v>
      </c>
      <c r="B22" s="52"/>
      <c r="C22" s="52"/>
      <c r="D22" s="52"/>
      <c r="E22" s="52"/>
      <c r="F22" s="52"/>
      <c r="G22" s="52"/>
      <c r="H22" s="52"/>
    </row>
    <row r="23" spans="1:8" s="3" customFormat="1" ht="16.5" customHeight="1"/>
    <row r="24" spans="1:8" s="3" customFormat="1" ht="16.5" customHeight="1">
      <c r="A24" s="72" t="s">
        <v>677</v>
      </c>
    </row>
    <row r="25" spans="1:8" s="3" customFormat="1" ht="16.5" customHeight="1">
      <c r="A25" s="266" t="s">
        <v>160</v>
      </c>
      <c r="B25" s="554" t="s">
        <v>574</v>
      </c>
      <c r="C25" s="554" t="s">
        <v>620</v>
      </c>
      <c r="D25" s="555" t="s">
        <v>512</v>
      </c>
    </row>
    <row r="26" spans="1:8" s="3" customFormat="1" ht="16.5" customHeight="1">
      <c r="A26" s="265" t="s">
        <v>500</v>
      </c>
      <c r="B26" s="554"/>
      <c r="C26" s="554"/>
      <c r="D26" s="555"/>
    </row>
    <row r="27" spans="1:8" s="3" customFormat="1" ht="16.5" customHeight="1">
      <c r="A27" s="199" t="s">
        <v>93</v>
      </c>
      <c r="B27" s="243">
        <v>126</v>
      </c>
      <c r="C27" s="270">
        <v>70</v>
      </c>
      <c r="D27" s="25">
        <v>55.555555555555557</v>
      </c>
    </row>
    <row r="28" spans="1:8" s="3" customFormat="1" ht="16.5" customHeight="1">
      <c r="A28" s="200" t="s">
        <v>94</v>
      </c>
      <c r="B28" s="175">
        <v>79</v>
      </c>
      <c r="C28" s="281">
        <v>29</v>
      </c>
      <c r="D28" s="181">
        <v>36.708860759493675</v>
      </c>
    </row>
  </sheetData>
  <sheetProtection algorithmName="SHA-512" hashValue="iWU9PgzeXBoiM9zPWGb8/xgruOvp+U3dHQJrTStBGlP5WBxJCmhYO/u8Ji9cN+7XmkBsdM6LNeCr+LeJp9jfwA==" saltValue="S1WkQyZRczQ+CI1qvMeIDw==" spinCount="100000" sheet="1" objects="1" scenarios="1"/>
  <customSheetViews>
    <customSheetView guid="{4810CB4C-E276-4485-93D3-F920B09A4189}" showPageBreaks="1" showGridLines="0" printArea="1" view="pageBreakPreview">
      <pageMargins left="0.46" right="0.4" top="0.89" bottom="1" header="0.5" footer="0.5"/>
      <pageSetup paperSize="9" orientation="portrait" r:id="rId1"/>
      <headerFooter alignWithMargins="0"/>
    </customSheetView>
  </customSheetViews>
  <mergeCells count="16">
    <mergeCell ref="B25:B26"/>
    <mergeCell ref="C25:C26"/>
    <mergeCell ref="D25:D26"/>
    <mergeCell ref="B13:B15"/>
    <mergeCell ref="C13:F13"/>
    <mergeCell ref="G13:G15"/>
    <mergeCell ref="H13:H15"/>
    <mergeCell ref="C14:C15"/>
    <mergeCell ref="D14:E14"/>
    <mergeCell ref="F14:F15"/>
    <mergeCell ref="G4:G5"/>
    <mergeCell ref="B4:B5"/>
    <mergeCell ref="C4:C5"/>
    <mergeCell ref="D4:D5"/>
    <mergeCell ref="E4:E5"/>
    <mergeCell ref="F4:F5"/>
  </mergeCells>
  <phoneticPr fontId="6" type="noConversion"/>
  <pageMargins left="0.46" right="0.4" top="0.89" bottom="1" header="0.5" footer="0.5"/>
  <pageSetup paperSize="9" orientation="portrait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41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6" customWidth="1"/>
    <col min="2" max="11" width="8.88671875" style="76" customWidth="1"/>
    <col min="12" max="12" width="8.88671875" style="124" customWidth="1"/>
    <col min="13" max="16384" width="8" style="76"/>
  </cols>
  <sheetData>
    <row r="1" spans="1:12" s="3" customFormat="1" ht="16.5" customHeight="1">
      <c r="A1" s="101" t="s">
        <v>640</v>
      </c>
      <c r="B1" s="54"/>
      <c r="C1" s="54"/>
      <c r="D1" s="54"/>
      <c r="E1" s="54"/>
      <c r="F1" s="54"/>
      <c r="G1" s="54"/>
    </row>
    <row r="2" spans="1:12" s="3" customFormat="1" ht="16.5" customHeight="1">
      <c r="A2" s="54"/>
      <c r="B2" s="54"/>
      <c r="C2" s="54"/>
      <c r="D2" s="54"/>
      <c r="E2" s="54"/>
    </row>
    <row r="3" spans="1:12" s="3" customFormat="1" ht="16.5" customHeight="1">
      <c r="A3" s="101" t="s">
        <v>23</v>
      </c>
      <c r="B3" s="54"/>
      <c r="C3" s="54"/>
      <c r="D3" s="54"/>
      <c r="E3" s="54"/>
      <c r="F3" s="54"/>
      <c r="G3" s="54"/>
    </row>
    <row r="4" spans="1:12" s="3" customFormat="1" ht="30" customHeight="1">
      <c r="A4" s="627" t="s">
        <v>795</v>
      </c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</row>
    <row r="5" spans="1:12" s="3" customFormat="1" ht="16.5" customHeight="1">
      <c r="A5" s="201" t="s">
        <v>53</v>
      </c>
      <c r="B5" s="54"/>
      <c r="C5" s="54"/>
      <c r="D5" s="54"/>
      <c r="E5" s="54"/>
      <c r="F5" s="54"/>
      <c r="G5" s="54"/>
    </row>
    <row r="6" spans="1:12" s="3" customFormat="1" ht="30" customHeight="1">
      <c r="A6" s="627" t="s">
        <v>794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</row>
    <row r="7" spans="1:12" s="3" customFormat="1" ht="16.5" customHeight="1">
      <c r="A7" s="100"/>
      <c r="B7" s="54"/>
      <c r="C7" s="54"/>
      <c r="D7" s="54"/>
      <c r="E7" s="54"/>
      <c r="F7" s="54"/>
      <c r="G7" s="54"/>
      <c r="I7" s="53"/>
      <c r="J7" s="53"/>
      <c r="K7" s="53"/>
    </row>
    <row r="8" spans="1:12" s="3" customFormat="1" ht="16.5" customHeight="1">
      <c r="A8" s="72" t="s">
        <v>678</v>
      </c>
      <c r="I8" s="53"/>
      <c r="J8" s="53"/>
      <c r="K8" s="53"/>
    </row>
    <row r="9" spans="1:12" s="3" customFormat="1" ht="16.5" customHeight="1">
      <c r="A9" s="327" t="s">
        <v>160</v>
      </c>
      <c r="B9" s="554" t="s">
        <v>52</v>
      </c>
      <c r="C9" s="544" t="s">
        <v>26</v>
      </c>
      <c r="D9" s="587"/>
      <c r="E9" s="587"/>
      <c r="F9" s="545"/>
      <c r="G9" s="554" t="s">
        <v>54</v>
      </c>
      <c r="H9" s="555" t="s">
        <v>32</v>
      </c>
      <c r="I9" s="53"/>
      <c r="J9" s="53"/>
      <c r="K9" s="53"/>
    </row>
    <row r="10" spans="1:12" s="3" customFormat="1" ht="16.5" customHeight="1">
      <c r="A10" s="207"/>
      <c r="B10" s="554"/>
      <c r="C10" s="667" t="s">
        <v>86</v>
      </c>
      <c r="D10" s="667" t="s">
        <v>386</v>
      </c>
      <c r="E10" s="668" t="s">
        <v>112</v>
      </c>
      <c r="F10" s="669"/>
      <c r="G10" s="554"/>
      <c r="H10" s="555"/>
      <c r="I10" s="53"/>
      <c r="J10" s="74"/>
      <c r="K10" s="202"/>
    </row>
    <row r="11" spans="1:12" s="3" customFormat="1" ht="16.5" customHeight="1">
      <c r="A11" s="207" t="s">
        <v>166</v>
      </c>
      <c r="B11" s="554"/>
      <c r="C11" s="554"/>
      <c r="D11" s="554"/>
      <c r="E11" s="633"/>
      <c r="F11" s="670"/>
      <c r="G11" s="554"/>
      <c r="H11" s="555"/>
      <c r="I11" s="53"/>
      <c r="J11" s="74"/>
      <c r="K11" s="74" t="s">
        <v>30</v>
      </c>
    </row>
    <row r="12" spans="1:12" s="3" customFormat="1" ht="16.5" customHeight="1">
      <c r="A12" s="326" t="s">
        <v>63</v>
      </c>
      <c r="B12" s="97">
        <v>440842</v>
      </c>
      <c r="C12" s="244">
        <v>438798</v>
      </c>
      <c r="D12" s="243">
        <v>432070</v>
      </c>
      <c r="E12" s="661">
        <v>6728</v>
      </c>
      <c r="F12" s="662"/>
      <c r="G12" s="184">
        <v>41435</v>
      </c>
      <c r="H12" s="169">
        <v>99.536341818610751</v>
      </c>
      <c r="I12" s="53"/>
      <c r="J12" s="74"/>
      <c r="K12" s="74"/>
    </row>
    <row r="13" spans="1:12" s="1" customFormat="1" ht="16.5" customHeight="1">
      <c r="A13" s="29" t="s">
        <v>387</v>
      </c>
      <c r="B13" s="179"/>
      <c r="C13" s="41">
        <v>100</v>
      </c>
      <c r="D13" s="329">
        <v>98.466720449956469</v>
      </c>
      <c r="E13" s="665">
        <v>1.5332795500435279</v>
      </c>
      <c r="F13" s="666"/>
      <c r="G13" s="205"/>
      <c r="H13" s="169"/>
      <c r="I13" s="13"/>
      <c r="J13" s="16"/>
      <c r="K13" s="15"/>
    </row>
    <row r="14" spans="1:12" s="3" customFormat="1" ht="16.5" customHeight="1">
      <c r="A14" s="326" t="s">
        <v>62</v>
      </c>
      <c r="B14" s="97">
        <v>1589</v>
      </c>
      <c r="C14" s="244">
        <v>1589</v>
      </c>
      <c r="D14" s="243">
        <v>1582</v>
      </c>
      <c r="E14" s="661">
        <v>7</v>
      </c>
      <c r="F14" s="662"/>
      <c r="G14" s="184">
        <v>36</v>
      </c>
      <c r="H14" s="169">
        <v>100</v>
      </c>
      <c r="I14" s="53"/>
      <c r="J14" s="74"/>
      <c r="K14" s="74"/>
      <c r="L14" s="123"/>
    </row>
    <row r="15" spans="1:12" s="1" customFormat="1" ht="16.5" customHeight="1">
      <c r="A15" s="203" t="s">
        <v>387</v>
      </c>
      <c r="B15" s="280"/>
      <c r="C15" s="420">
        <v>100</v>
      </c>
      <c r="D15" s="328">
        <v>99.559471365638757</v>
      </c>
      <c r="E15" s="663">
        <v>0.44052863436123352</v>
      </c>
      <c r="F15" s="664"/>
      <c r="G15" s="330"/>
      <c r="H15" s="204"/>
      <c r="I15" s="13"/>
      <c r="J15" s="16"/>
      <c r="K15" s="15"/>
      <c r="L15" s="19"/>
    </row>
    <row r="16" spans="1:12" s="3" customFormat="1" ht="16.5" customHeight="1">
      <c r="A16" s="3" t="s">
        <v>560</v>
      </c>
      <c r="B16" s="54"/>
      <c r="C16" s="54"/>
      <c r="D16" s="54"/>
      <c r="E16" s="54"/>
      <c r="F16" s="54"/>
      <c r="G16" s="54"/>
      <c r="H16" s="100"/>
      <c r="I16" s="75"/>
      <c r="J16" s="75"/>
      <c r="K16" s="53"/>
      <c r="L16" s="123"/>
    </row>
    <row r="17" spans="1:12" s="3" customFormat="1" ht="16.5" customHeight="1">
      <c r="L17" s="123"/>
    </row>
    <row r="18" spans="1:12" s="3" customFormat="1" ht="16.5" customHeight="1">
      <c r="A18" s="72" t="s">
        <v>679</v>
      </c>
      <c r="L18" s="123"/>
    </row>
    <row r="19" spans="1:12" s="3" customFormat="1" ht="16.5" customHeight="1">
      <c r="A19" s="671" t="s">
        <v>167</v>
      </c>
      <c r="B19" s="672"/>
      <c r="C19" s="657" t="s">
        <v>86</v>
      </c>
      <c r="D19" s="659" t="s">
        <v>252</v>
      </c>
      <c r="E19" s="659" t="s">
        <v>253</v>
      </c>
      <c r="F19" s="659" t="s">
        <v>254</v>
      </c>
      <c r="G19" s="659" t="s">
        <v>255</v>
      </c>
      <c r="H19" s="659" t="s">
        <v>256</v>
      </c>
      <c r="I19" s="657" t="s">
        <v>51</v>
      </c>
      <c r="J19" s="657" t="s">
        <v>113</v>
      </c>
      <c r="K19" s="679" t="s">
        <v>114</v>
      </c>
      <c r="L19" s="123"/>
    </row>
    <row r="20" spans="1:12" s="3" customFormat="1" ht="16.5" customHeight="1">
      <c r="A20" s="569" t="s">
        <v>65</v>
      </c>
      <c r="B20" s="570"/>
      <c r="C20" s="658"/>
      <c r="D20" s="660"/>
      <c r="E20" s="660"/>
      <c r="F20" s="660"/>
      <c r="G20" s="660"/>
      <c r="H20" s="660"/>
      <c r="I20" s="658"/>
      <c r="J20" s="658"/>
      <c r="K20" s="680"/>
      <c r="L20" s="123"/>
    </row>
    <row r="21" spans="1:12" s="3" customFormat="1" ht="16.5" customHeight="1">
      <c r="A21" s="674" t="s">
        <v>257</v>
      </c>
      <c r="B21" s="440" t="s">
        <v>52</v>
      </c>
      <c r="C21" s="435">
        <v>440842</v>
      </c>
      <c r="D21" s="243">
        <v>20165</v>
      </c>
      <c r="E21" s="243">
        <v>10209</v>
      </c>
      <c r="F21" s="243">
        <v>15580</v>
      </c>
      <c r="G21" s="243">
        <v>14867</v>
      </c>
      <c r="H21" s="243">
        <v>10650</v>
      </c>
      <c r="I21" s="243">
        <v>27811</v>
      </c>
      <c r="J21" s="243">
        <v>41209</v>
      </c>
      <c r="K21" s="243">
        <v>75880</v>
      </c>
      <c r="L21" s="123"/>
    </row>
    <row r="22" spans="1:12" s="11" customFormat="1" ht="16.5" customHeight="1">
      <c r="A22" s="674"/>
      <c r="B22" s="440"/>
      <c r="C22" s="444">
        <v>100</v>
      </c>
      <c r="D22" s="18">
        <v>4.5742011877271223</v>
      </c>
      <c r="E22" s="18">
        <v>2.3157956818996372</v>
      </c>
      <c r="F22" s="18">
        <v>3.5341460205697275</v>
      </c>
      <c r="G22" s="18">
        <v>3.3724100698209338</v>
      </c>
      <c r="H22" s="18">
        <v>2.4158315224048525</v>
      </c>
      <c r="I22" s="18">
        <v>6.308609433765386</v>
      </c>
      <c r="J22" s="18">
        <v>9.3477935405428703</v>
      </c>
      <c r="K22" s="18">
        <v>17.212516048833823</v>
      </c>
      <c r="L22" s="21"/>
    </row>
    <row r="23" spans="1:12" s="3" customFormat="1" ht="16.5" customHeight="1">
      <c r="A23" s="675"/>
      <c r="B23" s="445" t="s">
        <v>26</v>
      </c>
      <c r="C23" s="437">
        <v>438798</v>
      </c>
      <c r="D23" s="46">
        <v>25182</v>
      </c>
      <c r="E23" s="46">
        <v>9350</v>
      </c>
      <c r="F23" s="46">
        <v>13887</v>
      </c>
      <c r="G23" s="46">
        <v>16271</v>
      </c>
      <c r="H23" s="46">
        <v>9585</v>
      </c>
      <c r="I23" s="46">
        <v>26578</v>
      </c>
      <c r="J23" s="46">
        <v>37663</v>
      </c>
      <c r="K23" s="46">
        <v>73569</v>
      </c>
      <c r="L23" s="123"/>
    </row>
    <row r="24" spans="1:12" s="3" customFormat="1" ht="16.5" customHeight="1">
      <c r="A24" s="676" t="s">
        <v>258</v>
      </c>
      <c r="B24" s="442" t="s">
        <v>52</v>
      </c>
      <c r="C24" s="443">
        <v>1589</v>
      </c>
      <c r="D24" s="441">
        <v>103</v>
      </c>
      <c r="E24" s="441">
        <v>0</v>
      </c>
      <c r="F24" s="441">
        <v>12</v>
      </c>
      <c r="G24" s="441">
        <v>24</v>
      </c>
      <c r="H24" s="441">
        <v>0</v>
      </c>
      <c r="I24" s="441">
        <v>533</v>
      </c>
      <c r="J24" s="441">
        <v>266</v>
      </c>
      <c r="K24" s="441">
        <v>258</v>
      </c>
      <c r="L24" s="123"/>
    </row>
    <row r="25" spans="1:12" s="1" customFormat="1" ht="16.5" customHeight="1">
      <c r="A25" s="674"/>
      <c r="B25" s="440"/>
      <c r="C25" s="444">
        <v>100</v>
      </c>
      <c r="D25" s="510">
        <v>6.4820641913152928</v>
      </c>
      <c r="E25" s="67" t="s">
        <v>754</v>
      </c>
      <c r="F25" s="510">
        <v>0.75519194461925743</v>
      </c>
      <c r="G25" s="510">
        <v>1.5103838892385149</v>
      </c>
      <c r="H25" s="67" t="s">
        <v>754</v>
      </c>
      <c r="I25" s="513">
        <v>33.6</v>
      </c>
      <c r="J25" s="513">
        <v>16.8</v>
      </c>
      <c r="K25" s="510">
        <v>16.236626809314032</v>
      </c>
      <c r="L25" s="19"/>
    </row>
    <row r="26" spans="1:12" s="3" customFormat="1" ht="16.5" customHeight="1">
      <c r="A26" s="675"/>
      <c r="B26" s="445" t="s">
        <v>26</v>
      </c>
      <c r="C26" s="437">
        <v>1589</v>
      </c>
      <c r="D26" s="46">
        <v>103</v>
      </c>
      <c r="E26" s="46">
        <v>0</v>
      </c>
      <c r="F26" s="46">
        <v>12</v>
      </c>
      <c r="G26" s="46">
        <v>27</v>
      </c>
      <c r="H26" s="46">
        <v>0</v>
      </c>
      <c r="I26" s="46">
        <v>502</v>
      </c>
      <c r="J26" s="46">
        <v>260</v>
      </c>
      <c r="K26" s="46">
        <v>262</v>
      </c>
      <c r="L26" s="123"/>
    </row>
    <row r="27" spans="1:12" s="3" customFormat="1" ht="16.5" customHeight="1">
      <c r="B27" s="677" t="s">
        <v>115</v>
      </c>
      <c r="C27" s="657" t="s">
        <v>116</v>
      </c>
      <c r="D27" s="657" t="s">
        <v>117</v>
      </c>
      <c r="E27" s="657" t="s">
        <v>118</v>
      </c>
      <c r="F27" s="657" t="s">
        <v>119</v>
      </c>
      <c r="G27" s="657" t="s">
        <v>120</v>
      </c>
      <c r="H27" s="657" t="s">
        <v>121</v>
      </c>
      <c r="I27" s="657" t="s">
        <v>122</v>
      </c>
      <c r="J27" s="657" t="s">
        <v>123</v>
      </c>
      <c r="K27" s="679" t="s">
        <v>124</v>
      </c>
      <c r="L27" s="123"/>
    </row>
    <row r="28" spans="1:12" s="3" customFormat="1" ht="16.5" customHeight="1">
      <c r="B28" s="678"/>
      <c r="C28" s="658"/>
      <c r="D28" s="658"/>
      <c r="E28" s="658"/>
      <c r="F28" s="658"/>
      <c r="G28" s="658"/>
      <c r="H28" s="658"/>
      <c r="I28" s="658"/>
      <c r="J28" s="658"/>
      <c r="K28" s="680"/>
      <c r="L28" s="123"/>
    </row>
    <row r="29" spans="1:12" s="3" customFormat="1" ht="16.5" customHeight="1">
      <c r="B29" s="243">
        <v>12815</v>
      </c>
      <c r="C29" s="243">
        <v>37607</v>
      </c>
      <c r="D29" s="243">
        <v>13607</v>
      </c>
      <c r="E29" s="243">
        <v>41281</v>
      </c>
      <c r="F29" s="243">
        <v>29506</v>
      </c>
      <c r="G29" s="243">
        <v>11891</v>
      </c>
      <c r="H29" s="243">
        <v>24057</v>
      </c>
      <c r="I29" s="243">
        <v>31116</v>
      </c>
      <c r="J29" s="243">
        <v>14308</v>
      </c>
      <c r="K29" s="243">
        <v>8283</v>
      </c>
      <c r="L29" s="123"/>
    </row>
    <row r="30" spans="1:12" s="11" customFormat="1" ht="16.5" customHeight="1">
      <c r="B30" s="18">
        <v>2.9069371793068717</v>
      </c>
      <c r="C30" s="18">
        <v>8.5307207570966472</v>
      </c>
      <c r="D30" s="18">
        <v>3.0865933826631764</v>
      </c>
      <c r="E30" s="18">
        <v>9.3641259226661706</v>
      </c>
      <c r="F30" s="18">
        <v>6.6931009295847481</v>
      </c>
      <c r="G30" s="18">
        <v>2.6973382753911834</v>
      </c>
      <c r="H30" s="18">
        <v>5.4570571769477505</v>
      </c>
      <c r="I30" s="18">
        <v>7.0583111409529939</v>
      </c>
      <c r="J30" s="18">
        <v>3.2456072697247542</v>
      </c>
      <c r="K30" s="18">
        <v>1.8789044601013514</v>
      </c>
      <c r="L30" s="21"/>
    </row>
    <row r="31" spans="1:12" s="3" customFormat="1" ht="16.5" customHeight="1">
      <c r="B31" s="46">
        <v>13636</v>
      </c>
      <c r="C31" s="46">
        <v>39914</v>
      </c>
      <c r="D31" s="46">
        <v>12780</v>
      </c>
      <c r="E31" s="46">
        <v>41074</v>
      </c>
      <c r="F31" s="46">
        <v>28613</v>
      </c>
      <c r="G31" s="46">
        <v>13633</v>
      </c>
      <c r="H31" s="46">
        <v>22077</v>
      </c>
      <c r="I31" s="46">
        <v>32771</v>
      </c>
      <c r="J31" s="46">
        <v>13946</v>
      </c>
      <c r="K31" s="46">
        <v>8269</v>
      </c>
      <c r="L31" s="123"/>
    </row>
    <row r="32" spans="1:12" s="3" customFormat="1" ht="16.5" customHeight="1">
      <c r="B32" s="441">
        <v>5</v>
      </c>
      <c r="C32" s="441">
        <v>0</v>
      </c>
      <c r="D32" s="441">
        <v>0</v>
      </c>
      <c r="E32" s="441">
        <v>65</v>
      </c>
      <c r="F32" s="441">
        <v>10</v>
      </c>
      <c r="G32" s="441">
        <v>18</v>
      </c>
      <c r="H32" s="441">
        <v>18</v>
      </c>
      <c r="I32" s="441">
        <v>277</v>
      </c>
      <c r="J32" s="441">
        <v>0</v>
      </c>
      <c r="K32" s="441">
        <v>0</v>
      </c>
      <c r="L32" s="123"/>
    </row>
    <row r="33" spans="1:12" s="1" customFormat="1" ht="16.5" customHeight="1">
      <c r="B33" s="510">
        <v>0.31466331025802391</v>
      </c>
      <c r="C33" s="67" t="s">
        <v>754</v>
      </c>
      <c r="D33" s="67" t="s">
        <v>754</v>
      </c>
      <c r="E33" s="510">
        <v>4.0906230333543112</v>
      </c>
      <c r="F33" s="510">
        <v>0.62932662051604782</v>
      </c>
      <c r="G33" s="510">
        <v>1.1327879169288861</v>
      </c>
      <c r="H33" s="510">
        <v>1.1327879169288861</v>
      </c>
      <c r="I33" s="510">
        <v>17.432347388294524</v>
      </c>
      <c r="J33" s="67" t="s">
        <v>754</v>
      </c>
      <c r="K33" s="67" t="s">
        <v>67</v>
      </c>
      <c r="L33" s="19"/>
    </row>
    <row r="34" spans="1:12" s="3" customFormat="1" ht="16.5" customHeight="1">
      <c r="B34" s="46">
        <v>5</v>
      </c>
      <c r="C34" s="46">
        <v>0</v>
      </c>
      <c r="D34" s="46">
        <v>0</v>
      </c>
      <c r="E34" s="46">
        <v>70</v>
      </c>
      <c r="F34" s="46">
        <v>12</v>
      </c>
      <c r="G34" s="46">
        <v>18</v>
      </c>
      <c r="H34" s="46">
        <v>20</v>
      </c>
      <c r="I34" s="46">
        <v>298</v>
      </c>
      <c r="J34" s="46">
        <v>0</v>
      </c>
      <c r="K34" s="46">
        <v>0</v>
      </c>
      <c r="L34" s="123"/>
    </row>
    <row r="35" spans="1:12" s="3" customFormat="1" ht="16.5" customHeight="1">
      <c r="B35" s="3" t="s">
        <v>259</v>
      </c>
      <c r="L35" s="123"/>
    </row>
    <row r="36" spans="1:12" s="3" customFormat="1" ht="16.5" customHeight="1">
      <c r="A36" s="100"/>
      <c r="B36" s="101"/>
      <c r="C36" s="54"/>
      <c r="D36" s="54"/>
      <c r="E36" s="54"/>
      <c r="F36" s="54"/>
      <c r="G36" s="54"/>
      <c r="H36" s="54"/>
      <c r="I36" s="54"/>
      <c r="J36" s="54"/>
      <c r="K36" s="54"/>
      <c r="L36" s="58"/>
    </row>
    <row r="37" spans="1:12" s="3" customFormat="1" ht="16.5" customHeight="1">
      <c r="A37" s="72" t="s">
        <v>680</v>
      </c>
      <c r="L37" s="123"/>
    </row>
    <row r="38" spans="1:12" s="3" customFormat="1" ht="16.5" customHeight="1">
      <c r="A38" s="434" t="s">
        <v>36</v>
      </c>
      <c r="B38" s="657" t="s">
        <v>52</v>
      </c>
      <c r="C38" s="533" t="s">
        <v>30</v>
      </c>
      <c r="D38" s="673"/>
      <c r="E38" s="673"/>
      <c r="F38" s="673"/>
      <c r="G38" s="673"/>
      <c r="H38" s="673"/>
      <c r="I38" s="673"/>
      <c r="J38" s="673"/>
      <c r="K38" s="673"/>
      <c r="L38" s="673"/>
    </row>
    <row r="39" spans="1:12" s="3" customFormat="1" ht="22.5">
      <c r="A39" s="207" t="s">
        <v>65</v>
      </c>
      <c r="B39" s="658"/>
      <c r="C39" s="428" t="s">
        <v>4</v>
      </c>
      <c r="D39" s="428" t="s">
        <v>55</v>
      </c>
      <c r="E39" s="428" t="s">
        <v>37</v>
      </c>
      <c r="F39" s="428" t="s">
        <v>12</v>
      </c>
      <c r="G39" s="331" t="s">
        <v>153</v>
      </c>
      <c r="H39" s="428" t="s">
        <v>9</v>
      </c>
      <c r="I39" s="428" t="s">
        <v>8</v>
      </c>
      <c r="J39" s="331" t="s">
        <v>170</v>
      </c>
      <c r="K39" s="428" t="s">
        <v>56</v>
      </c>
      <c r="L39" s="432" t="s">
        <v>35</v>
      </c>
    </row>
    <row r="40" spans="1:12" s="3" customFormat="1" ht="16.5" customHeight="1">
      <c r="A40" s="427" t="s">
        <v>111</v>
      </c>
      <c r="B40" s="435">
        <v>42037</v>
      </c>
      <c r="C40" s="435">
        <v>38767</v>
      </c>
      <c r="D40" s="243">
        <v>94</v>
      </c>
      <c r="E40" s="243">
        <v>72</v>
      </c>
      <c r="F40" s="243">
        <v>26929</v>
      </c>
      <c r="G40" s="243">
        <v>1663</v>
      </c>
      <c r="H40" s="243">
        <v>992</v>
      </c>
      <c r="I40" s="243">
        <v>2044</v>
      </c>
      <c r="J40" s="243">
        <v>99</v>
      </c>
      <c r="K40" s="243">
        <v>1308</v>
      </c>
      <c r="L40" s="243">
        <v>5566</v>
      </c>
    </row>
    <row r="41" spans="1:12" s="1" customFormat="1" ht="16.5" customHeight="1">
      <c r="A41" s="436" t="s">
        <v>6</v>
      </c>
      <c r="B41" s="437"/>
      <c r="C41" s="438">
        <v>100</v>
      </c>
      <c r="D41" s="439">
        <v>0.24247426935280009</v>
      </c>
      <c r="E41" s="439">
        <v>0.18572497227022985</v>
      </c>
      <c r="F41" s="439">
        <v>69.463719142569715</v>
      </c>
      <c r="G41" s="439">
        <v>4.2897309567415585</v>
      </c>
      <c r="H41" s="439">
        <v>2.5</v>
      </c>
      <c r="I41" s="439">
        <v>5.272525601671525</v>
      </c>
      <c r="J41" s="439">
        <v>0.2</v>
      </c>
      <c r="K41" s="439">
        <v>3.3740036629091752</v>
      </c>
      <c r="L41" s="439">
        <v>14.357572161890268</v>
      </c>
    </row>
  </sheetData>
  <sheetProtection algorithmName="SHA-512" hashValue="qDKqZqxSaP3iQ9dRN2dYSzRHrYaQT0yW09G1oCWzCwM2nkHDbViiiBhmbH6ZO06GFtQYx368eLqgugLp4Rig0g==" saltValue="17CTUOSkh249orFc3y+ALg==" spinCount="100000" sheet="1" objects="1" scenarios="1"/>
  <customSheetViews>
    <customSheetView guid="{4810CB4C-E276-4485-93D3-F920B09A4189}" showPageBreaks="1" showGridLines="0" printArea="1" view="pageBreakPreview">
      <pageMargins left="0.24" right="0.05" top="0.57999999999999996" bottom="0.16" header="0.5" footer="0.5"/>
      <pageSetup paperSize="9" scale="77" orientation="portrait" r:id="rId1"/>
      <headerFooter alignWithMargins="0"/>
    </customSheetView>
  </customSheetViews>
  <mergeCells count="38">
    <mergeCell ref="C38:L38"/>
    <mergeCell ref="D19:D20"/>
    <mergeCell ref="D27:D28"/>
    <mergeCell ref="C19:C20"/>
    <mergeCell ref="A21:A23"/>
    <mergeCell ref="A24:A26"/>
    <mergeCell ref="B38:B39"/>
    <mergeCell ref="B27:B28"/>
    <mergeCell ref="C27:C28"/>
    <mergeCell ref="K27:K28"/>
    <mergeCell ref="K19:K20"/>
    <mergeCell ref="F27:F28"/>
    <mergeCell ref="J27:J28"/>
    <mergeCell ref="E19:E20"/>
    <mergeCell ref="E27:E28"/>
    <mergeCell ref="F19:F20"/>
    <mergeCell ref="A4:L4"/>
    <mergeCell ref="E12:F12"/>
    <mergeCell ref="I19:I20"/>
    <mergeCell ref="E14:F14"/>
    <mergeCell ref="J19:J20"/>
    <mergeCell ref="E15:F15"/>
    <mergeCell ref="E13:F13"/>
    <mergeCell ref="B9:B11"/>
    <mergeCell ref="G9:G11"/>
    <mergeCell ref="C10:C11"/>
    <mergeCell ref="D10:D11"/>
    <mergeCell ref="H9:H11"/>
    <mergeCell ref="C9:F9"/>
    <mergeCell ref="E10:F11"/>
    <mergeCell ref="A20:B20"/>
    <mergeCell ref="A19:B19"/>
    <mergeCell ref="A6:L6"/>
    <mergeCell ref="I27:I28"/>
    <mergeCell ref="G19:G20"/>
    <mergeCell ref="H19:H20"/>
    <mergeCell ref="G27:G28"/>
    <mergeCell ref="H27:H28"/>
  </mergeCells>
  <phoneticPr fontId="55" type="noConversion"/>
  <pageMargins left="0.24" right="0.05" top="0.57999999999999996" bottom="0.16" header="0.5" footer="0.5"/>
  <pageSetup paperSize="9" scale="77" orientation="portrait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4"/>
  <sheetViews>
    <sheetView showGridLines="0" zoomScaleNormal="100" zoomScaleSheetLayoutView="100" workbookViewId="0"/>
  </sheetViews>
  <sheetFormatPr defaultColWidth="8" defaultRowHeight="16.5" customHeight="1"/>
  <cols>
    <col min="1" max="1" width="11.109375" style="76" customWidth="1"/>
    <col min="2" max="12" width="8.88671875" style="76" customWidth="1"/>
    <col min="13" max="16384" width="8" style="76"/>
  </cols>
  <sheetData>
    <row r="1" spans="1:12" s="3" customFormat="1" ht="16.5" customHeight="1">
      <c r="A1" s="201" t="s">
        <v>641</v>
      </c>
      <c r="B1" s="54"/>
      <c r="C1" s="54"/>
      <c r="D1" s="54"/>
      <c r="E1" s="54"/>
      <c r="F1" s="54"/>
      <c r="G1" s="54"/>
      <c r="H1" s="54"/>
      <c r="I1" s="54"/>
      <c r="J1" s="210"/>
      <c r="K1" s="54"/>
    </row>
    <row r="2" spans="1:12" s="3" customFormat="1" ht="16.5" customHeight="1">
      <c r="A2" s="100"/>
      <c r="B2" s="54"/>
      <c r="C2" s="54"/>
      <c r="D2" s="54"/>
      <c r="E2" s="54"/>
      <c r="F2" s="54"/>
      <c r="I2" s="54"/>
      <c r="J2" s="54"/>
      <c r="K2" s="54"/>
    </row>
    <row r="3" spans="1:12" s="3" customFormat="1" ht="16.5" customHeight="1">
      <c r="A3" s="201" t="s">
        <v>23</v>
      </c>
      <c r="B3" s="54"/>
      <c r="C3" s="54"/>
      <c r="D3" s="54"/>
      <c r="E3" s="54"/>
      <c r="F3" s="54"/>
      <c r="G3" s="54"/>
      <c r="H3" s="54"/>
      <c r="I3" s="54"/>
      <c r="J3" s="54"/>
      <c r="K3" s="54"/>
    </row>
    <row r="4" spans="1:12" s="3" customFormat="1" ht="24" customHeight="1">
      <c r="A4" s="681" t="s">
        <v>796</v>
      </c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320"/>
    </row>
    <row r="5" spans="1:12" s="3" customFormat="1" ht="16.5" customHeight="1">
      <c r="A5" s="100"/>
      <c r="B5" s="54"/>
      <c r="C5" s="54"/>
      <c r="D5" s="54"/>
      <c r="E5" s="54"/>
      <c r="F5" s="54"/>
      <c r="G5" s="54"/>
      <c r="H5" s="54"/>
      <c r="I5" s="54"/>
      <c r="J5" s="54"/>
      <c r="K5" s="54"/>
    </row>
    <row r="6" spans="1:12" s="3" customFormat="1" ht="16.5" customHeight="1">
      <c r="A6" s="201" t="s">
        <v>53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2" s="3" customFormat="1" ht="16.5" customHeight="1">
      <c r="A7" s="453" t="s">
        <v>807</v>
      </c>
      <c r="B7" s="54"/>
      <c r="C7" s="54"/>
      <c r="D7" s="54"/>
      <c r="E7" s="54"/>
      <c r="F7" s="54"/>
      <c r="G7" s="54"/>
      <c r="H7" s="54"/>
      <c r="I7" s="54"/>
      <c r="J7" s="54"/>
      <c r="K7" s="54"/>
    </row>
    <row r="8" spans="1:12" s="3" customFormat="1" ht="16.5" customHeight="1">
      <c r="A8" s="100"/>
      <c r="B8" s="54"/>
      <c r="C8" s="54"/>
      <c r="D8" s="54"/>
      <c r="E8" s="54"/>
      <c r="F8" s="54"/>
      <c r="G8" s="54"/>
      <c r="H8" s="54"/>
      <c r="I8" s="54"/>
      <c r="J8" s="54"/>
      <c r="K8" s="54"/>
    </row>
    <row r="9" spans="1:12" s="3" customFormat="1" ht="16.5" customHeight="1">
      <c r="A9" s="211" t="s">
        <v>681</v>
      </c>
    </row>
    <row r="10" spans="1:12" s="3" customFormat="1" ht="16.5" customHeight="1">
      <c r="A10" s="319" t="s">
        <v>313</v>
      </c>
      <c r="B10" s="554" t="s">
        <v>86</v>
      </c>
      <c r="C10" s="558" t="s">
        <v>252</v>
      </c>
      <c r="D10" s="558" t="s">
        <v>253</v>
      </c>
      <c r="E10" s="558" t="s">
        <v>254</v>
      </c>
      <c r="F10" s="558" t="s">
        <v>255</v>
      </c>
      <c r="G10" s="558" t="s">
        <v>256</v>
      </c>
      <c r="H10" s="554" t="s">
        <v>51</v>
      </c>
      <c r="I10" s="554" t="s">
        <v>113</v>
      </c>
      <c r="J10" s="555" t="s">
        <v>114</v>
      </c>
    </row>
    <row r="11" spans="1:12" s="3" customFormat="1" ht="16.5" customHeight="1">
      <c r="A11" s="207" t="s">
        <v>65</v>
      </c>
      <c r="B11" s="554"/>
      <c r="C11" s="554"/>
      <c r="D11" s="554"/>
      <c r="E11" s="554"/>
      <c r="F11" s="554"/>
      <c r="G11" s="554"/>
      <c r="H11" s="554"/>
      <c r="I11" s="554"/>
      <c r="J11" s="555"/>
    </row>
    <row r="12" spans="1:12" s="3" customFormat="1" ht="16.5" customHeight="1">
      <c r="A12" s="324" t="s">
        <v>388</v>
      </c>
      <c r="B12" s="97">
        <v>118997</v>
      </c>
      <c r="C12" s="243">
        <v>5853</v>
      </c>
      <c r="D12" s="243">
        <v>4259</v>
      </c>
      <c r="E12" s="243">
        <v>5791</v>
      </c>
      <c r="F12" s="243">
        <v>7448</v>
      </c>
      <c r="G12" s="243">
        <v>2952</v>
      </c>
      <c r="H12" s="243">
        <v>10243</v>
      </c>
      <c r="I12" s="243">
        <v>13107</v>
      </c>
      <c r="J12" s="243">
        <v>20579</v>
      </c>
    </row>
    <row r="13" spans="1:12" s="3" customFormat="1" ht="16.5" customHeight="1">
      <c r="A13" s="247" t="s">
        <v>387</v>
      </c>
      <c r="B13" s="248">
        <v>100</v>
      </c>
      <c r="C13" s="413">
        <v>4.9186113935645439</v>
      </c>
      <c r="D13" s="429">
        <v>3.5790818255922416</v>
      </c>
      <c r="E13" s="454">
        <v>4.8665092397287326</v>
      </c>
      <c r="F13" s="454">
        <v>6.2589813188567778</v>
      </c>
      <c r="G13" s="454">
        <v>2.4807348084405492</v>
      </c>
      <c r="H13" s="454">
        <v>8.6077800280679355</v>
      </c>
      <c r="I13" s="454">
        <v>11.014563392354429</v>
      </c>
      <c r="J13" s="454">
        <v>17.293713286889588</v>
      </c>
      <c r="K13" s="11"/>
      <c r="L13" s="11"/>
    </row>
    <row r="14" spans="1:12" s="3" customFormat="1" ht="16.5" customHeight="1"/>
    <row r="15" spans="1:12" s="3" customFormat="1" ht="16.5" customHeight="1">
      <c r="A15" s="678" t="s">
        <v>115</v>
      </c>
      <c r="B15" s="554" t="s">
        <v>116</v>
      </c>
      <c r="C15" s="554" t="s">
        <v>117</v>
      </c>
      <c r="D15" s="554" t="s">
        <v>118</v>
      </c>
      <c r="E15" s="554" t="s">
        <v>119</v>
      </c>
      <c r="F15" s="554" t="s">
        <v>120</v>
      </c>
      <c r="G15" s="554" t="s">
        <v>121</v>
      </c>
      <c r="H15" s="554" t="s">
        <v>122</v>
      </c>
      <c r="I15" s="554" t="s">
        <v>123</v>
      </c>
      <c r="J15" s="555" t="s">
        <v>124</v>
      </c>
    </row>
    <row r="16" spans="1:12" s="3" customFormat="1" ht="16.5" customHeight="1">
      <c r="A16" s="678"/>
      <c r="B16" s="554"/>
      <c r="C16" s="554"/>
      <c r="D16" s="554"/>
      <c r="E16" s="554"/>
      <c r="F16" s="554"/>
      <c r="G16" s="554"/>
      <c r="H16" s="554"/>
      <c r="I16" s="554"/>
      <c r="J16" s="555"/>
    </row>
    <row r="17" spans="1:12" s="3" customFormat="1" ht="16.5" customHeight="1">
      <c r="A17" s="243">
        <v>2179</v>
      </c>
      <c r="B17" s="243">
        <v>7623</v>
      </c>
      <c r="C17" s="243">
        <v>2307</v>
      </c>
      <c r="D17" s="243">
        <v>8498</v>
      </c>
      <c r="E17" s="243">
        <v>8360</v>
      </c>
      <c r="F17" s="243">
        <v>2246</v>
      </c>
      <c r="G17" s="243">
        <v>4436</v>
      </c>
      <c r="H17" s="243">
        <v>8067</v>
      </c>
      <c r="I17" s="243">
        <v>2585</v>
      </c>
      <c r="J17" s="243">
        <v>2464</v>
      </c>
    </row>
    <row r="18" spans="1:12" s="3" customFormat="1" ht="16.5" customHeight="1">
      <c r="A18" s="413">
        <v>1.8311386001327763</v>
      </c>
      <c r="B18" s="454">
        <v>6.4060438498449539</v>
      </c>
      <c r="C18" s="454">
        <v>1.9387043370841281</v>
      </c>
      <c r="D18" s="454">
        <v>7.1413565047858354</v>
      </c>
      <c r="E18" s="454">
        <v>7.0253871946351589</v>
      </c>
      <c r="F18" s="454">
        <v>1.8874425405682496</v>
      </c>
      <c r="G18" s="454">
        <v>3.7278250712202832</v>
      </c>
      <c r="H18" s="454">
        <v>6.779162499894956</v>
      </c>
      <c r="I18" s="454">
        <v>2.1723236720253452</v>
      </c>
      <c r="J18" s="454">
        <v>2.0706404363135205</v>
      </c>
      <c r="K18" s="11"/>
      <c r="L18" s="11"/>
    </row>
    <row r="19" spans="1:12" s="3" customFormat="1" ht="16.5" customHeight="1"/>
    <row r="20" spans="1:12" s="3" customFormat="1" ht="16.5" customHeight="1">
      <c r="A20" s="72" t="s">
        <v>682</v>
      </c>
    </row>
    <row r="21" spans="1:12" s="3" customFormat="1" ht="16.5" customHeight="1">
      <c r="A21" s="319" t="s">
        <v>30</v>
      </c>
      <c r="B21" s="546" t="s">
        <v>86</v>
      </c>
      <c r="C21" s="546" t="s">
        <v>125</v>
      </c>
      <c r="D21" s="546"/>
      <c r="E21" s="546"/>
      <c r="F21" s="546"/>
      <c r="G21" s="682" t="s">
        <v>301</v>
      </c>
      <c r="H21" s="682" t="s">
        <v>621</v>
      </c>
      <c r="I21" s="546" t="s">
        <v>8</v>
      </c>
      <c r="J21" s="682" t="s">
        <v>514</v>
      </c>
      <c r="K21" s="546" t="s">
        <v>35</v>
      </c>
      <c r="L21" s="633" t="s">
        <v>515</v>
      </c>
    </row>
    <row r="22" spans="1:12" s="3" customFormat="1" ht="16.5" customHeight="1">
      <c r="A22" s="207" t="s">
        <v>65</v>
      </c>
      <c r="B22" s="667"/>
      <c r="C22" s="322" t="s">
        <v>31</v>
      </c>
      <c r="D22" s="322" t="s">
        <v>516</v>
      </c>
      <c r="E22" s="322" t="s">
        <v>517</v>
      </c>
      <c r="F22" s="322" t="s">
        <v>126</v>
      </c>
      <c r="G22" s="667"/>
      <c r="H22" s="667"/>
      <c r="I22" s="667"/>
      <c r="J22" s="667"/>
      <c r="K22" s="667"/>
      <c r="L22" s="555"/>
    </row>
    <row r="23" spans="1:12" s="3" customFormat="1" ht="16.5" customHeight="1">
      <c r="A23" s="212" t="s">
        <v>617</v>
      </c>
      <c r="B23" s="97">
        <v>118997</v>
      </c>
      <c r="C23" s="243">
        <v>111236</v>
      </c>
      <c r="D23" s="243">
        <v>100402</v>
      </c>
      <c r="E23" s="243">
        <v>40</v>
      </c>
      <c r="F23" s="243">
        <v>10794</v>
      </c>
      <c r="G23" s="243">
        <v>5040</v>
      </c>
      <c r="H23" s="243">
        <v>1798</v>
      </c>
      <c r="I23" s="243">
        <v>407</v>
      </c>
      <c r="J23" s="243">
        <v>73</v>
      </c>
      <c r="K23" s="243">
        <v>443</v>
      </c>
      <c r="L23" s="81">
        <v>241</v>
      </c>
    </row>
    <row r="24" spans="1:12" s="3" customFormat="1" ht="16.5" customHeight="1">
      <c r="A24" s="247" t="s">
        <v>6</v>
      </c>
      <c r="B24" s="248">
        <v>100</v>
      </c>
      <c r="C24" s="323">
        <v>93.477986840004363</v>
      </c>
      <c r="D24" s="429">
        <v>84.373555635856363</v>
      </c>
      <c r="E24" s="454">
        <v>3.3614292797297413E-2</v>
      </c>
      <c r="F24" s="509">
        <v>9.0708169113507076</v>
      </c>
      <c r="G24" s="454">
        <v>4.2354008924594737</v>
      </c>
      <c r="H24" s="454">
        <v>1.5109624612385186</v>
      </c>
      <c r="I24" s="454">
        <v>0.34202542921250112</v>
      </c>
      <c r="J24" s="454">
        <v>6.1346084355067776E-2</v>
      </c>
      <c r="K24" s="414">
        <v>0.37227829273006879</v>
      </c>
      <c r="L24" s="333"/>
    </row>
  </sheetData>
  <sheetProtection algorithmName="SHA-512" hashValue="kRilem9jWaqkxzTgd7kzREkgZHc5Ez8ecIGZWcBeOaaaPMS0Z4TR0mJMtboWaDW67It6hZCnEQMsfoVKbvOE3Q==" saltValue="bzSaFwbNUipHbYWkb46ixQ==" spinCount="100000" sheet="1" objects="1" scenarios="1"/>
  <customSheetViews>
    <customSheetView guid="{4810CB4C-E276-4485-93D3-F920B09A4189}" showPageBreaks="1" showGridLines="0" printArea="1" view="pageBreakPreview">
      <pageMargins left="0.34" right="0.08" top="1" bottom="1" header="0.5" footer="0.5"/>
      <pageSetup paperSize="9" scale="78" orientation="portrait" r:id="rId1"/>
      <headerFooter alignWithMargins="0"/>
    </customSheetView>
  </customSheetViews>
  <mergeCells count="28">
    <mergeCell ref="K21:K22"/>
    <mergeCell ref="L21:L22"/>
    <mergeCell ref="G15:G16"/>
    <mergeCell ref="H15:H16"/>
    <mergeCell ref="I15:I16"/>
    <mergeCell ref="J15:J16"/>
    <mergeCell ref="J21:J22"/>
    <mergeCell ref="B21:B22"/>
    <mergeCell ref="C21:F21"/>
    <mergeCell ref="G21:G22"/>
    <mergeCell ref="H21:H22"/>
    <mergeCell ref="I21:I22"/>
    <mergeCell ref="F15:F16"/>
    <mergeCell ref="A4:K4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5:A16"/>
    <mergeCell ref="B15:B16"/>
    <mergeCell ref="C15:C16"/>
    <mergeCell ref="D15:D16"/>
    <mergeCell ref="E15:E16"/>
  </mergeCells>
  <phoneticPr fontId="6" type="noConversion"/>
  <pageMargins left="0.34" right="0.08" top="1" bottom="1" header="0.5" footer="0.5"/>
  <pageSetup paperSize="9" scale="78" orientation="portrait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F40"/>
  <sheetViews>
    <sheetView showGridLines="0" zoomScaleNormal="100" zoomScaleSheetLayoutView="100" workbookViewId="0"/>
  </sheetViews>
  <sheetFormatPr defaultColWidth="8" defaultRowHeight="16.5" customHeight="1"/>
  <cols>
    <col min="1" max="1" width="16.6640625" style="76" customWidth="1"/>
    <col min="2" max="6" width="11.109375" style="76" customWidth="1"/>
    <col min="7" max="16384" width="8" style="76"/>
  </cols>
  <sheetData>
    <row r="1" spans="1:6" ht="16.5" customHeight="1">
      <c r="A1" s="201" t="s">
        <v>642</v>
      </c>
      <c r="B1" s="101"/>
      <c r="C1" s="54"/>
      <c r="D1" s="54"/>
      <c r="E1" s="54"/>
      <c r="F1" s="54"/>
    </row>
    <row r="2" spans="1:6" ht="36" customHeight="1">
      <c r="A2" s="627" t="s">
        <v>797</v>
      </c>
      <c r="B2" s="627"/>
      <c r="C2" s="627"/>
      <c r="D2" s="627"/>
      <c r="E2" s="627"/>
      <c r="F2" s="627"/>
    </row>
    <row r="4" spans="1:6" s="3" customFormat="1" ht="16.5" customHeight="1">
      <c r="A4" s="72" t="s">
        <v>683</v>
      </c>
      <c r="F4" s="53"/>
    </row>
    <row r="5" spans="1:6" s="3" customFormat="1" ht="16.5" customHeight="1">
      <c r="A5" s="319" t="s">
        <v>36</v>
      </c>
      <c r="B5" s="554" t="s">
        <v>144</v>
      </c>
      <c r="C5" s="554" t="s">
        <v>430</v>
      </c>
      <c r="D5" s="554" t="s">
        <v>61</v>
      </c>
      <c r="E5" s="554" t="s">
        <v>518</v>
      </c>
      <c r="F5" s="555" t="s">
        <v>519</v>
      </c>
    </row>
    <row r="6" spans="1:6" s="3" customFormat="1" ht="16.5" customHeight="1">
      <c r="A6" s="207" t="s">
        <v>520</v>
      </c>
      <c r="B6" s="554"/>
      <c r="C6" s="554"/>
      <c r="D6" s="554"/>
      <c r="E6" s="554"/>
      <c r="F6" s="555"/>
    </row>
    <row r="7" spans="1:6" s="3" customFormat="1" ht="16.5" customHeight="1">
      <c r="A7" s="325" t="s">
        <v>86</v>
      </c>
      <c r="B7" s="244">
        <v>654699</v>
      </c>
      <c r="C7" s="244">
        <v>597121</v>
      </c>
      <c r="D7" s="244">
        <v>57553</v>
      </c>
      <c r="E7" s="37">
        <v>91.205424172024081</v>
      </c>
      <c r="F7" s="43">
        <v>32054</v>
      </c>
    </row>
    <row r="8" spans="1:6" s="3" customFormat="1" ht="16.5" customHeight="1">
      <c r="A8" s="324" t="s">
        <v>127</v>
      </c>
      <c r="B8" s="243">
        <v>27948</v>
      </c>
      <c r="C8" s="243">
        <v>21488</v>
      </c>
      <c r="D8" s="243">
        <v>6435</v>
      </c>
      <c r="E8" s="25">
        <v>76.885644768856437</v>
      </c>
      <c r="F8" s="245">
        <v>32054</v>
      </c>
    </row>
    <row r="9" spans="1:6" s="3" customFormat="1" ht="16.5" customHeight="1">
      <c r="A9" s="324" t="s">
        <v>128</v>
      </c>
      <c r="B9" s="243">
        <v>32770</v>
      </c>
      <c r="C9" s="243">
        <v>31893</v>
      </c>
      <c r="D9" s="243">
        <v>877</v>
      </c>
      <c r="E9" s="25">
        <v>97.323771742447363</v>
      </c>
      <c r="F9" s="245">
        <v>0</v>
      </c>
    </row>
    <row r="10" spans="1:6" s="3" customFormat="1" ht="16.5" customHeight="1">
      <c r="A10" s="324" t="s">
        <v>129</v>
      </c>
      <c r="B10" s="243">
        <v>10</v>
      </c>
      <c r="C10" s="243">
        <v>10</v>
      </c>
      <c r="D10" s="243">
        <v>0</v>
      </c>
      <c r="E10" s="25">
        <v>100</v>
      </c>
      <c r="F10" s="245">
        <v>0</v>
      </c>
    </row>
    <row r="11" spans="1:6" s="3" customFormat="1" ht="16.5" customHeight="1">
      <c r="A11" s="324" t="s">
        <v>522</v>
      </c>
      <c r="B11" s="243">
        <v>535580</v>
      </c>
      <c r="C11" s="243">
        <v>488195</v>
      </c>
      <c r="D11" s="243">
        <v>47385</v>
      </c>
      <c r="E11" s="25">
        <v>91.15258224728332</v>
      </c>
      <c r="F11" s="245">
        <v>0</v>
      </c>
    </row>
    <row r="12" spans="1:6" s="3" customFormat="1" ht="16.5" customHeight="1">
      <c r="A12" s="324" t="s">
        <v>130</v>
      </c>
      <c r="B12" s="243">
        <v>249</v>
      </c>
      <c r="C12" s="243">
        <v>249</v>
      </c>
      <c r="D12" s="243">
        <v>0</v>
      </c>
      <c r="E12" s="25">
        <v>100</v>
      </c>
      <c r="F12" s="245">
        <v>0</v>
      </c>
    </row>
    <row r="13" spans="1:6" s="3" customFormat="1" ht="16.5" customHeight="1">
      <c r="A13" s="324" t="s">
        <v>523</v>
      </c>
      <c r="B13" s="243">
        <v>51</v>
      </c>
      <c r="C13" s="243">
        <v>41</v>
      </c>
      <c r="D13" s="243">
        <v>10</v>
      </c>
      <c r="E13" s="25">
        <v>80.392156862745097</v>
      </c>
      <c r="F13" s="245">
        <v>0</v>
      </c>
    </row>
    <row r="14" spans="1:6" s="3" customFormat="1" ht="16.5" customHeight="1">
      <c r="A14" s="324" t="s">
        <v>524</v>
      </c>
      <c r="B14" s="243">
        <v>55351</v>
      </c>
      <c r="C14" s="243">
        <v>52544</v>
      </c>
      <c r="D14" s="243">
        <v>2807</v>
      </c>
      <c r="E14" s="25">
        <v>94.928727574930889</v>
      </c>
      <c r="F14" s="245">
        <v>0</v>
      </c>
    </row>
    <row r="15" spans="1:6" s="3" customFormat="1" ht="16.5" customHeight="1">
      <c r="A15" s="324" t="s">
        <v>525</v>
      </c>
      <c r="B15" s="243">
        <v>37</v>
      </c>
      <c r="C15" s="243">
        <v>30</v>
      </c>
      <c r="D15" s="243">
        <v>7</v>
      </c>
      <c r="E15" s="25">
        <v>81.081081081081081</v>
      </c>
      <c r="F15" s="245">
        <v>0</v>
      </c>
    </row>
    <row r="16" spans="1:6" s="3" customFormat="1" ht="16.5" customHeight="1">
      <c r="A16" s="324" t="s">
        <v>526</v>
      </c>
      <c r="B16" s="243">
        <v>1607</v>
      </c>
      <c r="C16" s="243">
        <v>1585</v>
      </c>
      <c r="D16" s="243">
        <v>22</v>
      </c>
      <c r="E16" s="25">
        <v>98.630989421281896</v>
      </c>
      <c r="F16" s="245">
        <v>0</v>
      </c>
    </row>
    <row r="17" spans="1:6" s="3" customFormat="1" ht="16.5" customHeight="1">
      <c r="A17" s="200" t="s">
        <v>527</v>
      </c>
      <c r="B17" s="286">
        <v>1096</v>
      </c>
      <c r="C17" s="175">
        <v>1086</v>
      </c>
      <c r="D17" s="175">
        <v>10</v>
      </c>
      <c r="E17" s="176">
        <v>99.087591240875923</v>
      </c>
      <c r="F17" s="175">
        <v>0</v>
      </c>
    </row>
    <row r="18" spans="1:6" s="3" customFormat="1" ht="16.5" customHeight="1">
      <c r="A18" s="3" t="s">
        <v>528</v>
      </c>
    </row>
    <row r="19" spans="1:6" s="3" customFormat="1" ht="24" customHeight="1">
      <c r="A19" s="559" t="s">
        <v>800</v>
      </c>
      <c r="B19" s="683"/>
      <c r="C19" s="683"/>
      <c r="D19" s="683"/>
      <c r="E19" s="683"/>
      <c r="F19" s="683"/>
    </row>
    <row r="20" spans="1:6" s="3" customFormat="1" ht="16.5" customHeight="1">
      <c r="A20" s="318"/>
    </row>
    <row r="21" spans="1:6" s="3" customFormat="1" ht="24" customHeight="1">
      <c r="A21" s="627" t="s">
        <v>799</v>
      </c>
      <c r="B21" s="627"/>
      <c r="C21" s="627"/>
      <c r="D21" s="627"/>
      <c r="E21" s="627"/>
      <c r="F21" s="627"/>
    </row>
    <row r="22" spans="1:6" s="3" customFormat="1" ht="16.5" customHeight="1">
      <c r="A22" s="321"/>
      <c r="B22" s="321"/>
      <c r="C22" s="321"/>
      <c r="D22" s="321"/>
      <c r="E22" s="321"/>
      <c r="F22" s="53"/>
    </row>
    <row r="23" spans="1:6" s="125" customFormat="1" ht="16.5" customHeight="1">
      <c r="A23" s="214" t="s">
        <v>633</v>
      </c>
    </row>
    <row r="24" spans="1:6" s="125" customFormat="1" ht="16.5" customHeight="1">
      <c r="B24" s="215"/>
    </row>
    <row r="25" spans="1:6" s="125" customFormat="1" ht="16.5" customHeight="1">
      <c r="A25" s="364" t="s">
        <v>186</v>
      </c>
      <c r="B25" s="456">
        <v>79.099999999999994</v>
      </c>
    </row>
    <row r="26" spans="1:6" s="125" customFormat="1" ht="16.5" customHeight="1">
      <c r="A26" s="364" t="s">
        <v>187</v>
      </c>
      <c r="B26" s="456">
        <v>81.8</v>
      </c>
      <c r="F26" s="153"/>
    </row>
    <row r="27" spans="1:6" s="125" customFormat="1" ht="16.5" customHeight="1">
      <c r="A27" s="364" t="s">
        <v>188</v>
      </c>
      <c r="B27" s="456">
        <v>79.5</v>
      </c>
      <c r="F27" s="153"/>
    </row>
    <row r="28" spans="1:6" s="125" customFormat="1" ht="16.5" customHeight="1">
      <c r="A28" s="364" t="s">
        <v>189</v>
      </c>
      <c r="B28" s="456">
        <v>81.900000000000006</v>
      </c>
      <c r="F28" s="153"/>
    </row>
    <row r="29" spans="1:6" s="125" customFormat="1" ht="16.5" customHeight="1">
      <c r="A29" s="364" t="s">
        <v>190</v>
      </c>
      <c r="B29" s="456">
        <v>81.8</v>
      </c>
      <c r="F29" s="153"/>
    </row>
    <row r="30" spans="1:6" s="125" customFormat="1" ht="16.5" customHeight="1">
      <c r="A30" s="364" t="s">
        <v>191</v>
      </c>
      <c r="B30" s="456">
        <v>80.900000000000006</v>
      </c>
      <c r="F30" s="153"/>
    </row>
    <row r="31" spans="1:6" s="125" customFormat="1" ht="16.5" customHeight="1">
      <c r="A31" s="364" t="s">
        <v>192</v>
      </c>
      <c r="B31" s="456">
        <v>81.3</v>
      </c>
      <c r="F31" s="153"/>
    </row>
    <row r="32" spans="1:6" s="125" customFormat="1" ht="16.5" customHeight="1">
      <c r="A32" s="364" t="s">
        <v>431</v>
      </c>
      <c r="B32" s="456">
        <v>81.099999999999994</v>
      </c>
      <c r="F32" s="153"/>
    </row>
    <row r="33" spans="1:6" s="125" customFormat="1" ht="16.5" customHeight="1">
      <c r="A33" s="364" t="s">
        <v>578</v>
      </c>
      <c r="B33" s="456">
        <v>82.014974589750551</v>
      </c>
      <c r="F33" s="153"/>
    </row>
    <row r="34" spans="1:6" s="125" customFormat="1" ht="16.5" customHeight="1">
      <c r="A34" s="364" t="s">
        <v>737</v>
      </c>
      <c r="B34" s="469">
        <v>82.017464071311636</v>
      </c>
      <c r="F34" s="153"/>
    </row>
    <row r="35" spans="1:6" s="125" customFormat="1" ht="16.5" customHeight="1">
      <c r="A35" s="364" t="s">
        <v>745</v>
      </c>
      <c r="B35" s="469">
        <v>81.381142098273571</v>
      </c>
      <c r="F35" s="153"/>
    </row>
    <row r="36" spans="1:6" s="125" customFormat="1" ht="16.5" customHeight="1">
      <c r="A36" s="364" t="s">
        <v>756</v>
      </c>
      <c r="B36" s="469">
        <v>79.480054811205846</v>
      </c>
      <c r="F36" s="153"/>
    </row>
    <row r="37" spans="1:6" s="125" customFormat="1" ht="16.5" customHeight="1">
      <c r="A37" s="364" t="s">
        <v>798</v>
      </c>
      <c r="B37" s="469">
        <v>76.885644768856437</v>
      </c>
      <c r="F37" s="153"/>
    </row>
    <row r="38" spans="1:6" s="125" customFormat="1" ht="16.5" customHeight="1">
      <c r="F38" s="153"/>
    </row>
    <row r="39" spans="1:6" s="125" customFormat="1" ht="16.5" customHeight="1">
      <c r="F39" s="153"/>
    </row>
    <row r="40" spans="1:6" s="125" customFormat="1" ht="16.5" customHeight="1">
      <c r="F40" s="153"/>
    </row>
  </sheetData>
  <sheetProtection algorithmName="SHA-512" hashValue="hcAcrHsnzrWuRqIDKLjeBG+owDCHQshwN5O7FZ3LGWy2Pi8O9PmJETpLNZhMCYv/sqlJ0ni4tuiy5ZhIWEMTJA==" saltValue="CJf8cGOAbW+IGGKgu+sHlg==" spinCount="100000" sheet="1" objects="1" scenarios="1"/>
  <customSheetViews>
    <customSheetView guid="{4810CB4C-E276-4485-93D3-F920B09A4189}" showPageBreaks="1" showGridLines="0" printArea="1" view="pageBreakPreview">
      <pageMargins left="0.44" right="0.37" top="0.65" bottom="0.17" header="0.5" footer="0.5"/>
      <pageSetup paperSize="9" orientation="portrait" r:id="rId1"/>
      <headerFooter alignWithMargins="0"/>
    </customSheetView>
  </customSheetViews>
  <mergeCells count="8">
    <mergeCell ref="A19:F19"/>
    <mergeCell ref="A21:F21"/>
    <mergeCell ref="A2:F2"/>
    <mergeCell ref="B5:B6"/>
    <mergeCell ref="C5:C6"/>
    <mergeCell ref="D5:D6"/>
    <mergeCell ref="E5:E6"/>
    <mergeCell ref="F5:F6"/>
  </mergeCells>
  <phoneticPr fontId="6" type="noConversion"/>
  <pageMargins left="0.44" right="0.37" top="0.65" bottom="0.17" header="0.5" footer="0.5"/>
  <pageSetup paperSize="9" orientation="portrait" r:id="rId2"/>
  <headerFooter alignWithMargins="0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J46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6" customWidth="1"/>
    <col min="2" max="2" width="9.5546875" style="76" customWidth="1"/>
    <col min="3" max="3" width="9.5546875" style="2" customWidth="1"/>
    <col min="4" max="5" width="9.5546875" style="76" customWidth="1"/>
    <col min="6" max="6" width="9.5546875" style="2" customWidth="1"/>
    <col min="7" max="8" width="9.5546875" style="76" customWidth="1"/>
    <col min="9" max="9" width="9.5546875" style="2" customWidth="1"/>
    <col min="10" max="10" width="9.5546875" style="76" customWidth="1"/>
    <col min="11" max="16384" width="8" style="249"/>
  </cols>
  <sheetData>
    <row r="1" spans="1:10" ht="16.5" customHeight="1">
      <c r="A1" s="72" t="s">
        <v>822</v>
      </c>
    </row>
    <row r="3" spans="1:10" ht="16.5" customHeight="1">
      <c r="A3" s="72" t="s">
        <v>57</v>
      </c>
      <c r="B3" s="3"/>
      <c r="C3" s="1"/>
      <c r="D3" s="3"/>
      <c r="E3" s="3"/>
      <c r="F3" s="1"/>
    </row>
    <row r="4" spans="1:10" ht="24" customHeight="1">
      <c r="A4" s="538" t="s">
        <v>801</v>
      </c>
      <c r="B4" s="538"/>
      <c r="C4" s="538"/>
      <c r="D4" s="538"/>
      <c r="E4" s="538"/>
      <c r="F4" s="538"/>
      <c r="G4" s="538"/>
      <c r="H4" s="538"/>
      <c r="I4" s="538"/>
      <c r="J4" s="538"/>
    </row>
    <row r="6" spans="1:10" s="134" customFormat="1" ht="16.5" customHeight="1">
      <c r="A6" s="214" t="s">
        <v>634</v>
      </c>
      <c r="B6" s="125"/>
      <c r="C6" s="6"/>
      <c r="D6" s="125"/>
      <c r="E6" s="125"/>
      <c r="F6" s="6"/>
      <c r="G6" s="125"/>
      <c r="H6" s="125"/>
      <c r="I6" s="6"/>
      <c r="J6" s="125"/>
    </row>
    <row r="7" spans="1:10" s="134" customFormat="1" ht="16.5" customHeight="1">
      <c r="A7" s="125"/>
      <c r="B7" s="125"/>
      <c r="C7" s="6"/>
      <c r="D7" s="125"/>
      <c r="E7" s="125"/>
      <c r="F7" s="6"/>
      <c r="G7" s="125"/>
      <c r="H7" s="125"/>
      <c r="I7" s="6"/>
      <c r="J7" s="125"/>
    </row>
    <row r="8" spans="1:10" s="134" customFormat="1" ht="16.5" customHeight="1">
      <c r="A8" s="467" t="s">
        <v>186</v>
      </c>
      <c r="B8" s="235">
        <v>101010</v>
      </c>
      <c r="C8" s="6"/>
      <c r="D8" s="125"/>
      <c r="E8" s="125"/>
      <c r="F8" s="6"/>
      <c r="G8" s="125"/>
      <c r="H8" s="125"/>
      <c r="I8" s="6"/>
      <c r="J8" s="125"/>
    </row>
    <row r="9" spans="1:10" s="134" customFormat="1" ht="16.5" customHeight="1">
      <c r="A9" s="467" t="s">
        <v>187</v>
      </c>
      <c r="B9" s="235">
        <v>93441</v>
      </c>
      <c r="C9" s="23"/>
      <c r="D9" s="153"/>
      <c r="E9" s="153"/>
      <c r="F9" s="23"/>
      <c r="G9" s="125"/>
      <c r="H9" s="125"/>
      <c r="I9" s="6"/>
      <c r="J9" s="125"/>
    </row>
    <row r="10" spans="1:10" s="134" customFormat="1" ht="16.5" customHeight="1">
      <c r="A10" s="467" t="s">
        <v>188</v>
      </c>
      <c r="B10" s="235">
        <v>79822</v>
      </c>
      <c r="C10" s="23"/>
      <c r="D10" s="153"/>
      <c r="E10" s="153"/>
      <c r="F10" s="23"/>
      <c r="G10" s="125"/>
      <c r="H10" s="125"/>
      <c r="I10" s="6"/>
      <c r="J10" s="125"/>
    </row>
    <row r="11" spans="1:10" s="134" customFormat="1" ht="16.5" customHeight="1">
      <c r="A11" s="467" t="s">
        <v>189</v>
      </c>
      <c r="B11" s="235">
        <v>73743</v>
      </c>
      <c r="C11" s="23"/>
      <c r="D11" s="153"/>
      <c r="E11" s="153"/>
      <c r="F11" s="23"/>
      <c r="G11" s="125"/>
      <c r="H11" s="125"/>
      <c r="I11" s="6"/>
      <c r="J11" s="125"/>
    </row>
    <row r="12" spans="1:10" s="134" customFormat="1" ht="16.5" customHeight="1">
      <c r="A12" s="467" t="s">
        <v>190</v>
      </c>
      <c r="B12" s="235">
        <v>71293</v>
      </c>
      <c r="C12" s="23"/>
      <c r="D12" s="153"/>
      <c r="E12" s="153"/>
      <c r="F12" s="23"/>
      <c r="G12" s="125"/>
      <c r="H12" s="125"/>
      <c r="I12" s="6"/>
      <c r="J12" s="125"/>
    </row>
    <row r="13" spans="1:10" s="134" customFormat="1" ht="16.5" customHeight="1">
      <c r="A13" s="467" t="s">
        <v>191</v>
      </c>
      <c r="B13" s="235">
        <v>64886</v>
      </c>
      <c r="C13" s="23"/>
      <c r="D13" s="153"/>
      <c r="E13" s="153"/>
      <c r="F13" s="23"/>
      <c r="G13" s="125"/>
      <c r="H13" s="125"/>
      <c r="I13" s="6"/>
      <c r="J13" s="125"/>
    </row>
    <row r="14" spans="1:10" s="134" customFormat="1" ht="16.5" customHeight="1">
      <c r="A14" s="467" t="s">
        <v>192</v>
      </c>
      <c r="B14" s="235">
        <v>59197</v>
      </c>
      <c r="C14" s="23"/>
      <c r="D14" s="153"/>
      <c r="E14" s="153"/>
      <c r="F14" s="23"/>
      <c r="G14" s="125"/>
      <c r="H14" s="125"/>
      <c r="I14" s="6"/>
      <c r="J14" s="125"/>
    </row>
    <row r="15" spans="1:10" s="134" customFormat="1" ht="16.5" customHeight="1">
      <c r="A15" s="467" t="s">
        <v>431</v>
      </c>
      <c r="B15" s="235">
        <v>62362</v>
      </c>
      <c r="C15" s="23"/>
      <c r="D15" s="153"/>
      <c r="E15" s="153"/>
      <c r="F15" s="23"/>
      <c r="G15" s="125"/>
      <c r="H15" s="125"/>
      <c r="I15" s="6"/>
      <c r="J15" s="125"/>
    </row>
    <row r="16" spans="1:10" s="134" customFormat="1" ht="16.5" customHeight="1">
      <c r="A16" s="467" t="s">
        <v>578</v>
      </c>
      <c r="B16" s="235">
        <v>73012</v>
      </c>
      <c r="C16" s="23"/>
      <c r="D16" s="153"/>
      <c r="E16" s="153"/>
      <c r="F16" s="23"/>
      <c r="G16" s="125"/>
      <c r="H16" s="125"/>
      <c r="I16" s="6"/>
      <c r="J16" s="125"/>
    </row>
    <row r="17" spans="1:10" s="134" customFormat="1" ht="16.5" customHeight="1">
      <c r="A17" s="467" t="s">
        <v>737</v>
      </c>
      <c r="B17" s="235">
        <v>86252</v>
      </c>
      <c r="C17" s="23"/>
      <c r="D17" s="153"/>
      <c r="E17" s="153"/>
      <c r="F17" s="23"/>
      <c r="G17" s="125"/>
      <c r="H17" s="125"/>
      <c r="I17" s="6"/>
      <c r="J17" s="125"/>
    </row>
    <row r="18" spans="1:10" s="134" customFormat="1" ht="16.5" customHeight="1">
      <c r="A18" s="467" t="s">
        <v>745</v>
      </c>
      <c r="B18" s="235">
        <v>100856</v>
      </c>
      <c r="C18" s="23"/>
      <c r="D18" s="153"/>
      <c r="E18" s="153"/>
      <c r="F18" s="23"/>
      <c r="G18" s="125"/>
      <c r="H18" s="125"/>
      <c r="I18" s="6"/>
      <c r="J18" s="125"/>
    </row>
    <row r="19" spans="1:10" s="134" customFormat="1" ht="16.5" customHeight="1">
      <c r="A19" s="467" t="s">
        <v>756</v>
      </c>
      <c r="B19" s="470">
        <v>113508</v>
      </c>
      <c r="C19" s="23"/>
      <c r="D19" s="153"/>
      <c r="E19" s="153"/>
      <c r="F19" s="23"/>
      <c r="G19" s="125"/>
      <c r="H19" s="125"/>
      <c r="I19" s="6"/>
      <c r="J19" s="125"/>
    </row>
    <row r="20" spans="1:10" s="134" customFormat="1" ht="16.5" customHeight="1">
      <c r="A20" s="467" t="s">
        <v>798</v>
      </c>
      <c r="B20" s="470">
        <v>113490</v>
      </c>
      <c r="C20" s="23"/>
      <c r="D20" s="153"/>
      <c r="E20" s="153"/>
      <c r="F20" s="23"/>
      <c r="G20" s="125"/>
      <c r="H20" s="125"/>
      <c r="I20" s="6"/>
      <c r="J20" s="125"/>
    </row>
    <row r="21" spans="1:10" s="134" customFormat="1" ht="16.5" customHeight="1">
      <c r="A21" s="125"/>
      <c r="B21" s="125"/>
      <c r="C21" s="23"/>
      <c r="D21" s="153"/>
      <c r="E21" s="153"/>
      <c r="F21" s="23"/>
      <c r="G21" s="125"/>
      <c r="H21" s="125"/>
      <c r="I21" s="6"/>
      <c r="J21" s="125"/>
    </row>
    <row r="22" spans="1:10" s="134" customFormat="1" ht="16.5" customHeight="1">
      <c r="A22" s="125"/>
      <c r="B22" s="125"/>
      <c r="C22" s="23"/>
      <c r="D22" s="153"/>
      <c r="E22" s="153"/>
      <c r="F22" s="23"/>
      <c r="G22" s="125"/>
      <c r="H22" s="125"/>
      <c r="I22" s="6"/>
      <c r="J22" s="125"/>
    </row>
    <row r="23" spans="1:10" s="134" customFormat="1" ht="16.5" customHeight="1">
      <c r="A23" s="153"/>
      <c r="B23" s="153"/>
      <c r="C23" s="23"/>
      <c r="D23" s="153"/>
      <c r="E23" s="153"/>
      <c r="F23" s="23"/>
      <c r="G23" s="125"/>
      <c r="H23" s="125"/>
      <c r="I23" s="6"/>
      <c r="J23" s="125"/>
    </row>
    <row r="24" spans="1:10" s="134" customFormat="1" ht="16.5" customHeight="1">
      <c r="A24" s="153"/>
      <c r="B24" s="153"/>
      <c r="C24" s="23"/>
      <c r="D24" s="153"/>
      <c r="E24" s="153"/>
      <c r="F24" s="23"/>
      <c r="G24" s="125"/>
      <c r="H24" s="125"/>
      <c r="I24" s="6"/>
      <c r="J24" s="125"/>
    </row>
    <row r="25" spans="1:10" s="250" customFormat="1" ht="16.5" customHeight="1">
      <c r="A25" s="72" t="s">
        <v>531</v>
      </c>
      <c r="B25" s="3"/>
      <c r="C25" s="1"/>
      <c r="D25" s="3"/>
      <c r="E25" s="3"/>
      <c r="F25" s="1"/>
      <c r="G25" s="3"/>
      <c r="H25" s="3"/>
      <c r="I25" s="1"/>
      <c r="J25" s="3"/>
    </row>
    <row r="26" spans="1:10" s="250" customFormat="1" ht="24" customHeight="1">
      <c r="A26" s="559" t="s">
        <v>802</v>
      </c>
      <c r="B26" s="559"/>
      <c r="C26" s="559"/>
      <c r="D26" s="559"/>
      <c r="E26" s="559"/>
      <c r="F26" s="559"/>
      <c r="G26" s="559"/>
      <c r="H26" s="559"/>
      <c r="I26" s="559"/>
      <c r="J26" s="559"/>
    </row>
    <row r="27" spans="1:10" s="250" customFormat="1" ht="16.5" customHeight="1">
      <c r="A27" s="3"/>
      <c r="B27" s="54"/>
      <c r="C27" s="4"/>
      <c r="D27" s="54"/>
      <c r="E27" s="54"/>
      <c r="F27" s="4"/>
      <c r="G27" s="54"/>
      <c r="H27" s="54"/>
      <c r="I27" s="4"/>
      <c r="J27" s="54"/>
    </row>
    <row r="28" spans="1:10" s="250" customFormat="1" ht="16.5" customHeight="1">
      <c r="A28" s="72" t="s">
        <v>684</v>
      </c>
      <c r="B28" s="3"/>
      <c r="C28" s="1"/>
      <c r="D28" s="3"/>
      <c r="E28" s="3"/>
      <c r="F28" s="1"/>
      <c r="G28" s="3"/>
      <c r="H28" s="3"/>
      <c r="I28" s="1"/>
      <c r="J28" s="3"/>
    </row>
    <row r="29" spans="1:10" s="250" customFormat="1" ht="16.5" customHeight="1">
      <c r="A29" s="434" t="s">
        <v>165</v>
      </c>
      <c r="B29" s="532" t="s">
        <v>3</v>
      </c>
      <c r="C29" s="532"/>
      <c r="D29" s="533"/>
      <c r="E29" s="532" t="s">
        <v>2</v>
      </c>
      <c r="F29" s="532"/>
      <c r="G29" s="533"/>
      <c r="H29" s="532" t="s">
        <v>454</v>
      </c>
      <c r="I29" s="532"/>
      <c r="J29" s="533"/>
    </row>
    <row r="30" spans="1:10" s="250" customFormat="1" ht="16.5" customHeight="1">
      <c r="A30" s="207" t="s">
        <v>391</v>
      </c>
      <c r="B30" s="428" t="s">
        <v>52</v>
      </c>
      <c r="C30" s="428" t="s">
        <v>6</v>
      </c>
      <c r="D30" s="428" t="s">
        <v>30</v>
      </c>
      <c r="E30" s="428" t="s">
        <v>52</v>
      </c>
      <c r="F30" s="428" t="s">
        <v>6</v>
      </c>
      <c r="G30" s="428" t="s">
        <v>30</v>
      </c>
      <c r="H30" s="428" t="s">
        <v>52</v>
      </c>
      <c r="I30" s="428" t="s">
        <v>6</v>
      </c>
      <c r="J30" s="432" t="s">
        <v>30</v>
      </c>
    </row>
    <row r="31" spans="1:10" s="250" customFormat="1" ht="16.5" customHeight="1">
      <c r="A31" s="431" t="s">
        <v>86</v>
      </c>
      <c r="B31" s="446">
        <v>113490</v>
      </c>
      <c r="C31" s="41">
        <v>100</v>
      </c>
      <c r="D31" s="216">
        <v>111171</v>
      </c>
      <c r="E31" s="446">
        <v>27334</v>
      </c>
      <c r="F31" s="41">
        <v>100</v>
      </c>
      <c r="G31" s="216">
        <v>31544</v>
      </c>
      <c r="H31" s="446">
        <v>1566</v>
      </c>
      <c r="I31" s="41">
        <v>100</v>
      </c>
      <c r="J31" s="244">
        <v>1476</v>
      </c>
    </row>
    <row r="32" spans="1:10" s="250" customFormat="1" ht="16.5" customHeight="1">
      <c r="A32" s="430" t="s">
        <v>131</v>
      </c>
      <c r="B32" s="447">
        <v>2043</v>
      </c>
      <c r="C32" s="510">
        <v>1.8001586042823154</v>
      </c>
      <c r="D32" s="251">
        <v>2036</v>
      </c>
      <c r="E32" s="447">
        <v>1</v>
      </c>
      <c r="F32" s="510">
        <v>3.6584473549425628E-3</v>
      </c>
      <c r="G32" s="251">
        <v>1</v>
      </c>
      <c r="H32" s="243">
        <v>1</v>
      </c>
      <c r="I32" s="510">
        <v>6.3856960408684549E-2</v>
      </c>
      <c r="J32" s="243">
        <v>1</v>
      </c>
    </row>
    <row r="33" spans="1:10" s="250" customFormat="1" ht="16.5" customHeight="1">
      <c r="A33" s="430" t="s">
        <v>132</v>
      </c>
      <c r="B33" s="447">
        <v>22</v>
      </c>
      <c r="C33" s="510">
        <v>1.9384967838576087E-2</v>
      </c>
      <c r="D33" s="251">
        <v>22</v>
      </c>
      <c r="E33" s="447">
        <v>0</v>
      </c>
      <c r="F33" s="44">
        <v>0</v>
      </c>
      <c r="G33" s="251">
        <v>0</v>
      </c>
      <c r="H33" s="243">
        <v>0</v>
      </c>
      <c r="I33" s="44">
        <v>0</v>
      </c>
      <c r="J33" s="243">
        <v>0</v>
      </c>
    </row>
    <row r="34" spans="1:10" s="250" customFormat="1" ht="16.5" customHeight="1">
      <c r="A34" s="430" t="s">
        <v>133</v>
      </c>
      <c r="B34" s="447">
        <v>5519</v>
      </c>
      <c r="C34" s="510">
        <v>4.8629835227773377</v>
      </c>
      <c r="D34" s="251">
        <v>5378</v>
      </c>
      <c r="E34" s="447">
        <v>445</v>
      </c>
      <c r="F34" s="510">
        <v>1.6280090729494403</v>
      </c>
      <c r="G34" s="251">
        <v>436</v>
      </c>
      <c r="H34" s="243">
        <v>120</v>
      </c>
      <c r="I34" s="510">
        <v>7.6628352490421454</v>
      </c>
      <c r="J34" s="243">
        <v>120</v>
      </c>
    </row>
    <row r="35" spans="1:10" s="250" customFormat="1" ht="16.5" customHeight="1">
      <c r="A35" s="430" t="s">
        <v>134</v>
      </c>
      <c r="B35" s="447">
        <v>944</v>
      </c>
      <c r="C35" s="510">
        <v>0.83179134725526482</v>
      </c>
      <c r="D35" s="251">
        <v>939</v>
      </c>
      <c r="E35" s="447">
        <v>0</v>
      </c>
      <c r="F35" s="44">
        <v>0</v>
      </c>
      <c r="G35" s="251">
        <v>0</v>
      </c>
      <c r="H35" s="243">
        <v>0</v>
      </c>
      <c r="I35" s="44">
        <v>0</v>
      </c>
      <c r="J35" s="243">
        <v>0</v>
      </c>
    </row>
    <row r="36" spans="1:10" s="250" customFormat="1" ht="16.5" customHeight="1">
      <c r="A36" s="430" t="s">
        <v>135</v>
      </c>
      <c r="B36" s="447">
        <v>421</v>
      </c>
      <c r="C36" s="510">
        <v>0.37095779363820597</v>
      </c>
      <c r="D36" s="251">
        <v>413</v>
      </c>
      <c r="E36" s="447">
        <v>1</v>
      </c>
      <c r="F36" s="510">
        <v>3.6584473549425628E-3</v>
      </c>
      <c r="G36" s="251">
        <v>1</v>
      </c>
      <c r="H36" s="243">
        <v>1</v>
      </c>
      <c r="I36" s="510">
        <v>6.3856960408684549E-2</v>
      </c>
      <c r="J36" s="243">
        <v>1</v>
      </c>
    </row>
    <row r="37" spans="1:10" s="250" customFormat="1" ht="16.5" customHeight="1">
      <c r="A37" s="430" t="s">
        <v>532</v>
      </c>
      <c r="B37" s="447">
        <v>405</v>
      </c>
      <c r="C37" s="510">
        <v>0.35685963521015068</v>
      </c>
      <c r="D37" s="251">
        <v>415</v>
      </c>
      <c r="E37" s="447">
        <v>35</v>
      </c>
      <c r="F37" s="510">
        <v>0.12804565742298968</v>
      </c>
      <c r="G37" s="251">
        <v>37</v>
      </c>
      <c r="H37" s="243">
        <v>118</v>
      </c>
      <c r="I37" s="510">
        <v>7.5351213282247764</v>
      </c>
      <c r="J37" s="243">
        <v>95</v>
      </c>
    </row>
    <row r="38" spans="1:10" s="250" customFormat="1" ht="16.5" customHeight="1">
      <c r="A38" s="430" t="s">
        <v>533</v>
      </c>
      <c r="B38" s="447">
        <v>588</v>
      </c>
      <c r="C38" s="510">
        <v>0.51810732223103351</v>
      </c>
      <c r="D38" s="251">
        <v>579</v>
      </c>
      <c r="E38" s="447">
        <v>97</v>
      </c>
      <c r="F38" s="510">
        <v>0.35486939342942853</v>
      </c>
      <c r="G38" s="251">
        <v>77</v>
      </c>
      <c r="H38" s="243">
        <v>22</v>
      </c>
      <c r="I38" s="510">
        <v>1.40485312899106</v>
      </c>
      <c r="J38" s="243">
        <v>22</v>
      </c>
    </row>
    <row r="39" spans="1:10" s="250" customFormat="1" ht="16.5" customHeight="1">
      <c r="A39" s="430" t="s">
        <v>136</v>
      </c>
      <c r="B39" s="447">
        <v>3726</v>
      </c>
      <c r="C39" s="510">
        <v>3.2831086439333865</v>
      </c>
      <c r="D39" s="251">
        <v>3726</v>
      </c>
      <c r="E39" s="447">
        <v>56</v>
      </c>
      <c r="F39" s="510">
        <v>0.20487305187678351</v>
      </c>
      <c r="G39" s="251">
        <v>63</v>
      </c>
      <c r="H39" s="243">
        <v>3</v>
      </c>
      <c r="I39" s="510">
        <v>0.19157088122605362</v>
      </c>
      <c r="J39" s="243">
        <v>2</v>
      </c>
    </row>
    <row r="40" spans="1:10" s="250" customFormat="1" ht="16.5" customHeight="1">
      <c r="A40" s="430" t="s">
        <v>534</v>
      </c>
      <c r="B40" s="447">
        <v>12659</v>
      </c>
      <c r="C40" s="510">
        <v>11.1</v>
      </c>
      <c r="D40" s="251">
        <v>12620</v>
      </c>
      <c r="E40" s="447">
        <v>0</v>
      </c>
      <c r="F40" s="44">
        <v>0</v>
      </c>
      <c r="G40" s="251">
        <v>0</v>
      </c>
      <c r="H40" s="243">
        <v>0</v>
      </c>
      <c r="I40" s="44">
        <v>0</v>
      </c>
      <c r="J40" s="243">
        <v>0</v>
      </c>
    </row>
    <row r="41" spans="1:10" s="250" customFormat="1" ht="16.5" customHeight="1">
      <c r="A41" s="430" t="s">
        <v>137</v>
      </c>
      <c r="B41" s="447">
        <v>2706</v>
      </c>
      <c r="C41" s="510">
        <v>2.3843510441448585</v>
      </c>
      <c r="D41" s="251">
        <v>2617</v>
      </c>
      <c r="E41" s="447">
        <v>167</v>
      </c>
      <c r="F41" s="510">
        <v>0.61096070827540794</v>
      </c>
      <c r="G41" s="251">
        <v>148</v>
      </c>
      <c r="H41" s="243">
        <v>5</v>
      </c>
      <c r="I41" s="510">
        <v>0.31928480204342274</v>
      </c>
      <c r="J41" s="243">
        <v>3</v>
      </c>
    </row>
    <row r="42" spans="1:10" s="250" customFormat="1" ht="16.5" customHeight="1">
      <c r="A42" s="430" t="s">
        <v>138</v>
      </c>
      <c r="B42" s="447">
        <v>51178</v>
      </c>
      <c r="C42" s="510">
        <v>45.0947220019385</v>
      </c>
      <c r="D42" s="251">
        <v>49276</v>
      </c>
      <c r="E42" s="447">
        <v>396</v>
      </c>
      <c r="F42" s="510">
        <v>1.5</v>
      </c>
      <c r="G42" s="251">
        <v>213</v>
      </c>
      <c r="H42" s="243">
        <v>0</v>
      </c>
      <c r="I42" s="44">
        <v>0</v>
      </c>
      <c r="J42" s="243">
        <v>0</v>
      </c>
    </row>
    <row r="43" spans="1:10" s="250" customFormat="1" ht="16.5" customHeight="1">
      <c r="A43" s="430" t="s">
        <v>535</v>
      </c>
      <c r="B43" s="447">
        <v>5806</v>
      </c>
      <c r="C43" s="510">
        <v>5.1158692395805794</v>
      </c>
      <c r="D43" s="251">
        <v>5815</v>
      </c>
      <c r="E43" s="447">
        <v>0</v>
      </c>
      <c r="F43" s="44">
        <v>0</v>
      </c>
      <c r="G43" s="251">
        <v>0</v>
      </c>
      <c r="H43" s="243">
        <v>0</v>
      </c>
      <c r="I43" s="44">
        <v>0</v>
      </c>
      <c r="J43" s="243">
        <v>0</v>
      </c>
    </row>
    <row r="44" spans="1:10" s="250" customFormat="1" ht="16.5" customHeight="1">
      <c r="A44" s="389" t="s">
        <v>76</v>
      </c>
      <c r="B44" s="286">
        <v>27473</v>
      </c>
      <c r="C44" s="334">
        <v>24.207419155872763</v>
      </c>
      <c r="D44" s="371">
        <v>27335</v>
      </c>
      <c r="E44" s="286">
        <v>26136</v>
      </c>
      <c r="F44" s="334">
        <v>95.617180068778808</v>
      </c>
      <c r="G44" s="371">
        <v>30568</v>
      </c>
      <c r="H44" s="286">
        <v>1296</v>
      </c>
      <c r="I44" s="334">
        <v>82.7</v>
      </c>
      <c r="J44" s="46">
        <v>1232</v>
      </c>
    </row>
    <row r="45" spans="1:10" s="250" customFormat="1" ht="16.5" customHeight="1">
      <c r="A45" s="3" t="s">
        <v>580</v>
      </c>
      <c r="B45" s="3"/>
      <c r="C45" s="1"/>
      <c r="D45" s="3"/>
      <c r="E45" s="3"/>
      <c r="F45" s="20"/>
      <c r="G45" s="3"/>
      <c r="H45" s="3"/>
      <c r="I45" s="10"/>
      <c r="J45" s="3"/>
    </row>
    <row r="46" spans="1:10" s="250" customFormat="1" ht="16.5" customHeight="1">
      <c r="A46" s="3" t="s">
        <v>536</v>
      </c>
      <c r="B46" s="3"/>
      <c r="C46" s="1"/>
      <c r="D46" s="3"/>
      <c r="E46" s="3"/>
      <c r="F46" s="1"/>
      <c r="G46" s="3"/>
      <c r="H46" s="3"/>
      <c r="I46" s="1"/>
      <c r="J46" s="3"/>
    </row>
  </sheetData>
  <sheetProtection algorithmName="SHA-512" hashValue="dmA+nSduDdkTdEVqP++1wwf5d+yHb20XODdAQtETWh9x9JLKZwq+piL12iL4VckR3vwI5rqOiEZm36V5tAzoFw==" saltValue="9P8j61iE2gBNOMcXOhln1Q==" spinCount="100000" sheet="1" objects="1" scenarios="1"/>
  <customSheetViews>
    <customSheetView guid="{4810CB4C-E276-4485-93D3-F920B09A4189}" showPageBreaks="1" showGridLines="0" fitToPage="1" printArea="1" view="pageBreakPreview">
      <pageMargins left="0.35433070866141736" right="0.11811023622047245" top="0.78740157480314965" bottom="0.98425196850393704" header="0.51181102362204722" footer="0.51181102362204722"/>
      <pageSetup paperSize="9" scale="85" orientation="portrait" r:id="rId1"/>
      <headerFooter alignWithMargins="0"/>
    </customSheetView>
  </customSheetViews>
  <mergeCells count="5">
    <mergeCell ref="A4:J4"/>
    <mergeCell ref="A26:J26"/>
    <mergeCell ref="B29:D29"/>
    <mergeCell ref="E29:G29"/>
    <mergeCell ref="H29:J29"/>
  </mergeCells>
  <phoneticPr fontId="6" type="noConversion"/>
  <pageMargins left="0.35433070866141736" right="0.11811023622047245" top="0.78740157480314965" bottom="0.98425196850393704" header="0.51181102362204722" footer="0.51181102362204722"/>
  <pageSetup paperSize="9" scale="85" orientation="portrait" r:id="rId2"/>
  <headerFooter alignWithMargins="0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FFC000"/>
  </sheetPr>
  <dimension ref="A1:Q45"/>
  <sheetViews>
    <sheetView showGridLines="0" view="pageBreakPreview" zoomScaleNormal="100" zoomScaleSheetLayoutView="100" workbookViewId="0"/>
  </sheetViews>
  <sheetFormatPr defaultColWidth="8" defaultRowHeight="16.5" customHeight="1"/>
  <cols>
    <col min="1" max="8" width="12.21875" style="90" customWidth="1"/>
    <col min="9" max="10" width="8" style="213"/>
    <col min="11" max="11" width="8.88671875" style="90" bestFit="1" customWidth="1"/>
    <col min="12" max="12" width="8.21875" style="90" bestFit="1" customWidth="1"/>
    <col min="13" max="16" width="8.109375" style="90" bestFit="1" customWidth="1"/>
    <col min="17" max="17" width="13.44140625" style="90" bestFit="1" customWidth="1"/>
    <col min="18" max="16384" width="8" style="90"/>
  </cols>
  <sheetData>
    <row r="1" spans="1:17" s="3" customFormat="1" ht="16.5" customHeight="1">
      <c r="A1" s="3" t="s">
        <v>547</v>
      </c>
      <c r="I1" s="53"/>
      <c r="J1" s="53"/>
    </row>
    <row r="2" spans="1:17" s="3" customFormat="1" ht="16.5" customHeight="1">
      <c r="I2" s="53"/>
      <c r="J2" s="53"/>
    </row>
    <row r="3" spans="1:17" s="3" customFormat="1" ht="16.5" customHeight="1">
      <c r="A3" s="72" t="s">
        <v>247</v>
      </c>
      <c r="I3" s="53"/>
      <c r="J3" s="53"/>
    </row>
    <row r="4" spans="1:17" s="3" customFormat="1" ht="16.5" customHeight="1">
      <c r="A4" s="267" t="s">
        <v>36</v>
      </c>
      <c r="B4" s="546" t="s">
        <v>144</v>
      </c>
      <c r="C4" s="546"/>
      <c r="D4" s="546"/>
      <c r="E4" s="546"/>
      <c r="F4" s="546"/>
      <c r="G4" s="546"/>
      <c r="H4" s="544" t="s">
        <v>439</v>
      </c>
      <c r="I4" s="53"/>
      <c r="J4" s="53"/>
    </row>
    <row r="5" spans="1:17" s="3" customFormat="1" ht="16.5" customHeight="1">
      <c r="A5" s="207" t="s">
        <v>342</v>
      </c>
      <c r="B5" s="562"/>
      <c r="C5" s="263" t="s">
        <v>31</v>
      </c>
      <c r="D5" s="263" t="s">
        <v>398</v>
      </c>
      <c r="E5" s="263" t="s">
        <v>61</v>
      </c>
      <c r="F5" s="263" t="s">
        <v>175</v>
      </c>
      <c r="G5" s="263" t="s">
        <v>248</v>
      </c>
      <c r="H5" s="563"/>
      <c r="I5" s="53"/>
      <c r="J5" s="53"/>
    </row>
    <row r="6" spans="1:17" s="3" customFormat="1" ht="16.5" customHeight="1">
      <c r="A6" s="273">
        <v>2017</v>
      </c>
      <c r="B6" s="225">
        <v>8571</v>
      </c>
      <c r="C6" s="243">
        <f>SUM(D6:F6)</f>
        <v>8567</v>
      </c>
      <c r="D6" s="243">
        <v>2771</v>
      </c>
      <c r="E6" s="243">
        <v>5391</v>
      </c>
      <c r="F6" s="243">
        <v>405</v>
      </c>
      <c r="G6" s="221">
        <v>25.604456824512532</v>
      </c>
      <c r="H6" s="243">
        <v>60800267440</v>
      </c>
      <c r="I6" s="53"/>
      <c r="J6" s="307"/>
      <c r="K6" s="307" t="s">
        <v>548</v>
      </c>
      <c r="L6" s="307" t="s">
        <v>549</v>
      </c>
      <c r="M6" s="307" t="s">
        <v>550</v>
      </c>
      <c r="N6" s="307" t="s">
        <v>66</v>
      </c>
      <c r="O6" s="307" t="s">
        <v>35</v>
      </c>
      <c r="P6" s="307" t="s">
        <v>175</v>
      </c>
      <c r="Q6" s="307" t="s">
        <v>439</v>
      </c>
    </row>
    <row r="7" spans="1:17" s="3" customFormat="1" ht="16.5" customHeight="1">
      <c r="A7" s="305">
        <v>2018</v>
      </c>
      <c r="B7" s="225">
        <v>10046</v>
      </c>
      <c r="C7" s="243">
        <f>SUM(D7:F7)</f>
        <v>9189</v>
      </c>
      <c r="D7" s="243">
        <v>3775</v>
      </c>
      <c r="E7" s="243">
        <v>5009</v>
      </c>
      <c r="F7" s="243">
        <v>405</v>
      </c>
      <c r="G7" s="221">
        <v>32.345044939885611</v>
      </c>
      <c r="H7" s="243">
        <v>66968408975</v>
      </c>
      <c r="I7" s="53"/>
      <c r="J7" s="307" t="s">
        <v>551</v>
      </c>
      <c r="K7" s="307">
        <v>43437</v>
      </c>
      <c r="L7" s="307">
        <v>36176</v>
      </c>
      <c r="M7" s="307">
        <v>14945</v>
      </c>
      <c r="N7" s="307">
        <v>20124</v>
      </c>
      <c r="O7" s="307">
        <v>245</v>
      </c>
      <c r="P7" s="307">
        <v>862</v>
      </c>
      <c r="Q7" s="307">
        <v>101029159590</v>
      </c>
    </row>
    <row r="8" spans="1:17" s="3" customFormat="1" ht="16.5" customHeight="1">
      <c r="A8" s="305">
        <v>2019</v>
      </c>
      <c r="B8" s="225">
        <v>15229</v>
      </c>
      <c r="C8" s="243">
        <f>SUM(D8:F8)</f>
        <v>13861</v>
      </c>
      <c r="D8" s="243">
        <v>6274</v>
      </c>
      <c r="E8" s="243">
        <v>7191</v>
      </c>
      <c r="F8" s="243">
        <v>396</v>
      </c>
      <c r="G8" s="221">
        <v>41.081728153226685</v>
      </c>
      <c r="H8" s="243">
        <v>72629881353</v>
      </c>
      <c r="I8" s="53"/>
      <c r="J8" s="307" t="s">
        <v>265</v>
      </c>
      <c r="K8" s="307">
        <v>151</v>
      </c>
      <c r="L8" s="307">
        <v>196</v>
      </c>
      <c r="M8" s="307">
        <v>34</v>
      </c>
      <c r="N8" s="307">
        <v>155</v>
      </c>
      <c r="O8" s="307">
        <v>0</v>
      </c>
      <c r="P8" s="307">
        <v>7</v>
      </c>
      <c r="Q8" s="307">
        <v>7914104474</v>
      </c>
    </row>
    <row r="9" spans="1:17" s="3" customFormat="1" ht="16.5" customHeight="1">
      <c r="A9" s="305">
        <v>2020</v>
      </c>
      <c r="B9" s="225">
        <v>26754</v>
      </c>
      <c r="C9" s="243">
        <f>SUM(D9:F9)</f>
        <v>18478</v>
      </c>
      <c r="D9" s="243">
        <v>9195</v>
      </c>
      <c r="E9" s="243">
        <v>8513</v>
      </c>
      <c r="F9" s="243">
        <v>770</v>
      </c>
      <c r="G9" s="221">
        <v>45.263689488492894</v>
      </c>
      <c r="H9" s="243">
        <v>102120441050</v>
      </c>
      <c r="I9" s="53"/>
      <c r="J9" s="78"/>
      <c r="K9" s="78"/>
      <c r="L9" s="78"/>
      <c r="M9" s="78"/>
      <c r="N9" s="78"/>
      <c r="O9" s="78"/>
      <c r="P9" s="78"/>
      <c r="Q9" s="78"/>
    </row>
    <row r="10" spans="1:17" s="3" customFormat="1" ht="16.5" customHeight="1">
      <c r="A10" s="274">
        <v>2021</v>
      </c>
      <c r="B10" s="226">
        <f>SUM(K7:K8)</f>
        <v>43588</v>
      </c>
      <c r="C10" s="175">
        <f>SUM(D10:F10)</f>
        <v>36372</v>
      </c>
      <c r="D10" s="175">
        <f>SUM(M7:M8)</f>
        <v>14979</v>
      </c>
      <c r="E10" s="175">
        <f>SUM(N7:N8)</f>
        <v>20279</v>
      </c>
      <c r="F10" s="175">
        <f>SUM(O7:P8)</f>
        <v>1114</v>
      </c>
      <c r="G10" s="176">
        <f>D10*100/C10</f>
        <v>41.182777961068957</v>
      </c>
      <c r="H10" s="175">
        <f>SUM(Q7:Q8)</f>
        <v>108943264064</v>
      </c>
      <c r="I10" s="53"/>
      <c r="J10" s="53"/>
    </row>
    <row r="11" spans="1:17" s="3" customFormat="1" ht="16.5" customHeight="1">
      <c r="A11" s="3" t="s">
        <v>583</v>
      </c>
      <c r="I11" s="53"/>
      <c r="J11" s="53"/>
    </row>
    <row r="12" spans="1:17" s="3" customFormat="1" ht="16.5" customHeight="1">
      <c r="I12" s="53"/>
    </row>
    <row r="13" spans="1:17" s="3" customFormat="1" ht="16.5" customHeight="1">
      <c r="A13" s="72" t="s">
        <v>584</v>
      </c>
      <c r="I13" s="53"/>
    </row>
    <row r="14" spans="1:17" s="3" customFormat="1" ht="27" customHeight="1">
      <c r="A14" s="684" t="s">
        <v>591</v>
      </c>
      <c r="B14" s="684"/>
      <c r="C14" s="684"/>
      <c r="D14" s="684"/>
      <c r="E14" s="684"/>
      <c r="F14" s="684"/>
      <c r="G14" s="684"/>
      <c r="H14" s="684"/>
      <c r="I14" s="53"/>
      <c r="J14" s="308" t="s">
        <v>437</v>
      </c>
      <c r="K14" s="309" t="e">
        <f>'1'!#REF!</f>
        <v>#REF!</v>
      </c>
      <c r="L14" s="310" t="e">
        <f>$K$17/K14*100</f>
        <v>#REF!</v>
      </c>
    </row>
    <row r="15" spans="1:17" s="3" customFormat="1" ht="16.5" customHeight="1">
      <c r="I15" s="53"/>
      <c r="J15" s="308" t="s">
        <v>552</v>
      </c>
      <c r="K15" s="309" t="e">
        <f>'1'!#REF!</f>
        <v>#REF!</v>
      </c>
      <c r="L15" s="310" t="e">
        <f>$K$17/K15*100</f>
        <v>#REF!</v>
      </c>
    </row>
    <row r="16" spans="1:17" s="3" customFormat="1" ht="16.5" customHeight="1">
      <c r="A16" s="72" t="s">
        <v>440</v>
      </c>
      <c r="I16" s="53"/>
      <c r="J16" s="308" t="s">
        <v>434</v>
      </c>
      <c r="K16" s="309">
        <f>'1'!$D$21</f>
        <v>1762869</v>
      </c>
      <c r="L16" s="310">
        <f>$K$17/K16*100</f>
        <v>0.53566090276702349</v>
      </c>
    </row>
    <row r="17" spans="9:12" s="3" customFormat="1" ht="16.5" customHeight="1">
      <c r="I17" s="53"/>
      <c r="J17" s="308" t="s">
        <v>441</v>
      </c>
      <c r="K17" s="309">
        <f>SUM(D38,F38)</f>
        <v>9443</v>
      </c>
      <c r="L17" s="310"/>
    </row>
    <row r="18" spans="9:12" s="3" customFormat="1" ht="16.5" customHeight="1">
      <c r="I18" s="53"/>
    </row>
    <row r="19" spans="9:12" s="3" customFormat="1" ht="16.5" customHeight="1">
      <c r="I19" s="53"/>
      <c r="J19" s="154"/>
      <c r="K19" s="239" t="s">
        <v>553</v>
      </c>
    </row>
    <row r="20" spans="9:12" s="3" customFormat="1" ht="16.5" customHeight="1">
      <c r="I20" s="53"/>
      <c r="J20" s="224"/>
      <c r="K20" s="154" t="s">
        <v>554</v>
      </c>
      <c r="L20" s="154" t="s">
        <v>249</v>
      </c>
    </row>
    <row r="21" spans="9:12" s="3" customFormat="1" ht="16.5" customHeight="1">
      <c r="I21" s="53"/>
      <c r="J21" s="224" t="s">
        <v>389</v>
      </c>
      <c r="K21" s="24">
        <v>1232</v>
      </c>
      <c r="L21" s="24">
        <v>1801</v>
      </c>
    </row>
    <row r="22" spans="9:12" s="3" customFormat="1" ht="16.5" customHeight="1">
      <c r="I22" s="53"/>
      <c r="J22" s="224" t="s">
        <v>390</v>
      </c>
      <c r="K22" s="24">
        <v>2702</v>
      </c>
      <c r="L22" s="24">
        <v>1971</v>
      </c>
    </row>
    <row r="23" spans="9:12" s="3" customFormat="1" ht="16.5" customHeight="1">
      <c r="I23" s="53"/>
      <c r="J23" s="224" t="s">
        <v>183</v>
      </c>
      <c r="K23" s="24">
        <v>3289</v>
      </c>
      <c r="L23" s="24">
        <v>2387</v>
      </c>
    </row>
    <row r="24" spans="9:12" s="3" customFormat="1" ht="16.5" customHeight="1">
      <c r="I24" s="53"/>
      <c r="J24" s="224" t="s">
        <v>184</v>
      </c>
      <c r="K24" s="24">
        <v>4018</v>
      </c>
      <c r="L24" s="24">
        <v>2370</v>
      </c>
    </row>
    <row r="25" spans="9:12" s="3" customFormat="1" ht="16.5" customHeight="1">
      <c r="I25" s="53"/>
      <c r="J25" s="224" t="s">
        <v>185</v>
      </c>
      <c r="K25" s="24">
        <v>4303</v>
      </c>
      <c r="L25" s="24">
        <v>2539</v>
      </c>
    </row>
    <row r="26" spans="9:12" s="3" customFormat="1" ht="16.5" customHeight="1">
      <c r="I26" s="53"/>
      <c r="J26" s="224" t="s">
        <v>186</v>
      </c>
      <c r="K26" s="24">
        <v>4725</v>
      </c>
      <c r="L26" s="24">
        <v>2641</v>
      </c>
    </row>
    <row r="27" spans="9:12" s="3" customFormat="1" ht="16.5" customHeight="1">
      <c r="I27" s="53"/>
      <c r="J27" s="224" t="s">
        <v>187</v>
      </c>
      <c r="K27" s="24">
        <v>5479</v>
      </c>
      <c r="L27" s="24">
        <v>3794</v>
      </c>
    </row>
    <row r="28" spans="9:12" s="3" customFormat="1" ht="16.5" customHeight="1">
      <c r="I28" s="53"/>
      <c r="J28" s="224" t="s">
        <v>188</v>
      </c>
      <c r="K28" s="24">
        <v>7291</v>
      </c>
      <c r="L28" s="24">
        <v>4676</v>
      </c>
    </row>
    <row r="29" spans="9:12" s="3" customFormat="1" ht="16.5" customHeight="1">
      <c r="I29" s="53"/>
      <c r="J29" s="224" t="s">
        <v>189</v>
      </c>
      <c r="K29" s="24">
        <v>8283</v>
      </c>
      <c r="L29" s="24">
        <v>3967</v>
      </c>
    </row>
    <row r="30" spans="9:12" s="3" customFormat="1" ht="16.5" customHeight="1">
      <c r="I30" s="53"/>
      <c r="J30" s="224" t="s">
        <v>190</v>
      </c>
      <c r="K30" s="24">
        <v>7118</v>
      </c>
      <c r="L30" s="24">
        <v>3414</v>
      </c>
    </row>
    <row r="31" spans="9:12" s="3" customFormat="1" ht="16.5" customHeight="1">
      <c r="I31" s="53"/>
      <c r="J31" s="224" t="s">
        <v>191</v>
      </c>
      <c r="K31" s="24">
        <v>7555</v>
      </c>
      <c r="L31" s="24">
        <v>3105</v>
      </c>
    </row>
    <row r="32" spans="9:12" s="3" customFormat="1" ht="16.5" customHeight="1">
      <c r="I32" s="53"/>
      <c r="J32" s="224" t="s">
        <v>192</v>
      </c>
      <c r="K32" s="24">
        <v>8111</v>
      </c>
      <c r="L32" s="24">
        <v>2796</v>
      </c>
    </row>
    <row r="33" spans="1:12" s="3" customFormat="1" ht="16.5" customHeight="1">
      <c r="I33" s="53"/>
      <c r="J33" s="224" t="s">
        <v>431</v>
      </c>
      <c r="K33" s="24">
        <v>8995</v>
      </c>
      <c r="L33" s="24">
        <v>2648</v>
      </c>
    </row>
    <row r="34" spans="1:12" s="3" customFormat="1" ht="16.5" customHeight="1">
      <c r="I34" s="53"/>
      <c r="J34" s="224" t="s">
        <v>578</v>
      </c>
      <c r="K34" s="24">
        <v>9891</v>
      </c>
      <c r="L34" s="24">
        <v>2403</v>
      </c>
    </row>
    <row r="35" spans="1:12" s="3" customFormat="1" ht="16.5" customHeight="1">
      <c r="A35" s="72" t="s">
        <v>442</v>
      </c>
      <c r="I35" s="53"/>
      <c r="J35" s="224" t="s">
        <v>590</v>
      </c>
      <c r="K35" s="24">
        <v>7233</v>
      </c>
      <c r="L35" s="24">
        <v>2210</v>
      </c>
    </row>
    <row r="36" spans="1:12" s="3" customFormat="1" ht="16.5" customHeight="1">
      <c r="A36" s="571" t="s">
        <v>160</v>
      </c>
      <c r="B36" s="571"/>
      <c r="C36" s="572"/>
      <c r="D36" s="546" t="s">
        <v>399</v>
      </c>
      <c r="E36" s="546"/>
      <c r="F36" s="546" t="s">
        <v>400</v>
      </c>
      <c r="G36" s="544"/>
      <c r="I36" s="53"/>
    </row>
    <row r="37" spans="1:12" s="3" customFormat="1" ht="16.5" customHeight="1">
      <c r="A37" s="569" t="s">
        <v>435</v>
      </c>
      <c r="B37" s="569"/>
      <c r="C37" s="570"/>
      <c r="D37" s="264" t="s">
        <v>52</v>
      </c>
      <c r="E37" s="264" t="s">
        <v>26</v>
      </c>
      <c r="F37" s="264" t="s">
        <v>52</v>
      </c>
      <c r="G37" s="264" t="s">
        <v>26</v>
      </c>
      <c r="I37" s="53"/>
    </row>
    <row r="38" spans="1:12" s="3" customFormat="1" ht="16.5" customHeight="1">
      <c r="A38" s="690" t="s">
        <v>86</v>
      </c>
      <c r="B38" s="687"/>
      <c r="C38" s="687"/>
      <c r="D38" s="43">
        <f>SUM(D39:D44)</f>
        <v>2210</v>
      </c>
      <c r="E38" s="259">
        <f>SUM(E39:E44)</f>
        <v>2260</v>
      </c>
      <c r="F38" s="244">
        <f>SUM(F39:F44)</f>
        <v>7233</v>
      </c>
      <c r="G38" s="244">
        <f>SUM(G39:G44)</f>
        <v>5376</v>
      </c>
      <c r="I38" s="53"/>
    </row>
    <row r="39" spans="1:12" s="3" customFormat="1" ht="16.5" customHeight="1">
      <c r="A39" s="685" t="s">
        <v>146</v>
      </c>
      <c r="B39" s="686"/>
      <c r="C39" s="687"/>
      <c r="D39" s="245">
        <v>74</v>
      </c>
      <c r="E39" s="260">
        <v>76</v>
      </c>
      <c r="F39" s="243">
        <v>29</v>
      </c>
      <c r="G39" s="243">
        <v>34</v>
      </c>
      <c r="I39" s="53"/>
    </row>
    <row r="40" spans="1:12" s="3" customFormat="1" ht="16.5" customHeight="1">
      <c r="A40" s="685" t="s">
        <v>147</v>
      </c>
      <c r="B40" s="686"/>
      <c r="C40" s="687"/>
      <c r="D40" s="245">
        <v>20</v>
      </c>
      <c r="E40" s="260">
        <v>25</v>
      </c>
      <c r="F40" s="243">
        <v>25</v>
      </c>
      <c r="G40" s="243">
        <v>32</v>
      </c>
      <c r="I40" s="53"/>
    </row>
    <row r="41" spans="1:12" s="3" customFormat="1" ht="16.5" customHeight="1">
      <c r="A41" s="685" t="s">
        <v>148</v>
      </c>
      <c r="B41" s="686"/>
      <c r="C41" s="687"/>
      <c r="D41" s="245">
        <v>2</v>
      </c>
      <c r="E41" s="260">
        <v>2</v>
      </c>
      <c r="F41" s="243">
        <v>1</v>
      </c>
      <c r="G41" s="243">
        <v>2</v>
      </c>
      <c r="I41" s="53"/>
    </row>
    <row r="42" spans="1:12" s="3" customFormat="1" ht="16.5" customHeight="1">
      <c r="A42" s="685" t="s">
        <v>149</v>
      </c>
      <c r="B42" s="686"/>
      <c r="C42" s="687"/>
      <c r="D42" s="245">
        <v>207</v>
      </c>
      <c r="E42" s="260">
        <v>216</v>
      </c>
      <c r="F42" s="243">
        <v>373</v>
      </c>
      <c r="G42" s="243">
        <v>383</v>
      </c>
      <c r="I42" s="53"/>
    </row>
    <row r="43" spans="1:12" s="3" customFormat="1" ht="16.5" customHeight="1">
      <c r="A43" s="685" t="s">
        <v>150</v>
      </c>
      <c r="B43" s="686"/>
      <c r="C43" s="687"/>
      <c r="D43" s="245">
        <v>220</v>
      </c>
      <c r="E43" s="260">
        <v>210</v>
      </c>
      <c r="F43" s="243">
        <v>82</v>
      </c>
      <c r="G43" s="243">
        <v>90</v>
      </c>
      <c r="I43" s="53"/>
    </row>
    <row r="44" spans="1:12" s="3" customFormat="1" ht="16.5" customHeight="1">
      <c r="A44" s="688" t="s">
        <v>151</v>
      </c>
      <c r="B44" s="689"/>
      <c r="C44" s="689"/>
      <c r="D44" s="174">
        <v>1687</v>
      </c>
      <c r="E44" s="178">
        <v>1731</v>
      </c>
      <c r="F44" s="175">
        <v>6723</v>
      </c>
      <c r="G44" s="175">
        <v>4835</v>
      </c>
      <c r="I44" s="53"/>
    </row>
    <row r="45" spans="1:12" s="3" customFormat="1" ht="16.5" customHeight="1">
      <c r="A45" s="3" t="s">
        <v>587</v>
      </c>
      <c r="I45" s="53"/>
      <c r="J45" s="53"/>
    </row>
  </sheetData>
  <sheetProtection algorithmName="SHA-512" hashValue="m/aAvzF4MmlVZ99VyiYlcXBYT95cLA3vTufe6bn/Bch/zNGb81p5SUADCTuV9pexcXtI5EThT9MxIWIXr4sqAg==" saltValue="TmqJOKVtjFAEzYbsvt/17Q==" spinCount="100000" sheet="1" objects="1" scenarios="1"/>
  <customSheetViews>
    <customSheetView guid="{4810CB4C-E276-4485-93D3-F920B09A4189}" showPageBreaks="1" showGridLines="0" printArea="1" state="hidden" view="pageBreakPreview">
      <pageMargins left="0.4" right="0.14000000000000001" top="0.44" bottom="0.3" header="0.5" footer="0.5"/>
      <pageSetup paperSize="9" scale="87" orientation="portrait" horizontalDpi="1200" verticalDpi="1200" r:id="rId1"/>
      <headerFooter alignWithMargins="0"/>
    </customSheetView>
  </customSheetViews>
  <mergeCells count="15">
    <mergeCell ref="A43:C43"/>
    <mergeCell ref="A44:C44"/>
    <mergeCell ref="A37:C37"/>
    <mergeCell ref="A38:C38"/>
    <mergeCell ref="A39:C39"/>
    <mergeCell ref="A40:C40"/>
    <mergeCell ref="A41:C41"/>
    <mergeCell ref="A42:C42"/>
    <mergeCell ref="B4:B5"/>
    <mergeCell ref="C4:G4"/>
    <mergeCell ref="H4:H5"/>
    <mergeCell ref="A14:H14"/>
    <mergeCell ref="A36:C36"/>
    <mergeCell ref="D36:E36"/>
    <mergeCell ref="F36:G36"/>
  </mergeCells>
  <phoneticPr fontId="6" type="noConversion"/>
  <pageMargins left="0.4" right="0.14000000000000001" top="0.44" bottom="0.3" header="0.5" footer="0.5"/>
  <pageSetup paperSize="9" scale="87" orientation="portrait" horizontalDpi="1200" verticalDpi="1200" r:id="rId2"/>
  <headerFooter alignWithMargins="0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J58"/>
  <sheetViews>
    <sheetView showGridLines="0" zoomScaleNormal="100" zoomScaleSheetLayoutView="100" workbookViewId="0"/>
  </sheetViews>
  <sheetFormatPr defaultColWidth="8" defaultRowHeight="16.5" customHeight="1"/>
  <cols>
    <col min="1" max="10" width="8.88671875" style="76" customWidth="1"/>
    <col min="11" max="16384" width="8" style="76"/>
  </cols>
  <sheetData>
    <row r="1" spans="1:10" s="3" customFormat="1" ht="16.5" customHeight="1">
      <c r="A1" s="101" t="s">
        <v>685</v>
      </c>
      <c r="B1" s="54"/>
      <c r="C1" s="54"/>
      <c r="D1" s="54"/>
      <c r="J1" s="185"/>
    </row>
    <row r="2" spans="1:10" s="3" customFormat="1" ht="16.5" customHeight="1">
      <c r="A2" s="101"/>
      <c r="B2" s="54"/>
      <c r="C2" s="54"/>
      <c r="D2" s="54"/>
      <c r="J2" s="185"/>
    </row>
    <row r="3" spans="1:10" s="3" customFormat="1" ht="16.5" customHeight="1">
      <c r="A3" s="101" t="s">
        <v>438</v>
      </c>
      <c r="B3" s="54"/>
      <c r="C3" s="54"/>
      <c r="D3" s="54"/>
      <c r="J3" s="185"/>
    </row>
    <row r="4" spans="1:10" s="3" customFormat="1" ht="16.5" customHeight="1">
      <c r="A4" s="222"/>
      <c r="B4" s="266" t="s">
        <v>58</v>
      </c>
      <c r="C4" s="555" t="s">
        <v>297</v>
      </c>
      <c r="D4" s="555" t="s">
        <v>537</v>
      </c>
      <c r="E4" s="555" t="s">
        <v>251</v>
      </c>
    </row>
    <row r="5" spans="1:10" s="3" customFormat="1" ht="16.5" customHeight="1">
      <c r="A5" s="223" t="s">
        <v>36</v>
      </c>
      <c r="B5" s="222"/>
      <c r="C5" s="555"/>
      <c r="D5" s="555"/>
      <c r="E5" s="555"/>
      <c r="F5" s="53"/>
      <c r="G5" s="53"/>
    </row>
    <row r="6" spans="1:10" s="3" customFormat="1" ht="16.5" customHeight="1">
      <c r="A6" s="566" t="s">
        <v>52</v>
      </c>
      <c r="B6" s="593"/>
      <c r="C6" s="336">
        <v>2065</v>
      </c>
      <c r="D6" s="118">
        <v>848</v>
      </c>
      <c r="E6" s="118">
        <v>1217</v>
      </c>
      <c r="F6" s="53"/>
      <c r="G6" s="53"/>
    </row>
    <row r="7" spans="1:10" s="3" customFormat="1" ht="16.5" customHeight="1">
      <c r="A7" s="566" t="s">
        <v>392</v>
      </c>
      <c r="B7" s="593"/>
      <c r="C7" s="336">
        <v>2058</v>
      </c>
      <c r="D7" s="118">
        <v>842</v>
      </c>
      <c r="E7" s="118">
        <v>1216</v>
      </c>
      <c r="F7" s="53"/>
      <c r="G7" s="218"/>
    </row>
    <row r="8" spans="1:10" s="1" customFormat="1" ht="16.5" customHeight="1">
      <c r="A8" s="12"/>
      <c r="B8" s="253"/>
      <c r="C8" s="390">
        <v>100</v>
      </c>
      <c r="D8" s="391">
        <v>100</v>
      </c>
      <c r="E8" s="391">
        <v>100</v>
      </c>
      <c r="F8" s="13"/>
      <c r="G8" s="31"/>
    </row>
    <row r="9" spans="1:10" s="3" customFormat="1" ht="16.5" customHeight="1">
      <c r="A9" s="565" t="s">
        <v>393</v>
      </c>
      <c r="B9" s="592"/>
      <c r="C9" s="339">
        <v>164</v>
      </c>
      <c r="D9" s="35">
        <v>116</v>
      </c>
      <c r="E9" s="35">
        <v>48</v>
      </c>
      <c r="F9" s="30"/>
      <c r="G9" s="218"/>
    </row>
    <row r="10" spans="1:10" s="1" customFormat="1" ht="16.5" customHeight="1">
      <c r="A10" s="12"/>
      <c r="B10" s="253"/>
      <c r="C10" s="337">
        <v>7.9689018464528667</v>
      </c>
      <c r="D10" s="338">
        <v>13.776722090261281</v>
      </c>
      <c r="E10" s="338">
        <v>3.9473684210526314</v>
      </c>
      <c r="F10" s="314"/>
      <c r="G10" s="31"/>
    </row>
    <row r="11" spans="1:10" s="3" customFormat="1" ht="16.5" customHeight="1">
      <c r="A11" s="219"/>
      <c r="B11" s="271" t="s">
        <v>394</v>
      </c>
      <c r="C11" s="339">
        <v>92</v>
      </c>
      <c r="D11" s="35">
        <v>65</v>
      </c>
      <c r="E11" s="35">
        <v>27</v>
      </c>
      <c r="F11" s="314"/>
      <c r="G11" s="218"/>
    </row>
    <row r="12" spans="1:10" s="3" customFormat="1" ht="16.5" customHeight="1">
      <c r="A12" s="219"/>
      <c r="B12" s="271" t="s">
        <v>395</v>
      </c>
      <c r="C12" s="339">
        <v>72</v>
      </c>
      <c r="D12" s="35">
        <v>51</v>
      </c>
      <c r="E12" s="35">
        <v>21</v>
      </c>
      <c r="F12" s="314"/>
      <c r="G12" s="218"/>
    </row>
    <row r="13" spans="1:10" s="3" customFormat="1" ht="16.5" customHeight="1">
      <c r="A13" s="565" t="s">
        <v>396</v>
      </c>
      <c r="B13" s="592"/>
      <c r="C13" s="339">
        <v>1844</v>
      </c>
      <c r="D13" s="35">
        <v>700</v>
      </c>
      <c r="E13" s="35">
        <v>1144</v>
      </c>
      <c r="F13" s="314"/>
      <c r="G13" s="218"/>
    </row>
    <row r="14" spans="1:10" s="1" customFormat="1" ht="16.5" customHeight="1">
      <c r="A14" s="12"/>
      <c r="B14" s="253"/>
      <c r="C14" s="337">
        <v>89.601554907677354</v>
      </c>
      <c r="D14" s="338">
        <v>83.135391923990497</v>
      </c>
      <c r="E14" s="338">
        <v>94.078947368421055</v>
      </c>
      <c r="F14" s="314"/>
      <c r="G14" s="31"/>
    </row>
    <row r="15" spans="1:10" s="3" customFormat="1" ht="16.5" customHeight="1">
      <c r="A15" s="565" t="s">
        <v>76</v>
      </c>
      <c r="B15" s="592"/>
      <c r="C15" s="339">
        <v>50</v>
      </c>
      <c r="D15" s="35">
        <v>26</v>
      </c>
      <c r="E15" s="35">
        <v>24</v>
      </c>
      <c r="F15" s="314"/>
      <c r="G15" s="218"/>
    </row>
    <row r="16" spans="1:10" s="1" customFormat="1" ht="16.5" customHeight="1">
      <c r="A16" s="254"/>
      <c r="B16" s="255"/>
      <c r="C16" s="340">
        <v>2.4295432458697768</v>
      </c>
      <c r="D16" s="341">
        <v>3.0878859857482186</v>
      </c>
      <c r="E16" s="341">
        <v>2</v>
      </c>
      <c r="F16" s="314"/>
      <c r="G16" s="31"/>
    </row>
    <row r="17" spans="1:10" s="3" customFormat="1" ht="16.5" customHeight="1">
      <c r="A17" s="3" t="s">
        <v>538</v>
      </c>
    </row>
    <row r="18" spans="1:10" s="3" customFormat="1" ht="16.5" customHeight="1"/>
    <row r="19" spans="1:10" s="3" customFormat="1" ht="16.5" customHeight="1">
      <c r="A19" s="101" t="s">
        <v>539</v>
      </c>
    </row>
    <row r="20" spans="1:10" s="57" customFormat="1" ht="16.5" customHeight="1">
      <c r="A20" s="267" t="s">
        <v>160</v>
      </c>
      <c r="B20" s="544" t="s">
        <v>497</v>
      </c>
      <c r="C20" s="546" t="s">
        <v>26</v>
      </c>
      <c r="D20" s="546"/>
      <c r="E20" s="546"/>
      <c r="F20" s="546"/>
      <c r="G20" s="546"/>
      <c r="H20" s="691" t="s">
        <v>540</v>
      </c>
      <c r="I20" s="544" t="s">
        <v>541</v>
      </c>
      <c r="J20" s="3"/>
    </row>
    <row r="21" spans="1:10" s="57" customFormat="1" ht="16.5" customHeight="1">
      <c r="A21" s="207" t="s">
        <v>513</v>
      </c>
      <c r="B21" s="563"/>
      <c r="C21" s="263" t="s">
        <v>508</v>
      </c>
      <c r="D21" s="263" t="s">
        <v>140</v>
      </c>
      <c r="E21" s="263" t="s">
        <v>141</v>
      </c>
      <c r="F21" s="263" t="s">
        <v>76</v>
      </c>
      <c r="G21" s="263" t="s">
        <v>542</v>
      </c>
      <c r="H21" s="563"/>
      <c r="I21" s="563"/>
      <c r="J21" s="3"/>
    </row>
    <row r="22" spans="1:10" s="57" customFormat="1" ht="16.5" customHeight="1">
      <c r="A22" s="272" t="s">
        <v>86</v>
      </c>
      <c r="B22" s="244">
        <v>5701</v>
      </c>
      <c r="C22" s="43">
        <v>5551</v>
      </c>
      <c r="D22" s="244">
        <v>1678</v>
      </c>
      <c r="E22" s="244">
        <v>3663</v>
      </c>
      <c r="F22" s="244">
        <v>210</v>
      </c>
      <c r="G22" s="220">
        <v>30.228787605836789</v>
      </c>
      <c r="H22" s="37"/>
      <c r="I22" s="244">
        <v>383</v>
      </c>
      <c r="J22" s="3"/>
    </row>
    <row r="23" spans="1:10" s="57" customFormat="1" ht="16.5" customHeight="1">
      <c r="A23" s="271" t="s">
        <v>7</v>
      </c>
      <c r="B23" s="243">
        <v>5176</v>
      </c>
      <c r="C23" s="245">
        <v>5035</v>
      </c>
      <c r="D23" s="243">
        <v>1580</v>
      </c>
      <c r="E23" s="243">
        <v>3257</v>
      </c>
      <c r="F23" s="243">
        <v>198</v>
      </c>
      <c r="G23" s="221">
        <v>31.380337636544191</v>
      </c>
      <c r="H23" s="36">
        <v>23.112658227848101</v>
      </c>
      <c r="I23" s="243">
        <v>343</v>
      </c>
      <c r="J23" s="3"/>
    </row>
    <row r="24" spans="1:10" s="57" customFormat="1" ht="16.5" customHeight="1">
      <c r="A24" s="271" t="s">
        <v>60</v>
      </c>
      <c r="B24" s="243">
        <v>408</v>
      </c>
      <c r="C24" s="245">
        <v>399</v>
      </c>
      <c r="D24" s="243">
        <v>96</v>
      </c>
      <c r="E24" s="243">
        <v>292</v>
      </c>
      <c r="F24" s="243">
        <v>11</v>
      </c>
      <c r="G24" s="221">
        <v>24.060150375939848</v>
      </c>
      <c r="H24" s="36">
        <v>30.6666666666667</v>
      </c>
      <c r="I24" s="243">
        <v>37</v>
      </c>
      <c r="J24" s="3"/>
    </row>
    <row r="25" spans="1:10" s="57" customFormat="1" ht="16.5" customHeight="1">
      <c r="A25" s="200" t="s">
        <v>397</v>
      </c>
      <c r="B25" s="178">
        <v>117</v>
      </c>
      <c r="C25" s="175">
        <v>117</v>
      </c>
      <c r="D25" s="175">
        <v>2</v>
      </c>
      <c r="E25" s="175">
        <v>114</v>
      </c>
      <c r="F25" s="175">
        <v>1</v>
      </c>
      <c r="G25" s="176">
        <v>1.7094017094017095</v>
      </c>
      <c r="H25" s="342">
        <v>120</v>
      </c>
      <c r="I25" s="175">
        <v>3</v>
      </c>
      <c r="J25" s="3"/>
    </row>
    <row r="26" spans="1:10" s="57" customFormat="1" ht="16.5" customHeight="1">
      <c r="A26" s="140" t="s">
        <v>543</v>
      </c>
      <c r="B26" s="140"/>
      <c r="C26" s="140"/>
      <c r="D26" s="140"/>
      <c r="E26" s="140"/>
      <c r="F26" s="140"/>
      <c r="G26" s="140"/>
      <c r="H26" s="140"/>
      <c r="I26" s="3"/>
      <c r="J26" s="3"/>
    </row>
    <row r="27" spans="1:10" s="57" customFormat="1" ht="16.5" customHeight="1">
      <c r="A27" s="3" t="s">
        <v>581</v>
      </c>
      <c r="B27" s="140"/>
      <c r="C27" s="140"/>
      <c r="D27" s="140"/>
      <c r="E27" s="140"/>
      <c r="F27" s="140"/>
      <c r="G27" s="140"/>
      <c r="H27" s="140"/>
      <c r="I27" s="3"/>
      <c r="J27" s="3"/>
    </row>
    <row r="28" spans="1:10" s="3" customFormat="1" ht="16.5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</row>
    <row r="29" spans="1:10" s="3" customFormat="1" ht="16.5" customHeight="1">
      <c r="A29" s="72" t="s">
        <v>686</v>
      </c>
    </row>
    <row r="30" spans="1:10" s="3" customFormat="1" ht="16.5" customHeight="1">
      <c r="A30" s="267" t="s">
        <v>160</v>
      </c>
      <c r="B30" s="546" t="s">
        <v>86</v>
      </c>
      <c r="C30" s="546"/>
      <c r="D30" s="546"/>
      <c r="E30" s="546" t="s">
        <v>142</v>
      </c>
      <c r="F30" s="546"/>
      <c r="G30" s="546"/>
      <c r="H30" s="546" t="s">
        <v>143</v>
      </c>
      <c r="I30" s="546"/>
      <c r="J30" s="544"/>
    </row>
    <row r="31" spans="1:10" s="3" customFormat="1" ht="16.5" customHeight="1">
      <c r="A31" s="207" t="s">
        <v>168</v>
      </c>
      <c r="B31" s="263" t="s">
        <v>144</v>
      </c>
      <c r="C31" s="263" t="s">
        <v>145</v>
      </c>
      <c r="D31" s="263" t="s">
        <v>544</v>
      </c>
      <c r="E31" s="263" t="s">
        <v>144</v>
      </c>
      <c r="F31" s="263" t="s">
        <v>145</v>
      </c>
      <c r="G31" s="263" t="s">
        <v>544</v>
      </c>
      <c r="H31" s="263" t="s">
        <v>144</v>
      </c>
      <c r="I31" s="263" t="s">
        <v>145</v>
      </c>
      <c r="J31" s="264" t="s">
        <v>544</v>
      </c>
    </row>
    <row r="32" spans="1:10" s="3" customFormat="1" ht="16.5" customHeight="1">
      <c r="A32" s="271">
        <v>2020</v>
      </c>
      <c r="B32" s="43">
        <v>1938</v>
      </c>
      <c r="C32" s="244">
        <v>130</v>
      </c>
      <c r="D32" s="220">
        <v>6.707946336429309</v>
      </c>
      <c r="E32" s="245">
        <v>757</v>
      </c>
      <c r="F32" s="243">
        <v>84</v>
      </c>
      <c r="G32" s="221">
        <v>11.096433289299867</v>
      </c>
      <c r="H32" s="243">
        <v>1181</v>
      </c>
      <c r="I32" s="243">
        <v>46</v>
      </c>
      <c r="J32" s="25">
        <v>3.8950042337002539</v>
      </c>
    </row>
    <row r="33" spans="1:10" s="3" customFormat="1" ht="16.5" customHeight="1">
      <c r="A33" s="271">
        <v>2021</v>
      </c>
      <c r="B33" s="43">
        <v>1723</v>
      </c>
      <c r="C33" s="244">
        <v>98</v>
      </c>
      <c r="D33" s="220">
        <v>5.6877539175856064</v>
      </c>
      <c r="E33" s="243">
        <v>704</v>
      </c>
      <c r="F33" s="243">
        <v>65</v>
      </c>
      <c r="G33" s="221">
        <v>9.232954545454545</v>
      </c>
      <c r="H33" s="243">
        <v>1019</v>
      </c>
      <c r="I33" s="243">
        <v>33</v>
      </c>
      <c r="J33" s="25">
        <v>3.2384690873405302</v>
      </c>
    </row>
    <row r="34" spans="1:10" s="3" customFormat="1" ht="16.5" customHeight="1">
      <c r="A34" s="268">
        <v>2022</v>
      </c>
      <c r="B34" s="43">
        <v>2079</v>
      </c>
      <c r="C34" s="244">
        <v>136</v>
      </c>
      <c r="D34" s="220">
        <v>6.5416065416065416</v>
      </c>
      <c r="E34" s="245">
        <v>787</v>
      </c>
      <c r="F34" s="243">
        <v>97</v>
      </c>
      <c r="G34" s="221">
        <v>12.325285895806863</v>
      </c>
      <c r="H34" s="243">
        <v>1292</v>
      </c>
      <c r="I34" s="243">
        <v>39</v>
      </c>
      <c r="J34" s="25">
        <v>3.0185758513931891</v>
      </c>
    </row>
    <row r="35" spans="1:10" s="3" customFormat="1" ht="16.5" customHeight="1">
      <c r="A35" s="306">
        <v>2023</v>
      </c>
      <c r="B35" s="43">
        <v>2206</v>
      </c>
      <c r="C35" s="244">
        <v>173</v>
      </c>
      <c r="D35" s="220">
        <v>7.842248413417952</v>
      </c>
      <c r="E35" s="245">
        <v>870</v>
      </c>
      <c r="F35" s="243">
        <v>123</v>
      </c>
      <c r="G35" s="221">
        <v>14.13793103448276</v>
      </c>
      <c r="H35" s="243">
        <v>1336</v>
      </c>
      <c r="I35" s="243">
        <v>50</v>
      </c>
      <c r="J35" s="25">
        <v>3.7425149700598799</v>
      </c>
    </row>
    <row r="36" spans="1:10" s="3" customFormat="1" ht="16.5" customHeight="1">
      <c r="A36" s="200">
        <v>2024</v>
      </c>
      <c r="B36" s="256">
        <v>2065</v>
      </c>
      <c r="C36" s="257">
        <v>164</v>
      </c>
      <c r="D36" s="258">
        <v>7.9418886198547218</v>
      </c>
      <c r="E36" s="174">
        <v>848</v>
      </c>
      <c r="F36" s="175">
        <v>116</v>
      </c>
      <c r="G36" s="176">
        <v>13.679245283018867</v>
      </c>
      <c r="H36" s="175">
        <v>1217</v>
      </c>
      <c r="I36" s="175">
        <v>48</v>
      </c>
      <c r="J36" s="181">
        <v>3.9441248972884138</v>
      </c>
    </row>
    <row r="37" spans="1:10" s="3" customFormat="1" ht="16.5" customHeight="1">
      <c r="A37" s="3" t="s">
        <v>545</v>
      </c>
    </row>
    <row r="38" spans="1:10" s="3" customFormat="1" ht="16.5" customHeight="1"/>
    <row r="39" spans="1:10" s="125" customFormat="1" ht="16.5" customHeight="1">
      <c r="A39" s="214" t="s">
        <v>635</v>
      </c>
    </row>
    <row r="40" spans="1:10" s="125" customFormat="1" ht="16.5" customHeight="1">
      <c r="E40" s="3"/>
      <c r="F40" s="3"/>
      <c r="G40" s="3"/>
      <c r="H40" s="3"/>
      <c r="I40" s="3"/>
      <c r="J40" s="3"/>
    </row>
    <row r="41" spans="1:10" s="125" customFormat="1" ht="16.5" customHeight="1">
      <c r="A41" s="79"/>
      <c r="B41" s="237" t="s">
        <v>250</v>
      </c>
      <c r="C41" s="237" t="s">
        <v>546</v>
      </c>
      <c r="E41" s="3"/>
      <c r="F41" s="3"/>
      <c r="G41" s="3"/>
      <c r="H41" s="3"/>
      <c r="I41" s="3"/>
      <c r="J41" s="3"/>
    </row>
    <row r="42" spans="1:10" s="125" customFormat="1" ht="16.5" customHeight="1">
      <c r="A42" s="79" t="s">
        <v>529</v>
      </c>
      <c r="B42" s="237">
        <v>30.780243378668576</v>
      </c>
      <c r="C42" s="237">
        <v>19.061032863849764</v>
      </c>
    </row>
    <row r="43" spans="1:10" s="125" customFormat="1" ht="16.5" customHeight="1">
      <c r="A43" s="79" t="s">
        <v>186</v>
      </c>
      <c r="B43" s="237">
        <v>27.173913043478258</v>
      </c>
      <c r="C43" s="237">
        <v>12.91005291005291</v>
      </c>
    </row>
    <row r="44" spans="1:10" s="125" customFormat="1" ht="16.5" customHeight="1">
      <c r="A44" s="79" t="s">
        <v>187</v>
      </c>
      <c r="B44" s="237">
        <v>21.005025125628141</v>
      </c>
      <c r="C44" s="237">
        <v>13.333333333333334</v>
      </c>
    </row>
    <row r="45" spans="1:10" s="125" customFormat="1" ht="16.5" customHeight="1">
      <c r="A45" s="79" t="s">
        <v>188</v>
      </c>
      <c r="B45" s="237">
        <v>27.5</v>
      </c>
      <c r="C45" s="237">
        <v>13.2</v>
      </c>
    </row>
    <row r="46" spans="1:10" s="125" customFormat="1" ht="16.5" customHeight="1">
      <c r="A46" s="79" t="s">
        <v>189</v>
      </c>
      <c r="B46" s="237">
        <v>23.666978484565014</v>
      </c>
      <c r="C46" s="237">
        <v>9.6660808435852363</v>
      </c>
    </row>
    <row r="47" spans="1:10" s="125" customFormat="1" ht="16.5" customHeight="1">
      <c r="A47" s="79" t="s">
        <v>190</v>
      </c>
      <c r="B47" s="237">
        <v>20.930232558139537</v>
      </c>
      <c r="C47" s="237">
        <v>10.425844346549193</v>
      </c>
    </row>
    <row r="48" spans="1:10" s="125" customFormat="1" ht="16.5" customHeight="1">
      <c r="A48" s="79" t="s">
        <v>191</v>
      </c>
      <c r="B48" s="237">
        <v>19.331742243436754</v>
      </c>
      <c r="C48" s="237">
        <v>8.4269662921348321</v>
      </c>
    </row>
    <row r="49" spans="1:4" s="125" customFormat="1" ht="16.5" customHeight="1">
      <c r="A49" s="79" t="s">
        <v>192</v>
      </c>
      <c r="B49" s="237">
        <v>16.929133858267718</v>
      </c>
      <c r="C49" s="237">
        <v>7.8682525160109789</v>
      </c>
    </row>
    <row r="50" spans="1:4" s="125" customFormat="1" ht="16.5" customHeight="1">
      <c r="A50" s="79" t="s">
        <v>431</v>
      </c>
      <c r="B50" s="237">
        <v>15.539112050739959</v>
      </c>
      <c r="C50" s="237">
        <v>5.4029304029304033</v>
      </c>
    </row>
    <row r="51" spans="1:4" s="125" customFormat="1" ht="16.5" customHeight="1">
      <c r="A51" s="79" t="s">
        <v>578</v>
      </c>
      <c r="B51" s="237">
        <v>11.096433289299867</v>
      </c>
      <c r="C51" s="237">
        <v>3.8950042337002539</v>
      </c>
      <c r="D51" s="153"/>
    </row>
    <row r="52" spans="1:4" s="125" customFormat="1" ht="16.5" customHeight="1">
      <c r="A52" s="79" t="s">
        <v>737</v>
      </c>
      <c r="B52" s="237">
        <v>9.232954545454545</v>
      </c>
      <c r="C52" s="237">
        <v>3.2384690873405302</v>
      </c>
    </row>
    <row r="53" spans="1:4" s="125" customFormat="1" ht="16.5" customHeight="1">
      <c r="A53" s="79" t="s">
        <v>745</v>
      </c>
      <c r="B53" s="469">
        <v>12.325285895806863</v>
      </c>
      <c r="C53" s="469">
        <v>3.0185758513931891</v>
      </c>
    </row>
    <row r="54" spans="1:4" s="125" customFormat="1" ht="16.5" customHeight="1">
      <c r="A54" s="79" t="s">
        <v>756</v>
      </c>
      <c r="B54" s="469">
        <v>14.13793103448276</v>
      </c>
      <c r="C54" s="469">
        <v>3.7425149700598799</v>
      </c>
    </row>
    <row r="55" spans="1:4" s="125" customFormat="1" ht="16.5" customHeight="1">
      <c r="A55" s="79" t="s">
        <v>798</v>
      </c>
      <c r="B55" s="469">
        <v>13.679245283018867</v>
      </c>
      <c r="C55" s="469">
        <v>3.9441248972884138</v>
      </c>
    </row>
    <row r="56" spans="1:4" s="125" customFormat="1" ht="16.5" customHeight="1"/>
    <row r="57" spans="1:4" s="125" customFormat="1" ht="16.5" customHeight="1"/>
    <row r="58" spans="1:4" s="125" customFormat="1" ht="16.5" customHeight="1"/>
  </sheetData>
  <sheetProtection algorithmName="SHA-512" hashValue="HQysR7MNAaVPCj2eJ58ZNNV091ELu34jJMrkuRVufqk4cJXTriDLsFihQfo6OPy2YBPngvv3ZEOre0YZo2fcZA==" saltValue="8/vJqk2g8bhiBOZGZ9L6Iw==" spinCount="100000" sheet="1" objects="1" scenarios="1"/>
  <customSheetViews>
    <customSheetView guid="{4810CB4C-E276-4485-93D3-F920B09A4189}" showPageBreaks="1" showGridLines="0" fitToPage="1" printArea="1" view="pageBreakPreview">
      <pageMargins left="0.43307086614173229" right="3.937007874015748E-2" top="0.31496062992125984" bottom="0.15748031496062992" header="0.51181102362204722" footer="0.15748031496062992"/>
      <pageSetup paperSize="9" scale="83" orientation="portrait" horizontalDpi="1200" verticalDpi="1200" r:id="rId1"/>
      <headerFooter alignWithMargins="0"/>
    </customSheetView>
  </customSheetViews>
  <mergeCells count="15">
    <mergeCell ref="B30:D30"/>
    <mergeCell ref="E30:G30"/>
    <mergeCell ref="H30:J30"/>
    <mergeCell ref="A13:B13"/>
    <mergeCell ref="A15:B15"/>
    <mergeCell ref="B20:B21"/>
    <mergeCell ref="C20:G20"/>
    <mergeCell ref="H20:H21"/>
    <mergeCell ref="I20:I21"/>
    <mergeCell ref="A9:B9"/>
    <mergeCell ref="C4:C5"/>
    <mergeCell ref="D4:D5"/>
    <mergeCell ref="E4:E5"/>
    <mergeCell ref="A6:B6"/>
    <mergeCell ref="A7:B7"/>
  </mergeCells>
  <phoneticPr fontId="6" type="noConversion"/>
  <pageMargins left="0.43307086614173229" right="3.937007874015748E-2" top="0.31496062992125984" bottom="0.15748031496062992" header="0.51181102362204722" footer="0.15748031496062992"/>
  <pageSetup paperSize="9" scale="84" orientation="portrait" horizontalDpi="1200" verticalDpi="1200" r:id="rId2"/>
  <headerFooter alignWithMargins="0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54"/>
  <sheetViews>
    <sheetView showGridLines="0" zoomScaleNormal="100" zoomScaleSheetLayoutView="100" workbookViewId="0"/>
  </sheetViews>
  <sheetFormatPr defaultColWidth="8" defaultRowHeight="16.5" customHeight="1"/>
  <cols>
    <col min="1" max="7" width="12.21875" style="90" customWidth="1"/>
    <col min="8" max="8" width="14.77734375" style="90" customWidth="1"/>
    <col min="9" max="16384" width="8" style="90"/>
  </cols>
  <sheetData>
    <row r="1" spans="1:8" s="3" customFormat="1" ht="16.5" customHeight="1">
      <c r="A1" s="3" t="s">
        <v>687</v>
      </c>
    </row>
    <row r="2" spans="1:8" s="3" customFormat="1" ht="16.5" customHeight="1"/>
    <row r="3" spans="1:8" s="3" customFormat="1" ht="16.5" customHeight="1">
      <c r="A3" s="72" t="s">
        <v>688</v>
      </c>
    </row>
    <row r="4" spans="1:8" s="3" customFormat="1" ht="16.5" customHeight="1">
      <c r="A4" s="369" t="s">
        <v>36</v>
      </c>
      <c r="B4" s="546" t="s">
        <v>144</v>
      </c>
      <c r="C4" s="546"/>
      <c r="D4" s="546"/>
      <c r="E4" s="546"/>
      <c r="F4" s="546"/>
      <c r="G4" s="546"/>
      <c r="H4" s="544" t="s">
        <v>608</v>
      </c>
    </row>
    <row r="5" spans="1:8" s="3" customFormat="1" ht="16.5" customHeight="1">
      <c r="A5" s="207" t="s">
        <v>342</v>
      </c>
      <c r="B5" s="667"/>
      <c r="C5" s="370" t="s">
        <v>31</v>
      </c>
      <c r="D5" s="370" t="s">
        <v>398</v>
      </c>
      <c r="E5" s="370" t="s">
        <v>61</v>
      </c>
      <c r="F5" s="370" t="s">
        <v>175</v>
      </c>
      <c r="G5" s="370" t="s">
        <v>248</v>
      </c>
      <c r="H5" s="706"/>
    </row>
    <row r="6" spans="1:8" s="3" customFormat="1" ht="16.5" customHeight="1">
      <c r="A6" s="514">
        <v>2020</v>
      </c>
      <c r="B6" s="516">
        <v>26754</v>
      </c>
      <c r="C6" s="243">
        <v>18478</v>
      </c>
      <c r="D6" s="243">
        <v>9195</v>
      </c>
      <c r="E6" s="243">
        <v>8513</v>
      </c>
      <c r="F6" s="243">
        <v>770</v>
      </c>
      <c r="G6" s="221">
        <v>49.76187899123282</v>
      </c>
      <c r="H6" s="243">
        <v>102120441050</v>
      </c>
    </row>
    <row r="7" spans="1:8" s="3" customFormat="1" ht="16.5" customHeight="1">
      <c r="A7" s="514">
        <v>2021</v>
      </c>
      <c r="B7" s="516">
        <v>43588</v>
      </c>
      <c r="C7" s="243">
        <v>36372</v>
      </c>
      <c r="D7" s="243">
        <v>14979</v>
      </c>
      <c r="E7" s="243">
        <v>20279</v>
      </c>
      <c r="F7" s="243">
        <v>1114</v>
      </c>
      <c r="G7" s="221">
        <v>41.182777961068957</v>
      </c>
      <c r="H7" s="243">
        <v>108943264064</v>
      </c>
    </row>
    <row r="8" spans="1:8" s="3" customFormat="1" ht="16.5" customHeight="1">
      <c r="A8" s="514">
        <v>2022</v>
      </c>
      <c r="B8" s="516">
        <v>50272</v>
      </c>
      <c r="C8" s="243">
        <v>44367</v>
      </c>
      <c r="D8" s="243">
        <v>15929</v>
      </c>
      <c r="E8" s="243">
        <v>27149</v>
      </c>
      <c r="F8" s="243">
        <v>1289</v>
      </c>
      <c r="G8" s="221">
        <v>35.902810647553366</v>
      </c>
      <c r="H8" s="243">
        <v>140169759797</v>
      </c>
    </row>
    <row r="9" spans="1:8" s="3" customFormat="1" ht="16.5" customHeight="1">
      <c r="A9" s="514">
        <v>2023</v>
      </c>
      <c r="B9" s="516">
        <v>51539</v>
      </c>
      <c r="C9" s="243">
        <v>50882</v>
      </c>
      <c r="D9" s="243">
        <v>18072</v>
      </c>
      <c r="E9" s="243">
        <v>31643</v>
      </c>
      <c r="F9" s="243">
        <v>1167</v>
      </c>
      <c r="G9" s="221">
        <v>35.517471797492242</v>
      </c>
      <c r="H9" s="243">
        <v>203697443182</v>
      </c>
    </row>
    <row r="10" spans="1:8" s="3" customFormat="1" ht="16.5" customHeight="1">
      <c r="A10" s="515">
        <v>2024</v>
      </c>
      <c r="B10" s="226">
        <v>51574</v>
      </c>
      <c r="C10" s="517">
        <v>49489</v>
      </c>
      <c r="D10" s="517">
        <v>13909</v>
      </c>
      <c r="E10" s="517">
        <v>34676</v>
      </c>
      <c r="F10" s="517">
        <v>904</v>
      </c>
      <c r="G10" s="518">
        <v>28.105235506880316</v>
      </c>
      <c r="H10" s="517">
        <v>251421768010</v>
      </c>
    </row>
    <row r="11" spans="1:8" s="3" customFormat="1" ht="16.5" customHeight="1">
      <c r="A11" s="3" t="s">
        <v>583</v>
      </c>
    </row>
    <row r="12" spans="1:8" s="3" customFormat="1" ht="16.5" customHeight="1"/>
    <row r="13" spans="1:8" s="3" customFormat="1" ht="16.5" customHeight="1">
      <c r="A13" s="72" t="s">
        <v>609</v>
      </c>
    </row>
    <row r="14" spans="1:8" s="3" customFormat="1" ht="27" customHeight="1">
      <c r="A14" s="559" t="s">
        <v>803</v>
      </c>
      <c r="B14" s="559"/>
      <c r="C14" s="559"/>
      <c r="D14" s="559"/>
      <c r="E14" s="559"/>
      <c r="F14" s="559"/>
      <c r="G14" s="559"/>
      <c r="H14" s="559"/>
    </row>
    <row r="15" spans="1:8" s="3" customFormat="1" ht="16.5" customHeight="1"/>
    <row r="16" spans="1:8" s="3" customFormat="1" ht="16.5" customHeight="1">
      <c r="A16" s="72" t="s">
        <v>636</v>
      </c>
    </row>
    <row r="17" spans="1:3" s="3" customFormat="1" ht="16.5" customHeight="1"/>
    <row r="18" spans="1:3" s="3" customFormat="1" ht="16.5" customHeight="1">
      <c r="A18" s="467"/>
      <c r="B18" s="79" t="s">
        <v>530</v>
      </c>
      <c r="C18" s="79" t="s">
        <v>249</v>
      </c>
    </row>
    <row r="19" spans="1:3" s="3" customFormat="1" ht="16.5" customHeight="1">
      <c r="A19" s="467" t="s">
        <v>186</v>
      </c>
      <c r="B19" s="235">
        <v>4725</v>
      </c>
      <c r="C19" s="235">
        <v>2641</v>
      </c>
    </row>
    <row r="20" spans="1:3" s="3" customFormat="1" ht="16.5" customHeight="1">
      <c r="A20" s="467" t="s">
        <v>187</v>
      </c>
      <c r="B20" s="235">
        <v>5479</v>
      </c>
      <c r="C20" s="235">
        <v>3794</v>
      </c>
    </row>
    <row r="21" spans="1:3" s="3" customFormat="1" ht="16.5" customHeight="1">
      <c r="A21" s="467" t="s">
        <v>188</v>
      </c>
      <c r="B21" s="235">
        <v>7291</v>
      </c>
      <c r="C21" s="235">
        <v>4676</v>
      </c>
    </row>
    <row r="22" spans="1:3" s="3" customFormat="1" ht="16.5" customHeight="1">
      <c r="A22" s="467" t="s">
        <v>189</v>
      </c>
      <c r="B22" s="235">
        <v>8283</v>
      </c>
      <c r="C22" s="235">
        <v>3967</v>
      </c>
    </row>
    <row r="23" spans="1:3" s="3" customFormat="1" ht="16.5" customHeight="1">
      <c r="A23" s="467" t="s">
        <v>190</v>
      </c>
      <c r="B23" s="235">
        <v>7118</v>
      </c>
      <c r="C23" s="235">
        <v>3414</v>
      </c>
    </row>
    <row r="24" spans="1:3" s="3" customFormat="1" ht="16.5" customHeight="1">
      <c r="A24" s="467" t="s">
        <v>191</v>
      </c>
      <c r="B24" s="235">
        <v>7555</v>
      </c>
      <c r="C24" s="235">
        <v>3105</v>
      </c>
    </row>
    <row r="25" spans="1:3" s="3" customFormat="1" ht="16.5" customHeight="1">
      <c r="A25" s="467" t="s">
        <v>192</v>
      </c>
      <c r="B25" s="235">
        <v>8111</v>
      </c>
      <c r="C25" s="235">
        <v>2796</v>
      </c>
    </row>
    <row r="26" spans="1:3" s="3" customFormat="1" ht="16.5" customHeight="1">
      <c r="A26" s="467" t="s">
        <v>431</v>
      </c>
      <c r="B26" s="235">
        <v>8995</v>
      </c>
      <c r="C26" s="235">
        <v>2648</v>
      </c>
    </row>
    <row r="27" spans="1:3" s="3" customFormat="1" ht="16.5" customHeight="1">
      <c r="A27" s="467" t="s">
        <v>578</v>
      </c>
      <c r="B27" s="235">
        <v>9891</v>
      </c>
      <c r="C27" s="235">
        <v>2403</v>
      </c>
    </row>
    <row r="28" spans="1:3" s="3" customFormat="1" ht="16.5" customHeight="1">
      <c r="A28" s="467" t="s">
        <v>737</v>
      </c>
      <c r="B28" s="235">
        <v>7233</v>
      </c>
      <c r="C28" s="235">
        <v>2210</v>
      </c>
    </row>
    <row r="29" spans="1:3" s="3" customFormat="1" ht="16.5" customHeight="1">
      <c r="A29" s="467" t="s">
        <v>745</v>
      </c>
      <c r="B29" s="235">
        <v>5137</v>
      </c>
      <c r="C29" s="235">
        <v>2772</v>
      </c>
    </row>
    <row r="30" spans="1:3" s="3" customFormat="1" ht="16.5" customHeight="1">
      <c r="A30" s="467" t="s">
        <v>756</v>
      </c>
      <c r="B30" s="235">
        <v>8288</v>
      </c>
      <c r="C30" s="235">
        <v>3405</v>
      </c>
    </row>
    <row r="31" spans="1:3" s="3" customFormat="1" ht="16.5" customHeight="1">
      <c r="A31" s="467" t="s">
        <v>798</v>
      </c>
      <c r="B31" s="235">
        <v>18584</v>
      </c>
      <c r="C31" s="235">
        <v>3254</v>
      </c>
    </row>
    <row r="32" spans="1:3" s="3" customFormat="1" ht="16.5" customHeight="1"/>
    <row r="33" spans="1:8" s="3" customFormat="1" ht="16.5" customHeight="1"/>
    <row r="34" spans="1:8" s="3" customFormat="1" ht="16.5" customHeight="1"/>
    <row r="35" spans="1:8" s="3" customFormat="1" ht="16.5" customHeight="1">
      <c r="A35" s="72" t="s">
        <v>689</v>
      </c>
    </row>
    <row r="36" spans="1:8" s="3" customFormat="1" ht="16.5" customHeight="1">
      <c r="A36" s="571" t="s">
        <v>160</v>
      </c>
      <c r="B36" s="571"/>
      <c r="C36" s="572"/>
      <c r="D36" s="546" t="s">
        <v>399</v>
      </c>
      <c r="E36" s="546"/>
      <c r="F36" s="546" t="s">
        <v>400</v>
      </c>
      <c r="G36" s="544"/>
    </row>
    <row r="37" spans="1:8" s="3" customFormat="1" ht="16.5" customHeight="1">
      <c r="A37" s="569" t="s">
        <v>65</v>
      </c>
      <c r="B37" s="569"/>
      <c r="C37" s="570"/>
      <c r="D37" s="332" t="s">
        <v>52</v>
      </c>
      <c r="E37" s="332" t="s">
        <v>26</v>
      </c>
      <c r="F37" s="332" t="s">
        <v>52</v>
      </c>
      <c r="G37" s="332" t="s">
        <v>26</v>
      </c>
    </row>
    <row r="38" spans="1:8" s="3" customFormat="1" ht="16.5" customHeight="1">
      <c r="A38" s="690" t="s">
        <v>86</v>
      </c>
      <c r="B38" s="687"/>
      <c r="C38" s="687"/>
      <c r="D38" s="83">
        <v>3254</v>
      </c>
      <c r="E38" s="216">
        <v>3294</v>
      </c>
      <c r="F38" s="244">
        <v>18584</v>
      </c>
      <c r="G38" s="244">
        <v>11175</v>
      </c>
    </row>
    <row r="39" spans="1:8" s="3" customFormat="1" ht="16.5" customHeight="1">
      <c r="A39" s="685" t="s">
        <v>146</v>
      </c>
      <c r="B39" s="686"/>
      <c r="C39" s="687"/>
      <c r="D39" s="81">
        <v>49</v>
      </c>
      <c r="E39" s="251">
        <v>61</v>
      </c>
      <c r="F39" s="243">
        <v>36</v>
      </c>
      <c r="G39" s="243">
        <v>36</v>
      </c>
    </row>
    <row r="40" spans="1:8" s="3" customFormat="1" ht="16.5" customHeight="1">
      <c r="A40" s="685" t="s">
        <v>147</v>
      </c>
      <c r="B40" s="686"/>
      <c r="C40" s="687"/>
      <c r="D40" s="81">
        <v>16</v>
      </c>
      <c r="E40" s="251">
        <v>18</v>
      </c>
      <c r="F40" s="243">
        <v>15</v>
      </c>
      <c r="G40" s="243">
        <v>10</v>
      </c>
    </row>
    <row r="41" spans="1:8" s="3" customFormat="1" ht="16.5" customHeight="1">
      <c r="A41" s="685" t="s">
        <v>148</v>
      </c>
      <c r="B41" s="686"/>
      <c r="C41" s="687"/>
      <c r="D41" s="81">
        <v>1</v>
      </c>
      <c r="E41" s="251">
        <v>0</v>
      </c>
      <c r="F41" s="243">
        <v>0</v>
      </c>
      <c r="G41" s="243">
        <v>1</v>
      </c>
    </row>
    <row r="42" spans="1:8" s="3" customFormat="1" ht="16.5" customHeight="1">
      <c r="A42" s="685" t="s">
        <v>149</v>
      </c>
      <c r="B42" s="686"/>
      <c r="C42" s="687"/>
      <c r="D42" s="81">
        <v>223</v>
      </c>
      <c r="E42" s="251">
        <v>203</v>
      </c>
      <c r="F42" s="243">
        <v>248</v>
      </c>
      <c r="G42" s="243">
        <v>189</v>
      </c>
    </row>
    <row r="43" spans="1:8" s="3" customFormat="1" ht="16.5" customHeight="1">
      <c r="A43" s="685" t="s">
        <v>150</v>
      </c>
      <c r="B43" s="686"/>
      <c r="C43" s="687"/>
      <c r="D43" s="81">
        <v>262</v>
      </c>
      <c r="E43" s="251">
        <v>263</v>
      </c>
      <c r="F43" s="243">
        <v>98</v>
      </c>
      <c r="G43" s="243">
        <v>95</v>
      </c>
    </row>
    <row r="44" spans="1:8" s="3" customFormat="1" ht="16.5" customHeight="1">
      <c r="A44" s="698" t="s">
        <v>151</v>
      </c>
      <c r="B44" s="699"/>
      <c r="C44" s="699"/>
      <c r="D44" s="286">
        <v>2703</v>
      </c>
      <c r="E44" s="371">
        <v>2749</v>
      </c>
      <c r="F44" s="46">
        <v>18187</v>
      </c>
      <c r="G44" s="46">
        <v>10844</v>
      </c>
    </row>
    <row r="45" spans="1:8" s="3" customFormat="1" ht="16.5" customHeight="1">
      <c r="A45" s="3" t="s">
        <v>587</v>
      </c>
    </row>
    <row r="47" spans="1:8" ht="16.5" customHeight="1">
      <c r="A47" s="72" t="s">
        <v>690</v>
      </c>
      <c r="H47" s="395"/>
    </row>
    <row r="48" spans="1:8" ht="16.5" customHeight="1">
      <c r="A48" s="700" t="s">
        <v>160</v>
      </c>
      <c r="B48" s="701"/>
      <c r="C48" s="702" t="s">
        <v>610</v>
      </c>
      <c r="D48" s="702" t="s">
        <v>611</v>
      </c>
      <c r="E48" s="702"/>
      <c r="F48" s="702"/>
      <c r="G48" s="702"/>
      <c r="H48" s="702"/>
    </row>
    <row r="49" spans="1:8" ht="16.5" customHeight="1">
      <c r="A49" s="372"/>
      <c r="B49" s="373"/>
      <c r="C49" s="702"/>
      <c r="D49" s="702" t="s">
        <v>421</v>
      </c>
      <c r="E49" s="702" t="s">
        <v>612</v>
      </c>
      <c r="F49" s="702"/>
      <c r="G49" s="702"/>
      <c r="H49" s="703" t="s">
        <v>175</v>
      </c>
    </row>
    <row r="50" spans="1:8" ht="16.5" customHeight="1">
      <c r="A50" s="704" t="s">
        <v>65</v>
      </c>
      <c r="B50" s="705"/>
      <c r="C50" s="702"/>
      <c r="D50" s="702"/>
      <c r="E50" s="374" t="s">
        <v>159</v>
      </c>
      <c r="F50" s="374" t="s">
        <v>613</v>
      </c>
      <c r="G50" s="374" t="s">
        <v>521</v>
      </c>
      <c r="H50" s="703"/>
    </row>
    <row r="51" spans="1:8" ht="16.5" customHeight="1">
      <c r="A51" s="692" t="s">
        <v>86</v>
      </c>
      <c r="B51" s="693"/>
      <c r="C51" s="415">
        <v>22080</v>
      </c>
      <c r="D51" s="416">
        <v>14694</v>
      </c>
      <c r="E51" s="417">
        <v>14507</v>
      </c>
      <c r="F51" s="417">
        <v>471</v>
      </c>
      <c r="G51" s="417">
        <v>14036</v>
      </c>
      <c r="H51" s="418">
        <v>187</v>
      </c>
    </row>
    <row r="52" spans="1:8" ht="16.5" customHeight="1">
      <c r="A52" s="694" t="s">
        <v>614</v>
      </c>
      <c r="B52" s="695"/>
      <c r="C52" s="375">
        <v>3254</v>
      </c>
      <c r="D52" s="376">
        <v>3294</v>
      </c>
      <c r="E52" s="378">
        <v>3215</v>
      </c>
      <c r="F52" s="378">
        <v>370</v>
      </c>
      <c r="G52" s="378">
        <v>2845</v>
      </c>
      <c r="H52" s="377">
        <v>79</v>
      </c>
    </row>
    <row r="53" spans="1:8" ht="16.5" customHeight="1">
      <c r="A53" s="694" t="s">
        <v>592</v>
      </c>
      <c r="B53" s="695"/>
      <c r="C53" s="375">
        <v>242</v>
      </c>
      <c r="D53" s="376">
        <v>225</v>
      </c>
      <c r="E53" s="378">
        <v>197</v>
      </c>
      <c r="F53" s="378">
        <v>47</v>
      </c>
      <c r="G53" s="378">
        <v>150</v>
      </c>
      <c r="H53" s="377">
        <v>28</v>
      </c>
    </row>
    <row r="54" spans="1:8" ht="16.5" customHeight="1">
      <c r="A54" s="696" t="s">
        <v>555</v>
      </c>
      <c r="B54" s="697"/>
      <c r="C54" s="379">
        <v>18584</v>
      </c>
      <c r="D54" s="380">
        <v>11175</v>
      </c>
      <c r="E54" s="380">
        <v>11095</v>
      </c>
      <c r="F54" s="380">
        <v>54</v>
      </c>
      <c r="G54" s="380">
        <v>11041</v>
      </c>
      <c r="H54" s="381">
        <v>80</v>
      </c>
    </row>
  </sheetData>
  <sheetProtection algorithmName="SHA-512" hashValue="vC2lCUOFPu4JdiiE//uUUJEyEJCU7ow7FuQi2f+/SVhzPsAeja5exFv2Eijn4qYYqyrtdoJcfEiwV4XszjJVZg==" saltValue="+LAywujgdycMv5crK1Vemw==" spinCount="100000" sheet="1" objects="1" scenarios="1"/>
  <customSheetViews>
    <customSheetView guid="{4810CB4C-E276-4485-93D3-F920B09A4189}" showPageBreaks="1" showGridLines="0" printArea="1" view="pageBreakPreview">
      <selection activeCell="O23" sqref="O23"/>
      <pageMargins left="0.70866141732283461" right="0.70866141732283461" top="0.19685039370078741" bottom="0.19685039370078741" header="0.31496062992125984" footer="0.31496062992125984"/>
      <pageSetup paperSize="9" scale="76" orientation="portrait" horizontalDpi="1200" verticalDpi="1200" r:id="rId1"/>
      <headerFooter alignWithMargins="0"/>
    </customSheetView>
  </customSheetViews>
  <mergeCells count="26">
    <mergeCell ref="A42:C42"/>
    <mergeCell ref="B4:B5"/>
    <mergeCell ref="C4:G4"/>
    <mergeCell ref="H4:H5"/>
    <mergeCell ref="A14:H14"/>
    <mergeCell ref="A36:C36"/>
    <mergeCell ref="D36:E36"/>
    <mergeCell ref="F36:G36"/>
    <mergeCell ref="A37:C37"/>
    <mergeCell ref="A38:C38"/>
    <mergeCell ref="A39:C39"/>
    <mergeCell ref="A40:C40"/>
    <mergeCell ref="A41:C41"/>
    <mergeCell ref="D48:H48"/>
    <mergeCell ref="D49:D50"/>
    <mergeCell ref="E49:G49"/>
    <mergeCell ref="H49:H50"/>
    <mergeCell ref="A50:B50"/>
    <mergeCell ref="A51:B51"/>
    <mergeCell ref="A52:B52"/>
    <mergeCell ref="A53:B53"/>
    <mergeCell ref="A54:B54"/>
    <mergeCell ref="A43:C43"/>
    <mergeCell ref="A44:C44"/>
    <mergeCell ref="A48:B48"/>
    <mergeCell ref="C48:C50"/>
  </mergeCells>
  <phoneticPr fontId="6" type="noConversion"/>
  <pageMargins left="0.70866141732283461" right="0.70866141732283461" top="0.19685039370078741" bottom="0.19685039370078741" header="0.31496062992125984" footer="0.31496062992125984"/>
  <pageSetup paperSize="9" scale="75" orientation="portrait" horizontalDpi="1200" verticalDpi="1200" r:id="rId2"/>
  <headerFooter alignWithMargins="0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J37"/>
  <sheetViews>
    <sheetView showGridLines="0" zoomScaleNormal="100" zoomScaleSheetLayoutView="100" workbookViewId="0"/>
  </sheetViews>
  <sheetFormatPr defaultColWidth="8" defaultRowHeight="16.5" customHeight="1"/>
  <cols>
    <col min="1" max="1" width="14.44140625" style="76" customWidth="1"/>
    <col min="2" max="9" width="8" style="76" customWidth="1"/>
    <col min="10" max="16384" width="8" style="76"/>
  </cols>
  <sheetData>
    <row r="1" spans="1:10" s="3" customFormat="1" ht="16.5" customHeight="1">
      <c r="A1" s="72" t="s">
        <v>725</v>
      </c>
      <c r="B1" s="56"/>
      <c r="C1" s="56"/>
      <c r="D1" s="56"/>
      <c r="E1" s="56"/>
      <c r="F1" s="56"/>
      <c r="G1" s="56"/>
      <c r="H1" s="56"/>
      <c r="I1" s="56"/>
      <c r="J1" s="353"/>
    </row>
    <row r="2" spans="1:10" s="3" customFormat="1" ht="16.5" customHeight="1">
      <c r="A2" s="56"/>
      <c r="B2" s="56"/>
      <c r="C2" s="56"/>
      <c r="D2" s="56"/>
      <c r="E2" s="56"/>
      <c r="F2" s="56"/>
      <c r="G2" s="56"/>
      <c r="H2" s="56"/>
      <c r="I2" s="56"/>
    </row>
    <row r="3" spans="1:10" s="3" customFormat="1" ht="16.5" customHeight="1">
      <c r="A3" s="72" t="s">
        <v>726</v>
      </c>
      <c r="B3" s="56"/>
      <c r="C3" s="56"/>
      <c r="D3" s="56"/>
      <c r="E3" s="56"/>
      <c r="F3" s="56"/>
      <c r="G3" s="56"/>
      <c r="H3" s="56"/>
      <c r="I3" s="56"/>
    </row>
    <row r="4" spans="1:10" s="3" customFormat="1" ht="63" customHeight="1">
      <c r="A4" s="538" t="s">
        <v>763</v>
      </c>
      <c r="B4" s="538"/>
      <c r="C4" s="538"/>
      <c r="D4" s="538"/>
      <c r="E4" s="538"/>
      <c r="F4" s="538"/>
      <c r="G4" s="538"/>
      <c r="H4" s="538"/>
      <c r="I4" s="538"/>
    </row>
    <row r="5" spans="1:10" s="3" customFormat="1" ht="16.5" customHeight="1">
      <c r="A5" s="54"/>
      <c r="B5" s="54"/>
      <c r="C5" s="54"/>
      <c r="D5" s="54"/>
      <c r="E5" s="54"/>
      <c r="F5" s="54"/>
      <c r="G5" s="54"/>
      <c r="I5" s="54"/>
    </row>
    <row r="6" spans="1:10" s="3" customFormat="1" ht="16.5" customHeight="1">
      <c r="A6" s="72" t="s">
        <v>768</v>
      </c>
    </row>
    <row r="7" spans="1:10" s="3" customFormat="1" ht="16.5" customHeight="1">
      <c r="A7" s="398" t="s">
        <v>36</v>
      </c>
      <c r="B7" s="546" t="s">
        <v>86</v>
      </c>
      <c r="C7" s="546" t="s">
        <v>728</v>
      </c>
      <c r="D7" s="546" t="s">
        <v>729</v>
      </c>
    </row>
    <row r="8" spans="1:10" s="3" customFormat="1" ht="16.5" customHeight="1">
      <c r="A8" s="207" t="s">
        <v>342</v>
      </c>
      <c r="B8" s="667"/>
      <c r="C8" s="667"/>
      <c r="D8" s="667"/>
    </row>
    <row r="9" spans="1:10" s="3" customFormat="1" ht="16.5" customHeight="1">
      <c r="A9" s="520">
        <v>2020</v>
      </c>
      <c r="B9" s="251">
        <v>7190</v>
      </c>
      <c r="C9" s="243">
        <v>2975</v>
      </c>
      <c r="D9" s="243">
        <v>4215</v>
      </c>
    </row>
    <row r="10" spans="1:10" s="3" customFormat="1" ht="16.5" customHeight="1">
      <c r="A10" s="520">
        <v>2021</v>
      </c>
      <c r="B10" s="251">
        <v>7483</v>
      </c>
      <c r="C10" s="243">
        <v>3040</v>
      </c>
      <c r="D10" s="243">
        <v>4443</v>
      </c>
    </row>
    <row r="11" spans="1:10" s="3" customFormat="1" ht="16.5" customHeight="1">
      <c r="A11" s="520">
        <v>2022</v>
      </c>
      <c r="B11" s="251">
        <v>7530</v>
      </c>
      <c r="C11" s="243">
        <v>3483</v>
      </c>
      <c r="D11" s="243">
        <v>4047</v>
      </c>
    </row>
    <row r="12" spans="1:10" s="3" customFormat="1" ht="16.5" customHeight="1">
      <c r="A12" s="520">
        <v>2023</v>
      </c>
      <c r="B12" s="251">
        <v>8871</v>
      </c>
      <c r="C12" s="243">
        <v>3848</v>
      </c>
      <c r="D12" s="243">
        <v>5023</v>
      </c>
    </row>
    <row r="13" spans="1:10" s="3" customFormat="1" ht="16.5" customHeight="1">
      <c r="A13" s="522">
        <v>2024</v>
      </c>
      <c r="B13" s="521">
        <v>8897</v>
      </c>
      <c r="C13" s="517">
        <v>3584</v>
      </c>
      <c r="D13" s="517">
        <v>5313</v>
      </c>
    </row>
    <row r="14" spans="1:10" s="3" customFormat="1" ht="16.5" customHeight="1">
      <c r="A14" s="72"/>
    </row>
    <row r="15" spans="1:10" s="3" customFormat="1" ht="16.5" customHeight="1">
      <c r="A15" s="72" t="s">
        <v>727</v>
      </c>
      <c r="B15" s="56"/>
      <c r="C15" s="56"/>
      <c r="D15" s="56"/>
      <c r="E15" s="56"/>
      <c r="F15" s="56"/>
      <c r="G15" s="56"/>
      <c r="H15" s="56"/>
      <c r="I15" s="56"/>
    </row>
    <row r="16" spans="1:10" s="3" customFormat="1" ht="52.5" customHeight="1">
      <c r="A16" s="538" t="s">
        <v>764</v>
      </c>
      <c r="B16" s="538"/>
      <c r="C16" s="538"/>
      <c r="D16" s="538"/>
      <c r="E16" s="538"/>
      <c r="F16" s="538"/>
      <c r="G16" s="538"/>
      <c r="H16" s="538"/>
      <c r="I16" s="538"/>
    </row>
    <row r="17" spans="1:9" s="3" customFormat="1" ht="16.5" customHeight="1">
      <c r="A17" s="72"/>
    </row>
    <row r="18" spans="1:9" s="3" customFormat="1" ht="16.5" customHeight="1">
      <c r="A18" s="72" t="s">
        <v>732</v>
      </c>
    </row>
    <row r="19" spans="1:9" s="3" customFormat="1" ht="16.5" customHeight="1">
      <c r="A19" s="398" t="s">
        <v>36</v>
      </c>
      <c r="B19" s="546" t="s">
        <v>730</v>
      </c>
    </row>
    <row r="20" spans="1:9" s="3" customFormat="1" ht="16.5" customHeight="1">
      <c r="A20" s="207" t="s">
        <v>342</v>
      </c>
      <c r="B20" s="667"/>
    </row>
    <row r="21" spans="1:9" s="3" customFormat="1" ht="16.5" customHeight="1">
      <c r="A21" s="520">
        <v>2020</v>
      </c>
      <c r="B21" s="243">
        <v>11405</v>
      </c>
    </row>
    <row r="22" spans="1:9" s="3" customFormat="1" ht="16.5" customHeight="1">
      <c r="A22" s="520">
        <v>2021</v>
      </c>
      <c r="B22" s="243">
        <v>10600</v>
      </c>
    </row>
    <row r="23" spans="1:9" s="3" customFormat="1" ht="16.5" customHeight="1">
      <c r="A23" s="520">
        <v>2022</v>
      </c>
      <c r="B23" s="243">
        <v>9497</v>
      </c>
    </row>
    <row r="24" spans="1:9" s="3" customFormat="1" ht="16.5" customHeight="1">
      <c r="A24" s="520">
        <v>2023</v>
      </c>
      <c r="B24" s="243">
        <v>11696</v>
      </c>
    </row>
    <row r="25" spans="1:9" s="3" customFormat="1" ht="16.5" customHeight="1">
      <c r="A25" s="522">
        <v>2024</v>
      </c>
      <c r="B25" s="517">
        <v>10263</v>
      </c>
    </row>
    <row r="26" spans="1:9" s="3" customFormat="1" ht="16.5" customHeight="1">
      <c r="A26" s="72"/>
    </row>
    <row r="27" spans="1:9" s="3" customFormat="1" ht="16.5" customHeight="1">
      <c r="A27" s="72" t="s">
        <v>731</v>
      </c>
      <c r="B27" s="56"/>
      <c r="C27" s="56"/>
      <c r="D27" s="56"/>
      <c r="E27" s="56"/>
      <c r="F27" s="56"/>
      <c r="G27" s="56"/>
      <c r="H27" s="56"/>
      <c r="I27" s="56"/>
    </row>
    <row r="28" spans="1:9" s="3" customFormat="1" ht="40.5" customHeight="1">
      <c r="A28" s="538" t="s">
        <v>811</v>
      </c>
      <c r="B28" s="538"/>
      <c r="C28" s="538"/>
      <c r="D28" s="538"/>
      <c r="E28" s="538"/>
      <c r="F28" s="538"/>
      <c r="G28" s="538"/>
      <c r="H28" s="538"/>
      <c r="I28" s="538"/>
    </row>
    <row r="29" spans="1:9" s="3" customFormat="1" ht="16.5" customHeight="1">
      <c r="A29" s="72"/>
    </row>
    <row r="30" spans="1:9" s="3" customFormat="1" ht="16.5" customHeight="1">
      <c r="A30" s="72" t="s">
        <v>734</v>
      </c>
    </row>
    <row r="31" spans="1:9" s="3" customFormat="1" ht="16.5" customHeight="1">
      <c r="A31" s="398" t="s">
        <v>36</v>
      </c>
      <c r="B31" s="546" t="s">
        <v>733</v>
      </c>
    </row>
    <row r="32" spans="1:9" s="3" customFormat="1" ht="16.5" customHeight="1">
      <c r="A32" s="207" t="s">
        <v>342</v>
      </c>
      <c r="B32" s="667"/>
    </row>
    <row r="33" spans="1:2" s="3" customFormat="1" ht="16.5" customHeight="1">
      <c r="A33" s="520">
        <v>2020</v>
      </c>
      <c r="B33" s="243">
        <v>4409</v>
      </c>
    </row>
    <row r="34" spans="1:2" s="3" customFormat="1" ht="16.5" customHeight="1">
      <c r="A34" s="520">
        <v>2021</v>
      </c>
      <c r="B34" s="243">
        <v>4452</v>
      </c>
    </row>
    <row r="35" spans="1:2" s="3" customFormat="1" ht="16.5" customHeight="1">
      <c r="A35" s="520">
        <v>2022</v>
      </c>
      <c r="B35" s="243">
        <v>4902</v>
      </c>
    </row>
    <row r="36" spans="1:2" s="3" customFormat="1" ht="16.5" customHeight="1">
      <c r="A36" s="520">
        <v>2023</v>
      </c>
      <c r="B36" s="243">
        <v>4996</v>
      </c>
    </row>
    <row r="37" spans="1:2" s="3" customFormat="1" ht="16.5" customHeight="1">
      <c r="A37" s="522">
        <v>2024</v>
      </c>
      <c r="B37" s="517">
        <v>5390</v>
      </c>
    </row>
  </sheetData>
  <sheetProtection algorithmName="SHA-512" hashValue="OEujkTl/dpoXgMwoaw+bwq7Oo+GaBaedl9P92RjSCPxUQgCwLm5aQTo12PHviwzK2gglJIrpeIzvQYUyEZrJnA==" saltValue="Vxrpr2Mr6drOB4o2ZAJlPw==" spinCount="100000" sheet="1" objects="1" scenarios="1"/>
  <customSheetViews>
    <customSheetView guid="{4810CB4C-E276-4485-93D3-F920B09A4189}" showPageBreaks="1" showGridLines="0" fitToPage="1" printArea="1" view="pageBreakPreview">
      <pageMargins left="0.39370078740157483" right="0" top="0.59055118110236227" bottom="0.15748031496062992" header="0.51181102362204722" footer="3.937007874015748E-2"/>
      <pageSetup paperSize="9" orientation="portrait" r:id="rId1"/>
      <headerFooter alignWithMargins="0"/>
    </customSheetView>
  </customSheetViews>
  <mergeCells count="8">
    <mergeCell ref="A4:I4"/>
    <mergeCell ref="A28:I28"/>
    <mergeCell ref="B31:B32"/>
    <mergeCell ref="A16:I16"/>
    <mergeCell ref="B7:B8"/>
    <mergeCell ref="C7:C8"/>
    <mergeCell ref="D7:D8"/>
    <mergeCell ref="B19:B20"/>
  </mergeCells>
  <phoneticPr fontId="6" type="noConversion"/>
  <pageMargins left="0.39370078740157483" right="0" top="0.59055118110236227" bottom="0.15748031496062992" header="0.51181102362204722" footer="3.937007874015748E-2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23</vt:i4>
      </vt:variant>
    </vt:vector>
  </HeadingPairs>
  <TitlesOfParts>
    <vt:vector size="47" baseType="lpstr">
      <vt:lpstr>양식 변경사항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20_수정전</vt:lpstr>
      <vt:lpstr>20</vt:lpstr>
      <vt:lpstr>21</vt:lpstr>
      <vt:lpstr>22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'20_수정전'!Print_Area</vt:lpstr>
      <vt:lpstr>'21'!Print_Area</vt:lpstr>
      <vt:lpstr>'22'!Print_Area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2025-06-24T02:06:24Z</cp:lastPrinted>
  <dcterms:created xsi:type="dcterms:W3CDTF">2009-03-26T11:22:50Z</dcterms:created>
  <dcterms:modified xsi:type="dcterms:W3CDTF">2025-09-22T23:03:00Z</dcterms:modified>
</cp:coreProperties>
</file>