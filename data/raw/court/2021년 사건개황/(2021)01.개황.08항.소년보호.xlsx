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21년\"/>
    </mc:Choice>
  </mc:AlternateContent>
  <bookViews>
    <workbookView xWindow="0" yWindow="0" windowWidth="28800" windowHeight="11955"/>
  </bookViews>
  <sheets>
    <sheet name="1" sheetId="1" r:id="rId1"/>
    <sheet name="2" sheetId="2" r:id="rId2"/>
    <sheet name="3" sheetId="3" r:id="rId3"/>
    <sheet name="4" sheetId="4" r:id="rId4"/>
  </sheets>
  <definedNames>
    <definedName name="_xlnm.Print_Area" localSheetId="0">'1'!$A$1:$I$53</definedName>
    <definedName name="_xlnm.Print_Area" localSheetId="1">'2'!$A$1:$J$37</definedName>
    <definedName name="_xlnm.Print_Area" localSheetId="2">'3'!$A$1:$H$51</definedName>
    <definedName name="_xlnm.Print_Area" localSheetId="3">'4'!$A$1:$I$38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1" l="1"/>
  <c r="G40" i="1" s="1"/>
  <c r="G38" i="1" l="1"/>
  <c r="G39" i="1"/>
  <c r="G41" i="1"/>
  <c r="G37" i="1"/>
</calcChain>
</file>

<file path=xl/sharedStrings.xml><?xml version="1.0" encoding="utf-8"?>
<sst xmlns="http://schemas.openxmlformats.org/spreadsheetml/2006/main" count="182" uniqueCount="159">
  <si>
    <t>1. 사건의 동향</t>
    <phoneticPr fontId="4" type="noConversion"/>
  </si>
  <si>
    <t>소년보호</t>
    <phoneticPr fontId="4" type="noConversion"/>
  </si>
  <si>
    <t>연도</t>
    <phoneticPr fontId="4" type="noConversion"/>
  </si>
  <si>
    <t>접수</t>
    <phoneticPr fontId="4" type="noConversion"/>
  </si>
  <si>
    <t>2000년</t>
    <phoneticPr fontId="4" type="noConversion"/>
  </si>
  <si>
    <t>2001년</t>
  </si>
  <si>
    <t>집행감독</t>
    <phoneticPr fontId="4" type="noConversion"/>
  </si>
  <si>
    <t>2002년</t>
  </si>
  <si>
    <t>2003년</t>
  </si>
  <si>
    <t>2004년</t>
  </si>
  <si>
    <t>2005년</t>
  </si>
  <si>
    <t>2006년</t>
  </si>
  <si>
    <t>2007년</t>
  </si>
  <si>
    <t>2008년</t>
    <phoneticPr fontId="4" type="noConversion"/>
  </si>
  <si>
    <t>2009년</t>
    <phoneticPr fontId="4" type="noConversion"/>
  </si>
  <si>
    <t>2010년</t>
    <phoneticPr fontId="4" type="noConversion"/>
  </si>
  <si>
    <t>2011년</t>
  </si>
  <si>
    <t>2. 소년보호사건</t>
    <phoneticPr fontId="4" type="noConversion"/>
  </si>
  <si>
    <t>가. 접수내역</t>
    <phoneticPr fontId="4" type="noConversion"/>
  </si>
  <si>
    <t>검사송치</t>
  </si>
  <si>
    <t>경찰서장송치</t>
  </si>
  <si>
    <t>타소년부에서이송등</t>
  </si>
  <si>
    <t>법원송치</t>
  </si>
  <si>
    <t xml:space="preserve">보호자등에의한통고 </t>
  </si>
  <si>
    <t xml:space="preserve">         구 분</t>
    <phoneticPr fontId="4" type="noConversion"/>
  </si>
  <si>
    <t>인원수</t>
    <phoneticPr fontId="4" type="noConversion"/>
  </si>
  <si>
    <t>비율(%)</t>
    <phoneticPr fontId="4" type="noConversion"/>
  </si>
  <si>
    <t>죄 명</t>
    <phoneticPr fontId="4" type="noConversion"/>
  </si>
  <si>
    <t>합계</t>
  </si>
  <si>
    <t>도로교통법</t>
  </si>
  <si>
    <t>상해</t>
  </si>
  <si>
    <t>성폭력범죄의처벌등에관한특례법</t>
  </si>
  <si>
    <t>아동·청소년의성보호에관한법률</t>
  </si>
  <si>
    <t>폭행</t>
  </si>
  <si>
    <t>화학물질관리법</t>
    <phoneticPr fontId="4" type="noConversion"/>
  </si>
  <si>
    <t>절도</t>
  </si>
  <si>
    <t>정보통신망이용촉진및정보보호등에관한
법률</t>
    <phoneticPr fontId="4" type="noConversion"/>
  </si>
  <si>
    <t>강도</t>
  </si>
  <si>
    <t>특정범죄가중처벌등에관한법률</t>
  </si>
  <si>
    <t>사기</t>
  </si>
  <si>
    <t>폭력행위등처벌에관한법률</t>
    <phoneticPr fontId="4" type="noConversion"/>
  </si>
  <si>
    <t>교통사고처리특례법</t>
    <phoneticPr fontId="4" type="noConversion"/>
  </si>
  <si>
    <t>기타</t>
  </si>
  <si>
    <t>나. 처리상황</t>
    <phoneticPr fontId="4" type="noConversion"/>
  </si>
  <si>
    <t>처리</t>
  </si>
  <si>
    <t>보호처분</t>
    <phoneticPr fontId="4" type="noConversion"/>
  </si>
  <si>
    <t>심리불개시</t>
    <phoneticPr fontId="4" type="noConversion"/>
  </si>
  <si>
    <t>불처분</t>
  </si>
  <si>
    <t>타법원에이송</t>
    <phoneticPr fontId="4" type="noConversion"/>
  </si>
  <si>
    <t>검사에게송치</t>
    <phoneticPr fontId="4" type="noConversion"/>
  </si>
  <si>
    <t>기타</t>
    <phoneticPr fontId="4" type="noConversion"/>
  </si>
  <si>
    <t>사건</t>
  </si>
  <si>
    <t>구성비(%)</t>
  </si>
  <si>
    <t>법원</t>
  </si>
  <si>
    <t>서울</t>
  </si>
  <si>
    <t>의정부</t>
    <phoneticPr fontId="4" type="noConversion"/>
  </si>
  <si>
    <t>인천</t>
  </si>
  <si>
    <t>수원</t>
  </si>
  <si>
    <t>춘천</t>
  </si>
  <si>
    <t>대전</t>
  </si>
  <si>
    <t>청주</t>
  </si>
  <si>
    <t>대구</t>
  </si>
  <si>
    <t>구분</t>
  </si>
  <si>
    <t>금년접수</t>
    <phoneticPr fontId="4" type="noConversion"/>
  </si>
  <si>
    <t>미제</t>
  </si>
  <si>
    <t>주: ( )내의 수는 구성비(%)임</t>
    <phoneticPr fontId="4" type="noConversion"/>
  </si>
  <si>
    <t>부산</t>
  </si>
  <si>
    <t>울산</t>
    <phoneticPr fontId="4" type="noConversion"/>
  </si>
  <si>
    <t>창원</t>
  </si>
  <si>
    <t>광주</t>
  </si>
  <si>
    <t>전주</t>
  </si>
  <si>
    <t>제주</t>
  </si>
  <si>
    <t>다. 보호소년에 대한 분석</t>
    <phoneticPr fontId="4" type="noConversion"/>
  </si>
  <si>
    <t>(1) 소년의 연령</t>
    <phoneticPr fontId="4" type="noConversion"/>
  </si>
  <si>
    <t>14세미만</t>
    <phoneticPr fontId="4" type="noConversion"/>
  </si>
  <si>
    <t>16세미만</t>
    <phoneticPr fontId="4" type="noConversion"/>
  </si>
  <si>
    <t>18세미만</t>
    <phoneticPr fontId="4" type="noConversion"/>
  </si>
  <si>
    <t>19세미만</t>
    <phoneticPr fontId="4" type="noConversion"/>
  </si>
  <si>
    <t>(2) 소년의 행위원인</t>
    <phoneticPr fontId="4" type="noConversion"/>
  </si>
  <si>
    <t>행위원인</t>
  </si>
  <si>
    <t>인원수</t>
  </si>
  <si>
    <t>비율(%)</t>
  </si>
  <si>
    <t>생활비마련</t>
  </si>
  <si>
    <t>유흥</t>
  </si>
  <si>
    <t>허영</t>
  </si>
  <si>
    <t>사행심</t>
  </si>
  <si>
    <t>가정불화</t>
  </si>
  <si>
    <t>호기심</t>
  </si>
  <si>
    <t>유혹</t>
  </si>
  <si>
    <t>우발</t>
  </si>
  <si>
    <t>현실불만</t>
  </si>
  <si>
    <t>모방</t>
  </si>
  <si>
    <t>정신결함</t>
    <phoneticPr fontId="4" type="noConversion"/>
  </si>
  <si>
    <t>취중</t>
  </si>
  <si>
    <t>보복</t>
  </si>
  <si>
    <t>주 : 교육정도, 직업, 가족관계, 주거형태별은 추출가능한 범위내에서 산출함</t>
    <phoneticPr fontId="4" type="noConversion"/>
  </si>
  <si>
    <t>(3) 소년의 교육정도</t>
    <phoneticPr fontId="4" type="noConversion"/>
  </si>
  <si>
    <t>초등학교</t>
    <phoneticPr fontId="4" type="noConversion"/>
  </si>
  <si>
    <t>중학교</t>
  </si>
  <si>
    <t>고등학교</t>
  </si>
  <si>
    <t>대학교</t>
  </si>
  <si>
    <t>주 : ( )내의 수는 구성비(%)임</t>
    <phoneticPr fontId="4" type="noConversion"/>
  </si>
  <si>
    <t>(4) 소년의 직업</t>
    <phoneticPr fontId="4" type="noConversion"/>
  </si>
  <si>
    <t>학생</t>
  </si>
  <si>
    <t>진학학원생</t>
    <phoneticPr fontId="4" type="noConversion"/>
  </si>
  <si>
    <t>기술학원생</t>
    <phoneticPr fontId="4" type="noConversion"/>
  </si>
  <si>
    <t>공원</t>
  </si>
  <si>
    <t>노동</t>
  </si>
  <si>
    <t>점원</t>
  </si>
  <si>
    <t>(-)</t>
    <phoneticPr fontId="4" type="noConversion"/>
  </si>
  <si>
    <t>식당종업원</t>
    <phoneticPr fontId="4" type="noConversion"/>
  </si>
  <si>
    <t>주점종업원</t>
    <phoneticPr fontId="4" type="noConversion"/>
  </si>
  <si>
    <t>무직</t>
  </si>
  <si>
    <t>종업원</t>
    <phoneticPr fontId="4" type="noConversion"/>
  </si>
  <si>
    <t>회사원</t>
    <phoneticPr fontId="4" type="noConversion"/>
  </si>
  <si>
    <t>배달원</t>
    <phoneticPr fontId="4" type="noConversion"/>
  </si>
  <si>
    <t>(5) 소년의 가족관계 및 주거형태</t>
    <phoneticPr fontId="4" type="noConversion"/>
  </si>
  <si>
    <t>실부모</t>
    <phoneticPr fontId="4" type="noConversion"/>
  </si>
  <si>
    <t>계부또는계모</t>
  </si>
  <si>
    <t>편부</t>
  </si>
  <si>
    <t>편모</t>
    <phoneticPr fontId="4" type="noConversion"/>
  </si>
  <si>
    <t>무부모</t>
    <phoneticPr fontId="4" type="noConversion"/>
  </si>
  <si>
    <t>부모집</t>
    <phoneticPr fontId="4" type="noConversion"/>
  </si>
  <si>
    <t>친척집</t>
    <phoneticPr fontId="4" type="noConversion"/>
  </si>
  <si>
    <t>타인집</t>
    <phoneticPr fontId="4" type="noConversion"/>
  </si>
  <si>
    <t>기숙사</t>
    <phoneticPr fontId="4" type="noConversion"/>
  </si>
  <si>
    <t>자활</t>
    <phoneticPr fontId="4" type="noConversion"/>
  </si>
  <si>
    <t>주거부정</t>
    <phoneticPr fontId="4" type="noConversion"/>
  </si>
  <si>
    <t>3. 소년보호(재)항고·신청·집행감독사건</t>
    <phoneticPr fontId="4" type="noConversion"/>
  </si>
  <si>
    <t>처리</t>
    <phoneticPr fontId="4" type="noConversion"/>
  </si>
  <si>
    <t>계</t>
    <phoneticPr fontId="4" type="noConversion"/>
  </si>
  <si>
    <t>인용
(집행종료)</t>
  </si>
  <si>
    <t>기각</t>
  </si>
  <si>
    <t>취하·기타</t>
    <phoneticPr fontId="4" type="noConversion"/>
  </si>
  <si>
    <t>재항고</t>
  </si>
  <si>
    <t>항고</t>
  </si>
  <si>
    <t>신청</t>
  </si>
  <si>
    <t>구분</t>
    <phoneticPr fontId="4" type="noConversion"/>
  </si>
  <si>
    <t xml:space="preserve"> 보호처분을 받은 소년과 관련하여 파악 가능한 비행원인과 성행 및 환경에 관계되는 몇 가지 사항을 분석한 내용은 다음과 같다.</t>
    <phoneticPr fontId="4" type="noConversion"/>
  </si>
  <si>
    <t>소년보호사건의 추이 - 접수(도표 41)</t>
    <phoneticPr fontId="4" type="noConversion"/>
  </si>
  <si>
    <r>
      <t xml:space="preserve"> 2021년도에 접수한 소년보호사건과 소년보호 (재)항고·신청·집행감독 등 사건은 모두 53,179건으로 전체 사건의</t>
    </r>
    <r>
      <rPr>
        <u val="singleAccounting"/>
        <sz val="9"/>
        <rFont val="맑은 고딕"/>
        <family val="3"/>
        <charset val="129"/>
      </rPr>
      <t xml:space="preserve"> 0.3%</t>
    </r>
    <r>
      <rPr>
        <sz val="9"/>
        <rFont val="맑은 고딕"/>
        <family val="3"/>
        <charset val="129"/>
      </rPr>
      <t>, 전체 소송사건의 0.8%를 차지하고 있다. (재)항고·신청사건 등을 제외한 소년보호사건의 최근 10년간의 추세는 도표 41과 같다.</t>
    </r>
    <phoneticPr fontId="4" type="noConversion"/>
  </si>
  <si>
    <t>제8항 소년보호</t>
    <phoneticPr fontId="4" type="noConversion"/>
  </si>
  <si>
    <t xml:space="preserve"> 보호소년의 연령별 구성은 도표 43과 같은데, 16세 이상 18세 미만의 소년이 전체의 35.5%로 가장 많고, 다음으로 14세 이상 16세 미만의 소년이 전체의 30.7%를 차지하고 있음을 알 수 있다.</t>
    <phoneticPr fontId="4" type="noConversion"/>
  </si>
  <si>
    <t>소년보호사건 중요죄명별 - 접수(표 147)</t>
    <phoneticPr fontId="4" type="noConversion"/>
  </si>
  <si>
    <t>소년보호사건 처리내역(표 148)</t>
    <phoneticPr fontId="4" type="noConversion"/>
  </si>
  <si>
    <t>소년보호사건 법원별 처리상황(표 149)</t>
    <phoneticPr fontId="4" type="noConversion"/>
  </si>
  <si>
    <t>보호소년 행위원인별 인원(표 150)</t>
    <phoneticPr fontId="4" type="noConversion"/>
  </si>
  <si>
    <t>보호소년 교육정도별 인원(표 151)</t>
    <phoneticPr fontId="4" type="noConversion"/>
  </si>
  <si>
    <t>보호소년 직업별 인원(표 152)</t>
    <phoneticPr fontId="4" type="noConversion"/>
  </si>
  <si>
    <t>보호소년 가족관계별 인원(표 153)</t>
    <phoneticPr fontId="4" type="noConversion"/>
  </si>
  <si>
    <t>보호소년 주거형태별 인원(표 154)</t>
    <phoneticPr fontId="4" type="noConversion"/>
  </si>
  <si>
    <t>소년보호(재)항고ㆍ신청ㆍ집행감독사건 내역(표 155)</t>
    <phoneticPr fontId="4" type="noConversion"/>
  </si>
  <si>
    <t xml:space="preserve"> 2021년도에 접수된 소년보호사건은 35,438건이다. 접수경위별 분류내역은 도표 42와 같은데, 검사 송치가 57.2%로 가장 많고, 다음은 경찰서장 송치, 타소년부에서 이송 등 순이다. 이를 중요죄명별로 구분한 내역은 표 147과 같은데, 절도가 전체의 33.9%로 가장 높은 비율을 보이고 있고, 다음으로 사기, 폭력행위등처벌에관한법률위반 등의 순이다. 성별로 보면 보호처분 총 22,144명 중 남자가 18,106명(81.8%)이고, 여자는 4,038명(18.2%)이다.</t>
    <phoneticPr fontId="3" type="noConversion"/>
  </si>
  <si>
    <t xml:space="preserve"> 소년보호사건의 처리상황을 내용별로 보면 표 148과 같은데, 63.2%에 해당하는 대부분의 소년(22,144명)이 보호처분을 받았음을 알 수 있다. </t>
    <phoneticPr fontId="4" type="noConversion"/>
  </si>
  <si>
    <t xml:space="preserve"> 보호소년의 행위원인 분류내역은 표 150과 같은데, 호기심이 전체의 40.3%로 가장 많고 다음으로 우발적 행동, 생활비마련, 유혹 등의 순으로 되어 있다.</t>
    <phoneticPr fontId="4" type="noConversion"/>
  </si>
  <si>
    <t xml:space="preserve"> 보호소년을 직업별로 분류한 내역은 표 152와 같은데, 학생이 14,930명으로 전체의 67.4%를, 무직이 1,657명으로 7.5%를 각 차지하고 있다.</t>
    <phoneticPr fontId="4" type="noConversion"/>
  </si>
  <si>
    <t xml:space="preserve"> 소년보호사건의 처리와 관련된 (재)항고·신청·집행감독사건의 내역은 표 155와 같다.</t>
    <phoneticPr fontId="4" type="noConversion"/>
  </si>
  <si>
    <t xml:space="preserve"> 보호소년의 가족관계는 표 153과 같고, 주거형태는 표 154와 같다.</t>
    <phoneticPr fontId="4" type="noConversion"/>
  </si>
  <si>
    <t xml:space="preserve"> 보호소년의 교육정도를 보면 표 151과 같은데, 중학교 졸업이 4,896명(47.7%), 고등학교 졸업이 4,552명(44.4%)으로 차지하고 있다(중퇴, 재학 포함).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</si>
</sst>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0.0%"/>
    <numFmt numFmtId="177" formatCode="0.0_ "/>
    <numFmt numFmtId="178" formatCode="_-* #,##0.0_-;\-* #,##0.0_-;_-* &quot;-&quot;_-;_-@_-"/>
    <numFmt numFmtId="179" formatCode="000\-000"/>
    <numFmt numFmtId="180" formatCode="\(0.0\)"/>
    <numFmt numFmtId="181" formatCode="\(#,##0.0\)"/>
    <numFmt numFmtId="182" formatCode="\(0.0\ \)"/>
    <numFmt numFmtId="183" formatCode="_-* #,##0.0_-;\-* #,##0.0_-;_-* &quot;-&quot;?_-;_-@_-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0"/>
      <color theme="1"/>
      <name val="맑은 고딕"/>
      <family val="3"/>
      <charset val="129"/>
    </font>
    <font>
      <u val="singleAccounting"/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double">
        <color rgb="FFFF0000"/>
      </right>
      <top style="thin">
        <color indexed="64"/>
      </top>
      <bottom/>
      <diagonal/>
    </border>
    <border>
      <left style="double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41" fontId="5" fillId="2" borderId="0" xfId="1" applyFont="1" applyFill="1" applyAlignment="1">
      <alignment vertical="center"/>
    </xf>
    <xf numFmtId="41" fontId="8" fillId="3" borderId="0" xfId="1" applyFont="1" applyFill="1" applyAlignment="1">
      <alignment vertical="center"/>
    </xf>
    <xf numFmtId="41" fontId="9" fillId="2" borderId="0" xfId="1" applyFont="1" applyFill="1" applyAlignment="1">
      <alignment vertical="center"/>
    </xf>
    <xf numFmtId="41" fontId="5" fillId="2" borderId="0" xfId="1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41" fontId="8" fillId="2" borderId="0" xfId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41" fontId="5" fillId="2" borderId="0" xfId="1" applyFont="1" applyFill="1" applyAlignment="1">
      <alignment horizontal="right" vertical="center"/>
    </xf>
    <xf numFmtId="41" fontId="6" fillId="2" borderId="0" xfId="1" applyFont="1" applyFill="1" applyAlignment="1">
      <alignment vertical="center"/>
    </xf>
    <xf numFmtId="176" fontId="8" fillId="3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177" fontId="5" fillId="2" borderId="0" xfId="0" applyNumberFormat="1" applyFont="1" applyFill="1" applyAlignment="1">
      <alignment vertical="center"/>
    </xf>
    <xf numFmtId="41" fontId="8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41" fontId="10" fillId="5" borderId="8" xfId="1" applyFont="1" applyFill="1" applyBorder="1" applyAlignment="1">
      <alignment vertical="center"/>
    </xf>
    <xf numFmtId="178" fontId="10" fillId="5" borderId="9" xfId="1" applyNumberFormat="1" applyFont="1" applyFill="1" applyBorder="1" applyAlignment="1">
      <alignment vertical="center"/>
    </xf>
    <xf numFmtId="41" fontId="5" fillId="5" borderId="0" xfId="1" applyFont="1" applyFill="1" applyBorder="1" applyAlignment="1">
      <alignment vertical="center"/>
    </xf>
    <xf numFmtId="178" fontId="5" fillId="5" borderId="0" xfId="1" applyNumberFormat="1" applyFont="1" applyFill="1" applyBorder="1" applyAlignment="1">
      <alignment vertical="center"/>
    </xf>
    <xf numFmtId="41" fontId="5" fillId="5" borderId="12" xfId="1" applyFont="1" applyFill="1" applyBorder="1" applyAlignment="1">
      <alignment vertical="center"/>
    </xf>
    <xf numFmtId="178" fontId="5" fillId="5" borderId="13" xfId="1" applyNumberFormat="1" applyFont="1" applyFill="1" applyBorder="1" applyAlignment="1">
      <alignment vertical="center"/>
    </xf>
    <xf numFmtId="41" fontId="5" fillId="5" borderId="16" xfId="1" applyFont="1" applyFill="1" applyBorder="1" applyAlignment="1">
      <alignment vertical="center"/>
    </xf>
    <xf numFmtId="178" fontId="5" fillId="5" borderId="17" xfId="1" applyNumberFormat="1" applyFont="1" applyFill="1" applyBorder="1" applyAlignment="1">
      <alignment vertical="center"/>
    </xf>
    <xf numFmtId="41" fontId="5" fillId="5" borderId="5" xfId="1" applyFont="1" applyFill="1" applyBorder="1" applyAlignment="1">
      <alignment vertical="center"/>
    </xf>
    <xf numFmtId="178" fontId="5" fillId="5" borderId="5" xfId="1" applyNumberFormat="1" applyFont="1" applyFill="1" applyBorder="1" applyAlignment="1">
      <alignment vertical="center"/>
    </xf>
    <xf numFmtId="179" fontId="5" fillId="2" borderId="0" xfId="1" applyNumberFormat="1" applyFont="1" applyFill="1" applyAlignment="1">
      <alignment vertical="center"/>
    </xf>
    <xf numFmtId="41" fontId="5" fillId="3" borderId="0" xfId="1" applyFont="1" applyFill="1" applyBorder="1" applyAlignment="1">
      <alignment vertical="center"/>
    </xf>
    <xf numFmtId="41" fontId="10" fillId="2" borderId="0" xfId="1" applyFont="1" applyFill="1" applyBorder="1" applyAlignment="1">
      <alignment vertical="center"/>
    </xf>
    <xf numFmtId="41" fontId="12" fillId="2" borderId="0" xfId="1" applyFont="1" applyFill="1" applyBorder="1" applyAlignment="1">
      <alignment vertical="center"/>
    </xf>
    <xf numFmtId="41" fontId="12" fillId="2" borderId="0" xfId="1" applyFont="1" applyFill="1" applyBorder="1" applyAlignment="1">
      <alignment horizontal="center" vertical="center"/>
    </xf>
    <xf numFmtId="41" fontId="10" fillId="5" borderId="23" xfId="1" applyFont="1" applyFill="1" applyBorder="1" applyAlignment="1">
      <alignment vertical="center"/>
    </xf>
    <xf numFmtId="180" fontId="10" fillId="5" borderId="24" xfId="1" applyNumberFormat="1" applyFont="1" applyFill="1" applyBorder="1" applyAlignment="1">
      <alignment vertical="center"/>
    </xf>
    <xf numFmtId="181" fontId="5" fillId="5" borderId="5" xfId="1" applyNumberFormat="1" applyFont="1" applyFill="1" applyBorder="1" applyAlignment="1">
      <alignment vertical="center"/>
    </xf>
    <xf numFmtId="180" fontId="5" fillId="2" borderId="0" xfId="1" applyNumberFormat="1" applyFont="1" applyFill="1" applyBorder="1" applyAlignment="1">
      <alignment vertical="center"/>
    </xf>
    <xf numFmtId="180" fontId="5" fillId="2" borderId="0" xfId="1" applyNumberFormat="1" applyFont="1" applyFill="1" applyAlignment="1">
      <alignment vertical="center"/>
    </xf>
    <xf numFmtId="178" fontId="5" fillId="2" borderId="0" xfId="1" applyNumberFormat="1" applyFont="1" applyFill="1" applyAlignment="1">
      <alignment vertical="center"/>
    </xf>
    <xf numFmtId="41" fontId="10" fillId="5" borderId="25" xfId="1" applyFont="1" applyFill="1" applyBorder="1" applyAlignment="1">
      <alignment vertical="center"/>
    </xf>
    <xf numFmtId="180" fontId="10" fillId="6" borderId="23" xfId="1" applyNumberFormat="1" applyFont="1" applyFill="1" applyBorder="1" applyAlignment="1">
      <alignment vertical="center"/>
    </xf>
    <xf numFmtId="181" fontId="5" fillId="5" borderId="0" xfId="1" applyNumberFormat="1" applyFont="1" applyFill="1" applyBorder="1" applyAlignment="1">
      <alignment vertical="center"/>
    </xf>
    <xf numFmtId="41" fontId="10" fillId="5" borderId="24" xfId="1" applyFont="1" applyFill="1" applyBorder="1" applyAlignment="1">
      <alignment vertical="center"/>
    </xf>
    <xf numFmtId="41" fontId="5" fillId="5" borderId="4" xfId="1" applyFont="1" applyFill="1" applyBorder="1" applyAlignment="1">
      <alignment vertical="center"/>
    </xf>
    <xf numFmtId="41" fontId="6" fillId="0" borderId="0" xfId="1" applyFont="1" applyFill="1" applyAlignment="1">
      <alignment vertical="center"/>
    </xf>
    <xf numFmtId="181" fontId="5" fillId="5" borderId="0" xfId="1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41" fontId="8" fillId="2" borderId="0" xfId="1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41" fontId="12" fillId="4" borderId="26" xfId="1" applyFont="1" applyFill="1" applyBorder="1" applyAlignment="1">
      <alignment horizontal="center" vertical="center"/>
    </xf>
    <xf numFmtId="41" fontId="12" fillId="4" borderId="27" xfId="1" applyFont="1" applyFill="1" applyBorder="1" applyAlignment="1">
      <alignment horizontal="center" vertical="center"/>
    </xf>
    <xf numFmtId="41" fontId="12" fillId="4" borderId="28" xfId="1" applyFont="1" applyFill="1" applyBorder="1" applyAlignment="1">
      <alignment horizontal="center" vertical="center"/>
    </xf>
    <xf numFmtId="41" fontId="10" fillId="5" borderId="0" xfId="1" applyFont="1" applyFill="1" applyBorder="1" applyAlignment="1">
      <alignment vertical="center"/>
    </xf>
    <xf numFmtId="178" fontId="10" fillId="5" borderId="0" xfId="1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vertical="center"/>
    </xf>
    <xf numFmtId="181" fontId="5" fillId="3" borderId="0" xfId="1" applyNumberFormat="1" applyFont="1" applyFill="1" applyBorder="1" applyAlignment="1">
      <alignment vertical="center"/>
    </xf>
    <xf numFmtId="180" fontId="9" fillId="2" borderId="0" xfId="1" applyNumberFormat="1" applyFont="1" applyFill="1" applyAlignment="1">
      <alignment vertical="center"/>
    </xf>
    <xf numFmtId="41" fontId="10" fillId="5" borderId="11" xfId="1" applyFont="1" applyFill="1" applyBorder="1" applyAlignment="1">
      <alignment vertical="center"/>
    </xf>
    <xf numFmtId="180" fontId="10" fillId="5" borderId="19" xfId="1" applyNumberFormat="1" applyFont="1" applyFill="1" applyBorder="1" applyAlignment="1">
      <alignment vertical="center"/>
    </xf>
    <xf numFmtId="180" fontId="5" fillId="5" borderId="0" xfId="1" applyNumberFormat="1" applyFont="1" applyFill="1" applyBorder="1" applyAlignment="1">
      <alignment vertical="center"/>
    </xf>
    <xf numFmtId="41" fontId="5" fillId="5" borderId="5" xfId="1" applyFont="1" applyFill="1" applyBorder="1" applyAlignment="1">
      <alignment horizontal="right" vertical="center"/>
    </xf>
    <xf numFmtId="41" fontId="12" fillId="4" borderId="6" xfId="1" applyFont="1" applyFill="1" applyBorder="1" applyAlignment="1">
      <alignment horizontal="center" vertical="center"/>
    </xf>
    <xf numFmtId="180" fontId="12" fillId="4" borderId="27" xfId="1" applyNumberFormat="1" applyFont="1" applyFill="1" applyBorder="1" applyAlignment="1">
      <alignment horizontal="center" vertical="center"/>
    </xf>
    <xf numFmtId="41" fontId="5" fillId="5" borderId="0" xfId="1" applyFont="1" applyFill="1" applyAlignment="1">
      <alignment vertical="center"/>
    </xf>
    <xf numFmtId="180" fontId="5" fillId="5" borderId="5" xfId="1" applyNumberFormat="1" applyFont="1" applyFill="1" applyBorder="1" applyAlignment="1">
      <alignment vertical="center"/>
    </xf>
    <xf numFmtId="41" fontId="5" fillId="2" borderId="0" xfId="1" applyFont="1" applyFill="1" applyBorder="1" applyAlignment="1">
      <alignment horizontal="center" vertical="center"/>
    </xf>
    <xf numFmtId="41" fontId="12" fillId="4" borderId="29" xfId="1" applyFont="1" applyFill="1" applyBorder="1" applyAlignment="1">
      <alignment horizontal="center" vertical="center"/>
    </xf>
    <xf numFmtId="182" fontId="5" fillId="2" borderId="0" xfId="1" applyNumberFormat="1" applyFont="1" applyFill="1" applyAlignment="1">
      <alignment vertical="center"/>
    </xf>
    <xf numFmtId="0" fontId="5" fillId="3" borderId="0" xfId="1" applyNumberFormat="1" applyFont="1" applyFill="1" applyAlignment="1">
      <alignment vertical="center"/>
    </xf>
    <xf numFmtId="0" fontId="10" fillId="0" borderId="0" xfId="1" applyNumberFormat="1" applyFont="1" applyFill="1" applyAlignment="1">
      <alignment vertical="center"/>
    </xf>
    <xf numFmtId="41" fontId="5" fillId="0" borderId="0" xfId="1" applyFont="1" applyFill="1" applyAlignment="1">
      <alignment vertical="center"/>
    </xf>
    <xf numFmtId="41" fontId="12" fillId="4" borderId="32" xfId="1" applyFont="1" applyFill="1" applyBorder="1" applyAlignment="1">
      <alignment horizontal="center" vertical="center"/>
    </xf>
    <xf numFmtId="0" fontId="7" fillId="4" borderId="32" xfId="1" applyNumberFormat="1" applyFont="1" applyFill="1" applyBorder="1" applyAlignment="1">
      <alignment horizontal="center" vertical="center" wrapText="1"/>
    </xf>
    <xf numFmtId="41" fontId="12" fillId="4" borderId="33" xfId="1" applyFont="1" applyFill="1" applyBorder="1" applyAlignment="1">
      <alignment horizontal="center" vertical="center"/>
    </xf>
    <xf numFmtId="41" fontId="5" fillId="5" borderId="25" xfId="1" applyFont="1" applyFill="1" applyBorder="1" applyAlignment="1">
      <alignment vertical="center"/>
    </xf>
    <xf numFmtId="41" fontId="5" fillId="5" borderId="23" xfId="1" applyFont="1" applyFill="1" applyBorder="1" applyAlignment="1">
      <alignment vertical="center"/>
    </xf>
    <xf numFmtId="41" fontId="5" fillId="5" borderId="24" xfId="1" applyFont="1" applyFill="1" applyBorder="1" applyAlignment="1">
      <alignment vertical="center"/>
    </xf>
    <xf numFmtId="0" fontId="5" fillId="5" borderId="0" xfId="1" applyNumberFormat="1" applyFont="1" applyFill="1" applyBorder="1" applyAlignment="1">
      <alignment horizontal="distributed" vertical="center"/>
    </xf>
    <xf numFmtId="183" fontId="5" fillId="5" borderId="5" xfId="1" applyNumberFormat="1" applyFont="1" applyFill="1" applyBorder="1" applyAlignment="1">
      <alignment horizontal="distributed" vertical="center"/>
    </xf>
    <xf numFmtId="0" fontId="5" fillId="5" borderId="5" xfId="1" applyNumberFormat="1" applyFont="1" applyFill="1" applyBorder="1" applyAlignment="1">
      <alignment horizontal="distributed" vertical="center"/>
    </xf>
    <xf numFmtId="0" fontId="12" fillId="4" borderId="22" xfId="1" applyNumberFormat="1" applyFont="1" applyFill="1" applyBorder="1" applyAlignment="1">
      <alignment vertical="center"/>
    </xf>
    <xf numFmtId="0" fontId="12" fillId="4" borderId="1" xfId="1" applyNumberFormat="1" applyFont="1" applyFill="1" applyBorder="1" applyAlignment="1">
      <alignment horizontal="right" vertical="center"/>
    </xf>
    <xf numFmtId="0" fontId="12" fillId="4" borderId="3" xfId="1" applyNumberFormat="1" applyFont="1" applyFill="1" applyBorder="1" applyAlignment="1">
      <alignment vertical="center"/>
    </xf>
    <xf numFmtId="0" fontId="12" fillId="4" borderId="4" xfId="1" applyNumberFormat="1" applyFont="1" applyFill="1" applyBorder="1" applyAlignment="1">
      <alignment horizontal="right" vertical="center"/>
    </xf>
    <xf numFmtId="0" fontId="12" fillId="4" borderId="5" xfId="1" applyNumberFormat="1" applyFont="1" applyFill="1" applyBorder="1" applyAlignment="1">
      <alignment vertical="center"/>
    </xf>
    <xf numFmtId="0" fontId="5" fillId="4" borderId="5" xfId="1" applyNumberFormat="1" applyFont="1" applyFill="1" applyBorder="1" applyAlignment="1">
      <alignment vertical="center"/>
    </xf>
    <xf numFmtId="0" fontId="12" fillId="4" borderId="7" xfId="1" applyNumberFormat="1" applyFont="1" applyFill="1" applyBorder="1" applyAlignment="1">
      <alignment vertical="center"/>
    </xf>
    <xf numFmtId="0" fontId="10" fillId="5" borderId="11" xfId="1" applyNumberFormat="1" applyFont="1" applyFill="1" applyBorder="1" applyAlignment="1">
      <alignment horizontal="distributed" vertical="center"/>
    </xf>
    <xf numFmtId="0" fontId="5" fillId="5" borderId="15" xfId="1" applyNumberFormat="1" applyFont="1" applyFill="1" applyBorder="1" applyAlignment="1">
      <alignment horizontal="distributed" vertical="center"/>
    </xf>
    <xf numFmtId="0" fontId="5" fillId="5" borderId="19" xfId="1" applyNumberFormat="1" applyFont="1" applyFill="1" applyBorder="1" applyAlignment="1">
      <alignment horizontal="distributed" vertical="center"/>
    </xf>
    <xf numFmtId="0" fontId="2" fillId="2" borderId="0" xfId="1" applyNumberFormat="1" applyFont="1" applyFill="1" applyAlignment="1">
      <alignment vertical="center"/>
    </xf>
    <xf numFmtId="0" fontId="5" fillId="2" borderId="0" xfId="1" applyNumberFormat="1" applyFont="1" applyFill="1" applyAlignment="1">
      <alignment vertical="center"/>
    </xf>
    <xf numFmtId="0" fontId="10" fillId="2" borderId="0" xfId="1" applyNumberFormat="1" applyFont="1" applyFill="1" applyAlignment="1">
      <alignment vertical="center"/>
    </xf>
    <xf numFmtId="0" fontId="11" fillId="2" borderId="0" xfId="1" applyNumberFormat="1" applyFont="1" applyFill="1" applyAlignment="1">
      <alignment horizontal="left" vertical="center" wrapText="1"/>
    </xf>
    <xf numFmtId="0" fontId="10" fillId="3" borderId="0" xfId="0" applyNumberFormat="1" applyFont="1" applyFill="1" applyAlignment="1">
      <alignment vertical="center"/>
    </xf>
    <xf numFmtId="0" fontId="5" fillId="2" borderId="0" xfId="0" applyNumberFormat="1" applyFont="1" applyFill="1" applyAlignment="1">
      <alignment vertical="center"/>
    </xf>
    <xf numFmtId="0" fontId="10" fillId="3" borderId="0" xfId="1" applyNumberFormat="1" applyFont="1" applyFill="1" applyAlignment="1">
      <alignment vertical="center"/>
    </xf>
    <xf numFmtId="0" fontId="5" fillId="3" borderId="0" xfId="1" applyNumberFormat="1" applyFont="1" applyFill="1" applyBorder="1" applyAlignment="1">
      <alignment vertical="center"/>
    </xf>
    <xf numFmtId="0" fontId="5" fillId="2" borderId="0" xfId="1" applyNumberFormat="1" applyFont="1" applyFill="1" applyBorder="1" applyAlignment="1">
      <alignment vertical="center"/>
    </xf>
    <xf numFmtId="0" fontId="9" fillId="2" borderId="0" xfId="1" applyNumberFormat="1" applyFont="1" applyFill="1" applyAlignment="1">
      <alignment vertical="center"/>
    </xf>
    <xf numFmtId="0" fontId="8" fillId="2" borderId="0" xfId="1" applyNumberFormat="1" applyFont="1" applyFill="1" applyAlignment="1">
      <alignment vertical="center"/>
    </xf>
    <xf numFmtId="0" fontId="5" fillId="0" borderId="0" xfId="1" applyNumberFormat="1" applyFont="1" applyFill="1" applyAlignment="1">
      <alignment horizontal="left" vertical="center" wrapText="1"/>
    </xf>
    <xf numFmtId="0" fontId="5" fillId="2" borderId="0" xfId="1" applyNumberFormat="1" applyFont="1" applyFill="1" applyAlignment="1">
      <alignment horizontal="left" vertical="top" wrapText="1"/>
    </xf>
    <xf numFmtId="41" fontId="5" fillId="5" borderId="0" xfId="1" applyFont="1" applyFill="1" applyBorder="1" applyAlignment="1">
      <alignment horizontal="center" vertical="center"/>
    </xf>
    <xf numFmtId="41" fontId="5" fillId="5" borderId="5" xfId="1" applyFont="1" applyFill="1" applyBorder="1" applyAlignment="1">
      <alignment horizontal="center" vertical="center"/>
    </xf>
    <xf numFmtId="41" fontId="5" fillId="5" borderId="4" xfId="1" applyFont="1" applyFill="1" applyBorder="1" applyAlignment="1">
      <alignment horizontal="center" vertical="center"/>
    </xf>
    <xf numFmtId="181" fontId="5" fillId="5" borderId="0" xfId="1" applyNumberFormat="1" applyFont="1" applyFill="1" applyBorder="1" applyAlignment="1">
      <alignment horizontal="right" vertical="center"/>
    </xf>
    <xf numFmtId="41" fontId="12" fillId="4" borderId="2" xfId="1" applyFont="1" applyFill="1" applyBorder="1" applyAlignment="1">
      <alignment horizontal="center" vertical="center"/>
    </xf>
    <xf numFmtId="41" fontId="12" fillId="4" borderId="6" xfId="1" applyFont="1" applyFill="1" applyBorder="1" applyAlignment="1">
      <alignment horizontal="center" vertical="center"/>
    </xf>
    <xf numFmtId="41" fontId="12" fillId="4" borderId="3" xfId="1" applyFont="1" applyFill="1" applyBorder="1" applyAlignment="1">
      <alignment horizontal="center" vertical="center"/>
    </xf>
    <xf numFmtId="41" fontId="12" fillId="4" borderId="1" xfId="1" applyFont="1" applyFill="1" applyBorder="1" applyAlignment="1">
      <alignment horizontal="center" vertical="center"/>
    </xf>
    <xf numFmtId="41" fontId="12" fillId="4" borderId="7" xfId="1" applyFont="1" applyFill="1" applyBorder="1" applyAlignment="1">
      <alignment horizontal="center" vertical="center"/>
    </xf>
    <xf numFmtId="41" fontId="12" fillId="4" borderId="22" xfId="1" applyFont="1" applyFill="1" applyBorder="1" applyAlignment="1">
      <alignment horizontal="center" vertical="center"/>
    </xf>
    <xf numFmtId="0" fontId="5" fillId="5" borderId="5" xfId="1" applyNumberFormat="1" applyFont="1" applyFill="1" applyBorder="1" applyAlignment="1">
      <alignment horizontal="distributed" vertical="center"/>
    </xf>
    <xf numFmtId="0" fontId="5" fillId="5" borderId="19" xfId="1" applyNumberFormat="1" applyFont="1" applyFill="1" applyBorder="1" applyAlignment="1">
      <alignment horizontal="distributed" vertical="center"/>
    </xf>
    <xf numFmtId="0" fontId="5" fillId="5" borderId="18" xfId="1" applyNumberFormat="1" applyFont="1" applyFill="1" applyBorder="1" applyAlignment="1">
      <alignment horizontal="distributed" vertical="center"/>
    </xf>
    <xf numFmtId="0" fontId="5" fillId="2" borderId="0" xfId="1" applyNumberFormat="1" applyFont="1" applyFill="1" applyAlignment="1">
      <alignment horizontal="left" vertical="center" wrapText="1"/>
    </xf>
    <xf numFmtId="41" fontId="12" fillId="4" borderId="20" xfId="1" applyFont="1" applyFill="1" applyBorder="1" applyAlignment="1">
      <alignment horizontal="center" vertical="center"/>
    </xf>
    <xf numFmtId="41" fontId="12" fillId="4" borderId="20" xfId="1" applyFont="1" applyFill="1" applyBorder="1" applyAlignment="1">
      <alignment horizontal="center" vertical="center" wrapText="1"/>
    </xf>
    <xf numFmtId="41" fontId="12" fillId="4" borderId="6" xfId="1" applyFont="1" applyFill="1" applyBorder="1" applyAlignment="1">
      <alignment horizontal="center" vertical="center" wrapText="1"/>
    </xf>
    <xf numFmtId="41" fontId="12" fillId="4" borderId="21" xfId="1" applyFont="1" applyFill="1" applyBorder="1" applyAlignment="1">
      <alignment horizontal="center" vertical="center"/>
    </xf>
    <xf numFmtId="0" fontId="5" fillId="5" borderId="0" xfId="1" applyNumberFormat="1" applyFont="1" applyFill="1" applyBorder="1" applyAlignment="1">
      <alignment horizontal="distributed" vertical="center"/>
    </xf>
    <xf numFmtId="0" fontId="5" fillId="5" borderId="15" xfId="1" applyNumberFormat="1" applyFont="1" applyFill="1" applyBorder="1" applyAlignment="1">
      <alignment horizontal="distributed" vertical="center"/>
    </xf>
    <xf numFmtId="0" fontId="5" fillId="5" borderId="14" xfId="1" applyNumberFormat="1" applyFont="1" applyFill="1" applyBorder="1" applyAlignment="1">
      <alignment horizontal="distributed" vertical="center" wrapText="1"/>
    </xf>
    <xf numFmtId="0" fontId="5" fillId="5" borderId="0" xfId="1" applyNumberFormat="1" applyFont="1" applyFill="1" applyBorder="1" applyAlignment="1">
      <alignment horizontal="distributed" vertical="center" wrapText="1"/>
    </xf>
    <xf numFmtId="0" fontId="5" fillId="5" borderId="15" xfId="1" applyNumberFormat="1" applyFont="1" applyFill="1" applyBorder="1" applyAlignment="1">
      <alignment horizontal="distributed" vertical="center" wrapText="1"/>
    </xf>
    <xf numFmtId="0" fontId="5" fillId="5" borderId="14" xfId="1" applyNumberFormat="1" applyFont="1" applyFill="1" applyBorder="1" applyAlignment="1">
      <alignment horizontal="distributed" vertical="center"/>
    </xf>
    <xf numFmtId="0" fontId="12" fillId="4" borderId="3" xfId="1" applyNumberFormat="1" applyFont="1" applyFill="1" applyBorder="1" applyAlignment="1">
      <alignment horizontal="center" vertical="center"/>
    </xf>
    <xf numFmtId="0" fontId="12" fillId="4" borderId="7" xfId="1" applyNumberFormat="1" applyFont="1" applyFill="1" applyBorder="1" applyAlignment="1">
      <alignment horizontal="center" vertical="center"/>
    </xf>
    <xf numFmtId="0" fontId="10" fillId="5" borderId="4" xfId="1" applyNumberFormat="1" applyFont="1" applyFill="1" applyBorder="1" applyAlignment="1">
      <alignment horizontal="distributed" vertical="center"/>
    </xf>
    <xf numFmtId="0" fontId="10" fillId="5" borderId="11" xfId="1" applyNumberFormat="1" applyFont="1" applyFill="1" applyBorder="1" applyAlignment="1">
      <alignment horizontal="distributed" vertical="center"/>
    </xf>
    <xf numFmtId="0" fontId="5" fillId="5" borderId="10" xfId="1" applyNumberFormat="1" applyFont="1" applyFill="1" applyBorder="1" applyAlignment="1">
      <alignment horizontal="distributed" vertical="center"/>
    </xf>
    <xf numFmtId="0" fontId="5" fillId="5" borderId="4" xfId="1" applyNumberFormat="1" applyFont="1" applyFill="1" applyBorder="1" applyAlignment="1">
      <alignment horizontal="distributed" vertical="center"/>
    </xf>
    <xf numFmtId="0" fontId="5" fillId="5" borderId="11" xfId="1" applyNumberFormat="1" applyFont="1" applyFill="1" applyBorder="1" applyAlignment="1">
      <alignment horizontal="distributed" vertical="center"/>
    </xf>
    <xf numFmtId="0" fontId="12" fillId="4" borderId="2" xfId="1" applyNumberFormat="1" applyFont="1" applyFill="1" applyBorder="1" applyAlignment="1">
      <alignment horizontal="center" vertical="center"/>
    </xf>
    <xf numFmtId="0" fontId="12" fillId="4" borderId="6" xfId="1" applyNumberFormat="1" applyFont="1" applyFill="1" applyBorder="1" applyAlignment="1">
      <alignment horizontal="center" vertical="center"/>
    </xf>
    <xf numFmtId="41" fontId="5" fillId="5" borderId="12" xfId="1" applyFont="1" applyFill="1" applyBorder="1" applyAlignment="1">
      <alignment horizontal="center" vertical="center"/>
    </xf>
    <xf numFmtId="178" fontId="5" fillId="5" borderId="13" xfId="1" applyNumberFormat="1" applyFont="1" applyFill="1" applyBorder="1" applyAlignment="1">
      <alignment horizontal="center" vertical="center"/>
    </xf>
    <xf numFmtId="41" fontId="12" fillId="3" borderId="0" xfId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1" applyNumberFormat="1" applyFont="1" applyFill="1" applyAlignment="1">
      <alignment vertical="center" wrapText="1"/>
    </xf>
    <xf numFmtId="0" fontId="8" fillId="2" borderId="0" xfId="0" applyFont="1" applyFill="1" applyBorder="1" applyAlignment="1">
      <alignment horizontal="center" vertical="center"/>
    </xf>
    <xf numFmtId="41" fontId="12" fillId="4" borderId="30" xfId="1" applyFont="1" applyFill="1" applyBorder="1" applyAlignment="1">
      <alignment horizontal="center" vertical="center"/>
    </xf>
    <xf numFmtId="41" fontId="12" fillId="4" borderId="31" xfId="1" applyFont="1" applyFill="1" applyBorder="1" applyAlignment="1">
      <alignment horizontal="center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소년보호사건의 </a:t>
            </a:r>
            <a:r>
              <a:rPr lang="ko-KR" altLang="en-US" sz="1050" baseline="0"/>
              <a:t> 추이</a:t>
            </a:r>
            <a:r>
              <a:rPr lang="en-US" altLang="ko-KR" sz="1050" baseline="0"/>
              <a:t> - </a:t>
            </a:r>
            <a:r>
              <a:rPr lang="ko-KR" altLang="en-US" sz="1050" baseline="0"/>
              <a:t>접수</a:t>
            </a:r>
            <a:r>
              <a:rPr lang="en-US" altLang="ko-KR" sz="1050" baseline="0"/>
              <a:t>(</a:t>
            </a:r>
            <a:r>
              <a:rPr lang="ko-KR" altLang="en-US" sz="1050" baseline="0"/>
              <a:t>도표 </a:t>
            </a:r>
            <a:r>
              <a:rPr lang="en-US" altLang="ko-KR" sz="1050" baseline="0"/>
              <a:t>41)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solidFill>
                <a:schemeClr val="accent1"/>
              </a:solidFill>
              <a:prstDash val="sysDot"/>
            </a:ln>
          </c:spPr>
          <c:invertIfNegative val="0"/>
          <c:cat>
            <c:numRef>
              <c:f>'1'!$A$22:$A$31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 formatCode="_(* #,##0_);_(* \(#,##0\);_(* &quot;-&quot;_);_(@_)">
                  <c:v>16</c:v>
                </c:pt>
                <c:pt idx="5" formatCode="_(* #,##0_);_(* \(#,##0\);_(* &quot;-&quot;_);_(@_)">
                  <c:v>17</c:v>
                </c:pt>
                <c:pt idx="6" formatCode="_(* #,##0_);_(* \(#,##0\);_(* &quot;-&quot;_);_(@_)">
                  <c:v>18</c:v>
                </c:pt>
                <c:pt idx="7" formatCode="_(* #,##0_);_(* \(#,##0\);_(* &quot;-&quot;_);_(@_)">
                  <c:v>19</c:v>
                </c:pt>
                <c:pt idx="8" formatCode="_(* #,##0_);_(* \(#,##0\);_(* &quot;-&quot;_);_(@_)">
                  <c:v>20</c:v>
                </c:pt>
                <c:pt idx="9" formatCode="_(* #,##0_);_(* \(#,##0\);_(* &quot;-&quot;_);_(@_)">
                  <c:v>21</c:v>
                </c:pt>
              </c:numCache>
            </c:numRef>
          </c:cat>
          <c:val>
            <c:numRef>
              <c:f>'1'!$B$22:$B$31</c:f>
              <c:numCache>
                <c:formatCode>_(* #,##0_);_(* \(#,##0\);_(* "-"_);_(@_)</c:formatCode>
                <c:ptCount val="10"/>
                <c:pt idx="0">
                  <c:v>53536</c:v>
                </c:pt>
                <c:pt idx="1">
                  <c:v>43035</c:v>
                </c:pt>
                <c:pt idx="2">
                  <c:v>34165</c:v>
                </c:pt>
                <c:pt idx="3">
                  <c:v>34075</c:v>
                </c:pt>
                <c:pt idx="4">
                  <c:v>33738</c:v>
                </c:pt>
                <c:pt idx="5">
                  <c:v>34110</c:v>
                </c:pt>
                <c:pt idx="6">
                  <c:v>33301</c:v>
                </c:pt>
                <c:pt idx="7">
                  <c:v>36576</c:v>
                </c:pt>
                <c:pt idx="8">
                  <c:v>38590</c:v>
                </c:pt>
                <c:pt idx="9">
                  <c:v>35438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8-4FEE-93AE-26D67D8B2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070464"/>
        <c:axId val="1"/>
      </c:barChart>
      <c:catAx>
        <c:axId val="176307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ln>
            <a:noFill/>
          </a:ln>
        </c:spPr>
        <c:crossAx val="1763070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소년보호사건 구성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-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접수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도표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42)</a:t>
            </a:r>
            <a:endParaRPr lang="ko-KR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69-4E9B-828B-EC47A84B62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F69-4E9B-828B-EC47A84B62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69-4E9B-828B-EC47A84B62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F69-4E9B-828B-EC47A84B62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9-4E9B-828B-EC47A84B628E}"/>
              </c:ext>
            </c:extLst>
          </c:dPt>
          <c:dLbls>
            <c:dLbl>
              <c:idx val="0"/>
              <c:layout>
                <c:manualLayout>
                  <c:x val="0.122082239720035"/>
                  <c:y val="0.120370370370370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F69-4E9B-828B-EC47A84B628E}"/>
                </c:ext>
              </c:extLst>
            </c:dLbl>
            <c:dLbl>
              <c:idx val="1"/>
              <c:layout>
                <c:manualLayout>
                  <c:x val="-9.4444444444444442E-2"/>
                  <c:y val="0.2175925925925926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F69-4E9B-828B-EC47A84B628E}"/>
                </c:ext>
              </c:extLst>
            </c:dLbl>
            <c:dLbl>
              <c:idx val="2"/>
              <c:layout>
                <c:manualLayout>
                  <c:x val="-0.23933243638662816"/>
                  <c:y val="0.1620370370370370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F69-4E9B-828B-EC47A84B628E}"/>
                </c:ext>
              </c:extLst>
            </c:dLbl>
            <c:dLbl>
              <c:idx val="3"/>
              <c:layout>
                <c:manualLayout>
                  <c:x val="-0.21150797326804741"/>
                  <c:y val="-9.7222222222222238E-2"/>
                </c:manualLayout>
              </c:layout>
              <c:tx>
                <c:rich>
                  <a:bodyPr/>
                  <a:lstStyle/>
                  <a:p>
                    <a:fld id="{8C402B73-68B9-4074-B419-88F5BAEEAC6F}" type="CATEGORYNAME">
                      <a:rPr lang="ko-KR" altLang="en-US"/>
                      <a:pPr/>
                      <a:t>[범주 이름]</a:t>
                    </a:fld>
                    <a:endParaRPr lang="ko-KR" altLang="en-US" baseline="0"/>
                  </a:p>
                  <a:p>
                    <a:fld id="{29CB7D2D-E8E9-460B-83D0-F384D76C45F6}" type="VALUE">
                      <a:rPr lang="en-US" altLang="ko-KR"/>
                      <a:pPr/>
                      <a:t>[값]</a:t>
                    </a:fld>
                    <a:endParaRPr lang="ko-KR" altLang="en-US" baseline="0"/>
                  </a:p>
                  <a:p>
                    <a:r>
                      <a:rPr lang="en-US" altLang="ko-KR"/>
                      <a:t>2.0%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F69-4E9B-828B-EC47A84B628E}"/>
                </c:ext>
              </c:extLst>
            </c:dLbl>
            <c:dLbl>
              <c:idx val="4"/>
              <c:layout>
                <c:manualLayout>
                  <c:x val="0.24633523750707617"/>
                  <c:y val="-2.777777777777777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F69-4E9B-828B-EC47A84B628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'1'!$E$37:$E$41</c:f>
              <c:strCache>
                <c:ptCount val="5"/>
                <c:pt idx="0">
                  <c:v>검사송치</c:v>
                </c:pt>
                <c:pt idx="1">
                  <c:v>경찰서장송치</c:v>
                </c:pt>
                <c:pt idx="2">
                  <c:v>타소년부에서이송등</c:v>
                </c:pt>
                <c:pt idx="3">
                  <c:v>법원송치</c:v>
                </c:pt>
                <c:pt idx="4">
                  <c:v>보호자등에의한통고 </c:v>
                </c:pt>
              </c:strCache>
            </c:strRef>
          </c:cat>
          <c:val>
            <c:numRef>
              <c:f>'1'!$F$37:$F$41</c:f>
              <c:numCache>
                <c:formatCode>_(* #,##0_);_(* \(#,##0\);_(* "-"_);_(@_)</c:formatCode>
                <c:ptCount val="5"/>
                <c:pt idx="0">
                  <c:v>20260</c:v>
                </c:pt>
                <c:pt idx="1">
                  <c:v>12680</c:v>
                </c:pt>
                <c:pt idx="2">
                  <c:v>1307</c:v>
                </c:pt>
                <c:pt idx="3">
                  <c:v>733</c:v>
                </c:pt>
                <c:pt idx="4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9-4E9B-828B-EC47A84B6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보호소년 연령별 구성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43)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44-40A6-9A9E-39178C073E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44-40A6-9A9E-39178C073E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44-40A6-9A9E-39178C073E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44-40A6-9A9E-39178C073E9F}"/>
              </c:ext>
            </c:extLst>
          </c:dPt>
          <c:dLbls>
            <c:dLbl>
              <c:idx val="0"/>
              <c:layout>
                <c:manualLayout>
                  <c:x val="0.18157759421158151"/>
                  <c:y val="-0.102622819932091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144-40A6-9A9E-39178C073E9F}"/>
                </c:ext>
              </c:extLst>
            </c:dLbl>
            <c:dLbl>
              <c:idx val="1"/>
              <c:layout>
                <c:manualLayout>
                  <c:x val="0.16035595696792107"/>
                  <c:y val="4.416811573509839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44-40A6-9A9E-39178C073E9F}"/>
                </c:ext>
              </c:extLst>
            </c:dLbl>
            <c:dLbl>
              <c:idx val="2"/>
              <c:layout>
                <c:manualLayout>
                  <c:x val="-0.15910785665675442"/>
                  <c:y val="4.458321170182263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ko-KR"/>
                      <a:t>18</a:t>
                    </a:r>
                    <a:r>
                      <a:rPr lang="ko-KR" altLang="en-US"/>
                      <a:t>세미만</a:t>
                    </a:r>
                  </a:p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ko-KR" baseline="0"/>
                      <a:t>7,849</a:t>
                    </a:r>
                  </a:p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ko-KR" baseline="0"/>
                      <a:t>35.5%</a:t>
                    </a:r>
                  </a:p>
                </c:rich>
              </c:tx>
              <c:numFmt formatCode="#,##0_);[Red]\(#,##0\)" sourceLinked="0"/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144-40A6-9A9E-39178C073E9F}"/>
                </c:ext>
              </c:extLst>
            </c:dLbl>
            <c:dLbl>
              <c:idx val="3"/>
              <c:layout>
                <c:manualLayout>
                  <c:x val="-0.1970262505781876"/>
                  <c:y val="-0.1029597420014700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144-40A6-9A9E-39178C073E9F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'3'!$A$9:$A$12</c:f>
              <c:strCache>
                <c:ptCount val="4"/>
                <c:pt idx="0">
                  <c:v>14세미만</c:v>
                </c:pt>
                <c:pt idx="1">
                  <c:v>16세미만</c:v>
                </c:pt>
                <c:pt idx="2">
                  <c:v>18세미만</c:v>
                </c:pt>
                <c:pt idx="3">
                  <c:v>19세미만</c:v>
                </c:pt>
              </c:strCache>
            </c:strRef>
          </c:cat>
          <c:val>
            <c:numRef>
              <c:f>'3'!$B$9:$B$12</c:f>
              <c:numCache>
                <c:formatCode>_(* #,##0_);_(* \(#,##0\);_(* "-"_);_(@_)</c:formatCode>
                <c:ptCount val="4"/>
                <c:pt idx="0">
                  <c:v>4142</c:v>
                </c:pt>
                <c:pt idx="1">
                  <c:v>6804</c:v>
                </c:pt>
                <c:pt idx="2">
                  <c:v>7849</c:v>
                </c:pt>
                <c:pt idx="3">
                  <c:v>3349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44-40A6-9A9E-39178C07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142875</xdr:rowOff>
    </xdr:from>
    <xdr:to>
      <xdr:col>8</xdr:col>
      <xdr:colOff>695325</xdr:colOff>
      <xdr:row>30</xdr:row>
      <xdr:rowOff>114300</xdr:rowOff>
    </xdr:to>
    <xdr:graphicFrame macro="">
      <xdr:nvGraphicFramePr>
        <xdr:cNvPr id="2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35</xdr:row>
      <xdr:rowOff>671512</xdr:rowOff>
    </xdr:from>
    <xdr:to>
      <xdr:col>8</xdr:col>
      <xdr:colOff>723900</xdr:colOff>
      <xdr:row>52</xdr:row>
      <xdr:rowOff>119062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27</xdr:row>
      <xdr:rowOff>19050</xdr:rowOff>
    </xdr:from>
    <xdr:to>
      <xdr:col>1</xdr:col>
      <xdr:colOff>9540</xdr:colOff>
      <xdr:row>30</xdr:row>
      <xdr:rowOff>9525</xdr:rowOff>
    </xdr:to>
    <xdr:sp macro="" textlink="">
      <xdr:nvSpPr>
        <xdr:cNvPr id="4" name="TextBox 5"/>
        <xdr:cNvSpPr txBox="1"/>
      </xdr:nvSpPr>
      <xdr:spPr>
        <a:xfrm>
          <a:off x="228600" y="4686300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  <a:p>
          <a:pPr algn="r"/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0.45005</cdr:x>
      <cdr:y>0.51505</cdr:y>
    </cdr:from>
    <cdr:to>
      <cdr:x>0.5446</cdr:x>
      <cdr:y>0.598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060700" y="1412875"/>
          <a:ext cx="643071" cy="22756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35,438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28575</xdr:rowOff>
    </xdr:from>
    <xdr:to>
      <xdr:col>1</xdr:col>
      <xdr:colOff>9525</xdr:colOff>
      <xdr:row>18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3867150"/>
          <a:ext cx="76200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23</xdr:row>
      <xdr:rowOff>19050</xdr:rowOff>
    </xdr:from>
    <xdr:to>
      <xdr:col>1</xdr:col>
      <xdr:colOff>9525</xdr:colOff>
      <xdr:row>25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5429250"/>
          <a:ext cx="78105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1</xdr:row>
      <xdr:rowOff>47625</xdr:rowOff>
    </xdr:from>
    <xdr:to>
      <xdr:col>1</xdr:col>
      <xdr:colOff>600075</xdr:colOff>
      <xdr:row>2</xdr:row>
      <xdr:rowOff>180975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38100" y="323850"/>
          <a:ext cx="1343025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</xdr:row>
      <xdr:rowOff>28575</xdr:rowOff>
    </xdr:from>
    <xdr:to>
      <xdr:col>7</xdr:col>
      <xdr:colOff>19050</xdr:colOff>
      <xdr:row>2</xdr:row>
      <xdr:rowOff>171450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2800350" y="304800"/>
          <a:ext cx="232410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9525</xdr:rowOff>
    </xdr:from>
    <xdr:to>
      <xdr:col>5</xdr:col>
      <xdr:colOff>133350</xdr:colOff>
      <xdr:row>22</xdr:row>
      <xdr:rowOff>0</xdr:rowOff>
    </xdr:to>
    <xdr:graphicFrame macro="">
      <xdr:nvGraphicFramePr>
        <xdr:cNvPr id="2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0.44873</cdr:x>
      <cdr:y>0.46521</cdr:y>
    </cdr:from>
    <cdr:to>
      <cdr:x>0.5385</cdr:x>
      <cdr:y>0.63045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076388" y="1417917"/>
          <a:ext cx="652972" cy="51847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22,144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32</xdr:row>
      <xdr:rowOff>19050</xdr:rowOff>
    </xdr:from>
    <xdr:to>
      <xdr:col>1</xdr:col>
      <xdr:colOff>28575</xdr:colOff>
      <xdr:row>34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7629525"/>
          <a:ext cx="771525" cy="54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4"/>
  <sheetViews>
    <sheetView showGridLines="0" tabSelected="1" zoomScaleNormal="100" zoomScaleSheetLayoutView="100" workbookViewId="0"/>
  </sheetViews>
  <sheetFormatPr defaultRowHeight="12" x14ac:dyDescent="0.15"/>
  <cols>
    <col min="1" max="16384" width="8.88671875" style="17"/>
  </cols>
  <sheetData>
    <row r="1" spans="1:9" s="1" customFormat="1" ht="21.75" customHeight="1" x14ac:dyDescent="0.15">
      <c r="A1" s="95" t="s">
        <v>141</v>
      </c>
      <c r="B1" s="96"/>
      <c r="C1" s="96"/>
      <c r="D1" s="96"/>
      <c r="E1" s="96"/>
      <c r="F1" s="96"/>
      <c r="G1" s="96"/>
      <c r="H1" s="96"/>
      <c r="I1" s="96"/>
    </row>
    <row r="2" spans="1:9" s="1" customFormat="1" ht="13.9" customHeight="1" x14ac:dyDescent="0.15">
      <c r="A2" s="96"/>
      <c r="B2" s="96"/>
      <c r="C2" s="96"/>
      <c r="D2" s="96"/>
      <c r="E2" s="96"/>
      <c r="F2" s="96"/>
      <c r="G2" s="96"/>
      <c r="H2" s="96"/>
      <c r="I2" s="96"/>
    </row>
    <row r="3" spans="1:9" s="1" customFormat="1" ht="13.9" customHeight="1" x14ac:dyDescent="0.15">
      <c r="A3" s="97" t="s">
        <v>0</v>
      </c>
      <c r="B3" s="96"/>
      <c r="C3" s="96"/>
      <c r="D3" s="96"/>
      <c r="E3" s="96"/>
      <c r="F3" s="96"/>
      <c r="G3" s="96"/>
      <c r="H3" s="96"/>
      <c r="I3" s="96"/>
    </row>
    <row r="4" spans="1:9" s="4" customFormat="1" ht="40.5" customHeight="1" x14ac:dyDescent="0.15">
      <c r="A4" s="106" t="s">
        <v>140</v>
      </c>
      <c r="B4" s="106"/>
      <c r="C4" s="106"/>
      <c r="D4" s="106"/>
      <c r="E4" s="106"/>
      <c r="F4" s="106"/>
      <c r="G4" s="106"/>
      <c r="H4" s="106"/>
      <c r="I4" s="106"/>
    </row>
    <row r="5" spans="1:9" s="4" customFormat="1" ht="11.25" customHeight="1" x14ac:dyDescent="0.15">
      <c r="A5" s="98"/>
      <c r="B5" s="98"/>
      <c r="C5" s="98"/>
      <c r="D5" s="98"/>
      <c r="E5" s="98"/>
      <c r="F5" s="98"/>
      <c r="G5" s="98"/>
      <c r="H5" s="98"/>
      <c r="I5" s="98"/>
    </row>
    <row r="6" spans="1:9" s="6" customFormat="1" x14ac:dyDescent="0.15">
      <c r="A6" s="99" t="s">
        <v>139</v>
      </c>
      <c r="B6" s="100"/>
      <c r="C6" s="100"/>
      <c r="D6" s="100"/>
      <c r="E6" s="100"/>
      <c r="F6" s="100"/>
      <c r="G6" s="100"/>
      <c r="H6" s="100"/>
      <c r="I6" s="100"/>
    </row>
    <row r="7" spans="1:9" s="6" customFormat="1" x14ac:dyDescent="0.15"/>
    <row r="8" spans="1:9" s="6" customFormat="1" x14ac:dyDescent="0.15">
      <c r="A8" s="6" t="s">
        <v>1</v>
      </c>
    </row>
    <row r="9" spans="1:9" s="6" customFormat="1" x14ac:dyDescent="0.15">
      <c r="A9" s="6" t="s">
        <v>2</v>
      </c>
      <c r="B9" s="1" t="s">
        <v>3</v>
      </c>
    </row>
    <row r="10" spans="1:9" s="6" customFormat="1" x14ac:dyDescent="0.15">
      <c r="A10" s="8" t="s">
        <v>4</v>
      </c>
      <c r="B10" s="1">
        <v>36520</v>
      </c>
    </row>
    <row r="11" spans="1:9" s="6" customFormat="1" x14ac:dyDescent="0.15">
      <c r="A11" s="8" t="s">
        <v>5</v>
      </c>
      <c r="B11" s="1">
        <v>30706</v>
      </c>
    </row>
    <row r="12" spans="1:9" s="6" customFormat="1" x14ac:dyDescent="0.15">
      <c r="A12" s="8" t="s">
        <v>7</v>
      </c>
      <c r="B12" s="1">
        <v>26811</v>
      </c>
    </row>
    <row r="13" spans="1:9" s="6" customFormat="1" x14ac:dyDescent="0.15">
      <c r="A13" s="8" t="s">
        <v>8</v>
      </c>
      <c r="B13" s="1">
        <v>24222</v>
      </c>
    </row>
    <row r="14" spans="1:9" s="6" customFormat="1" x14ac:dyDescent="0.15">
      <c r="A14" s="8" t="s">
        <v>9</v>
      </c>
      <c r="B14" s="1">
        <v>22810</v>
      </c>
    </row>
    <row r="15" spans="1:9" s="6" customFormat="1" x14ac:dyDescent="0.15">
      <c r="A15" s="8" t="s">
        <v>10</v>
      </c>
      <c r="B15" s="1">
        <v>24353</v>
      </c>
    </row>
    <row r="16" spans="1:9" s="6" customFormat="1" x14ac:dyDescent="0.15">
      <c r="A16" s="8" t="s">
        <v>11</v>
      </c>
      <c r="B16" s="1">
        <v>25946</v>
      </c>
    </row>
    <row r="17" spans="1:2" s="6" customFormat="1" x14ac:dyDescent="0.15">
      <c r="A17" s="9" t="s">
        <v>12</v>
      </c>
      <c r="B17" s="1">
        <v>37910</v>
      </c>
    </row>
    <row r="18" spans="1:2" s="6" customFormat="1" x14ac:dyDescent="0.15">
      <c r="A18" s="9" t="s">
        <v>13</v>
      </c>
      <c r="B18" s="1">
        <v>41754</v>
      </c>
    </row>
    <row r="19" spans="1:2" s="6" customFormat="1" x14ac:dyDescent="0.15">
      <c r="A19" s="9" t="s">
        <v>14</v>
      </c>
      <c r="B19" s="1">
        <v>48007</v>
      </c>
    </row>
    <row r="20" spans="1:2" s="6" customFormat="1" x14ac:dyDescent="0.15">
      <c r="A20" s="9" t="s">
        <v>15</v>
      </c>
      <c r="B20" s="1">
        <v>44200</v>
      </c>
    </row>
    <row r="21" spans="1:2" s="6" customFormat="1" x14ac:dyDescent="0.15">
      <c r="A21" s="9" t="s">
        <v>16</v>
      </c>
      <c r="B21" s="1">
        <v>46497</v>
      </c>
    </row>
    <row r="22" spans="1:2" s="6" customFormat="1" x14ac:dyDescent="0.15">
      <c r="A22" s="9">
        <v>12</v>
      </c>
      <c r="B22" s="1">
        <v>53536</v>
      </c>
    </row>
    <row r="23" spans="1:2" s="6" customFormat="1" x14ac:dyDescent="0.15">
      <c r="A23" s="9">
        <v>13</v>
      </c>
      <c r="B23" s="1">
        <v>43035</v>
      </c>
    </row>
    <row r="24" spans="1:2" s="6" customFormat="1" x14ac:dyDescent="0.15">
      <c r="A24" s="9">
        <v>14</v>
      </c>
      <c r="B24" s="1">
        <v>34165</v>
      </c>
    </row>
    <row r="25" spans="1:2" s="6" customFormat="1" x14ac:dyDescent="0.15">
      <c r="A25" s="9">
        <v>15</v>
      </c>
      <c r="B25" s="1">
        <v>34075</v>
      </c>
    </row>
    <row r="26" spans="1:2" s="1" customFormat="1" ht="13.9" customHeight="1" x14ac:dyDescent="0.15">
      <c r="A26" s="10">
        <v>16</v>
      </c>
      <c r="B26" s="1">
        <v>33738</v>
      </c>
    </row>
    <row r="27" spans="1:2" s="1" customFormat="1" ht="13.9" customHeight="1" x14ac:dyDescent="0.15">
      <c r="A27" s="10">
        <v>17</v>
      </c>
      <c r="B27" s="1">
        <v>34110</v>
      </c>
    </row>
    <row r="28" spans="1:2" s="1" customFormat="1" ht="10.5" customHeight="1" x14ac:dyDescent="0.15">
      <c r="A28" s="10">
        <v>18</v>
      </c>
      <c r="B28" s="1">
        <v>33301</v>
      </c>
    </row>
    <row r="29" spans="1:2" s="1" customFormat="1" ht="10.5" customHeight="1" x14ac:dyDescent="0.15">
      <c r="A29" s="10">
        <v>19</v>
      </c>
      <c r="B29" s="1">
        <v>36576</v>
      </c>
    </row>
    <row r="30" spans="1:2" s="1" customFormat="1" ht="10.5" customHeight="1" x14ac:dyDescent="0.15">
      <c r="A30" s="10">
        <v>20</v>
      </c>
      <c r="B30" s="1">
        <v>38590</v>
      </c>
    </row>
    <row r="31" spans="1:2" s="1" customFormat="1" ht="10.5" customHeight="1" x14ac:dyDescent="0.15">
      <c r="A31" s="10">
        <v>21</v>
      </c>
      <c r="B31" s="1">
        <v>35438</v>
      </c>
    </row>
    <row r="32" spans="1:2" s="1" customFormat="1" ht="10.5" customHeight="1" x14ac:dyDescent="0.15">
      <c r="A32" s="10"/>
    </row>
    <row r="33" spans="1:9" s="1" customFormat="1" ht="13.9" customHeight="1" x14ac:dyDescent="0.15">
      <c r="A33" s="97" t="s">
        <v>17</v>
      </c>
      <c r="B33" s="96"/>
      <c r="C33" s="96"/>
      <c r="D33" s="96"/>
      <c r="E33" s="96"/>
      <c r="F33" s="96"/>
      <c r="G33" s="96"/>
      <c r="H33" s="96"/>
      <c r="I33" s="96"/>
    </row>
    <row r="34" spans="1:9" s="1" customFormat="1" ht="13.9" customHeight="1" x14ac:dyDescent="0.15">
      <c r="A34" s="96"/>
      <c r="B34" s="96"/>
      <c r="C34" s="96"/>
      <c r="D34" s="96"/>
      <c r="E34" s="96"/>
      <c r="F34" s="96"/>
      <c r="G34" s="96"/>
      <c r="H34" s="96"/>
      <c r="I34" s="96"/>
    </row>
    <row r="35" spans="1:9" s="1" customFormat="1" ht="13.9" customHeight="1" x14ac:dyDescent="0.15">
      <c r="A35" s="97" t="s">
        <v>18</v>
      </c>
      <c r="B35" s="96"/>
      <c r="C35" s="96"/>
      <c r="D35" s="96"/>
      <c r="E35" s="96"/>
      <c r="F35" s="96"/>
      <c r="G35" s="96"/>
      <c r="H35" s="96"/>
      <c r="I35" s="96"/>
    </row>
    <row r="36" spans="1:9" s="1" customFormat="1" ht="67.5" customHeight="1" x14ac:dyDescent="0.15">
      <c r="A36" s="107" t="s">
        <v>152</v>
      </c>
      <c r="B36" s="107"/>
      <c r="C36" s="107"/>
      <c r="D36" s="107"/>
      <c r="E36" s="107"/>
      <c r="F36" s="107"/>
      <c r="G36" s="107"/>
      <c r="H36" s="107"/>
      <c r="I36" s="107"/>
    </row>
    <row r="37" spans="1:9" s="6" customFormat="1" x14ac:dyDescent="0.15">
      <c r="A37" s="13"/>
      <c r="E37" s="2" t="s">
        <v>19</v>
      </c>
      <c r="F37" s="2">
        <v>20260</v>
      </c>
      <c r="G37" s="12">
        <f>SUM(F37/F$42)</f>
        <v>0.57170269202550938</v>
      </c>
      <c r="I37" s="1"/>
    </row>
    <row r="38" spans="1:9" s="6" customFormat="1" x14ac:dyDescent="0.15">
      <c r="E38" s="5" t="s">
        <v>20</v>
      </c>
      <c r="F38" s="2">
        <v>12680</v>
      </c>
      <c r="G38" s="12">
        <f>SUM(F38/F$42)</f>
        <v>0.35780800270895646</v>
      </c>
      <c r="I38" s="1"/>
    </row>
    <row r="39" spans="1:9" s="6" customFormat="1" x14ac:dyDescent="0.15">
      <c r="A39" s="1"/>
      <c r="B39" s="1"/>
      <c r="E39" s="5" t="s">
        <v>21</v>
      </c>
      <c r="F39" s="2">
        <v>1307</v>
      </c>
      <c r="G39" s="12">
        <f>SUM(F39/F$42)</f>
        <v>3.6881313843896382E-2</v>
      </c>
      <c r="I39" s="1"/>
    </row>
    <row r="40" spans="1:9" s="6" customFormat="1" x14ac:dyDescent="0.15">
      <c r="A40" s="1"/>
      <c r="B40" s="1"/>
      <c r="C40" s="15"/>
      <c r="E40" s="5" t="s">
        <v>22</v>
      </c>
      <c r="F40" s="2">
        <v>733</v>
      </c>
      <c r="G40" s="12">
        <f>SUM(F40/F$42)</f>
        <v>2.0684011513065072E-2</v>
      </c>
      <c r="I40" s="1"/>
    </row>
    <row r="41" spans="1:9" s="6" customFormat="1" x14ac:dyDescent="0.15">
      <c r="A41" s="1"/>
      <c r="B41" s="1"/>
      <c r="C41" s="15"/>
      <c r="E41" s="5" t="s">
        <v>23</v>
      </c>
      <c r="F41" s="2">
        <v>458</v>
      </c>
      <c r="G41" s="12">
        <f>SUM(F41/F$42)</f>
        <v>1.2923979908572719E-2</v>
      </c>
      <c r="I41" s="1"/>
    </row>
    <row r="42" spans="1:9" s="6" customFormat="1" x14ac:dyDescent="0.15">
      <c r="A42" s="1"/>
      <c r="B42" s="1"/>
      <c r="C42" s="15"/>
      <c r="E42" s="5"/>
      <c r="F42" s="16">
        <f>SUM(F37:F41)</f>
        <v>35438</v>
      </c>
      <c r="G42" s="5"/>
      <c r="I42" s="1"/>
    </row>
    <row r="43" spans="1:9" s="6" customFormat="1" x14ac:dyDescent="0.15">
      <c r="A43" s="1"/>
      <c r="B43" s="1"/>
      <c r="C43" s="15"/>
      <c r="I43" s="1"/>
    </row>
    <row r="44" spans="1:9" s="6" customFormat="1" x14ac:dyDescent="0.15">
      <c r="A44" s="1"/>
      <c r="B44" s="1"/>
      <c r="C44" s="15"/>
      <c r="I44" s="1"/>
    </row>
    <row r="45" spans="1:9" s="6" customFormat="1" x14ac:dyDescent="0.15">
      <c r="A45" s="1"/>
      <c r="B45" s="1"/>
      <c r="C45" s="15"/>
      <c r="I45" s="1"/>
    </row>
    <row r="46" spans="1:9" s="6" customFormat="1" x14ac:dyDescent="0.15">
      <c r="A46" s="1"/>
      <c r="B46" s="1"/>
      <c r="C46" s="15"/>
      <c r="I46" s="1"/>
    </row>
    <row r="47" spans="1:9" s="6" customFormat="1" x14ac:dyDescent="0.15">
      <c r="A47" s="1"/>
      <c r="B47" s="1"/>
      <c r="C47" s="15"/>
      <c r="I47" s="1"/>
    </row>
    <row r="48" spans="1:9" s="6" customFormat="1" x14ac:dyDescent="0.15">
      <c r="A48" s="1"/>
      <c r="B48" s="1"/>
      <c r="C48" s="15"/>
      <c r="I48" s="1"/>
    </row>
    <row r="49" spans="1:9" s="6" customFormat="1" x14ac:dyDescent="0.15">
      <c r="A49" s="1"/>
      <c r="B49" s="1"/>
      <c r="C49" s="15"/>
      <c r="I49" s="1"/>
    </row>
    <row r="50" spans="1:9" s="6" customFormat="1" x14ac:dyDescent="0.15">
      <c r="A50" s="1"/>
      <c r="B50" s="1"/>
      <c r="C50" s="15"/>
      <c r="I50" s="1"/>
    </row>
    <row r="51" spans="1:9" s="6" customFormat="1" x14ac:dyDescent="0.15">
      <c r="A51" s="1"/>
      <c r="B51" s="1"/>
      <c r="C51" s="15"/>
      <c r="I51" s="1"/>
    </row>
    <row r="52" spans="1:9" s="6" customFormat="1" x14ac:dyDescent="0.15">
      <c r="I52" s="1"/>
    </row>
    <row r="53" spans="1:9" s="6" customFormat="1" x14ac:dyDescent="0.15">
      <c r="I53" s="1"/>
    </row>
    <row r="54" spans="1:9" s="6" customFormat="1" x14ac:dyDescent="0.15">
      <c r="I54" s="1"/>
    </row>
  </sheetData>
  <sheetProtection algorithmName="SHA-512" hashValue="Vub7Xb++ogbXbxy24WRarPuK5zRhHkyB0B9hqCsbL+LKssoJFmDUbnaccb48r9RHOQ2oEb50ECrZgaxdF5kdyg==" saltValue="RekHcd6C0ULTca147aG4Xg==" spinCount="100000" sheet="1" objects="1" scenarios="1"/>
  <mergeCells count="2">
    <mergeCell ref="A4:I4"/>
    <mergeCell ref="A36:I36"/>
  </mergeCells>
  <phoneticPr fontId="3" type="noConversion"/>
  <pageMargins left="0.43" right="0.3" top="0.64" bottom="0.17" header="0.5" footer="0.17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7"/>
  <sheetViews>
    <sheetView showGridLines="0" zoomScaleNormal="100" zoomScaleSheetLayoutView="100" workbookViewId="0"/>
  </sheetViews>
  <sheetFormatPr defaultRowHeight="12" x14ac:dyDescent="0.15"/>
  <cols>
    <col min="1" max="1" width="9.109375" style="17" customWidth="1"/>
    <col min="2" max="2" width="7.21875" style="17" customWidth="1"/>
    <col min="3" max="3" width="8.77734375" style="17" customWidth="1"/>
    <col min="4" max="4" width="7.33203125" style="17" customWidth="1"/>
    <col min="5" max="6" width="8.88671875" style="17"/>
    <col min="7" max="7" width="9.33203125" style="17" customWidth="1"/>
    <col min="8" max="16384" width="8.88671875" style="17"/>
  </cols>
  <sheetData>
    <row r="1" spans="1:10" s="1" customFormat="1" ht="21.75" customHeight="1" x14ac:dyDescent="0.15">
      <c r="A1" s="101" t="s">
        <v>143</v>
      </c>
    </row>
    <row r="2" spans="1:10" s="1" customFormat="1" ht="15" customHeight="1" x14ac:dyDescent="0.15">
      <c r="A2" s="86"/>
      <c r="B2" s="86" t="s">
        <v>24</v>
      </c>
      <c r="C2" s="139" t="s">
        <v>25</v>
      </c>
      <c r="D2" s="139" t="s">
        <v>26</v>
      </c>
      <c r="E2" s="87"/>
      <c r="F2" s="88"/>
      <c r="G2" s="86" t="s">
        <v>24</v>
      </c>
      <c r="H2" s="139" t="s">
        <v>25</v>
      </c>
      <c r="I2" s="132" t="s">
        <v>26</v>
      </c>
    </row>
    <row r="3" spans="1:10" s="1" customFormat="1" ht="15" customHeight="1" x14ac:dyDescent="0.15">
      <c r="A3" s="89" t="s">
        <v>27</v>
      </c>
      <c r="B3" s="90"/>
      <c r="C3" s="140"/>
      <c r="D3" s="140"/>
      <c r="E3" s="91" t="s">
        <v>27</v>
      </c>
      <c r="F3" s="89"/>
      <c r="G3" s="90"/>
      <c r="H3" s="140"/>
      <c r="I3" s="133"/>
    </row>
    <row r="4" spans="1:10" s="1" customFormat="1" ht="18.75" customHeight="1" x14ac:dyDescent="0.15">
      <c r="A4" s="134" t="s">
        <v>28</v>
      </c>
      <c r="B4" s="135"/>
      <c r="C4" s="18">
        <v>35438</v>
      </c>
      <c r="D4" s="19">
        <v>100</v>
      </c>
      <c r="E4" s="136" t="s">
        <v>29</v>
      </c>
      <c r="F4" s="137"/>
      <c r="G4" s="138"/>
      <c r="H4" s="20">
        <v>2200</v>
      </c>
      <c r="I4" s="21">
        <v>6.2080252835938818</v>
      </c>
    </row>
    <row r="5" spans="1:10" s="1" customFormat="1" ht="28.5" customHeight="1" x14ac:dyDescent="0.15">
      <c r="A5" s="126" t="s">
        <v>30</v>
      </c>
      <c r="B5" s="127"/>
      <c r="C5" s="141">
        <v>1067</v>
      </c>
      <c r="D5" s="142">
        <v>3.0108922625430328</v>
      </c>
      <c r="E5" s="128" t="s">
        <v>31</v>
      </c>
      <c r="F5" s="129"/>
      <c r="G5" s="130"/>
      <c r="H5" s="20">
        <v>1807</v>
      </c>
      <c r="I5" s="21">
        <v>5.0990462215700658</v>
      </c>
    </row>
    <row r="6" spans="1:10" s="1" customFormat="1" ht="15" customHeight="1" x14ac:dyDescent="0.15">
      <c r="A6" s="126"/>
      <c r="B6" s="127"/>
      <c r="C6" s="141"/>
      <c r="D6" s="142"/>
      <c r="E6" s="131" t="s">
        <v>32</v>
      </c>
      <c r="F6" s="126"/>
      <c r="G6" s="127"/>
      <c r="H6" s="20">
        <v>974</v>
      </c>
      <c r="I6" s="21">
        <v>2.8</v>
      </c>
    </row>
    <row r="7" spans="1:10" s="1" customFormat="1" ht="18.75" customHeight="1" x14ac:dyDescent="0.15">
      <c r="A7" s="126" t="s">
        <v>33</v>
      </c>
      <c r="B7" s="127"/>
      <c r="C7" s="22">
        <v>1945</v>
      </c>
      <c r="D7" s="23">
        <v>5.4884587166318637</v>
      </c>
      <c r="E7" s="131" t="s">
        <v>34</v>
      </c>
      <c r="F7" s="126"/>
      <c r="G7" s="127"/>
      <c r="H7" s="20">
        <v>10</v>
      </c>
      <c r="I7" s="21">
        <v>2.8218296743608557E-2</v>
      </c>
    </row>
    <row r="8" spans="1:10" s="1" customFormat="1" ht="30" customHeight="1" x14ac:dyDescent="0.15">
      <c r="A8" s="126" t="s">
        <v>35</v>
      </c>
      <c r="B8" s="127"/>
      <c r="C8" s="22">
        <v>12008</v>
      </c>
      <c r="D8" s="23">
        <v>33.884530729725157</v>
      </c>
      <c r="E8" s="128" t="s">
        <v>36</v>
      </c>
      <c r="F8" s="129"/>
      <c r="G8" s="130"/>
      <c r="H8" s="20">
        <v>372</v>
      </c>
      <c r="I8" s="21">
        <v>1.0497206388622382</v>
      </c>
    </row>
    <row r="9" spans="1:10" s="1" customFormat="1" ht="18.75" customHeight="1" x14ac:dyDescent="0.15">
      <c r="A9" s="126" t="s">
        <v>37</v>
      </c>
      <c r="B9" s="127"/>
      <c r="C9" s="22">
        <v>141</v>
      </c>
      <c r="D9" s="23">
        <v>0.39787798408488062</v>
      </c>
      <c r="E9" s="131" t="s">
        <v>38</v>
      </c>
      <c r="F9" s="126"/>
      <c r="G9" s="127"/>
      <c r="H9" s="20">
        <v>100</v>
      </c>
      <c r="I9" s="21">
        <v>0.28218296743608556</v>
      </c>
    </row>
    <row r="10" spans="1:10" s="1" customFormat="1" ht="18.75" customHeight="1" x14ac:dyDescent="0.15">
      <c r="A10" s="126" t="s">
        <v>39</v>
      </c>
      <c r="B10" s="127"/>
      <c r="C10" s="22">
        <v>3418</v>
      </c>
      <c r="D10" s="23">
        <v>9.6450138269654033</v>
      </c>
      <c r="E10" s="131" t="s">
        <v>40</v>
      </c>
      <c r="F10" s="126"/>
      <c r="G10" s="127"/>
      <c r="H10" s="20">
        <v>3134</v>
      </c>
      <c r="I10" s="21">
        <v>8.9</v>
      </c>
    </row>
    <row r="11" spans="1:10" s="1" customFormat="1" ht="18.75" customHeight="1" x14ac:dyDescent="0.15">
      <c r="A11" s="118" t="s">
        <v>41</v>
      </c>
      <c r="B11" s="119"/>
      <c r="C11" s="24">
        <v>628</v>
      </c>
      <c r="D11" s="25">
        <v>1.7721090354986173</v>
      </c>
      <c r="E11" s="120" t="s">
        <v>42</v>
      </c>
      <c r="F11" s="118"/>
      <c r="G11" s="119"/>
      <c r="H11" s="26">
        <v>7634</v>
      </c>
      <c r="I11" s="27">
        <v>21.541847734070771</v>
      </c>
    </row>
    <row r="12" spans="1:10" s="1" customFormat="1" ht="15" customHeight="1" x14ac:dyDescent="0.15"/>
    <row r="13" spans="1:10" s="28" customFormat="1" ht="15" customHeight="1" x14ac:dyDescent="0.15">
      <c r="A13" s="97" t="s">
        <v>43</v>
      </c>
    </row>
    <row r="14" spans="1:10" s="28" customFormat="1" ht="23.25" customHeight="1" x14ac:dyDescent="0.15">
      <c r="A14" s="121" t="s">
        <v>153</v>
      </c>
      <c r="B14" s="121"/>
      <c r="C14" s="121"/>
      <c r="D14" s="121"/>
      <c r="E14" s="121"/>
      <c r="F14" s="121"/>
      <c r="G14" s="121"/>
      <c r="H14" s="121"/>
      <c r="I14" s="121"/>
      <c r="J14" s="121"/>
    </row>
    <row r="15" spans="1:10" s="1" customFormat="1" ht="15" customHeight="1" x14ac:dyDescent="0.15">
      <c r="D15" s="29"/>
      <c r="E15" s="30"/>
      <c r="F15" s="29"/>
      <c r="G15" s="29"/>
      <c r="H15" s="29"/>
      <c r="I15" s="29"/>
      <c r="J15" s="29"/>
    </row>
    <row r="16" spans="1:10" s="1" customFormat="1" ht="15" customHeight="1" x14ac:dyDescent="0.15">
      <c r="A16" s="74" t="s">
        <v>144</v>
      </c>
    </row>
    <row r="17" spans="1:10" s="1" customFormat="1" ht="15" customHeight="1" x14ac:dyDescent="0.15">
      <c r="A17" s="86" t="s">
        <v>44</v>
      </c>
      <c r="B17" s="112" t="s">
        <v>28</v>
      </c>
      <c r="C17" s="112" t="s">
        <v>45</v>
      </c>
      <c r="D17" s="122" t="s">
        <v>46</v>
      </c>
      <c r="E17" s="122" t="s">
        <v>47</v>
      </c>
      <c r="F17" s="122" t="s">
        <v>48</v>
      </c>
      <c r="G17" s="123" t="s">
        <v>49</v>
      </c>
      <c r="H17" s="125" t="s">
        <v>50</v>
      </c>
      <c r="I17" s="31"/>
      <c r="J17" s="31"/>
    </row>
    <row r="18" spans="1:10" s="1" customFormat="1" ht="15" customHeight="1" x14ac:dyDescent="0.15">
      <c r="A18" s="85" t="s">
        <v>51</v>
      </c>
      <c r="B18" s="113"/>
      <c r="C18" s="113"/>
      <c r="D18" s="113"/>
      <c r="E18" s="113"/>
      <c r="F18" s="113"/>
      <c r="G18" s="124"/>
      <c r="H18" s="116"/>
      <c r="I18" s="32"/>
      <c r="J18" s="32"/>
    </row>
    <row r="19" spans="1:10" s="1" customFormat="1" ht="20.25" customHeight="1" x14ac:dyDescent="0.15">
      <c r="A19" s="82" t="s">
        <v>1</v>
      </c>
      <c r="B19" s="33">
        <v>35064</v>
      </c>
      <c r="C19" s="20">
        <v>22144</v>
      </c>
      <c r="D19" s="20">
        <v>8586</v>
      </c>
      <c r="E19" s="20">
        <v>2728</v>
      </c>
      <c r="F19" s="20">
        <v>1401</v>
      </c>
      <c r="G19" s="20">
        <v>191</v>
      </c>
      <c r="H19" s="20">
        <v>14</v>
      </c>
      <c r="I19" s="29"/>
      <c r="J19" s="29"/>
    </row>
    <row r="20" spans="1:10" s="37" customFormat="1" ht="20.25" customHeight="1" x14ac:dyDescent="0.15">
      <c r="A20" s="83" t="s">
        <v>52</v>
      </c>
      <c r="B20" s="34">
        <v>100.00000000000001</v>
      </c>
      <c r="C20" s="35">
        <v>63.153091489847135</v>
      </c>
      <c r="D20" s="35">
        <v>24.486652977412732</v>
      </c>
      <c r="E20" s="35">
        <v>7.7800593201003876</v>
      </c>
      <c r="F20" s="35">
        <v>3.9955509924709105</v>
      </c>
      <c r="G20" s="35">
        <v>0.54471822952315763</v>
      </c>
      <c r="H20" s="35">
        <v>3.992699064567648E-2</v>
      </c>
      <c r="I20" s="36"/>
      <c r="J20" s="36"/>
    </row>
    <row r="21" spans="1:10" s="1" customFormat="1" ht="15" customHeight="1" x14ac:dyDescent="0.15">
      <c r="C21" s="38"/>
      <c r="D21" s="38"/>
      <c r="E21" s="38"/>
      <c r="F21" s="38"/>
      <c r="G21" s="38"/>
    </row>
    <row r="22" spans="1:10" s="1" customFormat="1" ht="15" customHeight="1" x14ac:dyDescent="0.15"/>
    <row r="23" spans="1:10" s="1" customFormat="1" ht="23.25" customHeight="1" x14ac:dyDescent="0.15">
      <c r="A23" s="74" t="s">
        <v>145</v>
      </c>
    </row>
    <row r="24" spans="1:10" s="1" customFormat="1" ht="17.25" customHeight="1" x14ac:dyDescent="0.15">
      <c r="A24" s="86" t="s">
        <v>53</v>
      </c>
      <c r="B24" s="112" t="s">
        <v>28</v>
      </c>
      <c r="C24" s="112" t="s">
        <v>54</v>
      </c>
      <c r="D24" s="112" t="s">
        <v>55</v>
      </c>
      <c r="E24" s="112" t="s">
        <v>56</v>
      </c>
      <c r="F24" s="112" t="s">
        <v>57</v>
      </c>
      <c r="G24" s="112" t="s">
        <v>58</v>
      </c>
      <c r="H24" s="112" t="s">
        <v>59</v>
      </c>
      <c r="I24" s="112" t="s">
        <v>60</v>
      </c>
      <c r="J24" s="112" t="s">
        <v>61</v>
      </c>
    </row>
    <row r="25" spans="1:10" s="1" customFormat="1" ht="17.25" customHeight="1" x14ac:dyDescent="0.15">
      <c r="A25" s="85" t="s">
        <v>137</v>
      </c>
      <c r="B25" s="113"/>
      <c r="C25" s="113"/>
      <c r="D25" s="113"/>
      <c r="E25" s="113"/>
      <c r="F25" s="113"/>
      <c r="G25" s="113"/>
      <c r="H25" s="113"/>
      <c r="I25" s="113"/>
      <c r="J25" s="113"/>
    </row>
    <row r="26" spans="1:10" s="1" customFormat="1" ht="15" customHeight="1" x14ac:dyDescent="0.15">
      <c r="A26" s="82" t="s">
        <v>63</v>
      </c>
      <c r="B26" s="39">
        <v>35438</v>
      </c>
      <c r="C26" s="20">
        <v>4540</v>
      </c>
      <c r="D26" s="20">
        <v>2677</v>
      </c>
      <c r="E26" s="20">
        <v>3873</v>
      </c>
      <c r="F26" s="20">
        <v>5921</v>
      </c>
      <c r="G26" s="20">
        <v>984</v>
      </c>
      <c r="H26" s="20">
        <v>3038</v>
      </c>
      <c r="I26" s="20">
        <v>1111</v>
      </c>
      <c r="J26" s="20">
        <v>3199</v>
      </c>
    </row>
    <row r="27" spans="1:10" s="37" customFormat="1" ht="15" customHeight="1" x14ac:dyDescent="0.15">
      <c r="A27" s="82"/>
      <c r="B27" s="40">
        <v>100</v>
      </c>
      <c r="C27" s="41">
        <v>12.811106721598284</v>
      </c>
      <c r="D27" s="41">
        <v>7.5540380382640109</v>
      </c>
      <c r="E27" s="41">
        <v>10.928946328799594</v>
      </c>
      <c r="F27" s="41">
        <v>16.708053501890628</v>
      </c>
      <c r="G27" s="41">
        <v>2.7766803995710818</v>
      </c>
      <c r="H27" s="41">
        <v>8.572718550708279</v>
      </c>
      <c r="I27" s="41">
        <v>3.1350527682149103</v>
      </c>
      <c r="J27" s="41">
        <v>9.0270331282803777</v>
      </c>
    </row>
    <row r="28" spans="1:10" s="1" customFormat="1" ht="15" customHeight="1" x14ac:dyDescent="0.15">
      <c r="A28" s="82" t="s">
        <v>44</v>
      </c>
      <c r="B28" s="33">
        <v>35064</v>
      </c>
      <c r="C28" s="20">
        <v>4933</v>
      </c>
      <c r="D28" s="20">
        <v>2856</v>
      </c>
      <c r="E28" s="20">
        <v>4031</v>
      </c>
      <c r="F28" s="20">
        <v>5559</v>
      </c>
      <c r="G28" s="20">
        <v>1090</v>
      </c>
      <c r="H28" s="20">
        <v>2702</v>
      </c>
      <c r="I28" s="20">
        <v>1133</v>
      </c>
      <c r="J28" s="20">
        <v>3008</v>
      </c>
    </row>
    <row r="29" spans="1:10" s="1" customFormat="1" ht="15" customHeight="1" x14ac:dyDescent="0.15">
      <c r="A29" s="84" t="s">
        <v>64</v>
      </c>
      <c r="B29" s="42">
        <v>9982</v>
      </c>
      <c r="C29" s="26">
        <v>1174</v>
      </c>
      <c r="D29" s="26">
        <v>591</v>
      </c>
      <c r="E29" s="26">
        <v>945</v>
      </c>
      <c r="F29" s="26">
        <v>2471</v>
      </c>
      <c r="G29" s="26">
        <v>204</v>
      </c>
      <c r="H29" s="26">
        <v>704</v>
      </c>
      <c r="I29" s="26">
        <v>253</v>
      </c>
      <c r="J29" s="26">
        <v>978</v>
      </c>
    </row>
    <row r="30" spans="1:10" s="1" customFormat="1" ht="15" customHeight="1" x14ac:dyDescent="0.15">
      <c r="A30" s="1" t="s">
        <v>65</v>
      </c>
    </row>
    <row r="32" spans="1:10" s="1" customFormat="1" ht="15" customHeight="1" x14ac:dyDescent="0.15">
      <c r="A32" s="112" t="s">
        <v>66</v>
      </c>
      <c r="B32" s="114" t="s">
        <v>67</v>
      </c>
      <c r="C32" s="115"/>
      <c r="D32" s="114" t="s">
        <v>68</v>
      </c>
      <c r="E32" s="115"/>
      <c r="F32" s="114" t="s">
        <v>69</v>
      </c>
      <c r="G32" s="115"/>
      <c r="H32" s="114" t="s">
        <v>70</v>
      </c>
      <c r="I32" s="115"/>
      <c r="J32" s="114" t="s">
        <v>71</v>
      </c>
    </row>
    <row r="33" spans="1:10" s="1" customFormat="1" ht="15" customHeight="1" x14ac:dyDescent="0.15">
      <c r="A33" s="113"/>
      <c r="B33" s="116"/>
      <c r="C33" s="117"/>
      <c r="D33" s="116"/>
      <c r="E33" s="117"/>
      <c r="F33" s="116"/>
      <c r="G33" s="117"/>
      <c r="H33" s="116"/>
      <c r="I33" s="117"/>
      <c r="J33" s="116"/>
    </row>
    <row r="34" spans="1:10" s="1" customFormat="1" ht="15" customHeight="1" x14ac:dyDescent="0.15">
      <c r="A34" s="43">
        <v>2023</v>
      </c>
      <c r="B34" s="110">
        <v>1314</v>
      </c>
      <c r="C34" s="110"/>
      <c r="D34" s="110">
        <v>1702</v>
      </c>
      <c r="E34" s="110"/>
      <c r="F34" s="110">
        <v>2985</v>
      </c>
      <c r="G34" s="110"/>
      <c r="H34" s="110">
        <v>1555</v>
      </c>
      <c r="I34" s="110"/>
      <c r="J34" s="20">
        <v>516</v>
      </c>
    </row>
    <row r="35" spans="1:10" s="37" customFormat="1" ht="15" customHeight="1" x14ac:dyDescent="0.15">
      <c r="A35" s="45">
        <v>5.7085614312320105</v>
      </c>
      <c r="B35" s="111">
        <v>3.7078841921101642</v>
      </c>
      <c r="C35" s="111"/>
      <c r="D35" s="111">
        <v>4.8027541057621761</v>
      </c>
      <c r="E35" s="111"/>
      <c r="F35" s="111">
        <v>8.4231615779671554</v>
      </c>
      <c r="G35" s="111"/>
      <c r="H35" s="111">
        <v>4.3879451436311303</v>
      </c>
      <c r="I35" s="111"/>
      <c r="J35" s="45">
        <v>1.4560641119702016</v>
      </c>
    </row>
    <row r="36" spans="1:10" s="1" customFormat="1" ht="15" customHeight="1" x14ac:dyDescent="0.15">
      <c r="A36" s="20">
        <v>1993</v>
      </c>
      <c r="B36" s="108">
        <v>1133</v>
      </c>
      <c r="C36" s="108"/>
      <c r="D36" s="108">
        <v>1707</v>
      </c>
      <c r="E36" s="108"/>
      <c r="F36" s="108">
        <v>2862</v>
      </c>
      <c r="G36" s="108"/>
      <c r="H36" s="108">
        <v>1384</v>
      </c>
      <c r="I36" s="108"/>
      <c r="J36" s="20">
        <v>673</v>
      </c>
    </row>
    <row r="37" spans="1:10" s="1" customFormat="1" ht="15" customHeight="1" x14ac:dyDescent="0.15">
      <c r="A37" s="26">
        <v>510</v>
      </c>
      <c r="B37" s="109">
        <v>559</v>
      </c>
      <c r="C37" s="109"/>
      <c r="D37" s="109">
        <v>266</v>
      </c>
      <c r="E37" s="109"/>
      <c r="F37" s="109">
        <v>830</v>
      </c>
      <c r="G37" s="109"/>
      <c r="H37" s="109">
        <v>355</v>
      </c>
      <c r="I37" s="109"/>
      <c r="J37" s="26">
        <v>142</v>
      </c>
    </row>
  </sheetData>
  <sheetProtection algorithmName="SHA-512" hashValue="3E3mkcAUboB0wgHH82tLRa43/pki12vTGtnu786/0rzrAUZZ71D3YIueppw+7eKcyoJHhDjXsBlvpWYOuxEfCA==" saltValue="yzZgtAH3BnCnum86Kb+LHw==" spinCount="100000" sheet="1" objects="1" scenarios="1"/>
  <mergeCells count="60">
    <mergeCell ref="I2:I3"/>
    <mergeCell ref="A4:B4"/>
    <mergeCell ref="E4:G4"/>
    <mergeCell ref="A7:B7"/>
    <mergeCell ref="E7:G7"/>
    <mergeCell ref="C2:C3"/>
    <mergeCell ref="D2:D3"/>
    <mergeCell ref="H2:H3"/>
    <mergeCell ref="A5:B6"/>
    <mergeCell ref="C5:C6"/>
    <mergeCell ref="D5:D6"/>
    <mergeCell ref="E5:G5"/>
    <mergeCell ref="E6:G6"/>
    <mergeCell ref="A8:B8"/>
    <mergeCell ref="E8:G8"/>
    <mergeCell ref="A9:B9"/>
    <mergeCell ref="E9:G9"/>
    <mergeCell ref="A10:B10"/>
    <mergeCell ref="E10:G10"/>
    <mergeCell ref="A11:B11"/>
    <mergeCell ref="E11:G11"/>
    <mergeCell ref="A14:J14"/>
    <mergeCell ref="B17:B18"/>
    <mergeCell ref="C17:C18"/>
    <mergeCell ref="D17:D18"/>
    <mergeCell ref="E17:E18"/>
    <mergeCell ref="F17:F18"/>
    <mergeCell ref="G17:G18"/>
    <mergeCell ref="H17:H18"/>
    <mergeCell ref="H24:H25"/>
    <mergeCell ref="I24:I25"/>
    <mergeCell ref="J24:J25"/>
    <mergeCell ref="A32:A33"/>
    <mergeCell ref="B32:C33"/>
    <mergeCell ref="D32:E33"/>
    <mergeCell ref="F32:G33"/>
    <mergeCell ref="H32:I33"/>
    <mergeCell ref="J32:J33"/>
    <mergeCell ref="B24:B25"/>
    <mergeCell ref="C24:C25"/>
    <mergeCell ref="D24:D25"/>
    <mergeCell ref="E24:E25"/>
    <mergeCell ref="F24:F25"/>
    <mergeCell ref="G24:G25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</mergeCells>
  <phoneticPr fontId="4" type="noConversion"/>
  <pageMargins left="0.43" right="0.06" top="0.5" bottom="0.71" header="0.5" footer="0.5"/>
  <pageSetup paperSize="9" scale="99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52"/>
  <sheetViews>
    <sheetView showGridLines="0" zoomScaleNormal="100" zoomScaleSheetLayoutView="100" workbookViewId="0"/>
  </sheetViews>
  <sheetFormatPr defaultRowHeight="12" x14ac:dyDescent="0.15"/>
  <cols>
    <col min="1" max="1" width="14.33203125" style="17" customWidth="1"/>
    <col min="2" max="2" width="10.21875" style="17" customWidth="1"/>
    <col min="3" max="3" width="11.21875" style="17" customWidth="1"/>
    <col min="4" max="214" width="8.88671875" style="17"/>
    <col min="215" max="215" width="14.33203125" style="17" customWidth="1"/>
    <col min="216" max="216" width="10.21875" style="17" customWidth="1"/>
    <col min="217" max="217" width="11.21875" style="17" customWidth="1"/>
    <col min="218" max="470" width="8.88671875" style="17"/>
    <col min="471" max="471" width="14.33203125" style="17" customWidth="1"/>
    <col min="472" max="472" width="10.21875" style="17" customWidth="1"/>
    <col min="473" max="473" width="11.21875" style="17" customWidth="1"/>
    <col min="474" max="726" width="8.88671875" style="17"/>
    <col min="727" max="727" width="14.33203125" style="17" customWidth="1"/>
    <col min="728" max="728" width="10.21875" style="17" customWidth="1"/>
    <col min="729" max="729" width="11.21875" style="17" customWidth="1"/>
    <col min="730" max="982" width="8.88671875" style="17"/>
    <col min="983" max="983" width="14.33203125" style="17" customWidth="1"/>
    <col min="984" max="984" width="10.21875" style="17" customWidth="1"/>
    <col min="985" max="985" width="11.21875" style="17" customWidth="1"/>
    <col min="986" max="1238" width="8.88671875" style="17"/>
    <col min="1239" max="1239" width="14.33203125" style="17" customWidth="1"/>
    <col min="1240" max="1240" width="10.21875" style="17" customWidth="1"/>
    <col min="1241" max="1241" width="11.21875" style="17" customWidth="1"/>
    <col min="1242" max="1494" width="8.88671875" style="17"/>
    <col min="1495" max="1495" width="14.33203125" style="17" customWidth="1"/>
    <col min="1496" max="1496" width="10.21875" style="17" customWidth="1"/>
    <col min="1497" max="1497" width="11.21875" style="17" customWidth="1"/>
    <col min="1498" max="1750" width="8.88671875" style="17"/>
    <col min="1751" max="1751" width="14.33203125" style="17" customWidth="1"/>
    <col min="1752" max="1752" width="10.21875" style="17" customWidth="1"/>
    <col min="1753" max="1753" width="11.21875" style="17" customWidth="1"/>
    <col min="1754" max="2006" width="8.88671875" style="17"/>
    <col min="2007" max="2007" width="14.33203125" style="17" customWidth="1"/>
    <col min="2008" max="2008" width="10.21875" style="17" customWidth="1"/>
    <col min="2009" max="2009" width="11.21875" style="17" customWidth="1"/>
    <col min="2010" max="2262" width="8.88671875" style="17"/>
    <col min="2263" max="2263" width="14.33203125" style="17" customWidth="1"/>
    <col min="2264" max="2264" width="10.21875" style="17" customWidth="1"/>
    <col min="2265" max="2265" width="11.21875" style="17" customWidth="1"/>
    <col min="2266" max="2518" width="8.88671875" style="17"/>
    <col min="2519" max="2519" width="14.33203125" style="17" customWidth="1"/>
    <col min="2520" max="2520" width="10.21875" style="17" customWidth="1"/>
    <col min="2521" max="2521" width="11.21875" style="17" customWidth="1"/>
    <col min="2522" max="2774" width="8.88671875" style="17"/>
    <col min="2775" max="2775" width="14.33203125" style="17" customWidth="1"/>
    <col min="2776" max="2776" width="10.21875" style="17" customWidth="1"/>
    <col min="2777" max="2777" width="11.21875" style="17" customWidth="1"/>
    <col min="2778" max="3030" width="8.88671875" style="17"/>
    <col min="3031" max="3031" width="14.33203125" style="17" customWidth="1"/>
    <col min="3032" max="3032" width="10.21875" style="17" customWidth="1"/>
    <col min="3033" max="3033" width="11.21875" style="17" customWidth="1"/>
    <col min="3034" max="3286" width="8.88671875" style="17"/>
    <col min="3287" max="3287" width="14.33203125" style="17" customWidth="1"/>
    <col min="3288" max="3288" width="10.21875" style="17" customWidth="1"/>
    <col min="3289" max="3289" width="11.21875" style="17" customWidth="1"/>
    <col min="3290" max="3542" width="8.88671875" style="17"/>
    <col min="3543" max="3543" width="14.33203125" style="17" customWidth="1"/>
    <col min="3544" max="3544" width="10.21875" style="17" customWidth="1"/>
    <col min="3545" max="3545" width="11.21875" style="17" customWidth="1"/>
    <col min="3546" max="3798" width="8.88671875" style="17"/>
    <col min="3799" max="3799" width="14.33203125" style="17" customWidth="1"/>
    <col min="3800" max="3800" width="10.21875" style="17" customWidth="1"/>
    <col min="3801" max="3801" width="11.21875" style="17" customWidth="1"/>
    <col min="3802" max="4054" width="8.88671875" style="17"/>
    <col min="4055" max="4055" width="14.33203125" style="17" customWidth="1"/>
    <col min="4056" max="4056" width="10.21875" style="17" customWidth="1"/>
    <col min="4057" max="4057" width="11.21875" style="17" customWidth="1"/>
    <col min="4058" max="4310" width="8.88671875" style="17"/>
    <col min="4311" max="4311" width="14.33203125" style="17" customWidth="1"/>
    <col min="4312" max="4312" width="10.21875" style="17" customWidth="1"/>
    <col min="4313" max="4313" width="11.21875" style="17" customWidth="1"/>
    <col min="4314" max="4566" width="8.88671875" style="17"/>
    <col min="4567" max="4567" width="14.33203125" style="17" customWidth="1"/>
    <col min="4568" max="4568" width="10.21875" style="17" customWidth="1"/>
    <col min="4569" max="4569" width="11.21875" style="17" customWidth="1"/>
    <col min="4570" max="4822" width="8.88671875" style="17"/>
    <col min="4823" max="4823" width="14.33203125" style="17" customWidth="1"/>
    <col min="4824" max="4824" width="10.21875" style="17" customWidth="1"/>
    <col min="4825" max="4825" width="11.21875" style="17" customWidth="1"/>
    <col min="4826" max="5078" width="8.88671875" style="17"/>
    <col min="5079" max="5079" width="14.33203125" style="17" customWidth="1"/>
    <col min="5080" max="5080" width="10.21875" style="17" customWidth="1"/>
    <col min="5081" max="5081" width="11.21875" style="17" customWidth="1"/>
    <col min="5082" max="5334" width="8.88671875" style="17"/>
    <col min="5335" max="5335" width="14.33203125" style="17" customWidth="1"/>
    <col min="5336" max="5336" width="10.21875" style="17" customWidth="1"/>
    <col min="5337" max="5337" width="11.21875" style="17" customWidth="1"/>
    <col min="5338" max="5590" width="8.88671875" style="17"/>
    <col min="5591" max="5591" width="14.33203125" style="17" customWidth="1"/>
    <col min="5592" max="5592" width="10.21875" style="17" customWidth="1"/>
    <col min="5593" max="5593" width="11.21875" style="17" customWidth="1"/>
    <col min="5594" max="5846" width="8.88671875" style="17"/>
    <col min="5847" max="5847" width="14.33203125" style="17" customWidth="1"/>
    <col min="5848" max="5848" width="10.21875" style="17" customWidth="1"/>
    <col min="5849" max="5849" width="11.21875" style="17" customWidth="1"/>
    <col min="5850" max="6102" width="8.88671875" style="17"/>
    <col min="6103" max="6103" width="14.33203125" style="17" customWidth="1"/>
    <col min="6104" max="6104" width="10.21875" style="17" customWidth="1"/>
    <col min="6105" max="6105" width="11.21875" style="17" customWidth="1"/>
    <col min="6106" max="6358" width="8.88671875" style="17"/>
    <col min="6359" max="6359" width="14.33203125" style="17" customWidth="1"/>
    <col min="6360" max="6360" width="10.21875" style="17" customWidth="1"/>
    <col min="6361" max="6361" width="11.21875" style="17" customWidth="1"/>
    <col min="6362" max="6614" width="8.88671875" style="17"/>
    <col min="6615" max="6615" width="14.33203125" style="17" customWidth="1"/>
    <col min="6616" max="6616" width="10.21875" style="17" customWidth="1"/>
    <col min="6617" max="6617" width="11.21875" style="17" customWidth="1"/>
    <col min="6618" max="6870" width="8.88671875" style="17"/>
    <col min="6871" max="6871" width="14.33203125" style="17" customWidth="1"/>
    <col min="6872" max="6872" width="10.21875" style="17" customWidth="1"/>
    <col min="6873" max="6873" width="11.21875" style="17" customWidth="1"/>
    <col min="6874" max="7126" width="8.88671875" style="17"/>
    <col min="7127" max="7127" width="14.33203125" style="17" customWidth="1"/>
    <col min="7128" max="7128" width="10.21875" style="17" customWidth="1"/>
    <col min="7129" max="7129" width="11.21875" style="17" customWidth="1"/>
    <col min="7130" max="7382" width="8.88671875" style="17"/>
    <col min="7383" max="7383" width="14.33203125" style="17" customWidth="1"/>
    <col min="7384" max="7384" width="10.21875" style="17" customWidth="1"/>
    <col min="7385" max="7385" width="11.21875" style="17" customWidth="1"/>
    <col min="7386" max="7638" width="8.88671875" style="17"/>
    <col min="7639" max="7639" width="14.33203125" style="17" customWidth="1"/>
    <col min="7640" max="7640" width="10.21875" style="17" customWidth="1"/>
    <col min="7641" max="7641" width="11.21875" style="17" customWidth="1"/>
    <col min="7642" max="7894" width="8.88671875" style="17"/>
    <col min="7895" max="7895" width="14.33203125" style="17" customWidth="1"/>
    <col min="7896" max="7896" width="10.21875" style="17" customWidth="1"/>
    <col min="7897" max="7897" width="11.21875" style="17" customWidth="1"/>
    <col min="7898" max="8150" width="8.88671875" style="17"/>
    <col min="8151" max="8151" width="14.33203125" style="17" customWidth="1"/>
    <col min="8152" max="8152" width="10.21875" style="17" customWidth="1"/>
    <col min="8153" max="8153" width="11.21875" style="17" customWidth="1"/>
    <col min="8154" max="8406" width="8.88671875" style="17"/>
    <col min="8407" max="8407" width="14.33203125" style="17" customWidth="1"/>
    <col min="8408" max="8408" width="10.21875" style="17" customWidth="1"/>
    <col min="8409" max="8409" width="11.21875" style="17" customWidth="1"/>
    <col min="8410" max="8662" width="8.88671875" style="17"/>
    <col min="8663" max="8663" width="14.33203125" style="17" customWidth="1"/>
    <col min="8664" max="8664" width="10.21875" style="17" customWidth="1"/>
    <col min="8665" max="8665" width="11.21875" style="17" customWidth="1"/>
    <col min="8666" max="8918" width="8.88671875" style="17"/>
    <col min="8919" max="8919" width="14.33203125" style="17" customWidth="1"/>
    <col min="8920" max="8920" width="10.21875" style="17" customWidth="1"/>
    <col min="8921" max="8921" width="11.21875" style="17" customWidth="1"/>
    <col min="8922" max="9174" width="8.88671875" style="17"/>
    <col min="9175" max="9175" width="14.33203125" style="17" customWidth="1"/>
    <col min="9176" max="9176" width="10.21875" style="17" customWidth="1"/>
    <col min="9177" max="9177" width="11.21875" style="17" customWidth="1"/>
    <col min="9178" max="9430" width="8.88671875" style="17"/>
    <col min="9431" max="9431" width="14.33203125" style="17" customWidth="1"/>
    <col min="9432" max="9432" width="10.21875" style="17" customWidth="1"/>
    <col min="9433" max="9433" width="11.21875" style="17" customWidth="1"/>
    <col min="9434" max="9686" width="8.88671875" style="17"/>
    <col min="9687" max="9687" width="14.33203125" style="17" customWidth="1"/>
    <col min="9688" max="9688" width="10.21875" style="17" customWidth="1"/>
    <col min="9689" max="9689" width="11.21875" style="17" customWidth="1"/>
    <col min="9690" max="9942" width="8.88671875" style="17"/>
    <col min="9943" max="9943" width="14.33203125" style="17" customWidth="1"/>
    <col min="9944" max="9944" width="10.21875" style="17" customWidth="1"/>
    <col min="9945" max="9945" width="11.21875" style="17" customWidth="1"/>
    <col min="9946" max="10198" width="8.88671875" style="17"/>
    <col min="10199" max="10199" width="14.33203125" style="17" customWidth="1"/>
    <col min="10200" max="10200" width="10.21875" style="17" customWidth="1"/>
    <col min="10201" max="10201" width="11.21875" style="17" customWidth="1"/>
    <col min="10202" max="10454" width="8.88671875" style="17"/>
    <col min="10455" max="10455" width="14.33203125" style="17" customWidth="1"/>
    <col min="10456" max="10456" width="10.21875" style="17" customWidth="1"/>
    <col min="10457" max="10457" width="11.21875" style="17" customWidth="1"/>
    <col min="10458" max="10710" width="8.88671875" style="17"/>
    <col min="10711" max="10711" width="14.33203125" style="17" customWidth="1"/>
    <col min="10712" max="10712" width="10.21875" style="17" customWidth="1"/>
    <col min="10713" max="10713" width="11.21875" style="17" customWidth="1"/>
    <col min="10714" max="10966" width="8.88671875" style="17"/>
    <col min="10967" max="10967" width="14.33203125" style="17" customWidth="1"/>
    <col min="10968" max="10968" width="10.21875" style="17" customWidth="1"/>
    <col min="10969" max="10969" width="11.21875" style="17" customWidth="1"/>
    <col min="10970" max="11222" width="8.88671875" style="17"/>
    <col min="11223" max="11223" width="14.33203125" style="17" customWidth="1"/>
    <col min="11224" max="11224" width="10.21875" style="17" customWidth="1"/>
    <col min="11225" max="11225" width="11.21875" style="17" customWidth="1"/>
    <col min="11226" max="11478" width="8.88671875" style="17"/>
    <col min="11479" max="11479" width="14.33203125" style="17" customWidth="1"/>
    <col min="11480" max="11480" width="10.21875" style="17" customWidth="1"/>
    <col min="11481" max="11481" width="11.21875" style="17" customWidth="1"/>
    <col min="11482" max="11734" width="8.88671875" style="17"/>
    <col min="11735" max="11735" width="14.33203125" style="17" customWidth="1"/>
    <col min="11736" max="11736" width="10.21875" style="17" customWidth="1"/>
    <col min="11737" max="11737" width="11.21875" style="17" customWidth="1"/>
    <col min="11738" max="11990" width="8.88671875" style="17"/>
    <col min="11991" max="11991" width="14.33203125" style="17" customWidth="1"/>
    <col min="11992" max="11992" width="10.21875" style="17" customWidth="1"/>
    <col min="11993" max="11993" width="11.21875" style="17" customWidth="1"/>
    <col min="11994" max="12246" width="8.88671875" style="17"/>
    <col min="12247" max="12247" width="14.33203125" style="17" customWidth="1"/>
    <col min="12248" max="12248" width="10.21875" style="17" customWidth="1"/>
    <col min="12249" max="12249" width="11.21875" style="17" customWidth="1"/>
    <col min="12250" max="12502" width="8.88671875" style="17"/>
    <col min="12503" max="12503" width="14.33203125" style="17" customWidth="1"/>
    <col min="12504" max="12504" width="10.21875" style="17" customWidth="1"/>
    <col min="12505" max="12505" width="11.21875" style="17" customWidth="1"/>
    <col min="12506" max="12758" width="8.88671875" style="17"/>
    <col min="12759" max="12759" width="14.33203125" style="17" customWidth="1"/>
    <col min="12760" max="12760" width="10.21875" style="17" customWidth="1"/>
    <col min="12761" max="12761" width="11.21875" style="17" customWidth="1"/>
    <col min="12762" max="13014" width="8.88671875" style="17"/>
    <col min="13015" max="13015" width="14.33203125" style="17" customWidth="1"/>
    <col min="13016" max="13016" width="10.21875" style="17" customWidth="1"/>
    <col min="13017" max="13017" width="11.21875" style="17" customWidth="1"/>
    <col min="13018" max="13270" width="8.88671875" style="17"/>
    <col min="13271" max="13271" width="14.33203125" style="17" customWidth="1"/>
    <col min="13272" max="13272" width="10.21875" style="17" customWidth="1"/>
    <col min="13273" max="13273" width="11.21875" style="17" customWidth="1"/>
    <col min="13274" max="13526" width="8.88671875" style="17"/>
    <col min="13527" max="13527" width="14.33203125" style="17" customWidth="1"/>
    <col min="13528" max="13528" width="10.21875" style="17" customWidth="1"/>
    <col min="13529" max="13529" width="11.21875" style="17" customWidth="1"/>
    <col min="13530" max="13782" width="8.88671875" style="17"/>
    <col min="13783" max="13783" width="14.33203125" style="17" customWidth="1"/>
    <col min="13784" max="13784" width="10.21875" style="17" customWidth="1"/>
    <col min="13785" max="13785" width="11.21875" style="17" customWidth="1"/>
    <col min="13786" max="14038" width="8.88671875" style="17"/>
    <col min="14039" max="14039" width="14.33203125" style="17" customWidth="1"/>
    <col min="14040" max="14040" width="10.21875" style="17" customWidth="1"/>
    <col min="14041" max="14041" width="11.21875" style="17" customWidth="1"/>
    <col min="14042" max="14294" width="8.88671875" style="17"/>
    <col min="14295" max="14295" width="14.33203125" style="17" customWidth="1"/>
    <col min="14296" max="14296" width="10.21875" style="17" customWidth="1"/>
    <col min="14297" max="14297" width="11.21875" style="17" customWidth="1"/>
    <col min="14298" max="14550" width="8.88671875" style="17"/>
    <col min="14551" max="14551" width="14.33203125" style="17" customWidth="1"/>
    <col min="14552" max="14552" width="10.21875" style="17" customWidth="1"/>
    <col min="14553" max="14553" width="11.21875" style="17" customWidth="1"/>
    <col min="14554" max="14806" width="8.88671875" style="17"/>
    <col min="14807" max="14807" width="14.33203125" style="17" customWidth="1"/>
    <col min="14808" max="14808" width="10.21875" style="17" customWidth="1"/>
    <col min="14809" max="14809" width="11.21875" style="17" customWidth="1"/>
    <col min="14810" max="15062" width="8.88671875" style="17"/>
    <col min="15063" max="15063" width="14.33203125" style="17" customWidth="1"/>
    <col min="15064" max="15064" width="10.21875" style="17" customWidth="1"/>
    <col min="15065" max="15065" width="11.21875" style="17" customWidth="1"/>
    <col min="15066" max="15318" width="8.88671875" style="17"/>
    <col min="15319" max="15319" width="14.33203125" style="17" customWidth="1"/>
    <col min="15320" max="15320" width="10.21875" style="17" customWidth="1"/>
    <col min="15321" max="15321" width="11.21875" style="17" customWidth="1"/>
    <col min="15322" max="15574" width="8.88671875" style="17"/>
    <col min="15575" max="15575" width="14.33203125" style="17" customWidth="1"/>
    <col min="15576" max="15576" width="10.21875" style="17" customWidth="1"/>
    <col min="15577" max="15577" width="11.21875" style="17" customWidth="1"/>
    <col min="15578" max="15830" width="8.88671875" style="17"/>
    <col min="15831" max="15831" width="14.33203125" style="17" customWidth="1"/>
    <col min="15832" max="15832" width="10.21875" style="17" customWidth="1"/>
    <col min="15833" max="15833" width="11.21875" style="17" customWidth="1"/>
    <col min="15834" max="16086" width="8.88671875" style="17"/>
    <col min="16087" max="16087" width="14.33203125" style="17" customWidth="1"/>
    <col min="16088" max="16088" width="10.21875" style="17" customWidth="1"/>
    <col min="16089" max="16089" width="11.21875" style="17" customWidth="1"/>
    <col min="16090" max="16384" width="8.88671875" style="17"/>
  </cols>
  <sheetData>
    <row r="1" spans="1:9" s="1" customFormat="1" ht="15" customHeight="1" x14ac:dyDescent="0.15">
      <c r="A1" s="97" t="s">
        <v>72</v>
      </c>
      <c r="B1" s="96"/>
      <c r="C1" s="96"/>
      <c r="D1" s="96"/>
      <c r="E1" s="96"/>
      <c r="F1" s="96"/>
      <c r="G1" s="96"/>
      <c r="H1" s="96"/>
    </row>
    <row r="2" spans="1:9" s="1" customFormat="1" ht="15" customHeight="1" x14ac:dyDescent="0.15">
      <c r="A2" s="96" t="s">
        <v>138</v>
      </c>
      <c r="B2" s="96"/>
      <c r="C2" s="96"/>
      <c r="D2" s="96"/>
      <c r="E2" s="96"/>
      <c r="F2" s="96"/>
      <c r="G2" s="96"/>
      <c r="H2" s="96"/>
    </row>
    <row r="3" spans="1:9" s="1" customFormat="1" ht="15" customHeight="1" x14ac:dyDescent="0.15">
      <c r="A3" s="96"/>
      <c r="B3" s="96"/>
      <c r="C3" s="96"/>
      <c r="D3" s="96"/>
      <c r="E3" s="96"/>
      <c r="F3" s="96"/>
      <c r="G3" s="96"/>
      <c r="H3" s="96"/>
      <c r="I3" s="46"/>
    </row>
    <row r="4" spans="1:9" s="1" customFormat="1" ht="15" customHeight="1" x14ac:dyDescent="0.15">
      <c r="A4" s="97" t="s">
        <v>73</v>
      </c>
      <c r="B4" s="96"/>
      <c r="C4" s="96"/>
      <c r="D4" s="96"/>
      <c r="E4" s="96"/>
      <c r="F4" s="96"/>
      <c r="G4" s="96"/>
      <c r="H4" s="96"/>
      <c r="I4" s="144"/>
    </row>
    <row r="5" spans="1:9" s="1" customFormat="1" ht="36.75" customHeight="1" x14ac:dyDescent="0.15">
      <c r="A5" s="121" t="s">
        <v>142</v>
      </c>
      <c r="B5" s="121"/>
      <c r="C5" s="121"/>
      <c r="D5" s="121"/>
      <c r="E5" s="121"/>
      <c r="F5" s="121"/>
      <c r="G5" s="121"/>
      <c r="H5" s="121"/>
      <c r="I5" s="144"/>
    </row>
    <row r="6" spans="1:9" s="6" customFormat="1" x14ac:dyDescent="0.15">
      <c r="A6" s="13"/>
      <c r="I6" s="47"/>
    </row>
    <row r="7" spans="1:9" s="6" customFormat="1" x14ac:dyDescent="0.15">
      <c r="A7" s="13"/>
      <c r="B7" s="48"/>
      <c r="I7" s="49"/>
    </row>
    <row r="8" spans="1:9" s="6" customFormat="1" x14ac:dyDescent="0.15">
      <c r="I8" s="14"/>
    </row>
    <row r="9" spans="1:9" s="6" customFormat="1" x14ac:dyDescent="0.15">
      <c r="A9" s="14" t="s">
        <v>74</v>
      </c>
      <c r="B9" s="7">
        <v>4142</v>
      </c>
      <c r="I9" s="14"/>
    </row>
    <row r="10" spans="1:9" s="6" customFormat="1" x14ac:dyDescent="0.15">
      <c r="A10" s="14" t="s">
        <v>75</v>
      </c>
      <c r="B10" s="7">
        <v>6804</v>
      </c>
      <c r="I10" s="14"/>
    </row>
    <row r="11" spans="1:9" s="6" customFormat="1" x14ac:dyDescent="0.15">
      <c r="A11" s="14" t="s">
        <v>76</v>
      </c>
      <c r="B11" s="7">
        <v>7849</v>
      </c>
      <c r="I11" s="14"/>
    </row>
    <row r="12" spans="1:9" s="6" customFormat="1" x14ac:dyDescent="0.15">
      <c r="A12" s="14" t="s">
        <v>77</v>
      </c>
      <c r="B12" s="7">
        <v>3349</v>
      </c>
      <c r="C12" s="15"/>
      <c r="I12" s="14"/>
    </row>
    <row r="13" spans="1:9" s="6" customFormat="1" x14ac:dyDescent="0.15">
      <c r="A13" s="14"/>
      <c r="B13" s="7">
        <v>22144</v>
      </c>
      <c r="C13" s="15"/>
      <c r="I13" s="14"/>
    </row>
    <row r="14" spans="1:9" s="6" customFormat="1" x14ac:dyDescent="0.15">
      <c r="B14" s="1"/>
      <c r="C14" s="15"/>
      <c r="I14" s="50"/>
    </row>
    <row r="15" spans="1:9" s="6" customFormat="1" x14ac:dyDescent="0.15">
      <c r="B15" s="1"/>
      <c r="C15" s="15"/>
      <c r="I15" s="50"/>
    </row>
    <row r="16" spans="1:9" s="6" customFormat="1" x14ac:dyDescent="0.15">
      <c r="B16" s="1"/>
      <c r="I16" s="50"/>
    </row>
    <row r="17" spans="1:9" s="6" customFormat="1" x14ac:dyDescent="0.15">
      <c r="I17" s="50"/>
    </row>
    <row r="18" spans="1:9" s="6" customFormat="1" x14ac:dyDescent="0.15">
      <c r="I18" s="50"/>
    </row>
    <row r="19" spans="1:9" s="6" customFormat="1" x14ac:dyDescent="0.15">
      <c r="I19" s="50"/>
    </row>
    <row r="20" spans="1:9" s="6" customFormat="1" x14ac:dyDescent="0.15">
      <c r="I20" s="50"/>
    </row>
    <row r="21" spans="1:9" s="6" customFormat="1" x14ac:dyDescent="0.15">
      <c r="I21" s="50"/>
    </row>
    <row r="22" spans="1:9" s="6" customFormat="1" ht="15" customHeight="1" x14ac:dyDescent="0.15">
      <c r="I22" s="50"/>
    </row>
    <row r="23" spans="1:9" s="1" customFormat="1" ht="15" customHeight="1" x14ac:dyDescent="0.15">
      <c r="A23" s="97" t="s">
        <v>78</v>
      </c>
      <c r="B23" s="96"/>
      <c r="C23" s="96"/>
      <c r="D23" s="96"/>
      <c r="E23" s="96"/>
      <c r="F23" s="96"/>
      <c r="G23" s="96"/>
      <c r="H23" s="96"/>
      <c r="I23" s="52"/>
    </row>
    <row r="24" spans="1:9" s="1" customFormat="1" ht="28.5" customHeight="1" x14ac:dyDescent="0.15">
      <c r="A24" s="121" t="s">
        <v>154</v>
      </c>
      <c r="B24" s="121"/>
      <c r="C24" s="121"/>
      <c r="D24" s="121"/>
      <c r="E24" s="121"/>
      <c r="F24" s="121"/>
      <c r="G24" s="121"/>
      <c r="H24" s="121"/>
      <c r="I24" s="52"/>
    </row>
    <row r="25" spans="1:9" s="1" customFormat="1" ht="15" customHeight="1" x14ac:dyDescent="0.15">
      <c r="A25" s="101" t="s">
        <v>146</v>
      </c>
      <c r="B25" s="96"/>
      <c r="C25" s="96"/>
      <c r="D25" s="96"/>
      <c r="E25" s="96"/>
      <c r="F25" s="96"/>
      <c r="G25" s="96"/>
      <c r="H25" s="96"/>
      <c r="I25" s="52"/>
    </row>
    <row r="26" spans="1:9" s="1" customFormat="1" ht="24" customHeight="1" x14ac:dyDescent="0.15">
      <c r="A26" s="53" t="s">
        <v>79</v>
      </c>
      <c r="B26" s="54" t="s">
        <v>80</v>
      </c>
      <c r="C26" s="55" t="s">
        <v>81</v>
      </c>
      <c r="I26" s="146"/>
    </row>
    <row r="27" spans="1:9" s="1" customFormat="1" ht="23.25" customHeight="1" x14ac:dyDescent="0.15">
      <c r="A27" s="92" t="s">
        <v>28</v>
      </c>
      <c r="B27" s="56">
        <v>3978</v>
      </c>
      <c r="C27" s="57">
        <v>100</v>
      </c>
      <c r="I27" s="146"/>
    </row>
    <row r="28" spans="1:9" s="1" customFormat="1" ht="15" customHeight="1" x14ac:dyDescent="0.15">
      <c r="A28" s="93" t="s">
        <v>82</v>
      </c>
      <c r="B28" s="20">
        <v>256</v>
      </c>
      <c r="C28" s="21">
        <v>6.4353946706887877</v>
      </c>
      <c r="G28" s="58"/>
      <c r="H28" s="51"/>
      <c r="I28" s="29"/>
    </row>
    <row r="29" spans="1:9" s="1" customFormat="1" ht="15" customHeight="1" x14ac:dyDescent="0.15">
      <c r="A29" s="93" t="s">
        <v>83</v>
      </c>
      <c r="B29" s="20">
        <v>135</v>
      </c>
      <c r="C29" s="21">
        <v>3.3936651583710407</v>
      </c>
      <c r="G29" s="58"/>
      <c r="H29" s="7"/>
      <c r="I29" s="38"/>
    </row>
    <row r="30" spans="1:9" s="1" customFormat="1" ht="15" customHeight="1" x14ac:dyDescent="0.15">
      <c r="A30" s="93" t="s">
        <v>84</v>
      </c>
      <c r="B30" s="20">
        <v>17</v>
      </c>
      <c r="C30" s="21">
        <v>0.42735042735042739</v>
      </c>
      <c r="G30" s="11"/>
      <c r="H30" s="7"/>
      <c r="I30" s="38"/>
    </row>
    <row r="31" spans="1:9" s="1" customFormat="1" ht="15" customHeight="1" x14ac:dyDescent="0.15">
      <c r="A31" s="93" t="s">
        <v>85</v>
      </c>
      <c r="B31" s="20">
        <v>112</v>
      </c>
      <c r="C31" s="21">
        <v>2.8154851684263451</v>
      </c>
      <c r="G31" s="11"/>
      <c r="H31" s="7"/>
      <c r="I31" s="38"/>
    </row>
    <row r="32" spans="1:9" s="1" customFormat="1" ht="15" customHeight="1" x14ac:dyDescent="0.15">
      <c r="A32" s="93" t="s">
        <v>86</v>
      </c>
      <c r="B32" s="20">
        <v>20</v>
      </c>
      <c r="C32" s="21">
        <v>0.50276520864756158</v>
      </c>
      <c r="G32" s="11"/>
      <c r="H32" s="7"/>
      <c r="I32" s="38"/>
    </row>
    <row r="33" spans="1:9" s="1" customFormat="1" ht="15" customHeight="1" x14ac:dyDescent="0.15">
      <c r="A33" s="93" t="s">
        <v>87</v>
      </c>
      <c r="B33" s="20">
        <v>1601</v>
      </c>
      <c r="C33" s="21">
        <v>40.299999999999997</v>
      </c>
      <c r="G33" s="11"/>
      <c r="H33" s="7"/>
      <c r="I33" s="38"/>
    </row>
    <row r="34" spans="1:9" s="1" customFormat="1" ht="15" customHeight="1" x14ac:dyDescent="0.15">
      <c r="A34" s="93" t="s">
        <v>88</v>
      </c>
      <c r="B34" s="20">
        <v>136</v>
      </c>
      <c r="C34" s="21">
        <v>3.4188034188034191</v>
      </c>
      <c r="G34" s="11"/>
      <c r="H34" s="7"/>
      <c r="I34" s="38"/>
    </row>
    <row r="35" spans="1:9" s="1" customFormat="1" ht="15" customHeight="1" x14ac:dyDescent="0.15">
      <c r="A35" s="93" t="s">
        <v>89</v>
      </c>
      <c r="B35" s="20">
        <v>1559</v>
      </c>
      <c r="C35" s="21">
        <v>39.190548014077429</v>
      </c>
      <c r="G35" s="11"/>
      <c r="H35" s="7"/>
      <c r="I35" s="38"/>
    </row>
    <row r="36" spans="1:9" s="1" customFormat="1" ht="15" customHeight="1" x14ac:dyDescent="0.15">
      <c r="A36" s="93" t="s">
        <v>90</v>
      </c>
      <c r="B36" s="20">
        <v>104</v>
      </c>
      <c r="C36" s="21">
        <v>2.6143790849673203</v>
      </c>
      <c r="G36" s="3"/>
      <c r="H36" s="7"/>
      <c r="I36" s="38"/>
    </row>
    <row r="37" spans="1:9" s="1" customFormat="1" ht="15" customHeight="1" x14ac:dyDescent="0.15">
      <c r="A37" s="93" t="s">
        <v>91</v>
      </c>
      <c r="B37" s="20">
        <v>0</v>
      </c>
      <c r="C37" s="21">
        <v>0</v>
      </c>
      <c r="G37" s="3"/>
      <c r="H37" s="7"/>
      <c r="I37" s="38"/>
    </row>
    <row r="38" spans="1:9" s="1" customFormat="1" ht="15" customHeight="1" x14ac:dyDescent="0.15">
      <c r="A38" s="93" t="s">
        <v>92</v>
      </c>
      <c r="B38" s="20">
        <v>1</v>
      </c>
      <c r="C38" s="21">
        <v>2.5138260432378077E-2</v>
      </c>
      <c r="G38" s="3"/>
      <c r="H38" s="7"/>
      <c r="I38" s="38"/>
    </row>
    <row r="39" spans="1:9" s="1" customFormat="1" ht="15" customHeight="1" x14ac:dyDescent="0.15">
      <c r="A39" s="93" t="s">
        <v>93</v>
      </c>
      <c r="B39" s="20">
        <v>3</v>
      </c>
      <c r="C39" s="21">
        <v>7.5414781297134248E-2</v>
      </c>
      <c r="G39" s="3"/>
      <c r="H39" s="7"/>
      <c r="I39" s="38"/>
    </row>
    <row r="40" spans="1:9" s="1" customFormat="1" ht="15" customHeight="1" x14ac:dyDescent="0.15">
      <c r="A40" s="94" t="s">
        <v>94</v>
      </c>
      <c r="B40" s="26">
        <v>34</v>
      </c>
      <c r="C40" s="27">
        <v>0.85470085470085477</v>
      </c>
      <c r="G40" s="3"/>
      <c r="H40" s="7"/>
      <c r="I40" s="38"/>
    </row>
    <row r="41" spans="1:9" s="1" customFormat="1" ht="15" customHeight="1" x14ac:dyDescent="0.15">
      <c r="A41" s="102" t="s">
        <v>95</v>
      </c>
      <c r="B41" s="103"/>
      <c r="C41" s="103"/>
      <c r="D41" s="96"/>
      <c r="E41" s="96"/>
      <c r="F41" s="96"/>
      <c r="G41" s="104"/>
      <c r="H41" s="105"/>
      <c r="I41" s="38"/>
    </row>
    <row r="42" spans="1:9" s="1" customFormat="1" ht="15" customHeight="1" x14ac:dyDescent="0.15">
      <c r="A42" s="103"/>
      <c r="B42" s="103"/>
      <c r="C42" s="103"/>
      <c r="D42" s="96"/>
      <c r="E42" s="96"/>
      <c r="F42" s="96"/>
      <c r="G42" s="96"/>
      <c r="H42" s="96"/>
    </row>
    <row r="43" spans="1:9" s="1" customFormat="1" ht="15" customHeight="1" x14ac:dyDescent="0.15">
      <c r="A43" s="97" t="s">
        <v>96</v>
      </c>
      <c r="B43" s="96"/>
      <c r="C43" s="96"/>
      <c r="D43" s="96"/>
      <c r="E43" s="96"/>
      <c r="F43" s="96"/>
      <c r="G43" s="96"/>
      <c r="H43" s="96"/>
      <c r="I43" s="144"/>
    </row>
    <row r="44" spans="1:9" s="1" customFormat="1" ht="27.75" customHeight="1" x14ac:dyDescent="0.15">
      <c r="A44" s="145" t="s">
        <v>158</v>
      </c>
      <c r="B44" s="145"/>
      <c r="C44" s="145"/>
      <c r="D44" s="145"/>
      <c r="E44" s="145"/>
      <c r="F44" s="145"/>
      <c r="G44" s="145"/>
      <c r="H44" s="145"/>
      <c r="I44" s="144"/>
    </row>
    <row r="45" spans="1:9" s="1" customFormat="1" ht="10.5" customHeight="1" x14ac:dyDescent="0.15">
      <c r="A45" s="103"/>
      <c r="B45" s="103"/>
      <c r="C45" s="103"/>
      <c r="D45" s="96"/>
      <c r="E45" s="96"/>
      <c r="F45" s="96"/>
      <c r="G45" s="96"/>
      <c r="H45" s="96"/>
    </row>
    <row r="46" spans="1:9" s="1" customFormat="1" ht="15" customHeight="1" x14ac:dyDescent="0.15">
      <c r="A46" s="101" t="s">
        <v>147</v>
      </c>
      <c r="B46" s="96"/>
      <c r="C46" s="96"/>
      <c r="D46" s="96"/>
      <c r="E46" s="96"/>
      <c r="F46" s="96"/>
      <c r="G46" s="96"/>
      <c r="H46" s="96"/>
    </row>
    <row r="47" spans="1:9" s="1" customFormat="1" ht="15" customHeight="1" x14ac:dyDescent="0.15">
      <c r="A47" s="112" t="s">
        <v>28</v>
      </c>
      <c r="B47" s="112" t="s">
        <v>97</v>
      </c>
      <c r="C47" s="112" t="s">
        <v>98</v>
      </c>
      <c r="D47" s="112" t="s">
        <v>99</v>
      </c>
      <c r="E47" s="112" t="s">
        <v>100</v>
      </c>
      <c r="F47" s="114" t="s">
        <v>42</v>
      </c>
      <c r="G47" s="143"/>
      <c r="H47" s="3"/>
    </row>
    <row r="48" spans="1:9" s="1" customFormat="1" ht="15" customHeight="1" x14ac:dyDescent="0.15">
      <c r="A48" s="113"/>
      <c r="B48" s="113"/>
      <c r="C48" s="113"/>
      <c r="D48" s="113"/>
      <c r="E48" s="113"/>
      <c r="F48" s="116"/>
      <c r="G48" s="143"/>
      <c r="H48" s="3"/>
    </row>
    <row r="49" spans="1:9" s="1" customFormat="1" ht="15" customHeight="1" x14ac:dyDescent="0.15">
      <c r="A49" s="39">
        <v>10262</v>
      </c>
      <c r="B49" s="20">
        <v>618</v>
      </c>
      <c r="C49" s="20">
        <v>4896</v>
      </c>
      <c r="D49" s="20">
        <v>4552</v>
      </c>
      <c r="E49" s="20">
        <v>50</v>
      </c>
      <c r="F49" s="20">
        <v>146</v>
      </c>
      <c r="G49" s="29"/>
      <c r="H49" s="3"/>
      <c r="I49" s="44"/>
    </row>
    <row r="50" spans="1:9" s="37" customFormat="1" ht="15" customHeight="1" x14ac:dyDescent="0.15">
      <c r="A50" s="34">
        <v>100</v>
      </c>
      <c r="B50" s="35">
        <v>6.0222178912492694</v>
      </c>
      <c r="C50" s="35">
        <v>47.709998051062172</v>
      </c>
      <c r="D50" s="35">
        <v>44.357824985382962</v>
      </c>
      <c r="E50" s="35">
        <v>0.48723445722081471</v>
      </c>
      <c r="F50" s="35">
        <v>1.4227246150847788</v>
      </c>
      <c r="G50" s="60"/>
      <c r="H50" s="61"/>
    </row>
    <row r="51" spans="1:9" s="1" customFormat="1" ht="15" customHeight="1" x14ac:dyDescent="0.15">
      <c r="A51" s="96" t="s">
        <v>101</v>
      </c>
      <c r="H51" s="3"/>
    </row>
    <row r="52" spans="1:9" s="1" customFormat="1" ht="10.5" customHeight="1" x14ac:dyDescent="0.15">
      <c r="C52" s="38"/>
      <c r="D52" s="38"/>
      <c r="E52" s="38"/>
      <c r="F52" s="38"/>
      <c r="G52" s="38"/>
      <c r="H52" s="38"/>
    </row>
  </sheetData>
  <sheetProtection algorithmName="SHA-512" hashValue="LASl/KBDwZU3ZKrz3yF+CDa476GLtw+t0Lf/z+JGFTvi+uasgXEJlyWCJZHmLpoQiB/4lQ4NnHOFBw+aPIf6cw==" saltValue="CJb0u7DC7IeGDj+zeWLNQQ==" spinCount="100000" sheet="1" objects="1" scenarios="1"/>
  <mergeCells count="13">
    <mergeCell ref="I43:I44"/>
    <mergeCell ref="A44:H44"/>
    <mergeCell ref="I4:I5"/>
    <mergeCell ref="A5:H5"/>
    <mergeCell ref="A24:H24"/>
    <mergeCell ref="I26:I27"/>
    <mergeCell ref="G47:G48"/>
    <mergeCell ref="A47:A48"/>
    <mergeCell ref="B47:B48"/>
    <mergeCell ref="C47:C48"/>
    <mergeCell ref="D47:D48"/>
    <mergeCell ref="E47:E48"/>
    <mergeCell ref="F47:F48"/>
  </mergeCells>
  <phoneticPr fontId="4" type="noConversion"/>
  <pageMargins left="0.49" right="0.12" top="0.35" bottom="0.49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8"/>
  <sheetViews>
    <sheetView showGridLines="0" zoomScaleNormal="100" zoomScaleSheetLayoutView="100" workbookViewId="0"/>
  </sheetViews>
  <sheetFormatPr defaultRowHeight="12" x14ac:dyDescent="0.15"/>
  <cols>
    <col min="1" max="7" width="8.88671875" style="17"/>
    <col min="8" max="8" width="9" style="17" customWidth="1"/>
    <col min="9" max="16384" width="8.88671875" style="17"/>
  </cols>
  <sheetData>
    <row r="1" spans="1:9" s="1" customFormat="1" ht="15" customHeight="1" x14ac:dyDescent="0.15">
      <c r="A1" s="97" t="s">
        <v>102</v>
      </c>
      <c r="B1" s="96"/>
      <c r="C1" s="96"/>
      <c r="D1" s="96"/>
      <c r="E1" s="96"/>
      <c r="F1" s="96"/>
      <c r="G1" s="96"/>
      <c r="H1" s="96"/>
      <c r="I1" s="96"/>
    </row>
    <row r="2" spans="1:9" s="1" customFormat="1" ht="24.75" customHeight="1" x14ac:dyDescent="0.15">
      <c r="A2" s="121" t="s">
        <v>155</v>
      </c>
      <c r="B2" s="121"/>
      <c r="C2" s="121"/>
      <c r="D2" s="121"/>
      <c r="E2" s="121"/>
      <c r="F2" s="121"/>
      <c r="G2" s="121"/>
      <c r="H2" s="121"/>
      <c r="I2" s="121"/>
    </row>
    <row r="3" spans="1:9" s="1" customFormat="1" ht="15" customHeight="1" x14ac:dyDescent="0.15">
      <c r="A3" s="96"/>
      <c r="B3" s="96"/>
      <c r="C3" s="96"/>
      <c r="D3" s="96"/>
      <c r="E3" s="96"/>
      <c r="F3" s="96"/>
      <c r="G3" s="96"/>
      <c r="H3" s="96"/>
      <c r="I3" s="96"/>
    </row>
    <row r="4" spans="1:9" s="1" customFormat="1" ht="15" customHeight="1" x14ac:dyDescent="0.15">
      <c r="A4" s="101" t="s">
        <v>148</v>
      </c>
      <c r="B4" s="96"/>
      <c r="C4" s="96"/>
      <c r="D4" s="96"/>
      <c r="E4" s="96"/>
      <c r="F4" s="96"/>
      <c r="G4" s="96"/>
      <c r="H4" s="96"/>
      <c r="I4" s="96"/>
    </row>
    <row r="5" spans="1:9" s="1" customFormat="1" ht="19.5" customHeight="1" x14ac:dyDescent="0.15">
      <c r="A5" s="53" t="s">
        <v>28</v>
      </c>
      <c r="B5" s="54" t="s">
        <v>103</v>
      </c>
      <c r="C5" s="54" t="s">
        <v>104</v>
      </c>
      <c r="D5" s="54" t="s">
        <v>105</v>
      </c>
      <c r="E5" s="54" t="s">
        <v>106</v>
      </c>
      <c r="F5" s="54" t="s">
        <v>107</v>
      </c>
      <c r="G5" s="54" t="s">
        <v>108</v>
      </c>
    </row>
    <row r="6" spans="1:9" s="1" customFormat="1" ht="18.75" customHeight="1" x14ac:dyDescent="0.15">
      <c r="A6" s="62">
        <v>22144</v>
      </c>
      <c r="B6" s="20">
        <v>14930</v>
      </c>
      <c r="C6" s="20">
        <v>2</v>
      </c>
      <c r="D6" s="20">
        <v>1</v>
      </c>
      <c r="E6" s="20">
        <v>0</v>
      </c>
      <c r="F6" s="20">
        <v>6</v>
      </c>
      <c r="G6" s="20">
        <v>11</v>
      </c>
    </row>
    <row r="7" spans="1:9" s="37" customFormat="1" ht="21.75" customHeight="1" x14ac:dyDescent="0.15">
      <c r="A7" s="63">
        <v>100.00000000000001</v>
      </c>
      <c r="B7" s="64">
        <v>67.422326589595372</v>
      </c>
      <c r="C7" s="64">
        <v>9.0317919075144498E-3</v>
      </c>
      <c r="D7" s="64">
        <v>4.5158959537572249E-3</v>
      </c>
      <c r="E7" s="65" t="s">
        <v>109</v>
      </c>
      <c r="F7" s="64">
        <v>2.7095375722543349E-2</v>
      </c>
      <c r="G7" s="64">
        <v>4.9674855491329474E-2</v>
      </c>
    </row>
    <row r="8" spans="1:9" s="1" customFormat="1" ht="20.25" customHeight="1" x14ac:dyDescent="0.15">
      <c r="A8" s="53" t="s">
        <v>110</v>
      </c>
      <c r="B8" s="53" t="s">
        <v>111</v>
      </c>
      <c r="C8" s="54" t="s">
        <v>112</v>
      </c>
      <c r="D8" s="54" t="s">
        <v>113</v>
      </c>
      <c r="E8" s="66" t="s">
        <v>114</v>
      </c>
      <c r="F8" s="67" t="s">
        <v>115</v>
      </c>
      <c r="G8" s="55" t="s">
        <v>50</v>
      </c>
    </row>
    <row r="9" spans="1:9" s="1" customFormat="1" ht="17.25" customHeight="1" x14ac:dyDescent="0.15">
      <c r="A9" s="20">
        <v>3</v>
      </c>
      <c r="B9" s="20">
        <v>0</v>
      </c>
      <c r="C9" s="20">
        <v>1657</v>
      </c>
      <c r="D9" s="20">
        <v>22</v>
      </c>
      <c r="E9" s="68">
        <v>13</v>
      </c>
      <c r="F9" s="68">
        <v>81</v>
      </c>
      <c r="G9" s="68">
        <v>5418</v>
      </c>
    </row>
    <row r="10" spans="1:9" s="37" customFormat="1" ht="17.25" customHeight="1" x14ac:dyDescent="0.15">
      <c r="A10" s="69">
        <v>1.3547687861271675E-2</v>
      </c>
      <c r="B10" s="65" t="s">
        <v>109</v>
      </c>
      <c r="C10" s="69">
        <v>7.4828395953757232</v>
      </c>
      <c r="D10" s="69">
        <v>9.9349710982658948E-2</v>
      </c>
      <c r="E10" s="69">
        <v>5.8706647398843931E-2</v>
      </c>
      <c r="F10" s="69">
        <v>0.36578757225433522</v>
      </c>
      <c r="G10" s="69">
        <v>24.467124277456648</v>
      </c>
    </row>
    <row r="11" spans="1:9" s="1" customFormat="1" ht="15" customHeight="1" x14ac:dyDescent="0.15">
      <c r="A11" s="96" t="s">
        <v>101</v>
      </c>
    </row>
    <row r="12" spans="1:9" s="1" customFormat="1" ht="15" customHeight="1" x14ac:dyDescent="0.15">
      <c r="A12" s="96"/>
    </row>
    <row r="13" spans="1:9" s="1" customFormat="1" ht="15" customHeight="1" x14ac:dyDescent="0.15">
      <c r="A13" s="97" t="s">
        <v>116</v>
      </c>
    </row>
    <row r="14" spans="1:9" s="1" customFormat="1" ht="15" customHeight="1" x14ac:dyDescent="0.15">
      <c r="A14" s="96" t="s">
        <v>157</v>
      </c>
    </row>
    <row r="15" spans="1:9" s="1" customFormat="1" ht="15" customHeight="1" x14ac:dyDescent="0.15">
      <c r="A15" s="96"/>
      <c r="B15" s="38"/>
      <c r="C15" s="38"/>
      <c r="D15" s="38"/>
      <c r="E15" s="38"/>
      <c r="F15" s="38"/>
      <c r="G15" s="38"/>
    </row>
    <row r="16" spans="1:9" s="1" customFormat="1" ht="15" customHeight="1" x14ac:dyDescent="0.15">
      <c r="A16" s="101" t="s">
        <v>149</v>
      </c>
    </row>
    <row r="17" spans="1:9" s="1" customFormat="1" ht="24" customHeight="1" x14ac:dyDescent="0.15">
      <c r="A17" s="53" t="s">
        <v>28</v>
      </c>
      <c r="B17" s="54" t="s">
        <v>117</v>
      </c>
      <c r="C17" s="54" t="s">
        <v>118</v>
      </c>
      <c r="D17" s="54" t="s">
        <v>119</v>
      </c>
      <c r="E17" s="54" t="s">
        <v>120</v>
      </c>
      <c r="F17" s="54" t="s">
        <v>121</v>
      </c>
      <c r="G17" s="55" t="s">
        <v>50</v>
      </c>
      <c r="H17" s="70"/>
      <c r="I17" s="70"/>
    </row>
    <row r="18" spans="1:9" s="1" customFormat="1" ht="24" customHeight="1" x14ac:dyDescent="0.15">
      <c r="A18" s="62">
        <v>6660</v>
      </c>
      <c r="B18" s="43">
        <v>5502</v>
      </c>
      <c r="C18" s="43">
        <v>43</v>
      </c>
      <c r="D18" s="43">
        <v>509</v>
      </c>
      <c r="E18" s="43">
        <v>464</v>
      </c>
      <c r="F18" s="43">
        <v>22</v>
      </c>
      <c r="G18" s="43">
        <v>120</v>
      </c>
      <c r="H18" s="59"/>
      <c r="I18" s="59"/>
    </row>
    <row r="19" spans="1:9" s="37" customFormat="1" ht="24" customHeight="1" x14ac:dyDescent="0.15">
      <c r="A19" s="34">
        <v>100</v>
      </c>
      <c r="B19" s="69">
        <v>82.612612612612608</v>
      </c>
      <c r="C19" s="69">
        <v>0.7</v>
      </c>
      <c r="D19" s="69">
        <v>7.6426426426426426</v>
      </c>
      <c r="E19" s="69">
        <v>6.9669669669669672</v>
      </c>
      <c r="F19" s="69">
        <v>0.33033033033033032</v>
      </c>
      <c r="G19" s="69">
        <v>1.8018018018018018</v>
      </c>
      <c r="H19" s="36"/>
      <c r="I19" s="36"/>
    </row>
    <row r="20" spans="1:9" s="37" customFormat="1" ht="15" customHeight="1" x14ac:dyDescent="0.15">
      <c r="A20" s="96" t="s">
        <v>101</v>
      </c>
      <c r="B20" s="36"/>
      <c r="C20" s="36"/>
      <c r="D20" s="36"/>
      <c r="E20" s="36"/>
      <c r="F20" s="36"/>
      <c r="G20" s="36"/>
      <c r="H20" s="36"/>
      <c r="I20" s="36"/>
    </row>
    <row r="21" spans="1:9" s="37" customFormat="1" ht="12" customHeight="1" x14ac:dyDescent="0.15">
      <c r="A21" s="96"/>
      <c r="B21" s="36"/>
      <c r="C21" s="36"/>
      <c r="D21" s="36"/>
      <c r="E21" s="36"/>
      <c r="F21" s="36"/>
      <c r="G21" s="36"/>
      <c r="H21" s="36"/>
      <c r="I21" s="36"/>
    </row>
    <row r="22" spans="1:9" s="37" customFormat="1" ht="15" customHeight="1" x14ac:dyDescent="0.15">
      <c r="A22" s="101" t="s">
        <v>150</v>
      </c>
      <c r="B22" s="36"/>
      <c r="C22" s="36"/>
      <c r="D22" s="36"/>
      <c r="E22" s="36"/>
      <c r="F22" s="36"/>
      <c r="G22" s="36"/>
      <c r="H22" s="36"/>
      <c r="I22" s="36"/>
    </row>
    <row r="23" spans="1:9" s="1" customFormat="1" ht="21.75" customHeight="1" x14ac:dyDescent="0.15">
      <c r="A23" s="71" t="s">
        <v>28</v>
      </c>
      <c r="B23" s="53" t="s">
        <v>122</v>
      </c>
      <c r="C23" s="54" t="s">
        <v>123</v>
      </c>
      <c r="D23" s="54" t="s">
        <v>124</v>
      </c>
      <c r="E23" s="54" t="s">
        <v>125</v>
      </c>
      <c r="F23" s="54" t="s">
        <v>126</v>
      </c>
      <c r="G23" s="54" t="s">
        <v>127</v>
      </c>
      <c r="H23" s="55" t="s">
        <v>50</v>
      </c>
    </row>
    <row r="24" spans="1:9" s="1" customFormat="1" ht="21.75" customHeight="1" x14ac:dyDescent="0.15">
      <c r="A24" s="62">
        <v>6469</v>
      </c>
      <c r="B24" s="20">
        <v>6179</v>
      </c>
      <c r="C24" s="20">
        <v>107</v>
      </c>
      <c r="D24" s="20">
        <v>11</v>
      </c>
      <c r="E24" s="20">
        <v>14</v>
      </c>
      <c r="F24" s="20">
        <v>4</v>
      </c>
      <c r="G24" s="20">
        <v>2</v>
      </c>
      <c r="H24" s="20">
        <v>152</v>
      </c>
    </row>
    <row r="25" spans="1:9" s="37" customFormat="1" ht="21.75" customHeight="1" x14ac:dyDescent="0.15">
      <c r="A25" s="34">
        <v>100</v>
      </c>
      <c r="B25" s="69">
        <v>95.517081465450616</v>
      </c>
      <c r="C25" s="69">
        <v>1.6540423558509816</v>
      </c>
      <c r="D25" s="69">
        <v>0.17004173751739063</v>
      </c>
      <c r="E25" s="69">
        <v>0.21641675684031533</v>
      </c>
      <c r="F25" s="69">
        <v>6.1833359097232955E-2</v>
      </c>
      <c r="G25" s="69">
        <v>3.0916679548616478E-2</v>
      </c>
      <c r="H25" s="69">
        <v>2.3496676456948524</v>
      </c>
      <c r="I25" s="72"/>
    </row>
    <row r="26" spans="1:9" s="1" customFormat="1" ht="15" customHeight="1" x14ac:dyDescent="0.15">
      <c r="A26" s="96" t="s">
        <v>101</v>
      </c>
    </row>
    <row r="27" spans="1:9" s="1" customFormat="1" ht="15" customHeight="1" x14ac:dyDescent="0.15">
      <c r="B27" s="38"/>
      <c r="C27" s="38"/>
      <c r="D27" s="38"/>
      <c r="E27" s="38"/>
      <c r="F27" s="38"/>
      <c r="G27" s="38"/>
      <c r="H27" s="38"/>
      <c r="I27" s="38"/>
    </row>
    <row r="28" spans="1:9" s="1" customFormat="1" ht="15" customHeight="1" x14ac:dyDescent="0.15"/>
    <row r="29" spans="1:9" s="1" customFormat="1" ht="15" customHeight="1" x14ac:dyDescent="0.15">
      <c r="A29" s="97" t="s">
        <v>128</v>
      </c>
    </row>
    <row r="30" spans="1:9" s="1" customFormat="1" ht="25.5" customHeight="1" x14ac:dyDescent="0.15">
      <c r="A30" s="73" t="s">
        <v>156</v>
      </c>
      <c r="B30" s="73"/>
      <c r="C30" s="73"/>
      <c r="D30" s="73"/>
      <c r="E30" s="73"/>
      <c r="F30" s="73"/>
      <c r="G30" s="73"/>
    </row>
    <row r="31" spans="1:9" s="1" customFormat="1" ht="15" customHeight="1" x14ac:dyDescent="0.15">
      <c r="A31" s="96"/>
    </row>
    <row r="32" spans="1:9" s="1" customFormat="1" ht="15" customHeight="1" x14ac:dyDescent="0.15">
      <c r="A32" s="74" t="s">
        <v>151</v>
      </c>
      <c r="B32" s="75"/>
      <c r="C32" s="75"/>
      <c r="D32" s="75"/>
    </row>
    <row r="33" spans="1:6" s="1" customFormat="1" ht="18" customHeight="1" x14ac:dyDescent="0.15">
      <c r="A33" s="86" t="s">
        <v>62</v>
      </c>
      <c r="B33" s="112" t="s">
        <v>63</v>
      </c>
      <c r="C33" s="147" t="s">
        <v>129</v>
      </c>
      <c r="D33" s="148"/>
      <c r="E33" s="148"/>
      <c r="F33" s="148"/>
    </row>
    <row r="34" spans="1:6" s="1" customFormat="1" ht="25.5" customHeight="1" x14ac:dyDescent="0.15">
      <c r="A34" s="85" t="s">
        <v>51</v>
      </c>
      <c r="B34" s="113"/>
      <c r="C34" s="76" t="s">
        <v>130</v>
      </c>
      <c r="D34" s="77" t="s">
        <v>131</v>
      </c>
      <c r="E34" s="76" t="s">
        <v>132</v>
      </c>
      <c r="F34" s="78" t="s">
        <v>133</v>
      </c>
    </row>
    <row r="35" spans="1:6" s="1" customFormat="1" ht="24" customHeight="1" x14ac:dyDescent="0.15">
      <c r="A35" s="82" t="s">
        <v>134</v>
      </c>
      <c r="B35" s="79">
        <v>15</v>
      </c>
      <c r="C35" s="20">
        <v>16</v>
      </c>
      <c r="D35" s="20">
        <v>0</v>
      </c>
      <c r="E35" s="20">
        <v>16</v>
      </c>
      <c r="F35" s="20">
        <v>0</v>
      </c>
    </row>
    <row r="36" spans="1:6" s="1" customFormat="1" ht="24" customHeight="1" x14ac:dyDescent="0.15">
      <c r="A36" s="82" t="s">
        <v>135</v>
      </c>
      <c r="B36" s="80">
        <v>189</v>
      </c>
      <c r="C36" s="20">
        <v>195</v>
      </c>
      <c r="D36" s="20">
        <v>26</v>
      </c>
      <c r="E36" s="20">
        <v>152</v>
      </c>
      <c r="F36" s="20">
        <v>17</v>
      </c>
    </row>
    <row r="37" spans="1:6" s="1" customFormat="1" ht="24" customHeight="1" x14ac:dyDescent="0.15">
      <c r="A37" s="82" t="s">
        <v>136</v>
      </c>
      <c r="B37" s="80">
        <v>3547</v>
      </c>
      <c r="C37" s="20">
        <v>3579</v>
      </c>
      <c r="D37" s="20">
        <v>3198</v>
      </c>
      <c r="E37" s="20">
        <v>357</v>
      </c>
      <c r="F37" s="20">
        <v>24</v>
      </c>
    </row>
    <row r="38" spans="1:6" x14ac:dyDescent="0.15">
      <c r="A38" s="84" t="s">
        <v>6</v>
      </c>
      <c r="B38" s="81">
        <v>13990</v>
      </c>
      <c r="C38" s="24">
        <v>13662</v>
      </c>
      <c r="D38" s="26">
        <v>13581</v>
      </c>
      <c r="E38" s="26">
        <v>0</v>
      </c>
      <c r="F38" s="26">
        <v>81</v>
      </c>
    </row>
  </sheetData>
  <sheetProtection algorithmName="SHA-512" hashValue="Yfvl7DqDPiJ+0M4wr/1ySXep8gfytdKB5t9uwsp3X8O2Flj/vwiNtqnpOkwnBRNnnDk4PHo0laI7l8MqfrkczQ==" saltValue="w94Dqk1kRdsTNhNii9ojoA==" spinCount="100000" sheet="1" objects="1" scenarios="1"/>
  <mergeCells count="3">
    <mergeCell ref="A2:I2"/>
    <mergeCell ref="B33:B34"/>
    <mergeCell ref="C33:F33"/>
  </mergeCells>
  <phoneticPr fontId="4" type="noConversion"/>
  <pageMargins left="0.43" right="0.27" top="0.67" bottom="0.76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2022-06-09T00:40:32Z</dcterms:created>
  <dcterms:modified xsi:type="dcterms:W3CDTF">2022-11-03T05:25:50Z</dcterms:modified>
</cp:coreProperties>
</file>