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drawings/drawing19.xml" ContentType="application/vnd.openxmlformats-officedocument.drawing+xml"/>
  <Override PartName="/xl/charts/chart14.xml" ContentType="application/vnd.openxmlformats-officedocument.drawingml.chart+xml"/>
  <Override PartName="/xl/drawings/drawing20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19년\"/>
    </mc:Choice>
  </mc:AlternateContent>
  <bookViews>
    <workbookView xWindow="0" yWindow="0" windowWidth="28800" windowHeight="12885" tabRatio="693"/>
  </bookViews>
  <sheets>
    <sheet name="1" sheetId="1" r:id="rId1"/>
    <sheet name="2" sheetId="4" r:id="rId2"/>
    <sheet name="3" sheetId="6" r:id="rId3"/>
    <sheet name="4" sheetId="7" r:id="rId4"/>
    <sheet name="5" sheetId="8" r:id="rId5"/>
    <sheet name="6" sheetId="9" r:id="rId6"/>
    <sheet name="7" sheetId="10" r:id="rId7"/>
    <sheet name="8" sheetId="11" r:id="rId8"/>
    <sheet name="9" sheetId="12" r:id="rId9"/>
    <sheet name="10" sheetId="14" r:id="rId10"/>
    <sheet name="11" sheetId="23" r:id="rId11"/>
    <sheet name="12" sheetId="15" r:id="rId12"/>
    <sheet name="13" sheetId="30" r:id="rId13"/>
    <sheet name="14" sheetId="31" r:id="rId14"/>
    <sheet name="15" sheetId="18" r:id="rId15"/>
    <sheet name="16" sheetId="32" r:id="rId16"/>
    <sheet name="17" sheetId="33" r:id="rId17"/>
    <sheet name="18" sheetId="34" r:id="rId18"/>
    <sheet name="19" sheetId="35" r:id="rId19"/>
    <sheet name="20" sheetId="36" r:id="rId20"/>
  </sheets>
  <definedNames>
    <definedName name="_xlnm.Print_Area" localSheetId="0">'1'!$A$1:$I$94</definedName>
    <definedName name="_xlnm.Print_Area" localSheetId="9">'10'!$A$1:$I$40</definedName>
    <definedName name="_xlnm.Print_Area" localSheetId="10">'11'!$A$1:$G$52</definedName>
    <definedName name="_xlnm.Print_Area" localSheetId="11">'12'!$A$1:$L$47</definedName>
    <definedName name="_xlnm.Print_Area" localSheetId="12">'13'!$A$1:$T$36</definedName>
    <definedName name="_xlnm.Print_Area" localSheetId="13">'14'!$A$1:$H$28</definedName>
    <definedName name="_xlnm.Print_Area" localSheetId="14">'15'!$A$1:$L$42</definedName>
    <definedName name="_xlnm.Print_Area" localSheetId="15">'16'!$A$1:$L$24</definedName>
    <definedName name="_xlnm.Print_Area" localSheetId="16">'17'!$A$1:$F$41</definedName>
    <definedName name="_xlnm.Print_Area" localSheetId="17">'18'!$A$1:$J$46</definedName>
    <definedName name="_xlnm.Print_Area" localSheetId="18">'19'!$A$1:$J$58</definedName>
    <definedName name="_xlnm.Print_Area" localSheetId="1">'2'!$A$1:$H$85</definedName>
    <definedName name="_xlnm.Print_Area" localSheetId="19">'20'!$A$1:$H$45</definedName>
    <definedName name="_xlnm.Print_Area" localSheetId="2">'3'!$A$1:$E$46</definedName>
    <definedName name="_xlnm.Print_Area" localSheetId="3">'4'!$A$1:$N$54</definedName>
    <definedName name="_xlnm.Print_Area" localSheetId="4">'5'!$A$1:$K$47</definedName>
    <definedName name="_xlnm.Print_Area" localSheetId="5">'6'!$A$1:$Q$48</definedName>
    <definedName name="_xlnm.Print_Area" localSheetId="6">'7'!$A$1:$M$46</definedName>
    <definedName name="_xlnm.Print_Area" localSheetId="7">'8'!$A$1:$O$38</definedName>
    <definedName name="_xlnm.Print_Area" localSheetId="8">'9'!$A$1:$M$43</definedName>
  </definedNames>
  <calcPr calcId="162913"/>
</workbook>
</file>

<file path=xl/calcChain.xml><?xml version="1.0" encoding="utf-8"?>
<calcChain xmlns="http://schemas.openxmlformats.org/spreadsheetml/2006/main">
  <c r="L5" i="7" l="1"/>
  <c r="M5" i="7"/>
  <c r="L6" i="7"/>
  <c r="M6" i="7"/>
  <c r="L7" i="7"/>
  <c r="M7" i="7"/>
  <c r="L8" i="7"/>
  <c r="M8" i="7"/>
  <c r="L9" i="7"/>
  <c r="M9" i="7"/>
  <c r="L10" i="7"/>
  <c r="M10" i="7"/>
  <c r="L11" i="7"/>
  <c r="M11" i="7"/>
  <c r="L12" i="7"/>
  <c r="M12" i="7"/>
  <c r="L13" i="7"/>
  <c r="M13" i="7"/>
  <c r="L14" i="7"/>
  <c r="M14" i="7"/>
  <c r="L15" i="7"/>
  <c r="M15" i="7"/>
  <c r="L16" i="7"/>
  <c r="M16" i="7"/>
  <c r="L17" i="7"/>
  <c r="M17" i="7"/>
  <c r="L18" i="7"/>
  <c r="M18" i="7"/>
  <c r="L19" i="7"/>
  <c r="M19" i="7"/>
  <c r="L20" i="7"/>
  <c r="M20" i="7"/>
  <c r="L21" i="7"/>
  <c r="M21" i="7"/>
  <c r="L22" i="7"/>
  <c r="M22" i="7"/>
  <c r="M4" i="7"/>
  <c r="L4" i="7"/>
  <c r="L5" i="10" l="1"/>
  <c r="L4" i="10"/>
  <c r="E19" i="6" l="1"/>
  <c r="E17" i="6"/>
  <c r="E15" i="6" l="1"/>
</calcChain>
</file>

<file path=xl/sharedStrings.xml><?xml version="1.0" encoding="utf-8"?>
<sst xmlns="http://schemas.openxmlformats.org/spreadsheetml/2006/main" count="1149" uniqueCount="729">
  <si>
    <t>합의</t>
    <phoneticPr fontId="5" type="noConversion"/>
  </si>
  <si>
    <t>단독</t>
    <phoneticPr fontId="5" type="noConversion"/>
  </si>
  <si>
    <t>고등법원</t>
    <phoneticPr fontId="5" type="noConversion"/>
  </si>
  <si>
    <t>지방법원</t>
    <phoneticPr fontId="5" type="noConversion"/>
  </si>
  <si>
    <t>합계</t>
    <phoneticPr fontId="5" type="noConversion"/>
  </si>
  <si>
    <t>부정기</t>
    <phoneticPr fontId="5" type="noConversion"/>
  </si>
  <si>
    <t>제1 심</t>
    <phoneticPr fontId="5" type="noConversion"/>
  </si>
  <si>
    <t>구성비(%)</t>
    <phoneticPr fontId="5" type="noConversion"/>
  </si>
  <si>
    <t>지방법원</t>
  </si>
  <si>
    <t>무죄</t>
    <phoneticPr fontId="5" type="noConversion"/>
  </si>
  <si>
    <t>선고유예</t>
    <phoneticPr fontId="5" type="noConversion"/>
  </si>
  <si>
    <t>(5) 상소사건</t>
    <phoneticPr fontId="5" type="noConversion"/>
  </si>
  <si>
    <t>(6) 국선변호인 선정</t>
    <phoneticPr fontId="5" type="noConversion"/>
  </si>
  <si>
    <t>재산형</t>
    <phoneticPr fontId="5" type="noConversion"/>
  </si>
  <si>
    <t>항소율(%)</t>
    <phoneticPr fontId="5" type="noConversion"/>
  </si>
  <si>
    <t>상고율(%)</t>
    <phoneticPr fontId="5" type="noConversion"/>
  </si>
  <si>
    <t>1. 개황</t>
    <phoneticPr fontId="5" type="noConversion"/>
  </si>
  <si>
    <t>본안사건</t>
    <phoneticPr fontId="5" type="noConversion"/>
  </si>
  <si>
    <t>공판</t>
    <phoneticPr fontId="5" type="noConversion"/>
  </si>
  <si>
    <t>상고심</t>
    <phoneticPr fontId="5" type="noConversion"/>
  </si>
  <si>
    <t>치료감호</t>
    <phoneticPr fontId="5" type="noConversion"/>
  </si>
  <si>
    <t>항소심</t>
    <phoneticPr fontId="5" type="noConversion"/>
  </si>
  <si>
    <t>제1심</t>
    <phoneticPr fontId="5" type="noConversion"/>
  </si>
  <si>
    <t>2. 형사공판사건</t>
    <phoneticPr fontId="5" type="noConversion"/>
  </si>
  <si>
    <t>가. 사건의 동향</t>
    <phoneticPr fontId="5" type="noConversion"/>
  </si>
  <si>
    <t>나. 접수내역</t>
    <phoneticPr fontId="5" type="noConversion"/>
  </si>
  <si>
    <t>(2) 구속비율</t>
    <phoneticPr fontId="5" type="noConversion"/>
  </si>
  <si>
    <t>처리</t>
  </si>
  <si>
    <t>영장</t>
  </si>
  <si>
    <t>즉결</t>
  </si>
  <si>
    <t>여</t>
    <phoneticPr fontId="5" type="noConversion"/>
  </si>
  <si>
    <t>처리</t>
    <phoneticPr fontId="5" type="noConversion"/>
  </si>
  <si>
    <t>계</t>
    <phoneticPr fontId="5" type="noConversion"/>
  </si>
  <si>
    <t>처리율(%)</t>
    <phoneticPr fontId="5" type="noConversion"/>
  </si>
  <si>
    <t>생명형</t>
    <phoneticPr fontId="5" type="noConversion"/>
  </si>
  <si>
    <t>자유형(실형)</t>
    <phoneticPr fontId="5" type="noConversion"/>
  </si>
  <si>
    <t>기타</t>
    <phoneticPr fontId="5" type="noConversion"/>
  </si>
  <si>
    <t>구분</t>
    <phoneticPr fontId="5" type="noConversion"/>
  </si>
  <si>
    <t>집행유예</t>
    <phoneticPr fontId="5" type="noConversion"/>
  </si>
  <si>
    <t>심급</t>
    <phoneticPr fontId="5" type="noConversion"/>
  </si>
  <si>
    <t>항소심계</t>
    <phoneticPr fontId="5" type="noConversion"/>
  </si>
  <si>
    <t>1심합의</t>
    <phoneticPr fontId="5" type="noConversion"/>
  </si>
  <si>
    <t>1심단독</t>
    <phoneticPr fontId="5" type="noConversion"/>
  </si>
  <si>
    <t>처리인원수</t>
    <phoneticPr fontId="5" type="noConversion"/>
  </si>
  <si>
    <t>변호인선임피고인수</t>
    <phoneticPr fontId="5" type="noConversion"/>
  </si>
  <si>
    <t>국선변호인</t>
    <phoneticPr fontId="5" type="noConversion"/>
  </si>
  <si>
    <t>사선변호인</t>
    <phoneticPr fontId="5" type="noConversion"/>
  </si>
  <si>
    <t>제1심계</t>
    <phoneticPr fontId="5" type="noConversion"/>
  </si>
  <si>
    <t>상고심계</t>
    <phoneticPr fontId="5" type="noConversion"/>
  </si>
  <si>
    <t>라. 미제</t>
    <phoneticPr fontId="5" type="noConversion"/>
  </si>
  <si>
    <t>영구미제</t>
    <phoneticPr fontId="5" type="noConversion"/>
  </si>
  <si>
    <t>법정
기간내</t>
    <phoneticPr fontId="5" type="noConversion"/>
  </si>
  <si>
    <t>의정부</t>
    <phoneticPr fontId="5" type="noConversion"/>
  </si>
  <si>
    <t>금년접수</t>
    <phoneticPr fontId="5" type="noConversion"/>
  </si>
  <si>
    <t>나. 처리상황</t>
    <phoneticPr fontId="5" type="noConversion"/>
  </si>
  <si>
    <t>정식재판청구</t>
    <phoneticPr fontId="5" type="noConversion"/>
  </si>
  <si>
    <t>자유형</t>
    <phoneticPr fontId="5" type="noConversion"/>
  </si>
  <si>
    <t>공소기각</t>
    <phoneticPr fontId="5" type="noConversion"/>
  </si>
  <si>
    <t>5. 즉결심판사건</t>
    <phoneticPr fontId="5" type="noConversion"/>
  </si>
  <si>
    <t>가. 형사신청사건의 동향</t>
    <phoneticPr fontId="5" type="noConversion"/>
  </si>
  <si>
    <t>청구인별</t>
    <phoneticPr fontId="5" type="noConversion"/>
  </si>
  <si>
    <t>파기</t>
  </si>
  <si>
    <t>고등법원</t>
  </si>
  <si>
    <t>기각</t>
  </si>
  <si>
    <t>전자약식</t>
    <phoneticPr fontId="5" type="noConversion"/>
  </si>
  <si>
    <t>약식명령</t>
    <phoneticPr fontId="5" type="noConversion"/>
  </si>
  <si>
    <t>(단위: 일)</t>
    <phoneticPr fontId="5" type="noConversion"/>
  </si>
  <si>
    <t>사건</t>
    <phoneticPr fontId="5" type="noConversion"/>
  </si>
  <si>
    <t>2015년</t>
    <phoneticPr fontId="5" type="noConversion"/>
  </si>
  <si>
    <t>(-)</t>
    <phoneticPr fontId="5" type="noConversion"/>
  </si>
  <si>
    <t>항소심</t>
    <phoneticPr fontId="22" type="noConversion"/>
  </si>
  <si>
    <t>고법</t>
    <phoneticPr fontId="22" type="noConversion"/>
  </si>
  <si>
    <t>지법</t>
    <phoneticPr fontId="22" type="noConversion"/>
  </si>
  <si>
    <t>제1심</t>
    <phoneticPr fontId="22" type="noConversion"/>
  </si>
  <si>
    <t>합의</t>
    <phoneticPr fontId="22" type="noConversion"/>
  </si>
  <si>
    <t>단독</t>
    <phoneticPr fontId="22" type="noConversion"/>
  </si>
  <si>
    <t>주 : 종국일자기준</t>
    <phoneticPr fontId="22" type="noConversion"/>
  </si>
  <si>
    <t>주 : 1. 종국일자기준</t>
    <phoneticPr fontId="22" type="noConversion"/>
  </si>
  <si>
    <t>상고심</t>
    <phoneticPr fontId="22" type="noConversion"/>
  </si>
  <si>
    <t>계</t>
  </si>
  <si>
    <t>무죄</t>
  </si>
  <si>
    <t>기타</t>
  </si>
  <si>
    <t>2016년</t>
    <phoneticPr fontId="5" type="noConversion"/>
  </si>
  <si>
    <t>판결대비기각률</t>
    <phoneticPr fontId="5" type="noConversion"/>
  </si>
  <si>
    <t>처리
인원수</t>
    <phoneticPr fontId="5" type="noConversion"/>
  </si>
  <si>
    <t>2017년도</t>
    <phoneticPr fontId="5" type="noConversion"/>
  </si>
  <si>
    <t>2017년</t>
    <phoneticPr fontId="5" type="noConversion"/>
  </si>
  <si>
    <t>1심</t>
    <phoneticPr fontId="5" type="noConversion"/>
  </si>
  <si>
    <t>주 : 1. 기일일자기준</t>
    <phoneticPr fontId="22" type="noConversion"/>
  </si>
  <si>
    <t xml:space="preserve">      2. 공판기일에 출석자로 지정되었으나, 출석하지 않고 재판이 진행된 피고인수</t>
    <phoneticPr fontId="5" type="noConversion"/>
  </si>
  <si>
    <t>즉결</t>
    <phoneticPr fontId="5" type="noConversion"/>
  </si>
  <si>
    <t>파
기</t>
    <phoneticPr fontId="5" type="noConversion"/>
  </si>
  <si>
    <t>자
판</t>
    <phoneticPr fontId="5" type="noConversion"/>
  </si>
  <si>
    <t>합계</t>
  </si>
  <si>
    <t>무기형</t>
  </si>
  <si>
    <t>무기</t>
  </si>
  <si>
    <t>징역 또는 금고</t>
    <phoneticPr fontId="5" type="noConversion"/>
  </si>
  <si>
    <t>불구속</t>
    <phoneticPr fontId="5" type="noConversion"/>
  </si>
  <si>
    <t>미성년자</t>
  </si>
  <si>
    <t>70세이상의자</t>
  </si>
  <si>
    <t>농아자</t>
  </si>
  <si>
    <t>제1심</t>
  </si>
  <si>
    <t>항소심</t>
  </si>
  <si>
    <t>상고심</t>
  </si>
  <si>
    <t>합의</t>
  </si>
  <si>
    <t>단독</t>
  </si>
  <si>
    <t>사건수</t>
  </si>
  <si>
    <t>인원수</t>
  </si>
  <si>
    <t>(단위 : 일)</t>
    <phoneticPr fontId="5" type="noConversion"/>
  </si>
  <si>
    <t>남
(법인포함)</t>
    <phoneticPr fontId="5" type="noConversion"/>
  </si>
  <si>
    <t>법정구속 인원수</t>
    <phoneticPr fontId="5" type="noConversion"/>
  </si>
  <si>
    <t xml:space="preserve">      3. "영구미제"는 피고인의 불출석으로 구속영장이 2회 이상 발부되고 공소제기 후 1년이 경과 되었으나 소재불명으로 집행불능된 사건임</t>
    <phoneticPr fontId="5" type="noConversion"/>
  </si>
  <si>
    <t>1년 이내</t>
    <phoneticPr fontId="5" type="noConversion"/>
  </si>
  <si>
    <t>2년 이내</t>
    <phoneticPr fontId="5" type="noConversion"/>
  </si>
  <si>
    <t>2년 초과</t>
    <phoneticPr fontId="5" type="noConversion"/>
  </si>
  <si>
    <t>3. 치료감호사건</t>
    <phoneticPr fontId="5" type="noConversion"/>
  </si>
  <si>
    <t>감호판결</t>
    <phoneticPr fontId="5" type="noConversion"/>
  </si>
  <si>
    <t>판결</t>
  </si>
  <si>
    <t>상소취하</t>
  </si>
  <si>
    <t>상소기각</t>
  </si>
  <si>
    <t>정식재판</t>
    <phoneticPr fontId="5" type="noConversion"/>
  </si>
  <si>
    <t>기타
(직권공판회부등)</t>
    <phoneticPr fontId="5" type="noConversion"/>
  </si>
  <si>
    <t>인천</t>
  </si>
  <si>
    <t>수원</t>
  </si>
  <si>
    <t>춘천</t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</si>
  <si>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</si>
  <si>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</si>
  <si>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</si>
  <si>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</si>
  <si>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</si>
  <si>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</si>
  <si>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</si>
  <si>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</si>
  <si>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</si>
  <si>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형의선고</t>
  </si>
  <si>
    <t>과료</t>
  </si>
  <si>
    <t>구속영장</t>
  </si>
  <si>
    <t>체포영장</t>
  </si>
  <si>
    <t>감호영장</t>
  </si>
  <si>
    <t>감정유치장</t>
  </si>
  <si>
    <t>구속적부심사</t>
  </si>
  <si>
    <t>체포적부심사</t>
  </si>
  <si>
    <t>보석</t>
  </si>
  <si>
    <t>형집행유예취소</t>
  </si>
  <si>
    <t>증거보전</t>
  </si>
  <si>
    <t>상소권회복</t>
  </si>
  <si>
    <t>형사보상</t>
  </si>
  <si>
    <t>배상명령</t>
  </si>
  <si>
    <t>주 : (  )내의 수는 구성비(%)임</t>
    <phoneticPr fontId="5" type="noConversion"/>
  </si>
  <si>
    <t>허가</t>
  </si>
  <si>
    <t>불허가</t>
  </si>
  <si>
    <t>변호인</t>
  </si>
  <si>
    <t>비변호인</t>
  </si>
  <si>
    <t>청구</t>
  </si>
  <si>
    <t>석방</t>
  </si>
  <si>
    <t>보석에대한(재)항고</t>
  </si>
  <si>
    <t>구속의취소또는구속의집행정지에대한(재)항고</t>
  </si>
  <si>
    <t>배상명령에대한(재)항고</t>
  </si>
  <si>
    <t>재심기각에대한(재)항고</t>
  </si>
  <si>
    <t>집행유예취소결정에대한(재)항고</t>
  </si>
  <si>
    <t>기타결정에대한(재)항고</t>
  </si>
  <si>
    <t>전체</t>
    <phoneticPr fontId="5" type="noConversion"/>
  </si>
  <si>
    <t>집행유예
(재산형)</t>
    <phoneticPr fontId="5" type="noConversion"/>
  </si>
  <si>
    <t>형
의
선
고</t>
    <phoneticPr fontId="5" type="noConversion"/>
  </si>
  <si>
    <t>판
결</t>
    <phoneticPr fontId="5" type="noConversion"/>
  </si>
  <si>
    <t>보호관찰</t>
    <phoneticPr fontId="55" type="noConversion"/>
  </si>
  <si>
    <t>사회봉사명령</t>
    <phoneticPr fontId="55" type="noConversion"/>
  </si>
  <si>
    <t>수강명령</t>
    <phoneticPr fontId="55" type="noConversion"/>
  </si>
  <si>
    <t>계</t>
    <phoneticPr fontId="55" type="noConversion"/>
  </si>
  <si>
    <t>구분</t>
  </si>
  <si>
    <t>심급</t>
  </si>
  <si>
    <t>성별</t>
    <phoneticPr fontId="5" type="noConversion"/>
  </si>
  <si>
    <t>내용</t>
    <phoneticPr fontId="5" type="noConversion"/>
  </si>
  <si>
    <t>기간</t>
    <phoneticPr fontId="5" type="noConversion"/>
  </si>
  <si>
    <t>법원</t>
  </si>
  <si>
    <t>사건</t>
  </si>
  <si>
    <t>법원</t>
    <phoneticPr fontId="22" type="noConversion"/>
  </si>
  <si>
    <t>연도</t>
  </si>
  <si>
    <t>(1) 합의ㆍ단독사건의 대비</t>
  </si>
  <si>
    <t>형의면제
ㆍ면소</t>
  </si>
  <si>
    <t>형의면제ㆍ면소</t>
  </si>
  <si>
    <t>사형,무기,단기3년이상징역ㆍ금고</t>
  </si>
  <si>
    <t>주 : 치료감호사건 및 체포ㆍ구속적부심사 청구사건에 대한 변호인 선임인원은 제외됨</t>
  </si>
  <si>
    <t>환송ㆍ이송</t>
  </si>
  <si>
    <t>7. 형사신청ㆍ(재)항고사건</t>
  </si>
  <si>
    <t>취하ㆍ기타</t>
  </si>
  <si>
    <t>다. 형사항고ㆍ재항고사건</t>
  </si>
  <si>
    <t>(-)</t>
  </si>
  <si>
    <t>형사공판사건(인원수) 중 구속사건 비율 - 접수(표 89)</t>
    <phoneticPr fontId="5" type="noConversion"/>
  </si>
  <si>
    <t>형사공판사건 피고인 성별 비교 - 접수(표 90)</t>
    <phoneticPr fontId="5" type="noConversion"/>
  </si>
  <si>
    <t>형사공판사건 법원별 - 접수(표 92)</t>
    <phoneticPr fontId="5" type="noConversion"/>
  </si>
  <si>
    <t>집행유예선고시 보호관찰등 처분현황(표 96)</t>
    <phoneticPr fontId="5" type="noConversion"/>
  </si>
  <si>
    <t>자유형(징역 또는 금고) 형기별 인원(표 97)</t>
    <phoneticPr fontId="5" type="noConversion"/>
  </si>
  <si>
    <t>제1심 형사공판사건 중 19세 미만자의 재판결과(표 98)</t>
    <phoneticPr fontId="5" type="noConversion"/>
  </si>
  <si>
    <t>형사공판사건 상소율(표 100)</t>
    <phoneticPr fontId="5" type="noConversion"/>
  </si>
  <si>
    <t xml:space="preserve">최근 10년간 상소율의 추이를 보면 도표 32, 33과 같다. </t>
    <phoneticPr fontId="5" type="noConversion"/>
  </si>
  <si>
    <t>국선변호인 선정 사건수 및 피고인수(표 101)</t>
    <phoneticPr fontId="5" type="noConversion"/>
  </si>
  <si>
    <t>형사공판사건의 평균처리기간 (표 103)</t>
    <phoneticPr fontId="5" type="noConversion"/>
  </si>
  <si>
    <t>형사공판사건 변호사 선임 피고인수(표105)</t>
    <phoneticPr fontId="5" type="noConversion"/>
  </si>
  <si>
    <t>제1심 형사공판사건 증인수(표 106)</t>
    <phoneticPr fontId="22" type="noConversion"/>
  </si>
  <si>
    <t>제1심 형사공판사건 궐석재판 피고인수 (표 107)</t>
    <phoneticPr fontId="22" type="noConversion"/>
  </si>
  <si>
    <t>제1심 형사공판사건 즉일선고 피고인수 (표 108)</t>
    <phoneticPr fontId="22" type="noConversion"/>
  </si>
  <si>
    <t>형사공판사건 법정구속 피고인수 (표 109)</t>
    <phoneticPr fontId="22" type="noConversion"/>
  </si>
  <si>
    <t>간이공판절차에 의한 형사사건 처리기간별 인원수(표 110)</t>
    <phoneticPr fontId="5" type="noConversion"/>
  </si>
  <si>
    <t>치료감호사건 처리 내역(표 114)</t>
    <phoneticPr fontId="5" type="noConversion"/>
  </si>
  <si>
    <t>약식명령사건 처리상황(표 116)</t>
    <phoneticPr fontId="5" type="noConversion"/>
  </si>
  <si>
    <t>약식명령사건 법원별 처리상황(표 117)</t>
    <phoneticPr fontId="5" type="noConversion"/>
  </si>
  <si>
    <t>정식재판청구사건 처리상황(표 118)</t>
    <phoneticPr fontId="5" type="noConversion"/>
  </si>
  <si>
    <t>지방법원 형사신청사건의 추이 - 접수(도표 37)</t>
    <phoneticPr fontId="5" type="noConversion"/>
  </si>
  <si>
    <t>군사재판</t>
  </si>
  <si>
    <t>공판사건</t>
  </si>
  <si>
    <t>약식명령사건</t>
  </si>
  <si>
    <t>지수</t>
  </si>
  <si>
    <t>즉결사건</t>
  </si>
  <si>
    <t>영장사건</t>
  </si>
  <si>
    <t>신청및(재)항고</t>
  </si>
  <si>
    <t>접수</t>
    <phoneticPr fontId="5" type="noConversion"/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</si>
  <si>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</si>
  <si>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</si>
  <si>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</si>
  <si>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</si>
  <si>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</si>
  <si>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</si>
  <si>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</si>
  <si>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</si>
  <si>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</si>
  <si>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형사사건 사건별 추이 - 접수 (도표 25)</t>
    <phoneticPr fontId="5" type="noConversion"/>
  </si>
  <si>
    <t>형사공판 제1심 사건 추이 - 접수 (도표 27)</t>
    <phoneticPr fontId="5" type="noConversion"/>
  </si>
  <si>
    <t>형사공판 항소심 사건 추이 - 접수 (도표 28)</t>
    <phoneticPr fontId="5" type="noConversion"/>
  </si>
  <si>
    <t>형사공판 상고심 사건 추이 - 접수 (도표 29)</t>
    <phoneticPr fontId="5" type="noConversion"/>
  </si>
  <si>
    <t>구속</t>
  </si>
  <si>
    <t>불구속</t>
  </si>
  <si>
    <t>총계</t>
  </si>
  <si>
    <t>제1심계</t>
  </si>
  <si>
    <t>항소심계</t>
  </si>
  <si>
    <t>상고심계</t>
  </si>
  <si>
    <t>1심합의</t>
  </si>
  <si>
    <t>1심단독</t>
  </si>
  <si>
    <t>형법범계</t>
  </si>
  <si>
    <t>특별법범계</t>
  </si>
  <si>
    <t>국가보안법</t>
  </si>
  <si>
    <t>도로교통법</t>
  </si>
  <si>
    <t>부정수표단속법</t>
  </si>
  <si>
    <t>식품위생법</t>
  </si>
  <si>
    <t>(3) 남ㆍ여 성별 구성</t>
    <phoneticPr fontId="5" type="noConversion"/>
  </si>
  <si>
    <t>집행유예</t>
  </si>
  <si>
    <t>2018년</t>
    <phoneticPr fontId="5" type="noConversion"/>
  </si>
  <si>
    <t>계</t>
    <phoneticPr fontId="5" type="noConversion"/>
  </si>
  <si>
    <t>구분</t>
    <phoneticPr fontId="5" type="noConversion"/>
  </si>
  <si>
    <t>재산형</t>
    <phoneticPr fontId="5" type="noConversion"/>
  </si>
  <si>
    <t>(4) 죄명별 비교</t>
    <phoneticPr fontId="5" type="noConversion"/>
  </si>
  <si>
    <t>(5) 법원별 접수</t>
    <phoneticPr fontId="5" type="noConversion"/>
  </si>
  <si>
    <t>형사공판사건의 법원별 접수내역은 표 92와 같다.</t>
    <phoneticPr fontId="5" type="noConversion"/>
  </si>
  <si>
    <t>형사공판사건 중요죄명별 - 접수(표 91)</t>
    <phoneticPr fontId="5" type="noConversion"/>
  </si>
  <si>
    <t>심급</t>
    <phoneticPr fontId="5" type="noConversion"/>
  </si>
  <si>
    <t>죄명</t>
    <phoneticPr fontId="5" type="noConversion"/>
  </si>
  <si>
    <t>공무방해에관한죄</t>
    <phoneticPr fontId="5" type="noConversion"/>
  </si>
  <si>
    <t>성풍속에관한죄</t>
    <phoneticPr fontId="5" type="noConversion"/>
  </si>
  <si>
    <t>도박과복표에관한죄</t>
    <phoneticPr fontId="5" type="noConversion"/>
  </si>
  <si>
    <t>상해와폭행의죄</t>
    <phoneticPr fontId="5" type="noConversion"/>
  </si>
  <si>
    <t>강간과추행의죄</t>
    <phoneticPr fontId="5" type="noConversion"/>
  </si>
  <si>
    <t>절도와강도의죄</t>
    <phoneticPr fontId="5" type="noConversion"/>
  </si>
  <si>
    <t>사기와공갈의죄</t>
    <phoneticPr fontId="5" type="noConversion"/>
  </si>
  <si>
    <t>횡령과배임의죄</t>
    <phoneticPr fontId="5" type="noConversion"/>
  </si>
  <si>
    <t>교통사고처리특례법</t>
    <phoneticPr fontId="5" type="noConversion"/>
  </si>
  <si>
    <t>특정범죄가중처벌등에관한법률</t>
    <phoneticPr fontId="5" type="noConversion"/>
  </si>
  <si>
    <t>심급</t>
    <phoneticPr fontId="5" type="noConversion"/>
  </si>
  <si>
    <t>(2) 재판결과</t>
    <phoneticPr fontId="5" type="noConversion"/>
  </si>
  <si>
    <t>형사공판사건 처리결과(표 95)</t>
    <phoneticPr fontId="5" type="noConversion"/>
  </si>
  <si>
    <t>내용</t>
    <phoneticPr fontId="5" type="noConversion"/>
  </si>
  <si>
    <t>형의선고</t>
    <phoneticPr fontId="5" type="noConversion"/>
  </si>
  <si>
    <t>생명형</t>
    <phoneticPr fontId="5" type="noConversion"/>
  </si>
  <si>
    <t>자유형(실형)</t>
    <phoneticPr fontId="5" type="noConversion"/>
  </si>
  <si>
    <t>집행유예</t>
    <phoneticPr fontId="5" type="noConversion"/>
  </si>
  <si>
    <t>자격형</t>
    <phoneticPr fontId="5" type="noConversion"/>
  </si>
  <si>
    <t>집행유예(재산형)</t>
    <phoneticPr fontId="5" type="noConversion"/>
  </si>
  <si>
    <t>공소기각결정</t>
    <phoneticPr fontId="5" type="noConversion"/>
  </si>
  <si>
    <t>소년부송치</t>
    <phoneticPr fontId="5" type="noConversion"/>
  </si>
  <si>
    <t>기타</t>
    <phoneticPr fontId="5" type="noConversion"/>
  </si>
  <si>
    <t>구분</t>
    <phoneticPr fontId="5" type="noConversion"/>
  </si>
  <si>
    <t>내용</t>
    <phoneticPr fontId="5" type="noConversion"/>
  </si>
  <si>
    <t>판
결</t>
    <phoneticPr fontId="5" type="noConversion"/>
  </si>
  <si>
    <t>파
기</t>
    <phoneticPr fontId="5" type="noConversion"/>
  </si>
  <si>
    <t>자
판</t>
    <phoneticPr fontId="5" type="noConversion"/>
  </si>
  <si>
    <t>형
의
선
고</t>
    <phoneticPr fontId="5" type="noConversion"/>
  </si>
  <si>
    <t>항소
기각</t>
    <phoneticPr fontId="5" type="noConversion"/>
  </si>
  <si>
    <t>배상명령사건 연도별비교-전심급 (표 125)</t>
    <phoneticPr fontId="5" type="noConversion"/>
  </si>
  <si>
    <t>인용률(%)</t>
    <phoneticPr fontId="5" type="noConversion"/>
  </si>
  <si>
    <t>항고</t>
    <phoneticPr fontId="5" type="noConversion"/>
  </si>
  <si>
    <t>변호인</t>
    <phoneticPr fontId="5" type="noConversion"/>
  </si>
  <si>
    <t>비변호인</t>
    <phoneticPr fontId="5" type="noConversion"/>
  </si>
  <si>
    <t>서울
중앙</t>
    <phoneticPr fontId="5" type="noConversion"/>
  </si>
  <si>
    <t>서울
동부</t>
    <phoneticPr fontId="5" type="noConversion"/>
  </si>
  <si>
    <t>서울
남부</t>
    <phoneticPr fontId="5" type="noConversion"/>
  </si>
  <si>
    <t>서울
북부</t>
    <phoneticPr fontId="5" type="noConversion"/>
  </si>
  <si>
    <t>서울
서부</t>
    <phoneticPr fontId="5" type="noConversion"/>
  </si>
  <si>
    <t>약식
명령</t>
    <phoneticPr fontId="5" type="noConversion"/>
  </si>
  <si>
    <t>전자
약식
명령</t>
    <phoneticPr fontId="5" type="noConversion"/>
  </si>
  <si>
    <t>주 : ( ) 내의 수는 구성비(%)임</t>
    <phoneticPr fontId="5" type="noConversion"/>
  </si>
  <si>
    <t>주 : 1. ( )내의 수는 구성비(%)임</t>
    <phoneticPr fontId="5" type="noConversion"/>
  </si>
  <si>
    <t>궐석재판 인원수</t>
    <phoneticPr fontId="5" type="noConversion"/>
  </si>
  <si>
    <t>즉일선고
인원수</t>
    <phoneticPr fontId="5" type="noConversion"/>
  </si>
  <si>
    <t>불구속 인원수</t>
    <phoneticPr fontId="5" type="noConversion"/>
  </si>
  <si>
    <t>확정사건수</t>
    <phoneticPr fontId="22" type="noConversion"/>
  </si>
  <si>
    <t>평균처리일수</t>
    <phoneticPr fontId="22" type="noConversion"/>
  </si>
  <si>
    <t>고등법원</t>
    <phoneticPr fontId="5" type="noConversion"/>
  </si>
  <si>
    <t>지방법원</t>
    <phoneticPr fontId="5" type="noConversion"/>
  </si>
  <si>
    <t>선정사유</t>
    <phoneticPr fontId="5" type="noConversion"/>
  </si>
  <si>
    <t>사건수</t>
    <phoneticPr fontId="5" type="noConversion"/>
  </si>
  <si>
    <t>인원수</t>
    <phoneticPr fontId="5" type="noConversion"/>
  </si>
  <si>
    <t>심신장애인</t>
    <phoneticPr fontId="5" type="noConversion"/>
  </si>
  <si>
    <t>기타</t>
    <phoneticPr fontId="5" type="noConversion"/>
  </si>
  <si>
    <t>군사상고</t>
    <phoneticPr fontId="5" type="noConversion"/>
  </si>
  <si>
    <t>주 : 1. 선정사유가 중복된 경우에는 그 중 한 사유란에만 기재함</t>
    <phoneticPr fontId="5" type="noConversion"/>
  </si>
  <si>
    <t>(7) 처리기간</t>
    <phoneticPr fontId="5" type="noConversion"/>
  </si>
  <si>
    <t xml:space="preserve"> </t>
    <phoneticPr fontId="5" type="noConversion"/>
  </si>
  <si>
    <t>형사공판사건 처리기간별 인원수(표 102)</t>
    <phoneticPr fontId="5" type="noConversion"/>
  </si>
  <si>
    <t>불구속</t>
    <phoneticPr fontId="5" type="noConversion"/>
  </si>
  <si>
    <t>주 : ( )내의 수는 구성비(%)임</t>
    <phoneticPr fontId="5" type="noConversion"/>
  </si>
  <si>
    <t>10년 이상</t>
    <phoneticPr fontId="5" type="noConversion"/>
  </si>
  <si>
    <t>5년 이상</t>
    <phoneticPr fontId="5" type="noConversion"/>
  </si>
  <si>
    <t>3년 이상</t>
    <phoneticPr fontId="5" type="noConversion"/>
  </si>
  <si>
    <t>1년 이상</t>
    <phoneticPr fontId="5" type="noConversion"/>
  </si>
  <si>
    <t>1년 미만</t>
    <phoneticPr fontId="5" type="noConversion"/>
  </si>
  <si>
    <t>정기형
(실형)</t>
    <phoneticPr fontId="5" type="noConversion"/>
  </si>
  <si>
    <t>부정기형</t>
    <phoneticPr fontId="5" type="noConversion"/>
  </si>
  <si>
    <t>집행유예</t>
    <phoneticPr fontId="5" type="noConversion"/>
  </si>
  <si>
    <t>재산형</t>
    <phoneticPr fontId="5" type="noConversion"/>
  </si>
  <si>
    <t>집행유예
(재산형)</t>
    <phoneticPr fontId="5" type="noConversion"/>
  </si>
  <si>
    <t>선고유예</t>
    <phoneticPr fontId="5" type="noConversion"/>
  </si>
  <si>
    <t>소년부송치</t>
    <phoneticPr fontId="5" type="noConversion"/>
  </si>
  <si>
    <t>죄명</t>
    <phoneticPr fontId="5" type="noConversion"/>
  </si>
  <si>
    <t>장기10년이내</t>
    <phoneticPr fontId="5" type="noConversion"/>
  </si>
  <si>
    <t>처리합계</t>
    <phoneticPr fontId="5" type="noConversion"/>
  </si>
  <si>
    <t>특정범죄가중처벌등에
관한법률</t>
    <phoneticPr fontId="5" type="noConversion"/>
  </si>
  <si>
    <t>폭력행위등처벌에관한법률</t>
    <phoneticPr fontId="13" type="noConversion"/>
  </si>
  <si>
    <t>성폭력범죄의처벌등에관한특례법</t>
    <phoneticPr fontId="5" type="noConversion"/>
  </si>
  <si>
    <t>교통사고처리특례법</t>
    <phoneticPr fontId="5" type="noConversion"/>
  </si>
  <si>
    <t>기타</t>
    <phoneticPr fontId="5" type="noConversion"/>
  </si>
  <si>
    <t>(4) 간이공판절차</t>
    <phoneticPr fontId="5" type="noConversion"/>
  </si>
  <si>
    <t>간이공판절차에 의한 처리내역(표 99)</t>
    <phoneticPr fontId="5" type="noConversion"/>
  </si>
  <si>
    <t>합계</t>
    <phoneticPr fontId="5" type="noConversion"/>
  </si>
  <si>
    <t>판결</t>
    <phoneticPr fontId="5" type="noConversion"/>
  </si>
  <si>
    <t>결정</t>
    <phoneticPr fontId="5" type="noConversion"/>
  </si>
  <si>
    <t>형의선고</t>
    <phoneticPr fontId="5" type="noConversion"/>
  </si>
  <si>
    <t>선고
유예</t>
    <phoneticPr fontId="5" type="noConversion"/>
  </si>
  <si>
    <t>무죄</t>
    <phoneticPr fontId="5" type="noConversion"/>
  </si>
  <si>
    <t>관할
위반</t>
    <phoneticPr fontId="5" type="noConversion"/>
  </si>
  <si>
    <t>공소
기각</t>
    <phoneticPr fontId="5" type="noConversion"/>
  </si>
  <si>
    <t>소년부
송치</t>
    <phoneticPr fontId="5" type="noConversion"/>
  </si>
  <si>
    <t>인원</t>
    <phoneticPr fontId="5" type="noConversion"/>
  </si>
  <si>
    <t>자유형
(실형)</t>
    <phoneticPr fontId="5" type="noConversion"/>
  </si>
  <si>
    <t>집행
유예</t>
    <phoneticPr fontId="5" type="noConversion"/>
  </si>
  <si>
    <t>자격형</t>
    <phoneticPr fontId="5" type="noConversion"/>
  </si>
  <si>
    <t>재산형</t>
    <phoneticPr fontId="5" type="noConversion"/>
  </si>
  <si>
    <t>집행유예
(재산형)</t>
    <phoneticPr fontId="5" type="noConversion"/>
  </si>
  <si>
    <t>처리인원</t>
    <phoneticPr fontId="5" type="noConversion"/>
  </si>
  <si>
    <t>구성비(%)</t>
    <phoneticPr fontId="5" type="noConversion"/>
  </si>
  <si>
    <t>(-)</t>
    <phoneticPr fontId="5" type="noConversion"/>
  </si>
  <si>
    <t>판결대비파기율</t>
    <phoneticPr fontId="5" type="noConversion"/>
  </si>
  <si>
    <t>법원</t>
    <phoneticPr fontId="5" type="noConversion"/>
  </si>
  <si>
    <t>계</t>
    <phoneticPr fontId="5" type="noConversion"/>
  </si>
  <si>
    <t>서울중앙</t>
    <phoneticPr fontId="5" type="noConversion"/>
  </si>
  <si>
    <t>서울동부</t>
    <phoneticPr fontId="5" type="noConversion"/>
  </si>
  <si>
    <t>서울남부</t>
    <phoneticPr fontId="5" type="noConversion"/>
  </si>
  <si>
    <t>서울북부</t>
    <phoneticPr fontId="5" type="noConversion"/>
  </si>
  <si>
    <t>서울서부</t>
    <phoneticPr fontId="5" type="noConversion"/>
  </si>
  <si>
    <t>의정부</t>
    <phoneticPr fontId="5" type="noConversion"/>
  </si>
  <si>
    <t>인천</t>
    <phoneticPr fontId="5" type="noConversion"/>
  </si>
  <si>
    <t>수원</t>
    <phoneticPr fontId="5" type="noConversion"/>
  </si>
  <si>
    <t>춘천</t>
    <phoneticPr fontId="5" type="noConversion"/>
  </si>
  <si>
    <t>대전</t>
    <phoneticPr fontId="5" type="noConversion"/>
  </si>
  <si>
    <t>청주</t>
    <phoneticPr fontId="5" type="noConversion"/>
  </si>
  <si>
    <t>대구</t>
    <phoneticPr fontId="5" type="noConversion"/>
  </si>
  <si>
    <t>부산</t>
    <phoneticPr fontId="5" type="noConversion"/>
  </si>
  <si>
    <t>울산</t>
    <phoneticPr fontId="5" type="noConversion"/>
  </si>
  <si>
    <t>창원</t>
    <phoneticPr fontId="5" type="noConversion"/>
  </si>
  <si>
    <t>광주</t>
    <phoneticPr fontId="5" type="noConversion"/>
  </si>
  <si>
    <t>전주</t>
    <phoneticPr fontId="5" type="noConversion"/>
  </si>
  <si>
    <t>제주</t>
    <phoneticPr fontId="5" type="noConversion"/>
  </si>
  <si>
    <t>다. 처리상황</t>
    <phoneticPr fontId="5" type="noConversion"/>
  </si>
  <si>
    <t>(1) 처리율</t>
    <phoneticPr fontId="5" type="noConversion"/>
  </si>
  <si>
    <t>형사공판사건 접수ㆍ처리ㆍ미제 상황 (표 93)</t>
    <phoneticPr fontId="5" type="noConversion"/>
  </si>
  <si>
    <t>구분</t>
    <phoneticPr fontId="5" type="noConversion"/>
  </si>
  <si>
    <t>처리</t>
    <phoneticPr fontId="5" type="noConversion"/>
  </si>
  <si>
    <t>미제</t>
    <phoneticPr fontId="5" type="noConversion"/>
  </si>
  <si>
    <t>처리율(%)</t>
    <phoneticPr fontId="5" type="noConversion"/>
  </si>
  <si>
    <t>군사재판</t>
    <phoneticPr fontId="5" type="noConversion"/>
  </si>
  <si>
    <t>제1심 형사공판사건 재심 접수ㆍ처리건수(표 94)</t>
    <phoneticPr fontId="5" type="noConversion"/>
  </si>
  <si>
    <t>접수
인원수</t>
    <phoneticPr fontId="5" type="noConversion"/>
  </si>
  <si>
    <t>처리인원수</t>
    <phoneticPr fontId="5" type="noConversion"/>
  </si>
  <si>
    <t>연도</t>
    <phoneticPr fontId="5" type="noConversion"/>
  </si>
  <si>
    <t>자유형</t>
    <phoneticPr fontId="5" type="noConversion"/>
  </si>
  <si>
    <t>재산형</t>
    <phoneticPr fontId="5" type="noConversion"/>
  </si>
  <si>
    <t>집행유예
(재산형)</t>
    <phoneticPr fontId="5" type="noConversion"/>
  </si>
  <si>
    <t>선고유예</t>
    <phoneticPr fontId="5" type="noConversion"/>
  </si>
  <si>
    <t>무죄</t>
    <phoneticPr fontId="5" type="noConversion"/>
  </si>
  <si>
    <t>공소기각
판결</t>
    <phoneticPr fontId="5" type="noConversion"/>
  </si>
  <si>
    <t>재심청구
기각결정</t>
    <phoneticPr fontId="5" type="noConversion"/>
  </si>
  <si>
    <t>재심청구
취하</t>
    <phoneticPr fontId="5" type="noConversion"/>
  </si>
  <si>
    <t>기타</t>
    <phoneticPr fontId="5" type="noConversion"/>
  </si>
  <si>
    <t>폭력행위등처벌에관한법률</t>
    <phoneticPr fontId="5" type="noConversion"/>
  </si>
  <si>
    <t>항소심</t>
    <phoneticPr fontId="5" type="noConversion"/>
  </si>
  <si>
    <t>제1심합의</t>
  </si>
  <si>
    <t>제1심단독</t>
  </si>
  <si>
    <t>단순처분</t>
  </si>
  <si>
    <t>병과처분</t>
  </si>
  <si>
    <t>간이공판절차에 의한 처리사건 추이(도표 31)</t>
    <phoneticPr fontId="5" type="noConversion"/>
  </si>
  <si>
    <t>주 : 항소심 합의사건은 고등법원, 단독사건은 지방법원항소부 사건임</t>
    <phoneticPr fontId="5" type="noConversion"/>
  </si>
  <si>
    <t>형사공판사건의 항소율 추이 (도표 32)</t>
    <phoneticPr fontId="5" type="noConversion"/>
  </si>
  <si>
    <t>형사공판사건의 상고율 추이 (도표 33)</t>
    <phoneticPr fontId="5" type="noConversion"/>
  </si>
  <si>
    <t>기간</t>
  </si>
  <si>
    <t>1월
이내</t>
    <phoneticPr fontId="5" type="noConversion"/>
  </si>
  <si>
    <t>2월
이내</t>
    <phoneticPr fontId="5" type="noConversion"/>
  </si>
  <si>
    <t>3월
이내</t>
    <phoneticPr fontId="5" type="noConversion"/>
  </si>
  <si>
    <t>4월
이내</t>
    <phoneticPr fontId="5" type="noConversion"/>
  </si>
  <si>
    <t>5월
이내</t>
    <phoneticPr fontId="5" type="noConversion"/>
  </si>
  <si>
    <t>6월
이내</t>
    <phoneticPr fontId="5" type="noConversion"/>
  </si>
  <si>
    <t>9월
이내</t>
    <phoneticPr fontId="5" type="noConversion"/>
  </si>
  <si>
    <t>1년
이내</t>
    <phoneticPr fontId="5" type="noConversion"/>
  </si>
  <si>
    <t>2년
이내</t>
    <phoneticPr fontId="5" type="noConversion"/>
  </si>
  <si>
    <t>2년
초과</t>
    <phoneticPr fontId="5" type="noConversion"/>
  </si>
  <si>
    <t>제1심 확정</t>
    <phoneticPr fontId="5" type="noConversion"/>
  </si>
  <si>
    <t>항소심 확정</t>
    <phoneticPr fontId="5" type="noConversion"/>
  </si>
  <si>
    <t>상고심 확정</t>
    <phoneticPr fontId="5" type="noConversion"/>
  </si>
  <si>
    <t>고법</t>
    <phoneticPr fontId="5" type="noConversion"/>
  </si>
  <si>
    <t>지법</t>
    <phoneticPr fontId="5" type="noConversion"/>
  </si>
  <si>
    <t>형사공판사건 제1심 처리기간 (도표 34)</t>
    <phoneticPr fontId="22" type="noConversion"/>
  </si>
  <si>
    <t>형사공판사건 상소심 처리기간 (도표 35)</t>
    <phoneticPr fontId="22" type="noConversion"/>
  </si>
  <si>
    <t>1심 합의</t>
    <phoneticPr fontId="5" type="noConversion"/>
  </si>
  <si>
    <t>1심 단독</t>
    <phoneticPr fontId="5" type="noConversion"/>
  </si>
  <si>
    <t>증인이 있는
사건수</t>
    <phoneticPr fontId="5" type="noConversion"/>
  </si>
  <si>
    <t>증인수</t>
    <phoneticPr fontId="5" type="noConversion"/>
  </si>
  <si>
    <t xml:space="preserve">      2. 최종공판기일에 판결선고를 한 사건 피고인수로, 기일결과는</t>
    <phoneticPr fontId="22" type="noConversion"/>
  </si>
  <si>
    <t xml:space="preserve">          '재개, 종결, 판결선고, 변론종결및판결선고, 재개ㆍ종결'인</t>
    <phoneticPr fontId="5" type="noConversion"/>
  </si>
  <si>
    <t xml:space="preserve">          판결선고기일을 포함하며, 병합된 사건을 포함함</t>
    <phoneticPr fontId="5" type="noConversion"/>
  </si>
  <si>
    <t>정지</t>
  </si>
  <si>
    <t>심리중</t>
  </si>
  <si>
    <t>(-)</t>
    <phoneticPr fontId="5" type="noConversion"/>
  </si>
  <si>
    <t>주 : ( )내의 수는 구성비(%)임</t>
    <phoneticPr fontId="5" type="noConversion"/>
  </si>
  <si>
    <t>독립청구</t>
  </si>
  <si>
    <t>기소병행청구</t>
  </si>
  <si>
    <t>벌금</t>
  </si>
  <si>
    <t>구성비(%)</t>
  </si>
  <si>
    <t>즉결심판</t>
  </si>
  <si>
    <t>종류</t>
  </si>
  <si>
    <t>처리계</t>
  </si>
  <si>
    <t>석방명령</t>
  </si>
  <si>
    <t>무조건부</t>
  </si>
  <si>
    <t>조건부</t>
  </si>
  <si>
    <t>청구기각</t>
  </si>
  <si>
    <t>대법원</t>
  </si>
  <si>
    <t>인용</t>
  </si>
  <si>
    <t>항고</t>
  </si>
  <si>
    <t>재항고</t>
  </si>
  <si>
    <t>청구기각
판결</t>
    <phoneticPr fontId="5" type="noConversion"/>
  </si>
  <si>
    <t>청구기각
결정</t>
    <phoneticPr fontId="5" type="noConversion"/>
  </si>
  <si>
    <t>신청</t>
    <phoneticPr fontId="5" type="noConversion"/>
  </si>
  <si>
    <t>도표 27~29</t>
    <phoneticPr fontId="5" type="noConversion"/>
  </si>
  <si>
    <t xml:space="preserve">      2. (  ) 내의 수는 구성비(%)임</t>
    <phoneticPr fontId="5" type="noConversion"/>
  </si>
  <si>
    <t>생명형</t>
  </si>
  <si>
    <t>자유형(실형)</t>
  </si>
  <si>
    <t>자격형</t>
  </si>
  <si>
    <t>재산형</t>
  </si>
  <si>
    <t>선고유예</t>
  </si>
  <si>
    <t>공소기각</t>
  </si>
  <si>
    <t>환송</t>
  </si>
  <si>
    <t>이송</t>
  </si>
  <si>
    <t>변론경유</t>
  </si>
  <si>
    <t>변론불경유</t>
  </si>
  <si>
    <t>소년부송치</t>
  </si>
  <si>
    <t>항소취하</t>
  </si>
  <si>
    <t>판결계</t>
  </si>
  <si>
    <t>관할위반</t>
  </si>
  <si>
    <t>결정계</t>
  </si>
  <si>
    <t>상고기각</t>
  </si>
  <si>
    <t>상고취하</t>
  </si>
  <si>
    <t>절도</t>
  </si>
  <si>
    <t>강도</t>
  </si>
  <si>
    <t>사기</t>
  </si>
  <si>
    <t>상해</t>
  </si>
  <si>
    <t>형사공판사건의 처리인원수 기준으로 변호인선임 피고인수는 표 105 , 제1심 사건 중 증인이 있는 사건수 현황은 표 106, 제1심 사건의 궐석재판 피고인수 현황은 표 107, 제1심 사건 중 즉일선고 피고인수는 표 108, 심급별 법정구속 피고인수는 표 109와 같다.</t>
    <phoneticPr fontId="5" type="noConversion"/>
  </si>
  <si>
    <t>항소심(지방)</t>
    <phoneticPr fontId="5" type="noConversion"/>
  </si>
  <si>
    <t>항소심(고등)</t>
    <phoneticPr fontId="5" type="noConversion"/>
  </si>
  <si>
    <t>도표 34, 35</t>
    <phoneticPr fontId="5" type="noConversion"/>
  </si>
  <si>
    <t>도표 32, 33</t>
    <phoneticPr fontId="5" type="noConversion"/>
  </si>
  <si>
    <t>도표 31</t>
    <phoneticPr fontId="5" type="noConversion"/>
  </si>
  <si>
    <t>도표 30</t>
    <phoneticPr fontId="5" type="noConversion"/>
  </si>
  <si>
    <t>(-)</t>
    <phoneticPr fontId="5" type="noConversion"/>
  </si>
  <si>
    <t>군사재판</t>
    <phoneticPr fontId="5" type="noConversion"/>
  </si>
  <si>
    <t>금년접수</t>
    <phoneticPr fontId="5" type="noConversion"/>
  </si>
  <si>
    <t>구성비(%)</t>
    <phoneticPr fontId="5" type="noConversion"/>
  </si>
  <si>
    <t>발부</t>
  </si>
  <si>
    <t>19</t>
  </si>
  <si>
    <t>2019년</t>
    <phoneticPr fontId="5" type="noConversion"/>
  </si>
  <si>
    <t>형사공판사건 중 구속사건의 비율은 표 89와 같다. 제1심 형사공판사건의 경우, 24,608명(10.0%)이 구속사건인 반면, 90.0%에 이르는 222,455명은 불구속상태에서 재판이 진행되었음을 알 수 있다.</t>
    <phoneticPr fontId="5" type="noConversion"/>
  </si>
  <si>
    <t>형사공판사건의 처리상황은 표 93과 같다. 제1심이 95.5%, 항소심이 94.6%, 상고심이 103.4%의 처리율을 보이고 있고, 전심급 평균처리율은 95.8%이다.</t>
    <phoneticPr fontId="5" type="noConversion"/>
  </si>
  <si>
    <t>전심급 형사공판사건의 미제는 모두 148,999건이고, 미제사건의 심리기간을 심급별로 보면 표 111과 같다. 제1심 영구미제사건은 438건으로 미제사건의 0.4%를 차지하고 있다.</t>
    <phoneticPr fontId="5" type="noConversion"/>
  </si>
  <si>
    <t>금년접수</t>
    <phoneticPr fontId="5" type="noConversion"/>
  </si>
  <si>
    <t>형사공판사건의 재판결과를 보면 표 95와 같다. 판결률(판결건수/처리건수×100)을 보면, 제1심은 단독사건이 92.5%, 합의사건이 94.4%이고 항소심은 고등법원이 95.5%, 지방법원 90.9%이며, 상고심은 32.4%이다.</t>
    <phoneticPr fontId="5" type="noConversion"/>
  </si>
  <si>
    <t>금년접수</t>
    <phoneticPr fontId="5" type="noConversion"/>
  </si>
  <si>
    <t>사건</t>
    <phoneticPr fontId="5" type="noConversion"/>
  </si>
  <si>
    <t>영장</t>
    <phoneticPr fontId="5" type="noConversion"/>
  </si>
  <si>
    <t>지방법원</t>
    <phoneticPr fontId="5" type="noConversion"/>
  </si>
  <si>
    <t>체포ㆍ구속적부심사 청구인별 처리상황</t>
    <phoneticPr fontId="5" type="noConversion"/>
  </si>
  <si>
    <t>배상명령액</t>
    <phoneticPr fontId="5" type="noConversion"/>
  </si>
  <si>
    <t>형사(재)항고사건의 추이 - 접수(도표 39)</t>
    <phoneticPr fontId="5" type="noConversion"/>
  </si>
  <si>
    <t>형사(재)항고사건 처리상황 (표 126)</t>
    <phoneticPr fontId="5" type="noConversion"/>
  </si>
  <si>
    <t>주 : 치료감호, 부착명령 항고재항고사건이 포함되어 있음</t>
    <phoneticPr fontId="5" type="noConversion"/>
  </si>
  <si>
    <t xml:space="preserve">상소심 판결의 파기 및 기각 건수를 비교하면 도표 30과 같다. 파기율 (파기건수/판결건수×100)을 보면, 항소심의 경우 고등법원이 47.9%, 지방법원항소부가 36.1%이고, 상고심의 경우에는 3.7%이다. </t>
    <phoneticPr fontId="5" type="noConversion"/>
  </si>
  <si>
    <t xml:space="preserve">판결로 종결된 사건 중 자유형이 선고된 사건을 형기별로 분류하면 표 97과 같다. 자유형(징역ㆍ금고)이 선고된 사건 중 집행유예 선고를 받은 인원수 비율은 제1심이 56.4%, 항소심이 41.4%이다. </t>
    <phoneticPr fontId="55" type="noConversion"/>
  </si>
  <si>
    <t>제7항 형사사건</t>
    <phoneticPr fontId="5" type="noConversion"/>
  </si>
  <si>
    <t>약식</t>
    <phoneticPr fontId="5" type="noConversion"/>
  </si>
  <si>
    <t>사건별</t>
    <phoneticPr fontId="5" type="noConversion"/>
  </si>
  <si>
    <t>본안외사건</t>
    <phoneticPr fontId="5" type="noConversion"/>
  </si>
  <si>
    <t>공판</t>
    <phoneticPr fontId="5" type="noConversion"/>
  </si>
  <si>
    <t>상고심</t>
    <phoneticPr fontId="5" type="noConversion"/>
  </si>
  <si>
    <t>합의</t>
    <phoneticPr fontId="5" type="noConversion"/>
  </si>
  <si>
    <t>단독</t>
    <phoneticPr fontId="5" type="noConversion"/>
  </si>
  <si>
    <t>고등법원</t>
    <phoneticPr fontId="5" type="noConversion"/>
  </si>
  <si>
    <t>군사재판</t>
    <phoneticPr fontId="5" type="noConversion"/>
  </si>
  <si>
    <t>지방법원</t>
    <phoneticPr fontId="5" type="noConversion"/>
  </si>
  <si>
    <t>항소심</t>
    <phoneticPr fontId="5" type="noConversion"/>
  </si>
  <si>
    <t>대법원</t>
    <phoneticPr fontId="5" type="noConversion"/>
  </si>
  <si>
    <t>제1심</t>
    <phoneticPr fontId="5" type="noConversion"/>
  </si>
  <si>
    <t>치료감호</t>
    <phoneticPr fontId="5" type="noConversion"/>
  </si>
  <si>
    <t>신청</t>
    <phoneticPr fontId="5" type="noConversion"/>
  </si>
  <si>
    <t>약식(전자약식포함)</t>
    <phoneticPr fontId="5" type="noConversion"/>
  </si>
  <si>
    <t>신청등</t>
    <phoneticPr fontId="5" type="noConversion"/>
  </si>
  <si>
    <t>주 : 1. 영장란은 구속영장, 체포영장, 감호영장, 압수수색검증영장, 감정유치장, 통신제한조치허가서, 통신사실확인자료제공요청 등의 합산이며,</t>
    <phoneticPr fontId="5" type="noConversion"/>
  </si>
  <si>
    <t>형사사건에 대한 최근 10년간의 증감추세를 보면 도표 26 및 표 88과 같다.</t>
    <phoneticPr fontId="5" type="noConversion"/>
  </si>
  <si>
    <t>형사사건 사건별 추이 - 접수 (도표 26)</t>
    <phoneticPr fontId="5" type="noConversion"/>
  </si>
  <si>
    <t>도표 26</t>
    <phoneticPr fontId="5" type="noConversion"/>
  </si>
  <si>
    <t>영장</t>
    <phoneticPr fontId="5" type="noConversion"/>
  </si>
  <si>
    <t>즉결</t>
    <phoneticPr fontId="5" type="noConversion"/>
  </si>
  <si>
    <t>약식</t>
    <phoneticPr fontId="5" type="noConversion"/>
  </si>
  <si>
    <t>계</t>
    <phoneticPr fontId="5" type="noConversion"/>
  </si>
  <si>
    <t>형사사건 연도별 비교 - 접수(표 88)</t>
    <phoneticPr fontId="5" type="noConversion"/>
  </si>
  <si>
    <t>구분</t>
    <phoneticPr fontId="5" type="noConversion"/>
  </si>
  <si>
    <t>연도</t>
    <phoneticPr fontId="5" type="noConversion"/>
  </si>
  <si>
    <t>인원수</t>
    <phoneticPr fontId="5" type="noConversion"/>
  </si>
  <si>
    <t>지수</t>
    <phoneticPr fontId="5" type="noConversion"/>
  </si>
  <si>
    <t>주 : 공판사건 인원수에는 치료감호처분사건 인원수가 포함되었음</t>
    <phoneticPr fontId="5" type="noConversion"/>
  </si>
  <si>
    <t>제1심에서 접수된 치료감호사건은 302건인데, 공소제기와 함께 감호청구를 한 사건은 288건(95.4%)으로 공소제기와 별도로 독립하여 감호청구를 한 14건(4.6%)에 비하여 매우 높은 비율을 차지하고 있다. 제1심 치료감호사건을 법원별로 비교한 내역은 표 112와 같다.</t>
    <phoneticPr fontId="5" type="noConversion"/>
  </si>
  <si>
    <t>제1심 치료감호사건 법원별 처리상황(표 112)</t>
    <phoneticPr fontId="5" type="noConversion"/>
  </si>
  <si>
    <t>합계</t>
    <phoneticPr fontId="5" type="noConversion"/>
  </si>
  <si>
    <t>서울
중앙</t>
    <phoneticPr fontId="5" type="noConversion"/>
  </si>
  <si>
    <t>서울
동부</t>
    <phoneticPr fontId="5" type="noConversion"/>
  </si>
  <si>
    <t>서울
남부</t>
    <phoneticPr fontId="5" type="noConversion"/>
  </si>
  <si>
    <t>서울
북부</t>
    <phoneticPr fontId="5" type="noConversion"/>
  </si>
  <si>
    <t>서울
서부</t>
    <phoneticPr fontId="5" type="noConversion"/>
  </si>
  <si>
    <t>의정부</t>
    <phoneticPr fontId="5" type="noConversion"/>
  </si>
  <si>
    <t>인천</t>
    <phoneticPr fontId="5" type="noConversion"/>
  </si>
  <si>
    <t>수원</t>
    <phoneticPr fontId="5" type="noConversion"/>
  </si>
  <si>
    <t>춘천</t>
    <phoneticPr fontId="5" type="noConversion"/>
  </si>
  <si>
    <t>대전</t>
    <phoneticPr fontId="5" type="noConversion"/>
  </si>
  <si>
    <t>청주</t>
    <phoneticPr fontId="5" type="noConversion"/>
  </si>
  <si>
    <t>대구</t>
    <phoneticPr fontId="5" type="noConversion"/>
  </si>
  <si>
    <t>부산</t>
    <phoneticPr fontId="5" type="noConversion"/>
  </si>
  <si>
    <t>울산</t>
    <phoneticPr fontId="5" type="noConversion"/>
  </si>
  <si>
    <t>창원</t>
    <phoneticPr fontId="5" type="noConversion"/>
  </si>
  <si>
    <t>광주</t>
    <phoneticPr fontId="5" type="noConversion"/>
  </si>
  <si>
    <t>전주</t>
    <phoneticPr fontId="5" type="noConversion"/>
  </si>
  <si>
    <t>제주</t>
    <phoneticPr fontId="5" type="noConversion"/>
  </si>
  <si>
    <t>구분</t>
    <phoneticPr fontId="5" type="noConversion"/>
  </si>
  <si>
    <t>금년접수계</t>
    <phoneticPr fontId="5" type="noConversion"/>
  </si>
  <si>
    <t>기소병행청구</t>
    <phoneticPr fontId="5" type="noConversion"/>
  </si>
  <si>
    <t>처리</t>
    <phoneticPr fontId="5" type="noConversion"/>
  </si>
  <si>
    <t>다. 처리상황</t>
    <phoneticPr fontId="5" type="noConversion"/>
  </si>
  <si>
    <t>(1) 처리율</t>
    <phoneticPr fontId="5" type="noConversion"/>
  </si>
  <si>
    <t>치료감호사건의 처리상황을 보면 표 113과 같다. 제1심이 87.4%, 항소심이 81.1%, 상고심이 100.0%의 처리율을 보이고 있고, 평균처리율은 86.2%이다.</t>
    <phoneticPr fontId="5" type="noConversion"/>
  </si>
  <si>
    <t>(2) 재판결과</t>
    <phoneticPr fontId="5" type="noConversion"/>
  </si>
  <si>
    <t>치료감호사건의 재판결과를 보면 표 114와 같다. 처리된 사건 중 제1심의 91.6%, 항소심의 81.4%, 상고심의 82.6%가 각 판결로 종결된 것임을 알 수 있다.</t>
    <phoneticPr fontId="5" type="noConversion"/>
  </si>
  <si>
    <t>금년접수</t>
    <phoneticPr fontId="5" type="noConversion"/>
  </si>
  <si>
    <t>미제</t>
    <phoneticPr fontId="5" type="noConversion"/>
  </si>
  <si>
    <t>처리율(%)</t>
    <phoneticPr fontId="5" type="noConversion"/>
  </si>
  <si>
    <t>심급</t>
    <phoneticPr fontId="5" type="noConversion"/>
  </si>
  <si>
    <t>제1심계</t>
    <phoneticPr fontId="5" type="noConversion"/>
  </si>
  <si>
    <t>독립청구</t>
    <phoneticPr fontId="5" type="noConversion"/>
  </si>
  <si>
    <t>항소심</t>
    <phoneticPr fontId="5" type="noConversion"/>
  </si>
  <si>
    <t>상고심</t>
    <phoneticPr fontId="5" type="noConversion"/>
  </si>
  <si>
    <t>공판절차
이행</t>
    <phoneticPr fontId="5" type="noConversion"/>
  </si>
  <si>
    <t>주 : (   )내의 수는 구성비(%)임(이하 같음)</t>
    <phoneticPr fontId="5" type="noConversion"/>
  </si>
  <si>
    <t>상소심</t>
    <phoneticPr fontId="5" type="noConversion"/>
  </si>
  <si>
    <t>계</t>
    <phoneticPr fontId="5" type="noConversion"/>
  </si>
  <si>
    <t>자판</t>
    <phoneticPr fontId="5" type="noConversion"/>
  </si>
  <si>
    <t>(-)</t>
    <phoneticPr fontId="5" type="noConversion"/>
  </si>
  <si>
    <t>(3) 상소율</t>
    <phoneticPr fontId="5" type="noConversion"/>
  </si>
  <si>
    <t>치료감호사건 상소율(표 115)</t>
    <phoneticPr fontId="5" type="noConversion"/>
  </si>
  <si>
    <t>판결인원</t>
    <phoneticPr fontId="5" type="noConversion"/>
  </si>
  <si>
    <t>상소인원</t>
    <phoneticPr fontId="5" type="noConversion"/>
  </si>
  <si>
    <t>상소율(%)</t>
    <phoneticPr fontId="5" type="noConversion"/>
  </si>
  <si>
    <t>즉결심판사건의 처리내용을 보면 표 120과 같다. 즉결 심판에 대한 정식재판청구건수는 269건이다.</t>
    <phoneticPr fontId="5" type="noConversion"/>
  </si>
  <si>
    <t>즉결심판사건 법원별 접수인원(표 119)</t>
    <phoneticPr fontId="5" type="noConversion"/>
  </si>
  <si>
    <t>법원</t>
    <phoneticPr fontId="5" type="noConversion"/>
  </si>
  <si>
    <t>서울
남부</t>
    <phoneticPr fontId="5" type="noConversion"/>
  </si>
  <si>
    <t>즉결심판사건 처리내용(표 120)</t>
    <phoneticPr fontId="5" type="noConversion"/>
  </si>
  <si>
    <t>선고유예</t>
    <phoneticPr fontId="5" type="noConversion"/>
  </si>
  <si>
    <t>청구기각</t>
    <phoneticPr fontId="5" type="noConversion"/>
  </si>
  <si>
    <t>무죄</t>
    <phoneticPr fontId="5" type="noConversion"/>
  </si>
  <si>
    <t>면소ㆍ
공소기각</t>
    <phoneticPr fontId="5" type="noConversion"/>
  </si>
  <si>
    <t>기타</t>
    <phoneticPr fontId="5" type="noConversion"/>
  </si>
  <si>
    <t>정식재판
청구</t>
    <phoneticPr fontId="5" type="noConversion"/>
  </si>
  <si>
    <t>사건</t>
    <phoneticPr fontId="5" type="noConversion"/>
  </si>
  <si>
    <t>벌금</t>
    <phoneticPr fontId="5" type="noConversion"/>
  </si>
  <si>
    <t>구류</t>
    <phoneticPr fontId="5" type="noConversion"/>
  </si>
  <si>
    <t>즉결심판사건</t>
    <phoneticPr fontId="5" type="noConversion"/>
  </si>
  <si>
    <t>구성비(%)</t>
    <phoneticPr fontId="5" type="noConversion"/>
  </si>
  <si>
    <t>6. 영장사건</t>
    <phoneticPr fontId="5" type="noConversion"/>
  </si>
  <si>
    <t>영장사건 처리상황 - 전심급(표 121)</t>
    <phoneticPr fontId="5" type="noConversion"/>
  </si>
  <si>
    <t>발부율(%)</t>
    <phoneticPr fontId="5" type="noConversion"/>
  </si>
  <si>
    <t>직권발부</t>
    <phoneticPr fontId="5" type="noConversion"/>
  </si>
  <si>
    <t>종류</t>
    <phoneticPr fontId="5" type="noConversion"/>
  </si>
  <si>
    <t>압수수색검증영장</t>
    <phoneticPr fontId="5" type="noConversion"/>
  </si>
  <si>
    <t>통신제한조치허가서</t>
    <phoneticPr fontId="5" type="noConversion"/>
  </si>
  <si>
    <t>통신사실확인자료제공요청</t>
    <phoneticPr fontId="5" type="noConversion"/>
  </si>
  <si>
    <t>디엔에이감식시료채취영장</t>
    <phoneticPr fontId="5" type="noConversion"/>
  </si>
  <si>
    <t>구인장</t>
    <phoneticPr fontId="5" type="noConversion"/>
  </si>
  <si>
    <t>유치허가장</t>
    <phoneticPr fontId="5" type="noConversion"/>
  </si>
  <si>
    <t>주 : 1. 발부율은 수사를 위한 청구인원 대 발부인원의 비율임</t>
    <phoneticPr fontId="5" type="noConversion"/>
  </si>
  <si>
    <t xml:space="preserve">      3. 통신제한조치허가서란에는 기간연장이 포함됨</t>
    <phoneticPr fontId="5" type="noConversion"/>
  </si>
  <si>
    <t>구속영장 발부율의 추이 - 전심급(도표 36)</t>
    <phoneticPr fontId="5" type="noConversion"/>
  </si>
  <si>
    <t>도표 36</t>
    <phoneticPr fontId="5" type="noConversion"/>
  </si>
  <si>
    <t>11</t>
    <phoneticPr fontId="5" type="noConversion"/>
  </si>
  <si>
    <t>도표 37</t>
    <phoneticPr fontId="5" type="noConversion"/>
  </si>
  <si>
    <t>10</t>
    <phoneticPr fontId="5" type="noConversion"/>
  </si>
  <si>
    <t>12</t>
    <phoneticPr fontId="5" type="noConversion"/>
  </si>
  <si>
    <t>13</t>
    <phoneticPr fontId="5" type="noConversion"/>
  </si>
  <si>
    <t>14</t>
    <phoneticPr fontId="5" type="noConversion"/>
  </si>
  <si>
    <t>15</t>
    <phoneticPr fontId="5" type="noConversion"/>
  </si>
  <si>
    <t>16</t>
    <phoneticPr fontId="5" type="noConversion"/>
  </si>
  <si>
    <t>17</t>
    <phoneticPr fontId="5" type="noConversion"/>
  </si>
  <si>
    <t>18</t>
    <phoneticPr fontId="5" type="noConversion"/>
  </si>
  <si>
    <t>19</t>
    <phoneticPr fontId="5" type="noConversion"/>
  </si>
  <si>
    <t>나. 형사신청사건의 처리상황</t>
    <phoneticPr fontId="5" type="noConversion"/>
  </si>
  <si>
    <t>형사신청사건의 처리상황을 종류별로 구분하여 비교한 내역은 표 122와 같다. 지방법원 형사신청사건의 처리상황을 보면 체포ㆍ구속적부심사청구 및 보석청구사건이 11.8%에 해당하는 7,195건임을 알 수 있다.</t>
    <phoneticPr fontId="5" type="noConversion"/>
  </si>
  <si>
    <t>형사신청사건 종류별 처리상황(표 122)</t>
    <phoneticPr fontId="5" type="noConversion"/>
  </si>
  <si>
    <t>고등법원</t>
    <phoneticPr fontId="5" type="noConversion"/>
  </si>
  <si>
    <t>대법원</t>
    <phoneticPr fontId="5" type="noConversion"/>
  </si>
  <si>
    <t>제척ㆍ기피ㆍ회피</t>
    <phoneticPr fontId="5" type="noConversion"/>
  </si>
  <si>
    <t>압수물환부ㆍ가환부</t>
    <phoneticPr fontId="5" type="noConversion"/>
  </si>
  <si>
    <t>정식재판청구권회복</t>
    <phoneticPr fontId="5" type="noConversion"/>
  </si>
  <si>
    <t>사회봉사허가청구</t>
    <phoneticPr fontId="5" type="noConversion"/>
  </si>
  <si>
    <t xml:space="preserve">      2. "보석"란에는 편의상 직권보석 건수도 접수건수로 계산하였음</t>
    <phoneticPr fontId="5" type="noConversion"/>
  </si>
  <si>
    <t>변호인</t>
    <phoneticPr fontId="5" type="noConversion"/>
  </si>
  <si>
    <t>주 : (  )내의 수는 구성비(%)임</t>
    <phoneticPr fontId="5" type="noConversion"/>
  </si>
  <si>
    <t>보석청구사건 처리상황</t>
    <phoneticPr fontId="5" type="noConversion"/>
  </si>
  <si>
    <t xml:space="preserve">보석결정
평균처리
기간(일)
</t>
    <phoneticPr fontId="5" type="noConversion"/>
  </si>
  <si>
    <t>직권보석</t>
    <phoneticPr fontId="5" type="noConversion"/>
  </si>
  <si>
    <t>허가율(%)</t>
    <phoneticPr fontId="5" type="noConversion"/>
  </si>
  <si>
    <t>주 : 1. 허가율 = 허가/처리×100</t>
    <phoneticPr fontId="5" type="noConversion"/>
  </si>
  <si>
    <t>체포ㆍ구속적부심사 청구사건 석방률 비교(표 124)</t>
    <phoneticPr fontId="5" type="noConversion"/>
  </si>
  <si>
    <t>석방률(%)</t>
    <phoneticPr fontId="5" type="noConversion"/>
  </si>
  <si>
    <t>주 : 청구건수는 금년 접수건수임</t>
    <phoneticPr fontId="5" type="noConversion"/>
  </si>
  <si>
    <t>체포ㆍ구속적부심사 석방률 추이(도표 38)</t>
    <phoneticPr fontId="5" type="noConversion"/>
  </si>
  <si>
    <t>도표 38</t>
    <phoneticPr fontId="5" type="noConversion"/>
  </si>
  <si>
    <t>비변호인</t>
    <phoneticPr fontId="5" type="noConversion"/>
  </si>
  <si>
    <t>「소송촉진 등에 관한 특례법」에 의한 배상명령신청에 대한 처리내용 및 배상명령금액을 연도별로 비교한 내역은 표 125와 같다.</t>
    <phoneticPr fontId="5" type="noConversion"/>
  </si>
  <si>
    <t>주 : 인용률 = (인용/처리)×100</t>
    <phoneticPr fontId="5" type="noConversion"/>
  </si>
  <si>
    <t>도표 39</t>
    <phoneticPr fontId="5" type="noConversion"/>
  </si>
  <si>
    <t>재항고</t>
    <phoneticPr fontId="5" type="noConversion"/>
  </si>
  <si>
    <t>판결로 종결된 사건의 상소건수 및 상소율은 표 100과 같다. 제1심 판결에 대한 항소율(항소건수/판결건수×100)은 42.7%인데, 그 중에서도 특히 합의사건의 항소율이 65.7%로 비교적 높은 비율을 나타내고 있다.</t>
    <phoneticPr fontId="5" type="noConversion"/>
  </si>
  <si>
    <t>도표 25</t>
    <phoneticPr fontId="5" type="noConversion"/>
  </si>
  <si>
    <t>2019년도</t>
    <phoneticPr fontId="5" type="noConversion"/>
  </si>
  <si>
    <t>2018년도</t>
    <phoneticPr fontId="5" type="noConversion"/>
  </si>
  <si>
    <t>피고인의 남ㆍ여 성별 비교내역은 표 90과 같다. 제1심 형사공판사건 경우 여자의 비율은 13.3%이다.</t>
    <phoneticPr fontId="5" type="noConversion"/>
  </si>
  <si>
    <t xml:space="preserve">      2. 치료감호처분 사건에 대한 국선변호인 57명 및 체포ㆍ구속적부심사 청구사건에 대한 국선변호인 선정인원 1,435명이 포함됨</t>
    <phoneticPr fontId="5" type="noConversion"/>
  </si>
  <si>
    <t>2월
이내</t>
    <phoneticPr fontId="5" type="noConversion"/>
  </si>
  <si>
    <t>6월
이내</t>
    <phoneticPr fontId="5" type="noConversion"/>
  </si>
  <si>
    <t>2019년에 접수된 치료감호사건은 457건으로 전체 형사사건 1,481,392건의 0.03%, 형사본안사건 343,150건의 0.13%를 차지하고 있다.</t>
    <phoneticPr fontId="5" type="noConversion"/>
  </si>
  <si>
    <t>판결로 종결된 사건의 상소율은 표 115와 같다. 참고로 형사공판사건의 상소율은 제1심의 경우 42.7%, 항소심의 경우 34.6%이다.</t>
    <phoneticPr fontId="5" type="noConversion"/>
  </si>
  <si>
    <t>2019년도에 접수된 형사항고ㆍ재항고사건은 모두 11,643건으로 전체 형사사건의 0.79%를 차지하고 있다. 최근 10년간의 추세는 도표 39와 같으며 형사(재)항고 사건의 접수ㆍ처리상황은 표 126과 같다.</t>
    <phoneticPr fontId="5" type="noConversion"/>
  </si>
  <si>
    <t>처리된 제1심 형사공판 235,887건 중 간이공판절차에 의하여 심판된 사건은 8,229건으로 처리건수의 3.5%를 차지하고 있다. 최근 5년간 간이공판절차에 의하여 처리된 사건의 처리추이는 도표 31과 같고, 2019년의 간이공판절차에 의한 재판결과는 표 99와 같다.</t>
    <phoneticPr fontId="5" type="noConversion"/>
  </si>
  <si>
    <t>각 심급의 공판절차(치료감호사건 포함) 및 체포ㆍ구속적부심사청구절차에서 국선변호인이 선정된 사건수와 피고인수를 그 선정사유별로 보면 표 101과 같다. 전체형사공판사건(치료감호사건 포함) 피고인 343,150명 중 37.1%에 해당하는 127,208명이 국선변호인의 조력 아래 재판을 받았다{제1심 합의사건(치료감호사건 포함)의 경우에는 38.5%임}.</t>
    <phoneticPr fontId="5" type="noConversion"/>
  </si>
  <si>
    <t>처리된 제1심 형사공판사건 235,887건 중 19세 미만자 사건은 3,036건으로 1.3%를 차지하고 있고, 이에 대한 재판결과를 보면 표 98과 같다.</t>
    <phoneticPr fontId="5" type="noConversion"/>
  </si>
  <si>
    <t>종결된 형사공판사건의 처리기간을 각 심급별로 보면 표 102와 같다. 소송촉진 등에 관한 특례법 제21조의 판결선고 기간(제1심은 6월, 항소심ㆍ상고심은 각 4월)내에 종결된 사건은 구속ㆍ불구속 사건을 합하여 제1심의 경우 합의사건이 13,836건(76.6%), 단독사건이 169,122건(77.6%)이고, 항소심의 경우 고등법원이 4,620건(49.0%), 지방법원 항소부가 30,546건(50.6%)이며, 상고심의 경우 20,118건(89.3%)이다. 형사공판사건의 심급별 평균처리기간은 표 103과 같고, 확정시 까지의 처리기간은 표104와 같으며, 5년간 추이를 보면 도표 34, 35와 같다.</t>
    <phoneticPr fontId="5" type="noConversion"/>
  </si>
  <si>
    <t>2019년도에 각급 법원에 접수된 형사사건은 모두 1,481,392건으로 전체사건의 8.4%, 소송사건의 22.3%를 차지하고 있다. 형사사건을 공판사건(합의ㆍ단독사건), 치료감호사건, 약식사건, 즉결사건, 영장사건, 신청사건 등으로 구분하여 그 접수ㆍ처리 내역을 종류별로 분류한 내역은 표 87과 같다. 형사사건은 전년에 비하여 1.8%가 증가되었다. 그 내용을 보면 본안사건은 1.0% 증가하였고, 본안외 사건은 2.0%가 증가하였음을 알 수 있다. 형사사건을 종류별로 보면 도표 25와 같다. 제1심 형사공판사건으로 기소된 외국인은 5,221명으로 중국인 3,455명(66.2%), 태국인 265명(5.1%) 순이며, 자유형을 선고받은 외국인은 36.2%, 집행유예를 선고받은 외국인은 38.1%이다.</t>
    <phoneticPr fontId="5" type="noConversion"/>
  </si>
  <si>
    <t>2019년에 접수된 약식명령사건은 491,690(전자약식 포함)건으로, 전체사건의 2.8%, 전체소송사건의 7.4%, 전체 형사사건의 33.2%를 각 차지하고 있다.
약식명령사건의 최근 10년간의 동향은 앞의 표 88 및 도표 26에서 본 바와 같다.</t>
    <phoneticPr fontId="5" type="noConversion"/>
  </si>
  <si>
    <t>4. 약식명령사건</t>
    <phoneticPr fontId="5" type="noConversion"/>
  </si>
  <si>
    <t>2019년도에 접수된 즉결심판사건은 모두 67,864건으로 전체 형사사건의 4.6%, 전체 소송사건의 1.0%를 각 차지하고 있다. 즉결심판사건에 대한 최근 10년간의 추세는 앞의 표 88 및 도표 26과 같은데, 전년도에 비하여 4.0% 증가하였음을 알 수 있다. 즉결심판사건 접수인원의 법원별 비교내역은 표 119와 같다.</t>
    <phoneticPr fontId="5" type="noConversion"/>
  </si>
  <si>
    <t>2019년도 영장 청구사건(구속영장, 체포영장, 감호영장, 압수수색검증영장, 감정유치장 등)은 모두 466,329건(직권발부 포함)으로, 전체 형사사건의 31.5%, 전체 소송사건의 7.0%, 전체사건의 2.6%를 각 차지하고 있다. 영장사건의 최근 10년간의 추세는 앞의 표 88 및 도표 26과 같은데, 전년도에 비하여 8.5%가 증가하였음을 알 수 있다.</t>
    <phoneticPr fontId="5" type="noConversion"/>
  </si>
  <si>
    <t>2019년도에 접수된 형사신청ㆍ(재)항고사건은 110,064건으로 전체 형사사건의 7.4%, 전체 소송사건의 1.7%, 전체사건의 0.6%를 각 차지하고 있다.
형사신청사건의 최근 10년간의 추세는 앞의 표 88과 같고, 지방법원 형사신청사건의 추이는 도표 37과 같다.</t>
    <phoneticPr fontId="5" type="noConversion"/>
  </si>
  <si>
    <t>형사사건 접수ㆍ처리 총괄(표 87)</t>
    <phoneticPr fontId="5" type="noConversion"/>
  </si>
  <si>
    <t>(3) 19세 미만자 재판결과</t>
    <phoneticPr fontId="5" type="noConversion"/>
  </si>
  <si>
    <t>확정심급</t>
    <phoneticPr fontId="5" type="noConversion"/>
  </si>
  <si>
    <t>사건</t>
    <phoneticPr fontId="5" type="noConversion"/>
  </si>
  <si>
    <t>사건</t>
    <phoneticPr fontId="5" type="noConversion"/>
  </si>
  <si>
    <t>2019년도에 접수된 형사공판사건(치료감호사건 제외)은 342,693건으로 전체사건의 1.9%, 소송사건의 5.2%를 차지하고 있다. 이를 다시 심급별로 보면 제1심이 247,063건(72.1%)이고, 항소심이 73,835건(21.5%)으로 그 중 고등법원이 9,351건(2.7%), 지방법원항소부가 64,484건(18.8%)이며, 상고심은 21,795건(6.4%)이다. 한편 그 증감추세를 보면 표 88과 같고, 이를 다시 심급별로 살펴보면 도표 27~29와 같다.</t>
    <phoneticPr fontId="5" type="noConversion"/>
  </si>
  <si>
    <t>주 : 처리율(%) = 처리/금년접수×100</t>
    <phoneticPr fontId="5" type="noConversion"/>
  </si>
  <si>
    <t>주 : 처리율(%) = 처리/금년접수×100</t>
    <phoneticPr fontId="5" type="noConversion"/>
  </si>
  <si>
    <t xml:space="preserve">      2. 기각에는 일부기각이 포함되어 있음(압수수색검증영장 28,094건, 통신제한조치허가서 2건,
          통신사실확인자료제공요청 2,905건이 일부기각 인원임)</t>
    <phoneticPr fontId="5" type="noConversion"/>
  </si>
  <si>
    <t xml:space="preserve">      2. 형사사건인원수임(이하 같음)</t>
    <phoneticPr fontId="5" type="noConversion"/>
  </si>
  <si>
    <r>
      <t>신용</t>
    </r>
    <r>
      <rPr>
        <sz val="9"/>
        <color rgb="FFFF0000"/>
        <rFont val="굴림"/>
        <family val="3"/>
        <charset val="129"/>
      </rPr>
      <t>·</t>
    </r>
    <r>
      <rPr>
        <sz val="9"/>
        <rFont val="굴림"/>
        <family val="3"/>
        <charset val="129"/>
      </rPr>
      <t>업무와경매에관한죄</t>
    </r>
    <phoneticPr fontId="5" type="noConversion"/>
  </si>
  <si>
    <t>(-)</t>
    <phoneticPr fontId="5" type="noConversion"/>
  </si>
  <si>
    <t>주 : 상고심 1심 합의에는 군사재판사건이 포함됨</t>
    <phoneticPr fontId="22" type="noConversion"/>
  </si>
  <si>
    <t>주 : 1. 확정사건 평균처리일수는 2019년 확정된 사건의 확정심급별 1심 접수일부터 최종 심급 종국일까지의 기간으로 심급별 선고일부터 상급심 접수일까지의 기간이 포함됨</t>
    <phoneticPr fontId="22" type="noConversion"/>
  </si>
  <si>
    <t xml:space="preserve">      2. 상고심에서 파기환송되어 항소심에서 접수 진행된 경우, 상고심 확정사건으로 봄</t>
    <phoneticPr fontId="22" type="noConversion"/>
  </si>
  <si>
    <t xml:space="preserve">      3. 제1심 접수 피고인 중 병합심리결정, 소년부송치, 이송, 재정합의결정, 재배당 등으로 확정일자가 없는 사건은 심급별 사건수에서 제외됨</t>
    <phoneticPr fontId="22" type="noConversion"/>
  </si>
  <si>
    <t>주 : ( )내의 수는 구성비(%)임</t>
    <phoneticPr fontId="5" type="noConversion"/>
  </si>
  <si>
    <t>처리</t>
    <phoneticPr fontId="5" type="noConversion"/>
  </si>
  <si>
    <t>약식명령사건의 처리상황 내역은 표 116과 같고, 이를 다시 법원별로 비교하여 보면 표 117과 같다. 약식명령사건 중 직권으로 공판에 회부된 사건은 9,302건(1.9%)이다. 약식명령에 대하여 정식재판을 청구한 사건(직권공판회부사건은 제외)은 43,724건으로 처리된 사건 489,849건의 8.9%에 해당하고, 2019년 정식재판청구사건의 접수ㆍ처리상황은 표 118과 같다.</t>
    <phoneticPr fontId="5" type="noConversion"/>
  </si>
  <si>
    <t>보호관찰∙
사회봉사명령</t>
    <phoneticPr fontId="55" type="noConversion"/>
  </si>
  <si>
    <t>보호관찰∙
수강명령</t>
    <phoneticPr fontId="55" type="noConversion"/>
  </si>
  <si>
    <t>보호관찰∙
치료명령</t>
    <phoneticPr fontId="55" type="noConversion"/>
  </si>
  <si>
    <t>사회봉사명령∙
수강명령</t>
    <phoneticPr fontId="55" type="noConversion"/>
  </si>
  <si>
    <t>보호관찰∙
사회봉사명령∙
수강명령</t>
    <phoneticPr fontId="55" type="noConversion"/>
  </si>
  <si>
    <t>보호관찰∙
사회봉사명령∙
치료명령</t>
    <phoneticPr fontId="55" type="noConversion"/>
  </si>
  <si>
    <t>보호관찰∙
수강명령∙
치료명령</t>
    <phoneticPr fontId="55" type="noConversion"/>
  </si>
  <si>
    <t>보호관찰∙
사회봉사명령∙
수강명령∙
치료명령</t>
    <phoneticPr fontId="55" type="noConversion"/>
  </si>
  <si>
    <t>형사공판 재심사건의 제1심 접수 및 처리현황은 표 94와 같다.</t>
    <phoneticPr fontId="5" type="noConversion"/>
  </si>
  <si>
    <t>주 : 종국된 사건 기준으로 기소시 불구속사건이며 종국시 최초 구속된 피고인수임.</t>
    <phoneticPr fontId="22" type="noConversion"/>
  </si>
  <si>
    <t>주 : 1. 치료감호처분사건은 제외함</t>
    <phoneticPr fontId="5" type="noConversion"/>
  </si>
  <si>
    <t>판결인원수</t>
    <phoneticPr fontId="5" type="noConversion"/>
  </si>
  <si>
    <t>항소인원수</t>
    <phoneticPr fontId="5" type="noConversion"/>
  </si>
  <si>
    <t>형사공판사건의 중요사건을 죄명별로 비교하여 보면 표 91과 같이 형법범과 특별법범의 비율은 54대 46이며, 사기와 공갈의 죄가 62,854건(18.3%)으로 가장 많고, 다음으로 도로교통법위반이 36,833건(10.7%), 상해와 폭행의 죄가 31,426건(9.2%), 절도와 강도의 죄가 17,395건(5.1%), 특정범죄 가중처벌 등에 관한 법률위반이 14,667건(4.3%), 공무방해에 관한 죄가 11,645건(3.4%), 교통사고처리특례법위반이 11,443건(3.3%)등의 순이다.</t>
    <phoneticPr fontId="5" type="noConversion"/>
  </si>
  <si>
    <t>각종 영장의 발부율 내역은 표 121과 같다. 2019년 연간 수사를 위한 구속영장발부 인원수(24,044) 대비 구속기소 인원수(24,608)의 비율은 102.3%이다. 최근 5년간 구속영장 발부율의 추이는 도표 36과 같다.</t>
    <phoneticPr fontId="5" type="noConversion"/>
  </si>
  <si>
    <t xml:space="preserve">      2. "집행유예"에는 집행유예(재산형)이 포함됨</t>
    <phoneticPr fontId="55" type="noConversion"/>
  </si>
  <si>
    <t>주 : 1. "단순처분"은 집행유예 선고와 동시에 보호관찰, 사회봉사, 수강명령 중 어느 하나를 선고한 경우(형법 제62조의 2)로, "병과처분"은 단순처분, 치료명령(치료감호 등에 관한 법률 제44조의 2)이 병과된 경우임</t>
    <phoneticPr fontId="5" type="noConversion"/>
  </si>
  <si>
    <t>체포ㆍ구속적부심사 청구사건 청구인별 및 보석 청구사건 처리상황(표 123)</t>
    <phoneticPr fontId="5" type="noConversion"/>
  </si>
  <si>
    <t xml:space="preserve">      2. 직권보석은 금년접수, 처리계란에 포함되지 않음</t>
    <phoneticPr fontId="5" type="noConversion"/>
  </si>
  <si>
    <t>주 : 1. "금년접수"란 ( )내의 수는 구성비(%)임</t>
    <phoneticPr fontId="5" type="noConversion"/>
  </si>
  <si>
    <t>치료감호처분사건 접수ㆍ처리ㆍ미제 인원수(표 113)</t>
    <phoneticPr fontId="5" type="noConversion"/>
  </si>
  <si>
    <t>간이공판절차에 의하여 종결된 사건의 처리기간별 내역은 표 110과 같다. 간이공판절차에 의하여 종결된 전체 사건 중 90.8%가 6월 이내에 처리되고 있음을 알 수 있다.</t>
    <phoneticPr fontId="5" type="noConversion"/>
  </si>
  <si>
    <t>형사공판사건 미제 기간별 인원수(표 111)</t>
    <phoneticPr fontId="5" type="noConversion"/>
  </si>
  <si>
    <t xml:space="preserve">      2. "법정기간"은 「소송촉진등에 관한 특례법」 제21조의 판결선고기간으로 제1심은 6월, 항소심ㆍ상고심은 각 4월임</t>
    <phoneticPr fontId="5" type="noConversion"/>
  </si>
  <si>
    <t>형사공판사건의 확정시까지의 평균처리기간 (표 104)</t>
    <phoneticPr fontId="22" type="noConversion"/>
  </si>
  <si>
    <t>상소심 파기(취소)ㆍ기각 비교 (도표 30)</t>
    <phoneticPr fontId="5" type="noConversion"/>
  </si>
  <si>
    <t>제1심 형사공판사건 247,063건을 사물관할별로 보면 표 87과 같이 합의사건이 17,953건, 단독사건이 229,110건으로 그 비율은 7.3 대 92.7이 된다.</t>
    <phoneticPr fontId="5" type="noConversion"/>
  </si>
  <si>
    <t>직권에 의하여 발부된 영장건수도 편의상 접수건수로 포함하였으며, 부착명령, 보호관찰명령, 치료명령사건은 신청 등에 포함함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</si>
</sst>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\(0.0\)"/>
    <numFmt numFmtId="177" formatCode="_-* #,##0.0_-;\-* #,##0.0_-;_-* &quot;-&quot;_-;_-@_-"/>
    <numFmt numFmtId="178" formatCode="\(#,###.0\)"/>
    <numFmt numFmtId="179" formatCode="\(\-\)"/>
    <numFmt numFmtId="180" formatCode="_ * #,##0_ ;_ * \-#,##0_ ;_ * &quot;-&quot;_ ;_ @_ "/>
    <numFmt numFmtId="181" formatCode="_ * #,##0.00_ ;_ * \-#,##0.00_ ;_ * &quot;-&quot;??_ ;_ @_ "/>
    <numFmt numFmtId="182" formatCode="\(#,##0.0\)"/>
    <numFmt numFmtId="183" formatCode="0.0"/>
    <numFmt numFmtId="184" formatCode="\(0.00\)"/>
  </numFmts>
  <fonts count="66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63"/>
      <name val="굴림"/>
      <family val="3"/>
      <charset val="129"/>
    </font>
    <font>
      <sz val="9"/>
      <name val="굴림"/>
      <family val="3"/>
      <charset val="129"/>
    </font>
    <font>
      <sz val="9"/>
      <color indexed="8"/>
      <name val="굴림"/>
      <family val="3"/>
      <charset val="129"/>
    </font>
    <font>
      <b/>
      <sz val="14"/>
      <name val="굴림"/>
      <family val="3"/>
      <charset val="129"/>
    </font>
    <font>
      <sz val="9"/>
      <color indexed="9"/>
      <name val="굴림"/>
      <family val="3"/>
      <charset val="129"/>
    </font>
    <font>
      <sz val="12"/>
      <name val="바탕체"/>
      <family val="1"/>
      <charset val="129"/>
    </font>
    <font>
      <b/>
      <sz val="9"/>
      <color indexed="8"/>
      <name val="굴림"/>
      <family val="3"/>
      <charset val="129"/>
    </font>
    <font>
      <sz val="9"/>
      <color indexed="41"/>
      <name val="굴림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b/>
      <sz val="11"/>
      <color indexed="9"/>
      <name val="굴림"/>
      <family val="3"/>
      <charset val="129"/>
    </font>
    <font>
      <sz val="11"/>
      <color indexed="8"/>
      <name val="맑은 고딕"/>
      <family val="3"/>
      <charset val="129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굴림"/>
      <family val="3"/>
      <charset val="129"/>
    </font>
    <font>
      <sz val="9"/>
      <color theme="0"/>
      <name val="굴림"/>
      <family val="3"/>
      <charset val="129"/>
    </font>
    <font>
      <sz val="11"/>
      <color theme="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3"/>
      <name val="굴림"/>
      <family val="3"/>
      <charset val="129"/>
    </font>
    <font>
      <b/>
      <sz val="9"/>
      <color theme="3"/>
      <name val="굴림"/>
      <family val="3"/>
      <charset val="129"/>
    </font>
    <font>
      <sz val="9"/>
      <color theme="4"/>
      <name val="굴림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FF0000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color theme="0" tint="-4.9989318521683403E-2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0"/>
      <name val="굴림"/>
      <family val="3"/>
      <charset val="129"/>
    </font>
    <font>
      <sz val="10"/>
      <color theme="0"/>
      <name val="굴림"/>
      <family val="3"/>
      <charset val="129"/>
    </font>
    <font>
      <sz val="10"/>
      <color rgb="FFFF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indexed="9"/>
      <name val="굴림"/>
      <family val="3"/>
      <charset val="129"/>
    </font>
    <font>
      <sz val="11"/>
      <color theme="3"/>
      <name val="굴림"/>
      <family val="3"/>
      <charset val="129"/>
    </font>
    <font>
      <sz val="11"/>
      <color rgb="FFFFFFFF"/>
      <name val="돋움"/>
      <family val="3"/>
      <charset val="129"/>
    </font>
  </fonts>
  <fills count="51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666699"/>
      </patternFill>
    </fill>
  </fills>
  <borders count="8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64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indexed="64"/>
      </bottom>
      <diagonal/>
    </border>
    <border>
      <left/>
      <right style="thin">
        <color auto="1"/>
      </right>
      <top/>
      <bottom style="thin">
        <color rgb="FFC0C0C0"/>
      </bottom>
      <diagonal/>
    </border>
    <border>
      <left style="thin">
        <color auto="1"/>
      </left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rgb="FFC0C0C0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2499465926084170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4659260841701"/>
      </right>
      <top style="thin">
        <color indexed="22"/>
      </top>
      <bottom/>
      <diagonal/>
    </border>
  </borders>
  <cellStyleXfs count="2321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180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0" fillId="0" borderId="0"/>
    <xf numFmtId="0" fontId="23" fillId="0" borderId="0">
      <alignment vertical="center"/>
    </xf>
    <xf numFmtId="0" fontId="3" fillId="0" borderId="0">
      <alignment vertical="center"/>
    </xf>
    <xf numFmtId="0" fontId="24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3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3" borderId="31" applyNumberFormat="0" applyAlignment="0" applyProtection="0">
      <alignment vertical="center"/>
    </xf>
    <xf numFmtId="0" fontId="38" fillId="43" borderId="31" applyNumberFormat="0" applyAlignment="0" applyProtection="0">
      <alignment vertical="center"/>
    </xf>
    <xf numFmtId="0" fontId="38" fillId="43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3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3" borderId="31" applyNumberFormat="0" applyAlignment="0" applyProtection="0">
      <alignment vertical="center"/>
    </xf>
    <xf numFmtId="0" fontId="38" fillId="43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8" fillId="44" borderId="31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8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8" borderId="32" applyNumberFormat="0" applyAlignment="0" applyProtection="0">
      <alignment vertical="center"/>
    </xf>
    <xf numFmtId="0" fontId="42" fillId="48" borderId="32" applyNumberFormat="0" applyAlignment="0" applyProtection="0">
      <alignment vertical="center"/>
    </xf>
    <xf numFmtId="0" fontId="42" fillId="48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8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8" borderId="32" applyNumberFormat="0" applyAlignment="0" applyProtection="0">
      <alignment vertical="center"/>
    </xf>
    <xf numFmtId="0" fontId="42" fillId="48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0" fontId="42" fillId="49" borderId="32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7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7" borderId="31" applyNumberFormat="0" applyAlignment="0" applyProtection="0">
      <alignment vertical="center"/>
    </xf>
    <xf numFmtId="0" fontId="44" fillId="17" borderId="31" applyNumberFormat="0" applyAlignment="0" applyProtection="0">
      <alignment vertical="center"/>
    </xf>
    <xf numFmtId="0" fontId="44" fillId="17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7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7" borderId="31" applyNumberFormat="0" applyAlignment="0" applyProtection="0">
      <alignment vertical="center"/>
    </xf>
    <xf numFmtId="0" fontId="44" fillId="17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4" fillId="18" borderId="31" applyNumberFormat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3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3" borderId="38" applyNumberFormat="0" applyAlignment="0" applyProtection="0">
      <alignment vertical="center"/>
    </xf>
    <xf numFmtId="0" fontId="50" fillId="43" borderId="38" applyNumberFormat="0" applyAlignment="0" applyProtection="0">
      <alignment vertical="center"/>
    </xf>
    <xf numFmtId="0" fontId="50" fillId="43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3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3" borderId="38" applyNumberFormat="0" applyAlignment="0" applyProtection="0">
      <alignment vertical="center"/>
    </xf>
    <xf numFmtId="0" fontId="50" fillId="43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50" fillId="44" borderId="38" applyNumberFormat="0" applyAlignment="0" applyProtection="0">
      <alignment vertical="center"/>
    </xf>
    <xf numFmtId="0" fontId="24" fillId="0" borderId="0">
      <alignment vertical="center"/>
    </xf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/>
    <xf numFmtId="0" fontId="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4" fillId="0" borderId="0"/>
    <xf numFmtId="0" fontId="4" fillId="0" borderId="0"/>
    <xf numFmtId="0" fontId="4" fillId="0" borderId="0"/>
    <xf numFmtId="0" fontId="24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</cellStyleXfs>
  <cellXfs count="557">
    <xf numFmtId="0" fontId="0" fillId="0" borderId="0" xfId="0">
      <alignment vertical="center"/>
    </xf>
    <xf numFmtId="41" fontId="9" fillId="4" borderId="0" xfId="2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4" borderId="0" xfId="2" applyNumberFormat="1" applyFont="1" applyFill="1" applyAlignment="1">
      <alignment vertical="center"/>
    </xf>
    <xf numFmtId="41" fontId="9" fillId="4" borderId="0" xfId="2" applyFont="1" applyFill="1" applyBorder="1" applyAlignment="1">
      <alignment vertical="center"/>
    </xf>
    <xf numFmtId="178" fontId="9" fillId="4" borderId="0" xfId="2" applyNumberFormat="1" applyFont="1" applyFill="1" applyBorder="1" applyAlignment="1">
      <alignment vertical="center"/>
    </xf>
    <xf numFmtId="0" fontId="9" fillId="4" borderId="0" xfId="0" applyFont="1" applyFill="1" applyAlignment="1">
      <alignment vertical="center"/>
    </xf>
    <xf numFmtId="176" fontId="9" fillId="4" borderId="0" xfId="2" applyNumberFormat="1" applyFont="1" applyFill="1" applyAlignment="1">
      <alignment vertical="center"/>
    </xf>
    <xf numFmtId="176" fontId="7" fillId="4" borderId="0" xfId="2" applyNumberFormat="1" applyFont="1" applyFill="1" applyBorder="1" applyAlignment="1">
      <alignment vertical="center"/>
    </xf>
    <xf numFmtId="176" fontId="9" fillId="4" borderId="0" xfId="2" applyNumberFormat="1" applyFont="1" applyFill="1" applyBorder="1" applyAlignment="1">
      <alignment vertical="center"/>
    </xf>
    <xf numFmtId="177" fontId="9" fillId="4" borderId="0" xfId="2" applyNumberFormat="1" applyFont="1" applyFill="1" applyAlignment="1">
      <alignment vertical="center"/>
    </xf>
    <xf numFmtId="178" fontId="9" fillId="4" borderId="0" xfId="2" applyNumberFormat="1" applyFont="1" applyFill="1" applyAlignment="1">
      <alignment vertical="center"/>
    </xf>
    <xf numFmtId="41" fontId="9" fillId="3" borderId="0" xfId="2" applyFont="1" applyFill="1" applyBorder="1" applyAlignment="1">
      <alignment horizontal="right" vertical="center"/>
    </xf>
    <xf numFmtId="41" fontId="25" fillId="4" borderId="0" xfId="2" applyFont="1" applyFill="1" applyAlignment="1">
      <alignment vertical="center"/>
    </xf>
    <xf numFmtId="41" fontId="9" fillId="0" borderId="0" xfId="2" applyFont="1" applyFill="1" applyBorder="1" applyAlignment="1">
      <alignment vertical="center"/>
    </xf>
    <xf numFmtId="41" fontId="26" fillId="4" borderId="0" xfId="2" applyFont="1" applyFill="1" applyAlignment="1">
      <alignment vertical="center"/>
    </xf>
    <xf numFmtId="177" fontId="26" fillId="4" borderId="0" xfId="2" applyNumberFormat="1" applyFont="1" applyFill="1" applyAlignment="1">
      <alignment vertical="center"/>
    </xf>
    <xf numFmtId="41" fontId="9" fillId="0" borderId="0" xfId="2" applyFont="1" applyFill="1" applyAlignment="1">
      <alignment vertical="center"/>
    </xf>
    <xf numFmtId="178" fontId="9" fillId="0" borderId="0" xfId="2" applyNumberFormat="1" applyFont="1" applyFill="1" applyBorder="1" applyAlignment="1">
      <alignment vertical="center"/>
    </xf>
    <xf numFmtId="41" fontId="25" fillId="0" borderId="0" xfId="2" applyFont="1" applyFill="1" applyAlignment="1">
      <alignment vertical="center"/>
    </xf>
    <xf numFmtId="179" fontId="9" fillId="4" borderId="0" xfId="2" applyNumberFormat="1" applyFont="1" applyFill="1" applyAlignment="1">
      <alignment vertical="center"/>
    </xf>
    <xf numFmtId="178" fontId="25" fillId="0" borderId="0" xfId="2" applyNumberFormat="1" applyFont="1" applyFill="1" applyAlignment="1">
      <alignment vertical="center"/>
    </xf>
    <xf numFmtId="41" fontId="32" fillId="4" borderId="0" xfId="2" applyFont="1" applyFill="1" applyAlignment="1">
      <alignment vertical="center"/>
    </xf>
    <xf numFmtId="0" fontId="32" fillId="4" borderId="0" xfId="0" applyFont="1" applyFill="1" applyAlignment="1">
      <alignment vertical="center"/>
    </xf>
    <xf numFmtId="41" fontId="32" fillId="4" borderId="0" xfId="2" applyFont="1" applyFill="1" applyAlignment="1">
      <alignment horizontal="center" vertical="center"/>
    </xf>
    <xf numFmtId="177" fontId="32" fillId="4" borderId="0" xfId="2" applyNumberFormat="1" applyFont="1" applyFill="1" applyAlignment="1">
      <alignment vertical="center"/>
    </xf>
    <xf numFmtId="41" fontId="32" fillId="4" borderId="0" xfId="2" applyFont="1" applyFill="1" applyAlignment="1">
      <alignment horizontal="left" vertical="center"/>
    </xf>
    <xf numFmtId="177" fontId="9" fillId="0" borderId="0" xfId="2" applyNumberFormat="1" applyFont="1" applyFill="1" applyBorder="1" applyAlignment="1">
      <alignment vertical="center"/>
    </xf>
    <xf numFmtId="176" fontId="9" fillId="3" borderId="0" xfId="2" applyNumberFormat="1" applyFont="1" applyFill="1" applyBorder="1" applyAlignment="1">
      <alignment horizontal="center" vertical="center"/>
    </xf>
    <xf numFmtId="176" fontId="7" fillId="3" borderId="0" xfId="2" applyNumberFormat="1" applyFont="1" applyFill="1" applyBorder="1" applyAlignment="1">
      <alignment horizontal="center" vertical="center"/>
    </xf>
    <xf numFmtId="178" fontId="7" fillId="3" borderId="0" xfId="2" applyNumberFormat="1" applyFont="1" applyFill="1" applyBorder="1" applyAlignment="1">
      <alignment horizontal="center" vertical="center"/>
    </xf>
    <xf numFmtId="176" fontId="9" fillId="3" borderId="0" xfId="2" applyNumberFormat="1" applyFont="1" applyFill="1" applyBorder="1" applyAlignment="1">
      <alignment horizontal="right" vertical="center"/>
    </xf>
    <xf numFmtId="177" fontId="25" fillId="6" borderId="0" xfId="2" applyNumberFormat="1" applyFont="1" applyFill="1" applyAlignment="1">
      <alignment vertical="center"/>
    </xf>
    <xf numFmtId="41" fontId="9" fillId="0" borderId="28" xfId="2" applyFont="1" applyFill="1" applyBorder="1" applyAlignment="1">
      <alignment horizontal="center" vertical="center"/>
    </xf>
    <xf numFmtId="41" fontId="9" fillId="0" borderId="29" xfId="2" applyFont="1" applyFill="1" applyBorder="1" applyAlignment="1">
      <alignment horizontal="center" vertical="center"/>
    </xf>
    <xf numFmtId="41" fontId="7" fillId="0" borderId="0" xfId="2" applyFont="1" applyFill="1" applyBorder="1" applyAlignment="1">
      <alignment vertical="center"/>
    </xf>
    <xf numFmtId="178" fontId="7" fillId="0" borderId="0" xfId="2" applyNumberFormat="1" applyFont="1" applyFill="1" applyBorder="1" applyAlignment="1">
      <alignment vertical="center"/>
    </xf>
    <xf numFmtId="41" fontId="9" fillId="0" borderId="8" xfId="2" applyFont="1" applyFill="1" applyBorder="1" applyAlignment="1">
      <alignment vertical="center"/>
    </xf>
    <xf numFmtId="41" fontId="28" fillId="0" borderId="0" xfId="2" applyFont="1" applyFill="1" applyBorder="1" applyAlignment="1">
      <alignment vertical="center"/>
    </xf>
    <xf numFmtId="177" fontId="28" fillId="0" borderId="0" xfId="2" applyNumberFormat="1" applyFont="1" applyFill="1" applyBorder="1" applyAlignment="1">
      <alignment vertical="center"/>
    </xf>
    <xf numFmtId="177" fontId="7" fillId="0" borderId="0" xfId="2" applyNumberFormat="1" applyFont="1" applyFill="1" applyBorder="1" applyAlignment="1">
      <alignment vertical="center"/>
    </xf>
    <xf numFmtId="177" fontId="9" fillId="0" borderId="8" xfId="2" applyNumberFormat="1" applyFont="1" applyFill="1" applyBorder="1" applyAlignment="1">
      <alignment vertical="center"/>
    </xf>
    <xf numFmtId="0" fontId="32" fillId="0" borderId="0" xfId="2" applyNumberFormat="1" applyFont="1" applyFill="1" applyAlignment="1">
      <alignment vertical="center"/>
    </xf>
    <xf numFmtId="176" fontId="9" fillId="0" borderId="0" xfId="2" applyNumberFormat="1" applyFont="1" applyFill="1" applyBorder="1" applyAlignment="1">
      <alignment vertical="center"/>
    </xf>
    <xf numFmtId="176" fontId="9" fillId="0" borderId="8" xfId="2" applyNumberFormat="1" applyFont="1" applyFill="1" applyBorder="1" applyAlignment="1">
      <alignment vertical="center"/>
    </xf>
    <xf numFmtId="41" fontId="9" fillId="0" borderId="7" xfId="2" applyFont="1" applyFill="1" applyBorder="1" applyAlignment="1">
      <alignment vertical="center"/>
    </xf>
    <xf numFmtId="176" fontId="7" fillId="0" borderId="0" xfId="2" applyNumberFormat="1" applyFont="1" applyFill="1" applyBorder="1" applyAlignment="1">
      <alignment vertical="center"/>
    </xf>
    <xf numFmtId="41" fontId="9" fillId="0" borderId="15" xfId="2" applyFont="1" applyFill="1" applyBorder="1" applyAlignment="1">
      <alignment vertical="center"/>
    </xf>
    <xf numFmtId="41" fontId="7" fillId="0" borderId="11" xfId="2" applyFont="1" applyFill="1" applyBorder="1" applyAlignment="1">
      <alignment vertical="center"/>
    </xf>
    <xf numFmtId="179" fontId="9" fillId="0" borderId="0" xfId="2" applyNumberFormat="1" applyFont="1" applyFill="1" applyBorder="1" applyAlignment="1">
      <alignment horizontal="right" vertical="center"/>
    </xf>
    <xf numFmtId="41" fontId="9" fillId="0" borderId="6" xfId="2" applyFont="1" applyFill="1" applyBorder="1" applyAlignment="1">
      <alignment vertical="center"/>
    </xf>
    <xf numFmtId="41" fontId="9" fillId="0" borderId="41" xfId="2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25" fillId="0" borderId="0" xfId="0" applyFont="1" applyFill="1" applyBorder="1" applyAlignment="1">
      <alignment vertical="center"/>
    </xf>
    <xf numFmtId="178" fontId="7" fillId="0" borderId="39" xfId="2" applyNumberFormat="1" applyFont="1" applyFill="1" applyBorder="1" applyAlignment="1">
      <alignment vertical="center"/>
    </xf>
    <xf numFmtId="41" fontId="7" fillId="0" borderId="39" xfId="2" applyFont="1" applyFill="1" applyBorder="1" applyAlignment="1">
      <alignment vertical="center"/>
    </xf>
    <xf numFmtId="0" fontId="32" fillId="0" borderId="0" xfId="2" applyNumberFormat="1" applyFont="1" applyFill="1" applyBorder="1" applyAlignment="1">
      <alignment vertical="center"/>
    </xf>
    <xf numFmtId="41" fontId="7" fillId="0" borderId="28" xfId="2" applyFont="1" applyFill="1" applyBorder="1" applyAlignment="1">
      <alignment horizontal="center" vertical="center"/>
    </xf>
    <xf numFmtId="0" fontId="25" fillId="4" borderId="0" xfId="2" applyNumberFormat="1" applyFont="1" applyFill="1" applyAlignment="1">
      <alignment vertical="center"/>
    </xf>
    <xf numFmtId="0" fontId="9" fillId="4" borderId="0" xfId="2" applyNumberFormat="1" applyFont="1" applyFill="1" applyBorder="1" applyAlignment="1">
      <alignment vertical="center"/>
    </xf>
    <xf numFmtId="0" fontId="34" fillId="0" borderId="0" xfId="2" applyNumberFormat="1" applyFont="1" applyFill="1" applyBorder="1" applyAlignment="1">
      <alignment vertical="center"/>
    </xf>
    <xf numFmtId="0" fontId="9" fillId="0" borderId="0" xfId="2" applyNumberFormat="1" applyFont="1" applyFill="1" applyBorder="1" applyAlignment="1">
      <alignment vertical="center"/>
    </xf>
    <xf numFmtId="0" fontId="9" fillId="0" borderId="0" xfId="2" applyNumberFormat="1" applyFont="1" applyFill="1" applyAlignment="1">
      <alignment vertical="center"/>
    </xf>
    <xf numFmtId="177" fontId="25" fillId="0" borderId="0" xfId="2" applyNumberFormat="1" applyFont="1" applyFill="1" applyAlignment="1">
      <alignment horizontal="center" vertical="center"/>
    </xf>
    <xf numFmtId="0" fontId="25" fillId="0" borderId="0" xfId="2" applyNumberFormat="1" applyFont="1" applyFill="1" applyBorder="1" applyAlignment="1">
      <alignment vertical="center"/>
    </xf>
    <xf numFmtId="177" fontId="25" fillId="4" borderId="0" xfId="2" applyNumberFormat="1" applyFont="1" applyFill="1" applyAlignment="1">
      <alignment horizontal="center" vertical="center"/>
    </xf>
    <xf numFmtId="41" fontId="7" fillId="0" borderId="0" xfId="2" applyFont="1" applyFill="1" applyBorder="1" applyAlignment="1">
      <alignment horizontal="right" vertical="center"/>
    </xf>
    <xf numFmtId="41" fontId="9" fillId="0" borderId="0" xfId="2" applyFont="1" applyFill="1" applyBorder="1" applyAlignment="1">
      <alignment horizontal="right" vertical="center"/>
    </xf>
    <xf numFmtId="176" fontId="9" fillId="0" borderId="0" xfId="2" applyNumberFormat="1" applyFont="1" applyFill="1" applyAlignment="1">
      <alignment vertical="center"/>
    </xf>
    <xf numFmtId="0" fontId="9" fillId="3" borderId="6" xfId="2" applyNumberFormat="1" applyFont="1" applyFill="1" applyBorder="1" applyAlignment="1">
      <alignment horizontal="center" vertical="center"/>
    </xf>
    <xf numFmtId="0" fontId="9" fillId="3" borderId="0" xfId="2" applyNumberFormat="1" applyFont="1" applyFill="1" applyBorder="1" applyAlignment="1">
      <alignment horizontal="center" vertical="center"/>
    </xf>
    <xf numFmtId="0" fontId="7" fillId="3" borderId="0" xfId="2" applyNumberFormat="1" applyFont="1" applyFill="1" applyBorder="1" applyAlignment="1">
      <alignment horizontal="center" vertical="center"/>
    </xf>
    <xf numFmtId="0" fontId="9" fillId="3" borderId="8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Alignment="1">
      <alignment horizontal="left" vertical="center"/>
    </xf>
    <xf numFmtId="176" fontId="9" fillId="0" borderId="0" xfId="2" applyNumberFormat="1" applyFont="1" applyFill="1" applyBorder="1" applyAlignment="1">
      <alignment horizontal="right" vertical="center"/>
    </xf>
    <xf numFmtId="41" fontId="7" fillId="3" borderId="0" xfId="2" applyFont="1" applyFill="1" applyBorder="1" applyAlignment="1">
      <alignment horizontal="center" vertical="center"/>
    </xf>
    <xf numFmtId="0" fontId="9" fillId="3" borderId="0" xfId="2" applyNumberFormat="1" applyFont="1" applyFill="1" applyBorder="1" applyAlignment="1">
      <alignment horizontal="center" vertical="center"/>
    </xf>
    <xf numFmtId="0" fontId="9" fillId="3" borderId="8" xfId="2" applyNumberFormat="1" applyFont="1" applyFill="1" applyBorder="1" applyAlignment="1">
      <alignment horizontal="center" vertical="center"/>
    </xf>
    <xf numFmtId="0" fontId="7" fillId="3" borderId="0" xfId="2" applyNumberFormat="1" applyFont="1" applyFill="1" applyBorder="1" applyAlignment="1">
      <alignment horizontal="center" vertical="center"/>
    </xf>
    <xf numFmtId="0" fontId="7" fillId="4" borderId="0" xfId="2" applyNumberFormat="1" applyFont="1" applyFill="1" applyAlignment="1">
      <alignment vertical="center"/>
    </xf>
    <xf numFmtId="0" fontId="25" fillId="4" borderId="0" xfId="2" applyNumberFormat="1" applyFont="1" applyFill="1" applyBorder="1" applyAlignment="1">
      <alignment vertical="center"/>
    </xf>
    <xf numFmtId="0" fontId="26" fillId="4" borderId="0" xfId="2" applyNumberFormat="1" applyFont="1" applyFill="1" applyAlignment="1">
      <alignment vertical="center"/>
    </xf>
    <xf numFmtId="0" fontId="25" fillId="4" borderId="0" xfId="2" applyNumberFormat="1" applyFont="1" applyFill="1" applyBorder="1" applyAlignment="1">
      <alignment horizontal="center" vertical="center"/>
    </xf>
    <xf numFmtId="0" fontId="9" fillId="0" borderId="0" xfId="0" applyNumberFormat="1" applyFont="1" applyAlignment="1">
      <alignment vertical="center"/>
    </xf>
    <xf numFmtId="0" fontId="25" fillId="0" borderId="0" xfId="0" applyNumberFormat="1" applyFont="1" applyAlignment="1">
      <alignment vertical="center"/>
    </xf>
    <xf numFmtId="0" fontId="25" fillId="4" borderId="0" xfId="2" applyNumberFormat="1" applyFont="1" applyFill="1" applyAlignment="1">
      <alignment horizontal="center" vertical="center"/>
    </xf>
    <xf numFmtId="0" fontId="9" fillId="4" borderId="0" xfId="2" applyNumberFormat="1" applyFont="1" applyFill="1" applyAlignment="1">
      <alignment horizontal="center" vertical="center"/>
    </xf>
    <xf numFmtId="41" fontId="9" fillId="0" borderId="39" xfId="2" applyFont="1" applyFill="1" applyBorder="1" applyAlignment="1">
      <alignment vertical="center"/>
    </xf>
    <xf numFmtId="41" fontId="9" fillId="0" borderId="40" xfId="2" applyFont="1" applyFill="1" applyBorder="1" applyAlignment="1">
      <alignment vertical="center"/>
    </xf>
    <xf numFmtId="41" fontId="9" fillId="0" borderId="48" xfId="2" applyFont="1" applyFill="1" applyBorder="1" applyAlignment="1">
      <alignment vertical="center"/>
    </xf>
    <xf numFmtId="41" fontId="9" fillId="0" borderId="49" xfId="2" applyFont="1" applyFill="1" applyBorder="1" applyAlignment="1">
      <alignment vertical="center"/>
    </xf>
    <xf numFmtId="41" fontId="7" fillId="0" borderId="48" xfId="2" applyFont="1" applyFill="1" applyBorder="1" applyAlignment="1">
      <alignment vertical="center"/>
    </xf>
    <xf numFmtId="41" fontId="7" fillId="0" borderId="49" xfId="2" applyFont="1" applyFill="1" applyBorder="1" applyAlignment="1">
      <alignment vertical="center"/>
    </xf>
    <xf numFmtId="0" fontId="11" fillId="4" borderId="0" xfId="2" applyNumberFormat="1" applyFont="1" applyFill="1" applyAlignment="1">
      <alignment vertical="center"/>
    </xf>
    <xf numFmtId="0" fontId="9" fillId="4" borderId="0" xfId="1" applyNumberFormat="1" applyFont="1" applyFill="1" applyAlignment="1">
      <alignment vertical="center"/>
    </xf>
    <xf numFmtId="0" fontId="9" fillId="3" borderId="21" xfId="2" applyNumberFormat="1" applyFont="1" applyFill="1" applyBorder="1" applyAlignment="1">
      <alignment horizontal="center" vertical="center"/>
    </xf>
    <xf numFmtId="0" fontId="9" fillId="4" borderId="0" xfId="2" applyNumberFormat="1" applyFont="1" applyFill="1" applyAlignment="1">
      <alignment horizontal="left" vertical="center" indent="2"/>
    </xf>
    <xf numFmtId="0" fontId="9" fillId="4" borderId="0" xfId="2" applyNumberFormat="1" applyFont="1" applyFill="1" applyAlignment="1">
      <alignment horizontal="left" vertical="center"/>
    </xf>
    <xf numFmtId="0" fontId="9" fillId="0" borderId="7" xfId="2" applyNumberFormat="1" applyFont="1" applyFill="1" applyBorder="1" applyAlignment="1">
      <alignment vertical="center"/>
    </xf>
    <xf numFmtId="0" fontId="9" fillId="3" borderId="15" xfId="2" applyNumberFormat="1" applyFont="1" applyFill="1" applyBorder="1" applyAlignment="1">
      <alignment horizontal="center" vertical="center"/>
    </xf>
    <xf numFmtId="0" fontId="9" fillId="0" borderId="0" xfId="2" applyNumberFormat="1" applyFont="1" applyAlignment="1">
      <alignment vertical="center"/>
    </xf>
    <xf numFmtId="0" fontId="26" fillId="0" borderId="0" xfId="2" applyNumberFormat="1" applyFont="1" applyFill="1" applyBorder="1" applyAlignment="1">
      <alignment vertical="center"/>
    </xf>
    <xf numFmtId="0" fontId="26" fillId="0" borderId="0" xfId="2" applyNumberFormat="1" applyFont="1" applyFill="1" applyAlignment="1">
      <alignment vertical="center"/>
    </xf>
    <xf numFmtId="178" fontId="7" fillId="0" borderId="51" xfId="2" applyNumberFormat="1" applyFont="1" applyFill="1" applyBorder="1" applyAlignment="1">
      <alignment vertical="center"/>
    </xf>
    <xf numFmtId="41" fontId="9" fillId="0" borderId="51" xfId="2" applyFont="1" applyFill="1" applyBorder="1" applyAlignment="1">
      <alignment vertical="center"/>
    </xf>
    <xf numFmtId="178" fontId="9" fillId="0" borderId="51" xfId="2" applyNumberFormat="1" applyFont="1" applyFill="1" applyBorder="1" applyAlignment="1">
      <alignment vertical="center"/>
    </xf>
    <xf numFmtId="178" fontId="9" fillId="0" borderId="52" xfId="2" applyNumberFormat="1" applyFont="1" applyFill="1" applyBorder="1" applyAlignment="1">
      <alignment vertical="center"/>
    </xf>
    <xf numFmtId="41" fontId="7" fillId="0" borderId="51" xfId="2" applyFont="1" applyFill="1" applyBorder="1" applyAlignment="1">
      <alignment vertical="center"/>
    </xf>
    <xf numFmtId="41" fontId="9" fillId="0" borderId="52" xfId="2" applyFont="1" applyFill="1" applyBorder="1" applyAlignment="1">
      <alignment vertical="center"/>
    </xf>
    <xf numFmtId="0" fontId="26" fillId="4" borderId="0" xfId="2" applyNumberFormat="1" applyFont="1" applyFill="1" applyBorder="1" applyAlignment="1">
      <alignment vertical="center"/>
    </xf>
    <xf numFmtId="0" fontId="9" fillId="4" borderId="0" xfId="2" applyNumberFormat="1" applyFont="1" applyFill="1" applyBorder="1" applyAlignment="1">
      <alignment horizontal="center" vertical="center"/>
    </xf>
    <xf numFmtId="0" fontId="7" fillId="4" borderId="0" xfId="2" applyNumberFormat="1" applyFont="1" applyFill="1" applyBorder="1" applyAlignment="1">
      <alignment vertical="center"/>
    </xf>
    <xf numFmtId="41" fontId="9" fillId="0" borderId="25" xfId="2" applyFont="1" applyFill="1" applyBorder="1" applyAlignment="1">
      <alignment horizontal="center" vertical="center"/>
    </xf>
    <xf numFmtId="41" fontId="9" fillId="0" borderId="30" xfId="2" applyFont="1" applyFill="1" applyBorder="1" applyAlignment="1">
      <alignment horizontal="center" vertical="center"/>
    </xf>
    <xf numFmtId="0" fontId="59" fillId="0" borderId="0" xfId="13" applyNumberFormat="1" applyFont="1" applyBorder="1" applyAlignment="1">
      <alignment horizontal="right" vertical="center"/>
    </xf>
    <xf numFmtId="0" fontId="59" fillId="0" borderId="0" xfId="0" applyNumberFormat="1" applyFont="1" applyFill="1" applyBorder="1" applyAlignment="1">
      <alignment horizontal="right" vertical="center"/>
    </xf>
    <xf numFmtId="0" fontId="60" fillId="0" borderId="0" xfId="13" applyNumberFormat="1" applyFont="1" applyBorder="1" applyAlignment="1">
      <alignment horizontal="right" vertical="center"/>
    </xf>
    <xf numFmtId="0" fontId="60" fillId="0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Alignment="1">
      <alignment vertical="center"/>
    </xf>
    <xf numFmtId="0" fontId="28" fillId="0" borderId="0" xfId="17" applyNumberFormat="1" applyFont="1" applyAlignment="1">
      <alignment vertical="center"/>
    </xf>
    <xf numFmtId="0" fontId="25" fillId="0" borderId="0" xfId="0" applyNumberFormat="1" applyFont="1" applyAlignment="1"/>
    <xf numFmtId="41" fontId="61" fillId="4" borderId="0" xfId="2" applyFont="1" applyFill="1">
      <alignment vertical="center"/>
    </xf>
    <xf numFmtId="0" fontId="16" fillId="4" borderId="0" xfId="0" applyFont="1" applyFill="1" applyAlignment="1">
      <alignment vertical="center"/>
    </xf>
    <xf numFmtId="0" fontId="53" fillId="4" borderId="0" xfId="0" applyFont="1" applyFill="1" applyBorder="1" applyAlignment="1">
      <alignment vertical="center"/>
    </xf>
    <xf numFmtId="41" fontId="7" fillId="0" borderId="22" xfId="2" applyFont="1" applyFill="1" applyBorder="1" applyAlignment="1">
      <alignment horizontal="center" vertical="center"/>
    </xf>
    <xf numFmtId="41" fontId="9" fillId="0" borderId="22" xfId="2" applyFont="1" applyFill="1" applyBorder="1" applyAlignment="1">
      <alignment horizontal="center" vertical="center"/>
    </xf>
    <xf numFmtId="41" fontId="9" fillId="0" borderId="12" xfId="2" applyFont="1" applyFill="1" applyBorder="1" applyAlignment="1">
      <alignment horizontal="center" vertical="center"/>
    </xf>
    <xf numFmtId="41" fontId="7" fillId="0" borderId="53" xfId="2" applyFont="1" applyFill="1" applyBorder="1" applyAlignment="1">
      <alignment horizontal="center" vertical="center"/>
    </xf>
    <xf numFmtId="41" fontId="7" fillId="0" borderId="42" xfId="2" applyFont="1" applyFill="1" applyBorder="1" applyAlignment="1">
      <alignment horizontal="center" vertical="center"/>
    </xf>
    <xf numFmtId="41" fontId="9" fillId="0" borderId="53" xfId="2" applyFont="1" applyFill="1" applyBorder="1" applyAlignment="1">
      <alignment horizontal="center" vertical="center"/>
    </xf>
    <xf numFmtId="41" fontId="9" fillId="0" borderId="42" xfId="2" applyFont="1" applyFill="1" applyBorder="1" applyAlignment="1">
      <alignment horizontal="center" vertical="center"/>
    </xf>
    <xf numFmtId="41" fontId="9" fillId="0" borderId="54" xfId="2" applyFont="1" applyFill="1" applyBorder="1" applyAlignment="1">
      <alignment horizontal="center" vertical="center"/>
    </xf>
    <xf numFmtId="41" fontId="9" fillId="0" borderId="55" xfId="2" applyFont="1" applyFill="1" applyBorder="1" applyAlignment="1">
      <alignment horizontal="center" vertical="center"/>
    </xf>
    <xf numFmtId="41" fontId="28" fillId="0" borderId="0" xfId="2" applyFont="1" applyFill="1" applyBorder="1" applyAlignment="1">
      <alignment horizontal="center" vertical="center"/>
    </xf>
    <xf numFmtId="41" fontId="29" fillId="0" borderId="0" xfId="2" applyFont="1" applyFill="1" applyBorder="1" applyAlignment="1">
      <alignment vertical="center"/>
    </xf>
    <xf numFmtId="0" fontId="7" fillId="3" borderId="49" xfId="2" applyNumberFormat="1" applyFont="1" applyFill="1" applyBorder="1" applyAlignment="1">
      <alignment horizontal="center" vertical="center"/>
    </xf>
    <xf numFmtId="0" fontId="9" fillId="3" borderId="49" xfId="2" applyNumberFormat="1" applyFont="1" applyFill="1" applyBorder="1" applyAlignment="1">
      <alignment horizontal="center" vertical="center"/>
    </xf>
    <xf numFmtId="0" fontId="9" fillId="0" borderId="56" xfId="17" applyNumberFormat="1" applyFont="1" applyFill="1" applyBorder="1" applyAlignment="1">
      <alignment horizontal="center" vertical="center"/>
    </xf>
    <xf numFmtId="41" fontId="7" fillId="0" borderId="57" xfId="2" applyFont="1" applyFill="1" applyBorder="1" applyAlignment="1">
      <alignment horizontal="center" vertical="center"/>
    </xf>
    <xf numFmtId="41" fontId="7" fillId="0" borderId="58" xfId="2" applyFont="1" applyFill="1" applyBorder="1" applyAlignment="1">
      <alignment horizontal="center" vertical="center"/>
    </xf>
    <xf numFmtId="41" fontId="7" fillId="0" borderId="59" xfId="2" applyFont="1" applyFill="1" applyBorder="1" applyAlignment="1">
      <alignment horizontal="center" vertical="center"/>
    </xf>
    <xf numFmtId="0" fontId="16" fillId="0" borderId="0" xfId="0" applyNumberFormat="1" applyFont="1" applyAlignment="1">
      <alignment vertical="center"/>
    </xf>
    <xf numFmtId="0" fontId="17" fillId="4" borderId="0" xfId="2" applyNumberFormat="1" applyFont="1" applyFill="1" applyAlignment="1">
      <alignment vertical="center"/>
    </xf>
    <xf numFmtId="0" fontId="25" fillId="0" borderId="0" xfId="2" applyNumberFormat="1" applyFont="1" applyFill="1" applyAlignment="1">
      <alignment vertical="center"/>
    </xf>
    <xf numFmtId="0" fontId="25" fillId="0" borderId="0" xfId="0" applyNumberFormat="1" applyFont="1" applyFill="1" applyAlignment="1">
      <alignment vertical="center"/>
    </xf>
    <xf numFmtId="0" fontId="9" fillId="3" borderId="16" xfId="0" applyNumberFormat="1" applyFont="1" applyFill="1" applyBorder="1" applyAlignment="1">
      <alignment horizontal="center" vertical="center"/>
    </xf>
    <xf numFmtId="0" fontId="9" fillId="3" borderId="11" xfId="0" applyNumberFormat="1" applyFont="1" applyFill="1" applyBorder="1" applyAlignment="1">
      <alignment horizontal="center" vertical="center"/>
    </xf>
    <xf numFmtId="0" fontId="9" fillId="4" borderId="0" xfId="0" applyNumberFormat="1" applyFont="1" applyFill="1" applyAlignment="1">
      <alignment vertical="center"/>
    </xf>
    <xf numFmtId="0" fontId="54" fillId="50" borderId="43" xfId="2" applyNumberFormat="1" applyFont="1" applyFill="1" applyBorder="1" applyAlignment="1">
      <alignment horizontal="center" vertical="center" wrapText="1"/>
    </xf>
    <xf numFmtId="0" fontId="54" fillId="50" borderId="44" xfId="2" applyNumberFormat="1" applyFont="1" applyFill="1" applyBorder="1" applyAlignment="1">
      <alignment horizontal="center" vertical="center" wrapText="1"/>
    </xf>
    <xf numFmtId="0" fontId="9" fillId="4" borderId="7" xfId="2" applyNumberFormat="1" applyFont="1" applyFill="1" applyBorder="1" applyAlignment="1">
      <alignment vertical="center"/>
    </xf>
    <xf numFmtId="0" fontId="25" fillId="0" borderId="0" xfId="2" applyNumberFormat="1" applyFont="1" applyFill="1" applyAlignment="1">
      <alignment vertical="center" wrapText="1"/>
    </xf>
    <xf numFmtId="0" fontId="58" fillId="4" borderId="0" xfId="2" applyNumberFormat="1" applyFont="1" applyFill="1" applyBorder="1" applyAlignment="1">
      <alignment horizontal="left" vertical="center"/>
    </xf>
    <xf numFmtId="0" fontId="16" fillId="4" borderId="0" xfId="0" applyNumberFormat="1" applyFont="1" applyFill="1" applyAlignment="1">
      <alignment vertical="center"/>
    </xf>
    <xf numFmtId="0" fontId="53" fillId="4" borderId="0" xfId="0" applyNumberFormat="1" applyFont="1" applyFill="1" applyAlignment="1">
      <alignment vertical="center"/>
    </xf>
    <xf numFmtId="0" fontId="57" fillId="4" borderId="0" xfId="0" applyNumberFormat="1" applyFont="1" applyFill="1" applyAlignment="1">
      <alignment horizontal="center" vertical="center"/>
    </xf>
    <xf numFmtId="0" fontId="57" fillId="4" borderId="0" xfId="0" applyNumberFormat="1" applyFont="1" applyFill="1" applyAlignment="1">
      <alignment vertical="center"/>
    </xf>
    <xf numFmtId="0" fontId="63" fillId="4" borderId="0" xfId="0" applyNumberFormat="1" applyFont="1" applyFill="1" applyAlignment="1">
      <alignment vertical="center"/>
    </xf>
    <xf numFmtId="0" fontId="12" fillId="4" borderId="0" xfId="2" applyNumberFormat="1" applyFont="1" applyFill="1" applyAlignment="1">
      <alignment vertical="center"/>
    </xf>
    <xf numFmtId="0" fontId="64" fillId="4" borderId="0" xfId="0" applyNumberFormat="1" applyFont="1" applyFill="1" applyAlignment="1">
      <alignment vertical="center"/>
    </xf>
    <xf numFmtId="0" fontId="27" fillId="4" borderId="0" xfId="0" applyNumberFormat="1" applyFont="1" applyFill="1" applyAlignment="1">
      <alignment vertical="center"/>
    </xf>
    <xf numFmtId="0" fontId="6" fillId="2" borderId="45" xfId="2" applyNumberFormat="1" applyFont="1" applyFill="1" applyBorder="1" applyAlignment="1">
      <alignment horizontal="right" vertical="center"/>
    </xf>
    <xf numFmtId="0" fontId="56" fillId="0" borderId="0" xfId="2" applyNumberFormat="1" applyFont="1" applyFill="1" applyAlignment="1">
      <alignment vertical="center"/>
    </xf>
    <xf numFmtId="0" fontId="34" fillId="4" borderId="0" xfId="2" applyNumberFormat="1" applyFont="1" applyFill="1" applyBorder="1" applyAlignment="1">
      <alignment vertical="center"/>
    </xf>
    <xf numFmtId="0" fontId="9" fillId="0" borderId="0" xfId="2" applyNumberFormat="1" applyFont="1" applyFill="1" applyBorder="1" applyAlignment="1">
      <alignment horizontal="left" vertical="center"/>
    </xf>
    <xf numFmtId="0" fontId="10" fillId="4" borderId="0" xfId="2" applyNumberFormat="1" applyFont="1" applyFill="1" applyAlignment="1">
      <alignment vertical="center"/>
    </xf>
    <xf numFmtId="0" fontId="6" fillId="2" borderId="0" xfId="2" applyNumberFormat="1" applyFont="1" applyFill="1" applyBorder="1" applyAlignment="1">
      <alignment vertical="center"/>
    </xf>
    <xf numFmtId="0" fontId="9" fillId="0" borderId="11" xfId="2" applyNumberFormat="1" applyFont="1" applyFill="1" applyBorder="1" applyAlignment="1">
      <alignment horizontal="center" vertical="center"/>
    </xf>
    <xf numFmtId="0" fontId="9" fillId="0" borderId="7" xfId="2" applyNumberFormat="1" applyFont="1" applyFill="1" applyBorder="1" applyAlignment="1">
      <alignment horizontal="center" vertical="center"/>
    </xf>
    <xf numFmtId="176" fontId="7" fillId="3" borderId="8" xfId="2" applyNumberFormat="1" applyFont="1" applyFill="1" applyBorder="1" applyAlignment="1">
      <alignment horizontal="center" vertical="center"/>
    </xf>
    <xf numFmtId="0" fontId="9" fillId="4" borderId="0" xfId="2" applyNumberFormat="1" applyFont="1" applyFill="1" applyBorder="1" applyAlignment="1">
      <alignment horizontal="right" vertical="center"/>
    </xf>
    <xf numFmtId="0" fontId="15" fillId="4" borderId="7" xfId="2" applyNumberFormat="1" applyFont="1" applyFill="1" applyBorder="1" applyAlignment="1">
      <alignment vertical="center"/>
    </xf>
    <xf numFmtId="0" fontId="15" fillId="4" borderId="0" xfId="2" applyNumberFormat="1" applyFont="1" applyFill="1" applyBorder="1" applyAlignment="1">
      <alignment horizontal="left" vertical="center"/>
    </xf>
    <xf numFmtId="0" fontId="7" fillId="0" borderId="0" xfId="3" applyNumberFormat="1" applyFont="1" applyFill="1" applyAlignment="1">
      <alignment vertical="center"/>
    </xf>
    <xf numFmtId="0" fontId="28" fillId="0" borderId="0" xfId="0" applyNumberFormat="1" applyFont="1" applyFill="1" applyAlignment="1">
      <alignment vertical="center"/>
    </xf>
    <xf numFmtId="0" fontId="28" fillId="0" borderId="0" xfId="0" applyNumberFormat="1" applyFont="1" applyAlignment="1">
      <alignment vertical="center"/>
    </xf>
    <xf numFmtId="0" fontId="28" fillId="0" borderId="0" xfId="0" applyNumberFormat="1" applyFont="1" applyAlignment="1">
      <alignment horizontal="right" vertical="center"/>
    </xf>
    <xf numFmtId="0" fontId="25" fillId="4" borderId="0" xfId="0" applyNumberFormat="1" applyFont="1" applyFill="1" applyAlignment="1">
      <alignment vertical="center"/>
    </xf>
    <xf numFmtId="0" fontId="32" fillId="4" borderId="0" xfId="0" applyNumberFormat="1" applyFont="1" applyFill="1" applyAlignment="1">
      <alignment vertical="center"/>
    </xf>
    <xf numFmtId="0" fontId="32" fillId="4" borderId="0" xfId="0" applyNumberFormat="1" applyFont="1" applyFill="1" applyAlignment="1">
      <alignment horizontal="center" vertical="center"/>
    </xf>
    <xf numFmtId="0" fontId="32" fillId="4" borderId="0" xfId="2" applyNumberFormat="1" applyFont="1" applyFill="1" applyAlignment="1">
      <alignment horizontal="center" vertical="center"/>
    </xf>
    <xf numFmtId="177" fontId="32" fillId="4" borderId="0" xfId="2" applyNumberFormat="1" applyFont="1" applyFill="1" applyAlignment="1">
      <alignment horizontal="center" vertical="center"/>
    </xf>
    <xf numFmtId="0" fontId="62" fillId="0" borderId="0" xfId="0" applyNumberFormat="1" applyFont="1" applyAlignment="1">
      <alignment vertical="center"/>
    </xf>
    <xf numFmtId="0" fontId="28" fillId="0" borderId="0" xfId="16" applyNumberFormat="1" applyFont="1" applyAlignment="1">
      <alignment vertical="center"/>
    </xf>
    <xf numFmtId="0" fontId="15" fillId="4" borderId="0" xfId="2" applyNumberFormat="1" applyFont="1" applyFill="1" applyBorder="1" applyAlignment="1">
      <alignment vertical="center"/>
    </xf>
    <xf numFmtId="0" fontId="9" fillId="3" borderId="8" xfId="3" applyNumberFormat="1" applyFont="1" applyFill="1" applyBorder="1" applyAlignment="1">
      <alignment horizontal="center" vertical="center"/>
    </xf>
    <xf numFmtId="0" fontId="9" fillId="3" borderId="0" xfId="2" applyNumberFormat="1" applyFont="1" applyFill="1" applyBorder="1" applyAlignment="1">
      <alignment horizontal="center" vertical="center"/>
    </xf>
    <xf numFmtId="0" fontId="7" fillId="3" borderId="0" xfId="2" applyNumberFormat="1" applyFont="1" applyFill="1" applyBorder="1" applyAlignment="1">
      <alignment horizontal="center" vertical="center"/>
    </xf>
    <xf numFmtId="0" fontId="9" fillId="3" borderId="8" xfId="2" applyNumberFormat="1" applyFont="1" applyFill="1" applyBorder="1" applyAlignment="1">
      <alignment horizontal="center" vertical="center"/>
    </xf>
    <xf numFmtId="0" fontId="7" fillId="4" borderId="0" xfId="3" applyNumberFormat="1" applyFont="1" applyFill="1" applyAlignment="1">
      <alignment horizontal="left" vertical="center"/>
    </xf>
    <xf numFmtId="0" fontId="30" fillId="0" borderId="0" xfId="0" applyNumberFormat="1" applyFont="1" applyAlignment="1">
      <alignment vertical="center"/>
    </xf>
    <xf numFmtId="0" fontId="31" fillId="0" borderId="0" xfId="0" applyNumberFormat="1" applyFont="1" applyAlignment="1">
      <alignment vertical="center"/>
    </xf>
    <xf numFmtId="0" fontId="31" fillId="0" borderId="0" xfId="0" applyNumberFormat="1" applyFont="1" applyAlignment="1">
      <alignment horizontal="left" vertical="center"/>
    </xf>
    <xf numFmtId="0" fontId="9" fillId="3" borderId="0" xfId="3" applyNumberFormat="1" applyFont="1" applyFill="1" applyBorder="1" applyAlignment="1">
      <alignment horizontal="center" vertical="center"/>
    </xf>
    <xf numFmtId="0" fontId="6" fillId="2" borderId="47" xfId="2" applyNumberFormat="1" applyFont="1" applyFill="1" applyBorder="1" applyAlignment="1">
      <alignment horizontal="right" vertical="center"/>
    </xf>
    <xf numFmtId="0" fontId="6" fillId="2" borderId="0" xfId="2" applyNumberFormat="1" applyFont="1" applyFill="1" applyBorder="1" applyAlignment="1">
      <alignment horizontal="right" vertical="center"/>
    </xf>
    <xf numFmtId="0" fontId="9" fillId="3" borderId="0" xfId="2" applyNumberFormat="1" applyFont="1" applyFill="1" applyBorder="1" applyAlignment="1">
      <alignment horizontal="center" vertical="center"/>
    </xf>
    <xf numFmtId="0" fontId="7" fillId="3" borderId="0" xfId="2" applyNumberFormat="1" applyFont="1" applyFill="1" applyBorder="1" applyAlignment="1">
      <alignment horizontal="center" vertical="center"/>
    </xf>
    <xf numFmtId="0" fontId="6" fillId="2" borderId="24" xfId="2" applyNumberFormat="1" applyFont="1" applyFill="1" applyBorder="1" applyAlignment="1">
      <alignment horizontal="center" vertical="center"/>
    </xf>
    <xf numFmtId="0" fontId="9" fillId="3" borderId="0" xfId="3" applyNumberFormat="1" applyFont="1" applyFill="1" applyBorder="1" applyAlignment="1">
      <alignment horizontal="center" vertical="center"/>
    </xf>
    <xf numFmtId="177" fontId="9" fillId="0" borderId="0" xfId="2" applyNumberFormat="1" applyFont="1" applyFill="1" applyBorder="1" applyAlignment="1">
      <alignment horizontal="center" vertical="center"/>
    </xf>
    <xf numFmtId="41" fontId="7" fillId="0" borderId="52" xfId="2" applyFont="1" applyFill="1" applyBorder="1" applyAlignment="1">
      <alignment vertical="center"/>
    </xf>
    <xf numFmtId="176" fontId="9" fillId="0" borderId="51" xfId="2" applyNumberFormat="1" applyFont="1" applyFill="1" applyBorder="1" applyAlignment="1">
      <alignment vertical="center"/>
    </xf>
    <xf numFmtId="176" fontId="7" fillId="0" borderId="52" xfId="2" applyNumberFormat="1" applyFont="1" applyFill="1" applyBorder="1" applyAlignment="1">
      <alignment vertical="center"/>
    </xf>
    <xf numFmtId="177" fontId="9" fillId="0" borderId="62" xfId="2" applyNumberFormat="1" applyFont="1" applyFill="1" applyBorder="1" applyAlignment="1">
      <alignment vertical="center"/>
    </xf>
    <xf numFmtId="41" fontId="9" fillId="0" borderId="63" xfId="2" applyFont="1" applyFill="1" applyBorder="1" applyAlignment="1">
      <alignment vertical="center"/>
    </xf>
    <xf numFmtId="41" fontId="9" fillId="0" borderId="61" xfId="2" applyFont="1" applyFill="1" applyBorder="1" applyAlignment="1">
      <alignment vertical="center"/>
    </xf>
    <xf numFmtId="177" fontId="9" fillId="0" borderId="64" xfId="2" applyNumberFormat="1" applyFont="1" applyFill="1" applyBorder="1" applyAlignment="1">
      <alignment vertical="center"/>
    </xf>
    <xf numFmtId="41" fontId="9" fillId="0" borderId="62" xfId="2" applyFont="1" applyFill="1" applyBorder="1" applyAlignment="1">
      <alignment vertical="center"/>
    </xf>
    <xf numFmtId="41" fontId="9" fillId="0" borderId="64" xfId="2" applyFont="1" applyFill="1" applyBorder="1" applyAlignment="1">
      <alignment vertical="center"/>
    </xf>
    <xf numFmtId="176" fontId="7" fillId="0" borderId="51" xfId="2" applyNumberFormat="1" applyFont="1" applyFill="1" applyBorder="1" applyAlignment="1">
      <alignment vertical="center"/>
    </xf>
    <xf numFmtId="0" fontId="9" fillId="3" borderId="61" xfId="2" applyNumberFormat="1" applyFont="1" applyFill="1" applyBorder="1" applyAlignment="1">
      <alignment horizontal="center" vertical="center"/>
    </xf>
    <xf numFmtId="177" fontId="9" fillId="0" borderId="61" xfId="2" applyNumberFormat="1" applyFont="1" applyFill="1" applyBorder="1" applyAlignment="1">
      <alignment vertical="center"/>
    </xf>
    <xf numFmtId="0" fontId="9" fillId="3" borderId="61" xfId="3" applyNumberFormat="1" applyFont="1" applyFill="1" applyBorder="1" applyAlignment="1">
      <alignment horizontal="center" vertical="center"/>
    </xf>
    <xf numFmtId="177" fontId="9" fillId="0" borderId="63" xfId="2" applyNumberFormat="1" applyFont="1" applyFill="1" applyBorder="1" applyAlignment="1">
      <alignment vertical="center"/>
    </xf>
    <xf numFmtId="41" fontId="9" fillId="0" borderId="52" xfId="2" applyFont="1" applyFill="1" applyBorder="1" applyAlignment="1">
      <alignment horizontal="center" vertical="center"/>
    </xf>
    <xf numFmtId="41" fontId="9" fillId="0" borderId="51" xfId="2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176" fontId="9" fillId="0" borderId="61" xfId="2" applyNumberFormat="1" applyFont="1" applyFill="1" applyBorder="1" applyAlignment="1">
      <alignment vertical="center"/>
    </xf>
    <xf numFmtId="0" fontId="7" fillId="0" borderId="51" xfId="2" applyNumberFormat="1" applyFont="1" applyFill="1" applyBorder="1" applyAlignment="1">
      <alignment vertical="center"/>
    </xf>
    <xf numFmtId="176" fontId="9" fillId="0" borderId="52" xfId="2" applyNumberFormat="1" applyFont="1" applyFill="1" applyBorder="1" applyAlignment="1">
      <alignment vertical="center"/>
    </xf>
    <xf numFmtId="176" fontId="7" fillId="0" borderId="48" xfId="2" applyNumberFormat="1" applyFont="1" applyFill="1" applyBorder="1" applyAlignment="1">
      <alignment vertical="center"/>
    </xf>
    <xf numFmtId="176" fontId="7" fillId="0" borderId="62" xfId="2" applyNumberFormat="1" applyFont="1" applyFill="1" applyBorder="1" applyAlignment="1">
      <alignment vertical="center"/>
    </xf>
    <xf numFmtId="0" fontId="7" fillId="0" borderId="48" xfId="2" applyNumberFormat="1" applyFont="1" applyFill="1" applyBorder="1" applyAlignment="1">
      <alignment vertical="center"/>
    </xf>
    <xf numFmtId="0" fontId="7" fillId="0" borderId="62" xfId="2" applyNumberFormat="1" applyFont="1" applyFill="1" applyBorder="1" applyAlignment="1">
      <alignment vertical="center"/>
    </xf>
    <xf numFmtId="41" fontId="7" fillId="0" borderId="62" xfId="2" applyFont="1" applyFill="1" applyBorder="1" applyAlignment="1">
      <alignment vertical="center"/>
    </xf>
    <xf numFmtId="176" fontId="9" fillId="0" borderId="48" xfId="2" applyNumberFormat="1" applyFont="1" applyFill="1" applyBorder="1" applyAlignment="1">
      <alignment vertical="center"/>
    </xf>
    <xf numFmtId="176" fontId="9" fillId="0" borderId="62" xfId="2" applyNumberFormat="1" applyFont="1" applyFill="1" applyBorder="1" applyAlignment="1">
      <alignment vertical="center"/>
    </xf>
    <xf numFmtId="176" fontId="9" fillId="0" borderId="63" xfId="2" applyNumberFormat="1" applyFont="1" applyFill="1" applyBorder="1" applyAlignment="1">
      <alignment vertical="center"/>
    </xf>
    <xf numFmtId="0" fontId="9" fillId="4" borderId="0" xfId="2" applyNumberFormat="1" applyFont="1" applyFill="1" applyAlignment="1">
      <alignment horizontal="left" vertical="center"/>
    </xf>
    <xf numFmtId="0" fontId="9" fillId="3" borderId="0" xfId="2" applyNumberFormat="1" applyFont="1" applyFill="1" applyBorder="1" applyAlignment="1">
      <alignment horizontal="center" vertical="center"/>
    </xf>
    <xf numFmtId="0" fontId="9" fillId="3" borderId="11" xfId="2" applyNumberFormat="1" applyFont="1" applyFill="1" applyBorder="1" applyAlignment="1">
      <alignment horizontal="center" vertical="center"/>
    </xf>
    <xf numFmtId="0" fontId="7" fillId="4" borderId="0" xfId="2" applyNumberFormat="1" applyFont="1" applyFill="1" applyBorder="1" applyAlignment="1">
      <alignment horizontal="center" vertical="center"/>
    </xf>
    <xf numFmtId="0" fontId="9" fillId="3" borderId="65" xfId="2" applyNumberFormat="1" applyFont="1" applyFill="1" applyBorder="1" applyAlignment="1">
      <alignment horizontal="center" vertical="center"/>
    </xf>
    <xf numFmtId="0" fontId="9" fillId="3" borderId="64" xfId="2" applyNumberFormat="1" applyFont="1" applyFill="1" applyBorder="1" applyAlignment="1">
      <alignment horizontal="center" vertical="center"/>
    </xf>
    <xf numFmtId="0" fontId="7" fillId="4" borderId="0" xfId="2" applyNumberFormat="1" applyFont="1" applyFill="1" applyBorder="1" applyAlignment="1">
      <alignment horizontal="left" vertical="center"/>
    </xf>
    <xf numFmtId="0" fontId="26" fillId="4" borderId="0" xfId="1" applyNumberFormat="1" applyFont="1" applyFill="1" applyAlignment="1">
      <alignment vertical="center"/>
    </xf>
    <xf numFmtId="176" fontId="9" fillId="3" borderId="61" xfId="2" applyNumberFormat="1" applyFont="1" applyFill="1" applyBorder="1" applyAlignment="1">
      <alignment horizontal="right" vertical="center"/>
    </xf>
    <xf numFmtId="177" fontId="9" fillId="0" borderId="61" xfId="2" applyNumberFormat="1" applyFont="1" applyFill="1" applyBorder="1" applyAlignment="1">
      <alignment horizontal="center" vertical="center"/>
    </xf>
    <xf numFmtId="41" fontId="9" fillId="0" borderId="51" xfId="2" applyNumberFormat="1" applyFont="1" applyFill="1" applyBorder="1" applyAlignment="1">
      <alignment horizontal="center" vertical="center"/>
    </xf>
    <xf numFmtId="41" fontId="9" fillId="0" borderId="52" xfId="2" applyNumberFormat="1" applyFont="1" applyFill="1" applyBorder="1" applyAlignment="1">
      <alignment horizontal="center" vertical="center"/>
    </xf>
    <xf numFmtId="0" fontId="9" fillId="5" borderId="51" xfId="2" applyNumberFormat="1" applyFont="1" applyFill="1" applyBorder="1" applyAlignment="1">
      <alignment horizontal="center" vertical="center"/>
    </xf>
    <xf numFmtId="0" fontId="9" fillId="5" borderId="52" xfId="2" applyNumberFormat="1" applyFont="1" applyFill="1" applyBorder="1" applyAlignment="1">
      <alignment horizontal="center" vertical="center"/>
    </xf>
    <xf numFmtId="176" fontId="9" fillId="3" borderId="61" xfId="2" applyNumberFormat="1" applyFont="1" applyFill="1" applyBorder="1" applyAlignment="1">
      <alignment horizontal="center" vertical="center"/>
    </xf>
    <xf numFmtId="0" fontId="6" fillId="2" borderId="68" xfId="2" applyNumberFormat="1" applyFont="1" applyFill="1" applyBorder="1" applyAlignment="1">
      <alignment horizontal="right" vertical="center"/>
    </xf>
    <xf numFmtId="0" fontId="6" fillId="2" borderId="68" xfId="2" applyNumberFormat="1" applyFont="1" applyFill="1" applyBorder="1" applyAlignment="1">
      <alignment vertical="center"/>
    </xf>
    <xf numFmtId="0" fontId="6" fillId="2" borderId="67" xfId="2" applyNumberFormat="1" applyFont="1" applyFill="1" applyBorder="1" applyAlignment="1">
      <alignment horizontal="center" vertical="center"/>
    </xf>
    <xf numFmtId="0" fontId="7" fillId="3" borderId="69" xfId="2" applyNumberFormat="1" applyFont="1" applyFill="1" applyBorder="1" applyAlignment="1">
      <alignment horizontal="center" vertical="center"/>
    </xf>
    <xf numFmtId="0" fontId="9" fillId="4" borderId="0" xfId="1" applyNumberFormat="1" applyFont="1" applyFill="1" applyBorder="1" applyAlignment="1">
      <alignment vertical="center"/>
    </xf>
    <xf numFmtId="0" fontId="7" fillId="0" borderId="0" xfId="2" applyNumberFormat="1" applyFont="1" applyFill="1" applyAlignment="1">
      <alignment vertical="center"/>
    </xf>
    <xf numFmtId="41" fontId="9" fillId="3" borderId="69" xfId="2" applyFont="1" applyFill="1" applyBorder="1" applyAlignment="1">
      <alignment horizontal="center" vertical="center"/>
    </xf>
    <xf numFmtId="0" fontId="7" fillId="4" borderId="0" xfId="0" applyNumberFormat="1" applyFont="1" applyFill="1" applyAlignment="1">
      <alignment vertical="center"/>
    </xf>
    <xf numFmtId="0" fontId="9" fillId="4" borderId="0" xfId="0" applyNumberFormat="1" applyFont="1" applyFill="1" applyAlignment="1">
      <alignment horizontal="center" vertical="center"/>
    </xf>
    <xf numFmtId="49" fontId="25" fillId="0" borderId="0" xfId="2" applyNumberFormat="1" applyFont="1" applyFill="1" applyAlignment="1">
      <alignment horizontal="center" vertical="center"/>
    </xf>
    <xf numFmtId="0" fontId="14" fillId="4" borderId="0" xfId="2" applyNumberFormat="1" applyFont="1" applyFill="1" applyAlignment="1">
      <alignment vertical="center"/>
    </xf>
    <xf numFmtId="49" fontId="61" fillId="4" borderId="0" xfId="2" applyNumberFormat="1" applyFont="1" applyFill="1" applyAlignment="1">
      <alignment horizontal="center" vertical="center"/>
    </xf>
    <xf numFmtId="41" fontId="7" fillId="0" borderId="69" xfId="2" applyFont="1" applyFill="1" applyBorder="1" applyAlignment="1">
      <alignment vertical="center"/>
    </xf>
    <xf numFmtId="0" fontId="6" fillId="2" borderId="66" xfId="2" applyNumberFormat="1" applyFont="1" applyFill="1" applyBorder="1" applyAlignment="1">
      <alignment horizontal="center" vertical="center"/>
    </xf>
    <xf numFmtId="0" fontId="25" fillId="6" borderId="0" xfId="2" applyNumberFormat="1" applyFont="1" applyFill="1" applyAlignment="1">
      <alignment vertical="center"/>
    </xf>
    <xf numFmtId="0" fontId="9" fillId="3" borderId="0" xfId="2" applyNumberFormat="1" applyFont="1" applyFill="1" applyBorder="1" applyAlignment="1">
      <alignment vertical="center"/>
    </xf>
    <xf numFmtId="177" fontId="7" fillId="0" borderId="69" xfId="2" applyNumberFormat="1" applyFont="1" applyFill="1" applyBorder="1" applyAlignment="1">
      <alignment vertical="center"/>
    </xf>
    <xf numFmtId="177" fontId="9" fillId="0" borderId="69" xfId="2" applyNumberFormat="1" applyFont="1" applyFill="1" applyBorder="1" applyAlignment="1">
      <alignment vertical="center"/>
    </xf>
    <xf numFmtId="0" fontId="12" fillId="2" borderId="0" xfId="2" applyNumberFormat="1" applyFont="1" applyFill="1" applyBorder="1" applyAlignment="1">
      <alignment vertical="center"/>
    </xf>
    <xf numFmtId="0" fontId="6" fillId="2" borderId="0" xfId="2" applyNumberFormat="1" applyFont="1" applyFill="1" applyBorder="1" applyAlignment="1">
      <alignment vertical="center" wrapText="1"/>
    </xf>
    <xf numFmtId="49" fontId="32" fillId="4" borderId="0" xfId="2" applyNumberFormat="1" applyFont="1" applyFill="1" applyAlignment="1">
      <alignment horizontal="center" vertical="center"/>
    </xf>
    <xf numFmtId="41" fontId="9" fillId="0" borderId="10" xfId="2" applyFont="1" applyFill="1" applyBorder="1" applyAlignment="1">
      <alignment vertical="center"/>
    </xf>
    <xf numFmtId="41" fontId="9" fillId="0" borderId="70" xfId="2" applyFont="1" applyFill="1" applyBorder="1" applyAlignment="1">
      <alignment vertical="center"/>
    </xf>
    <xf numFmtId="0" fontId="6" fillId="2" borderId="48" xfId="2" applyNumberFormat="1" applyFont="1" applyFill="1" applyBorder="1" applyAlignment="1">
      <alignment vertical="center"/>
    </xf>
    <xf numFmtId="0" fontId="6" fillId="2" borderId="75" xfId="2" applyNumberFormat="1" applyFont="1" applyFill="1" applyBorder="1" applyAlignment="1">
      <alignment horizontal="center" vertical="center"/>
    </xf>
    <xf numFmtId="0" fontId="6" fillId="2" borderId="76" xfId="2" applyNumberFormat="1" applyFont="1" applyFill="1" applyBorder="1" applyAlignment="1">
      <alignment horizontal="right" vertical="center"/>
    </xf>
    <xf numFmtId="0" fontId="6" fillId="2" borderId="76" xfId="2" applyNumberFormat="1" applyFont="1" applyFill="1" applyBorder="1" applyAlignment="1">
      <alignment vertical="center"/>
    </xf>
    <xf numFmtId="0" fontId="6" fillId="2" borderId="67" xfId="2" applyNumberFormat="1" applyFont="1" applyFill="1" applyBorder="1" applyAlignment="1">
      <alignment horizontal="center" vertical="center" wrapText="1"/>
    </xf>
    <xf numFmtId="0" fontId="6" fillId="2" borderId="80" xfId="2" applyNumberFormat="1" applyFont="1" applyFill="1" applyBorder="1" applyAlignment="1">
      <alignment vertical="center"/>
    </xf>
    <xf numFmtId="0" fontId="6" fillId="2" borderId="83" xfId="2" applyNumberFormat="1" applyFont="1" applyFill="1" applyBorder="1" applyAlignment="1">
      <alignment horizontal="center" vertical="center"/>
    </xf>
    <xf numFmtId="0" fontId="6" fillId="2" borderId="84" xfId="2" applyNumberFormat="1" applyFont="1" applyFill="1" applyBorder="1" applyAlignment="1">
      <alignment horizontal="center" vertical="center"/>
    </xf>
    <xf numFmtId="177" fontId="9" fillId="0" borderId="48" xfId="2" applyNumberFormat="1" applyFont="1" applyFill="1" applyBorder="1" applyAlignment="1">
      <alignment vertical="center"/>
    </xf>
    <xf numFmtId="0" fontId="6" fillId="2" borderId="47" xfId="2" applyNumberFormat="1" applyFont="1" applyFill="1" applyBorder="1" applyAlignment="1">
      <alignment vertical="center"/>
    </xf>
    <xf numFmtId="41" fontId="7" fillId="0" borderId="0" xfId="2" applyFont="1" applyFill="1" applyAlignment="1">
      <alignment horizontal="center" vertical="center"/>
    </xf>
    <xf numFmtId="41" fontId="7" fillId="4" borderId="0" xfId="2" applyFont="1" applyFill="1" applyAlignment="1">
      <alignment horizontal="center" vertical="center"/>
    </xf>
    <xf numFmtId="0" fontId="7" fillId="4" borderId="0" xfId="0" applyNumberFormat="1" applyFont="1" applyFill="1" applyAlignment="1">
      <alignment horizontal="center" vertical="center"/>
    </xf>
    <xf numFmtId="0" fontId="7" fillId="4" borderId="0" xfId="2" applyNumberFormat="1" applyFont="1" applyFill="1" applyAlignment="1">
      <alignment horizontal="center" vertical="center"/>
    </xf>
    <xf numFmtId="0" fontId="7" fillId="0" borderId="0" xfId="2" applyNumberFormat="1" applyFont="1" applyBorder="1" applyAlignment="1">
      <alignment horizontal="center" vertical="center"/>
    </xf>
    <xf numFmtId="177" fontId="7" fillId="4" borderId="0" xfId="2" applyNumberFormat="1" applyFont="1" applyFill="1" applyAlignment="1">
      <alignment horizontal="center" vertical="center"/>
    </xf>
    <xf numFmtId="176" fontId="7" fillId="3" borderId="69" xfId="2" applyNumberFormat="1" applyFont="1" applyFill="1" applyBorder="1" applyAlignment="1">
      <alignment horizontal="center" vertical="center"/>
    </xf>
    <xf numFmtId="0" fontId="9" fillId="3" borderId="0" xfId="2" applyNumberFormat="1" applyFont="1" applyFill="1" applyBorder="1" applyAlignment="1">
      <alignment horizontal="center" vertical="center"/>
    </xf>
    <xf numFmtId="41" fontId="9" fillId="0" borderId="0" xfId="2" applyFont="1" applyFill="1" applyBorder="1" applyAlignment="1">
      <alignment vertical="center"/>
    </xf>
    <xf numFmtId="41" fontId="7" fillId="0" borderId="0" xfId="2" applyFont="1" applyFill="1" applyBorder="1" applyAlignment="1">
      <alignment vertical="center"/>
    </xf>
    <xf numFmtId="41" fontId="9" fillId="0" borderId="11" xfId="2" applyFont="1" applyFill="1" applyBorder="1" applyAlignment="1">
      <alignment vertical="center"/>
    </xf>
    <xf numFmtId="176" fontId="9" fillId="0" borderId="61" xfId="2" applyNumberFormat="1" applyFont="1" applyFill="1" applyBorder="1" applyAlignment="1">
      <alignment vertical="center"/>
    </xf>
    <xf numFmtId="41" fontId="33" fillId="4" borderId="0" xfId="2" applyFont="1" applyFill="1" applyAlignment="1">
      <alignment horizontal="center" vertical="center"/>
    </xf>
    <xf numFmtId="41" fontId="32" fillId="4" borderId="0" xfId="2" applyFont="1" applyFill="1" applyBorder="1" applyAlignment="1">
      <alignment horizontal="center" vertical="center"/>
    </xf>
    <xf numFmtId="41" fontId="32" fillId="0" borderId="0" xfId="2" applyFont="1" applyFill="1" applyAlignment="1">
      <alignment vertical="center"/>
    </xf>
    <xf numFmtId="41" fontId="9" fillId="4" borderId="0" xfId="2" applyNumberFormat="1" applyFont="1" applyFill="1" applyBorder="1" applyAlignment="1">
      <alignment vertical="center"/>
    </xf>
    <xf numFmtId="41" fontId="32" fillId="0" borderId="0" xfId="2" applyFont="1" applyFill="1" applyAlignment="1">
      <alignment horizontal="center" vertical="center"/>
    </xf>
    <xf numFmtId="178" fontId="9" fillId="3" borderId="64" xfId="2" applyNumberFormat="1" applyFont="1" applyFill="1" applyBorder="1" applyAlignment="1">
      <alignment horizontal="center" vertical="center"/>
    </xf>
    <xf numFmtId="178" fontId="7" fillId="0" borderId="70" xfId="2" applyNumberFormat="1" applyFont="1" applyFill="1" applyBorder="1" applyAlignment="1">
      <alignment vertical="center"/>
    </xf>
    <xf numFmtId="176" fontId="9" fillId="0" borderId="64" xfId="2" applyNumberFormat="1" applyFont="1" applyFill="1" applyBorder="1" applyAlignment="1">
      <alignment vertical="center"/>
    </xf>
    <xf numFmtId="0" fontId="61" fillId="0" borderId="0" xfId="0" applyNumberFormat="1" applyFont="1" applyFill="1" applyAlignment="1">
      <alignment vertical="center"/>
    </xf>
    <xf numFmtId="0" fontId="57" fillId="0" borderId="0" xfId="0" applyNumberFormat="1" applyFont="1" applyAlignment="1">
      <alignment vertical="center"/>
    </xf>
    <xf numFmtId="0" fontId="58" fillId="0" borderId="0" xfId="0" applyNumberFormat="1" applyFont="1" applyFill="1" applyAlignment="1">
      <alignment horizontal="center" vertical="center"/>
    </xf>
    <xf numFmtId="0" fontId="57" fillId="4" borderId="0" xfId="2" applyNumberFormat="1" applyFont="1" applyFill="1" applyAlignment="1">
      <alignment vertical="center"/>
    </xf>
    <xf numFmtId="41" fontId="9" fillId="0" borderId="69" xfId="2" applyFont="1" applyFill="1" applyBorder="1" applyAlignment="1">
      <alignment vertical="center"/>
    </xf>
    <xf numFmtId="176" fontId="9" fillId="0" borderId="61" xfId="2" applyNumberFormat="1" applyFont="1" applyFill="1" applyBorder="1" applyAlignment="1">
      <alignment horizontal="right" vertical="center"/>
    </xf>
    <xf numFmtId="41" fontId="9" fillId="3" borderId="69" xfId="2" applyFont="1" applyFill="1" applyBorder="1" applyAlignment="1">
      <alignment vertical="center"/>
    </xf>
    <xf numFmtId="41" fontId="9" fillId="3" borderId="61" xfId="2" applyFont="1" applyFill="1" applyBorder="1" applyAlignment="1">
      <alignment horizontal="right" vertical="center"/>
    </xf>
    <xf numFmtId="41" fontId="9" fillId="3" borderId="64" xfId="2" applyFont="1" applyFill="1" applyBorder="1" applyAlignment="1">
      <alignment vertical="center"/>
    </xf>
    <xf numFmtId="41" fontId="7" fillId="0" borderId="63" xfId="2" applyFont="1" applyFill="1" applyBorder="1" applyAlignment="1">
      <alignment vertical="center"/>
    </xf>
    <xf numFmtId="41" fontId="7" fillId="0" borderId="61" xfId="2" applyFont="1" applyFill="1" applyBorder="1" applyAlignment="1">
      <alignment vertical="center"/>
    </xf>
    <xf numFmtId="177" fontId="7" fillId="0" borderId="64" xfId="2" applyNumberFormat="1" applyFont="1" applyFill="1" applyBorder="1" applyAlignment="1">
      <alignment vertical="center"/>
    </xf>
    <xf numFmtId="41" fontId="7" fillId="0" borderId="65" xfId="2" applyFont="1" applyFill="1" applyBorder="1" applyAlignment="1">
      <alignment vertical="center"/>
    </xf>
    <xf numFmtId="41" fontId="9" fillId="0" borderId="65" xfId="2" applyFont="1" applyFill="1" applyBorder="1" applyAlignment="1">
      <alignment vertical="center"/>
    </xf>
    <xf numFmtId="41" fontId="32" fillId="0" borderId="0" xfId="2" applyFont="1" applyFill="1" applyBorder="1" applyAlignment="1">
      <alignment horizontal="center" vertical="center"/>
    </xf>
    <xf numFmtId="0" fontId="9" fillId="4" borderId="0" xfId="2" applyNumberFormat="1" applyFont="1" applyFill="1" applyAlignment="1">
      <alignment horizontal="left" vertical="center"/>
    </xf>
    <xf numFmtId="0" fontId="9" fillId="0" borderId="0" xfId="2" applyNumberFormat="1" applyFont="1" applyFill="1" applyAlignment="1">
      <alignment vertical="center" wrapText="1"/>
    </xf>
    <xf numFmtId="0" fontId="6" fillId="2" borderId="67" xfId="2" applyNumberFormat="1" applyFont="1" applyFill="1" applyBorder="1" applyAlignment="1">
      <alignment horizontal="center" vertical="center"/>
    </xf>
    <xf numFmtId="0" fontId="6" fillId="2" borderId="66" xfId="2" applyNumberFormat="1" applyFont="1" applyFill="1" applyBorder="1" applyAlignment="1">
      <alignment horizontal="center" vertical="center"/>
    </xf>
    <xf numFmtId="0" fontId="6" fillId="2" borderId="68" xfId="2" applyNumberFormat="1" applyFont="1" applyFill="1" applyBorder="1" applyAlignment="1">
      <alignment horizontal="right" vertical="center"/>
    </xf>
    <xf numFmtId="41" fontId="9" fillId="0" borderId="0" xfId="2" applyFont="1" applyFill="1" applyBorder="1" applyAlignment="1">
      <alignment horizontal="center" vertical="center"/>
    </xf>
    <xf numFmtId="41" fontId="32" fillId="0" borderId="0" xfId="2" applyFont="1" applyBorder="1" applyAlignment="1">
      <alignment horizontal="center" vertical="center"/>
    </xf>
    <xf numFmtId="49" fontId="32" fillId="4" borderId="0" xfId="2" applyNumberFormat="1" applyFont="1" applyFill="1" applyBorder="1" applyAlignment="1">
      <alignment horizontal="center" vertical="center"/>
    </xf>
    <xf numFmtId="177" fontId="32" fillId="0" borderId="0" xfId="2" applyNumberFormat="1" applyFont="1" applyBorder="1" applyAlignment="1">
      <alignment horizontal="center"/>
    </xf>
    <xf numFmtId="0" fontId="9" fillId="4" borderId="0" xfId="2" applyNumberFormat="1" applyFont="1" applyFill="1" applyAlignment="1">
      <alignment horizontal="left" vertical="center"/>
    </xf>
    <xf numFmtId="0" fontId="9" fillId="4" borderId="0" xfId="2" applyNumberFormat="1" applyFont="1" applyFill="1" applyBorder="1" applyAlignment="1">
      <alignment horizontal="left" vertical="center"/>
    </xf>
    <xf numFmtId="0" fontId="6" fillId="2" borderId="67" xfId="2" applyNumberFormat="1" applyFont="1" applyFill="1" applyBorder="1" applyAlignment="1">
      <alignment horizontal="center" vertical="center"/>
    </xf>
    <xf numFmtId="0" fontId="6" fillId="2" borderId="66" xfId="2" applyNumberFormat="1" applyFont="1" applyFill="1" applyBorder="1" applyAlignment="1">
      <alignment horizontal="center" vertical="center"/>
    </xf>
    <xf numFmtId="0" fontId="6" fillId="2" borderId="0" xfId="2" applyNumberFormat="1" applyFont="1" applyFill="1" applyBorder="1" applyAlignment="1">
      <alignment horizontal="left" vertical="center"/>
    </xf>
    <xf numFmtId="0" fontId="6" fillId="2" borderId="0" xfId="2" applyNumberFormat="1" applyFont="1" applyFill="1" applyBorder="1" applyAlignment="1">
      <alignment horizontal="right" vertical="center"/>
    </xf>
    <xf numFmtId="0" fontId="6" fillId="2" borderId="68" xfId="2" applyNumberFormat="1" applyFont="1" applyFill="1" applyBorder="1" applyAlignment="1">
      <alignment horizontal="right" vertical="center"/>
    </xf>
    <xf numFmtId="0" fontId="9" fillId="3" borderId="0" xfId="2" applyNumberFormat="1" applyFont="1" applyFill="1" applyBorder="1" applyAlignment="1">
      <alignment horizontal="center" vertical="center"/>
    </xf>
    <xf numFmtId="0" fontId="7" fillId="3" borderId="0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Border="1" applyAlignment="1">
      <alignment vertical="center" wrapText="1"/>
    </xf>
    <xf numFmtId="0" fontId="9" fillId="4" borderId="0" xfId="2" applyNumberFormat="1" applyFont="1" applyFill="1" applyBorder="1" applyAlignment="1">
      <alignment vertical="center" wrapText="1"/>
    </xf>
    <xf numFmtId="41" fontId="9" fillId="0" borderId="0" xfId="2" applyFont="1" applyFill="1" applyBorder="1" applyAlignment="1">
      <alignment horizontal="center" vertical="center"/>
    </xf>
    <xf numFmtId="176" fontId="9" fillId="0" borderId="61" xfId="2" applyNumberFormat="1" applyFont="1" applyFill="1" applyBorder="1" applyAlignment="1">
      <alignment vertical="center"/>
    </xf>
    <xf numFmtId="176" fontId="9" fillId="0" borderId="0" xfId="2" applyNumberFormat="1" applyFont="1" applyFill="1" applyBorder="1" applyAlignment="1">
      <alignment vertical="center"/>
    </xf>
    <xf numFmtId="0" fontId="9" fillId="3" borderId="69" xfId="2" applyNumberFormat="1" applyFont="1" applyFill="1" applyBorder="1" applyAlignment="1">
      <alignment horizontal="center" vertical="center"/>
    </xf>
    <xf numFmtId="0" fontId="7" fillId="3" borderId="69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Border="1" applyAlignment="1">
      <alignment horizontal="center" vertical="center"/>
    </xf>
    <xf numFmtId="0" fontId="9" fillId="0" borderId="61" xfId="2" applyNumberFormat="1" applyFont="1" applyFill="1" applyBorder="1" applyAlignment="1">
      <alignment horizontal="center" vertical="center"/>
    </xf>
    <xf numFmtId="177" fontId="29" fillId="0" borderId="65" xfId="2" applyNumberFormat="1" applyFont="1" applyFill="1" applyBorder="1" applyAlignment="1">
      <alignment vertical="center"/>
    </xf>
    <xf numFmtId="177" fontId="9" fillId="0" borderId="65" xfId="2" applyNumberFormat="1" applyFont="1" applyFill="1" applyBorder="1" applyAlignment="1">
      <alignment vertical="center"/>
    </xf>
    <xf numFmtId="177" fontId="28" fillId="0" borderId="65" xfId="2" applyNumberFormat="1" applyFont="1" applyFill="1" applyBorder="1" applyAlignment="1">
      <alignment vertical="center"/>
    </xf>
    <xf numFmtId="41" fontId="28" fillId="0" borderId="61" xfId="2" applyFont="1" applyFill="1" applyBorder="1" applyAlignment="1">
      <alignment horizontal="center" vertical="center"/>
    </xf>
    <xf numFmtId="177" fontId="28" fillId="0" borderId="64" xfId="2" applyNumberFormat="1" applyFont="1" applyFill="1" applyBorder="1" applyAlignment="1">
      <alignment vertical="center"/>
    </xf>
    <xf numFmtId="41" fontId="28" fillId="0" borderId="61" xfId="2" applyFont="1" applyFill="1" applyBorder="1" applyAlignment="1">
      <alignment vertical="center"/>
    </xf>
    <xf numFmtId="177" fontId="28" fillId="0" borderId="61" xfId="2" applyNumberFormat="1" applyFont="1" applyFill="1" applyBorder="1" applyAlignment="1">
      <alignment vertical="center"/>
    </xf>
    <xf numFmtId="41" fontId="32" fillId="0" borderId="0" xfId="2" applyFont="1" applyFill="1" applyBorder="1" applyAlignment="1">
      <alignment horizontal="center" vertical="center"/>
    </xf>
    <xf numFmtId="0" fontId="7" fillId="3" borderId="64" xfId="2" applyNumberFormat="1" applyFont="1" applyFill="1" applyBorder="1" applyAlignment="1">
      <alignment horizontal="center" vertical="center"/>
    </xf>
    <xf numFmtId="41" fontId="7" fillId="0" borderId="70" xfId="2" applyFont="1" applyFill="1" applyBorder="1" applyAlignment="1">
      <alignment vertical="center"/>
    </xf>
    <xf numFmtId="177" fontId="7" fillId="0" borderId="61" xfId="2" applyNumberFormat="1" applyFont="1" applyFill="1" applyBorder="1" applyAlignment="1">
      <alignment vertical="center"/>
    </xf>
    <xf numFmtId="176" fontId="7" fillId="0" borderId="0" xfId="2" applyNumberFormat="1" applyFont="1" applyFill="1" applyBorder="1" applyAlignment="1">
      <alignment horizontal="right" vertical="center"/>
    </xf>
    <xf numFmtId="41" fontId="9" fillId="3" borderId="61" xfId="2" applyFont="1" applyFill="1" applyBorder="1" applyAlignment="1">
      <alignment horizontal="center" vertical="center"/>
    </xf>
    <xf numFmtId="176" fontId="7" fillId="0" borderId="70" xfId="2" applyNumberFormat="1" applyFont="1" applyFill="1" applyBorder="1" applyAlignment="1">
      <alignment vertical="center"/>
    </xf>
    <xf numFmtId="41" fontId="9" fillId="0" borderId="61" xfId="2" applyFont="1" applyFill="1" applyBorder="1" applyAlignment="1">
      <alignment horizontal="center" vertical="center"/>
    </xf>
    <xf numFmtId="41" fontId="32" fillId="0" borderId="0" xfId="2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41" fontId="32" fillId="0" borderId="0" xfId="0" applyNumberFormat="1" applyFont="1" applyFill="1" applyBorder="1" applyAlignment="1">
      <alignment horizontal="center" vertical="center"/>
    </xf>
    <xf numFmtId="49" fontId="32" fillId="0" borderId="0" xfId="2" applyNumberFormat="1" applyFont="1" applyFill="1" applyAlignment="1">
      <alignment horizontal="center" vertical="center"/>
    </xf>
    <xf numFmtId="183" fontId="9" fillId="4" borderId="0" xfId="2" applyNumberFormat="1" applyFont="1" applyFill="1" applyAlignment="1">
      <alignment vertical="center"/>
    </xf>
    <xf numFmtId="41" fontId="32" fillId="0" borderId="0" xfId="2" applyFont="1" applyFill="1" applyBorder="1" applyAlignment="1">
      <alignment horizontal="center" vertical="center"/>
    </xf>
    <xf numFmtId="41" fontId="32" fillId="0" borderId="0" xfId="2" applyFont="1" applyFill="1" applyBorder="1" applyAlignment="1">
      <alignment horizontal="center" vertical="center"/>
    </xf>
    <xf numFmtId="0" fontId="9" fillId="3" borderId="10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Alignment="1">
      <alignment horizontal="left" vertical="center"/>
    </xf>
    <xf numFmtId="176" fontId="9" fillId="0" borderId="61" xfId="2" applyNumberFormat="1" applyFont="1" applyFill="1" applyBorder="1" applyAlignment="1">
      <alignment vertical="center"/>
    </xf>
    <xf numFmtId="176" fontId="9" fillId="0" borderId="0" xfId="2" applyNumberFormat="1" applyFont="1" applyFill="1" applyBorder="1" applyAlignment="1">
      <alignment vertical="center"/>
    </xf>
    <xf numFmtId="0" fontId="9" fillId="3" borderId="70" xfId="2" applyNumberFormat="1" applyFont="1" applyFill="1" applyBorder="1" applyAlignment="1">
      <alignment horizontal="center" vertical="center"/>
    </xf>
    <xf numFmtId="178" fontId="9" fillId="0" borderId="15" xfId="2" applyNumberFormat="1" applyFont="1" applyFill="1" applyBorder="1" applyAlignment="1">
      <alignment vertical="center"/>
    </xf>
    <xf numFmtId="178" fontId="9" fillId="0" borderId="41" xfId="2" applyNumberFormat="1" applyFont="1" applyFill="1" applyBorder="1" applyAlignment="1">
      <alignment vertical="center"/>
    </xf>
    <xf numFmtId="41" fontId="9" fillId="0" borderId="48" xfId="2" applyFont="1" applyFill="1" applyBorder="1" applyAlignment="1">
      <alignment horizontal="right" vertical="center"/>
    </xf>
    <xf numFmtId="41" fontId="7" fillId="0" borderId="48" xfId="2" applyFont="1" applyFill="1" applyBorder="1" applyAlignment="1">
      <alignment horizontal="right" vertical="center"/>
    </xf>
    <xf numFmtId="41" fontId="9" fillId="0" borderId="63" xfId="2" applyFont="1" applyFill="1" applyBorder="1" applyAlignment="1">
      <alignment horizontal="right" vertical="center"/>
    </xf>
    <xf numFmtId="41" fontId="9" fillId="0" borderId="61" xfId="2" applyFont="1" applyFill="1" applyBorder="1" applyAlignment="1">
      <alignment horizontal="right" vertical="center"/>
    </xf>
    <xf numFmtId="176" fontId="9" fillId="0" borderId="0" xfId="2" applyNumberFormat="1" applyFont="1" applyFill="1" applyBorder="1" applyAlignment="1">
      <alignment vertical="center"/>
    </xf>
    <xf numFmtId="41" fontId="9" fillId="0" borderId="0" xfId="2" applyFont="1" applyFill="1" applyBorder="1" applyAlignment="1">
      <alignment horizontal="center" vertical="center"/>
    </xf>
    <xf numFmtId="176" fontId="9" fillId="0" borderId="8" xfId="2" applyNumberFormat="1" applyFont="1" applyFill="1" applyBorder="1" applyAlignment="1">
      <alignment horizontal="right" vertical="center"/>
    </xf>
    <xf numFmtId="176" fontId="9" fillId="0" borderId="6" xfId="2" applyNumberFormat="1" applyFont="1" applyFill="1" applyBorder="1" applyAlignment="1">
      <alignment vertical="center"/>
    </xf>
    <xf numFmtId="176" fontId="9" fillId="0" borderId="15" xfId="2" applyNumberFormat="1" applyFont="1" applyFill="1" applyBorder="1" applyAlignment="1">
      <alignment vertical="center"/>
    </xf>
    <xf numFmtId="184" fontId="25" fillId="0" borderId="0" xfId="2" applyNumberFormat="1" applyFont="1" applyFill="1" applyAlignment="1">
      <alignment vertical="center"/>
    </xf>
    <xf numFmtId="176" fontId="7" fillId="0" borderId="8" xfId="2" applyNumberFormat="1" applyFont="1" applyFill="1" applyBorder="1" applyAlignment="1">
      <alignment vertical="center"/>
    </xf>
    <xf numFmtId="184" fontId="9" fillId="0" borderId="0" xfId="2" applyNumberFormat="1" applyFont="1" applyFill="1" applyAlignment="1">
      <alignment vertical="center"/>
    </xf>
    <xf numFmtId="182" fontId="9" fillId="0" borderId="61" xfId="2" applyNumberFormat="1" applyFont="1" applyFill="1" applyBorder="1" applyAlignment="1">
      <alignment vertical="center"/>
    </xf>
    <xf numFmtId="182" fontId="9" fillId="0" borderId="8" xfId="2" applyNumberFormat="1" applyFont="1" applyFill="1" applyBorder="1" applyAlignment="1">
      <alignment vertical="center"/>
    </xf>
    <xf numFmtId="41" fontId="9" fillId="0" borderId="8" xfId="2" applyFont="1" applyFill="1" applyBorder="1" applyAlignment="1">
      <alignment horizontal="center" vertical="center"/>
    </xf>
    <xf numFmtId="0" fontId="9" fillId="0" borderId="0" xfId="2" applyNumberFormat="1" applyFont="1" applyFill="1" applyAlignment="1">
      <alignment vertical="center" wrapText="1"/>
    </xf>
    <xf numFmtId="0" fontId="25" fillId="4" borderId="7" xfId="2" applyNumberFormat="1" applyFont="1" applyFill="1" applyBorder="1" applyAlignment="1">
      <alignment vertical="center"/>
    </xf>
    <xf numFmtId="0" fontId="9" fillId="3" borderId="0" xfId="2" applyNumberFormat="1" applyFont="1" applyFill="1" applyBorder="1" applyAlignment="1">
      <alignment horizontal="center" vertical="center"/>
    </xf>
    <xf numFmtId="41" fontId="9" fillId="0" borderId="70" xfId="2" applyFont="1" applyFill="1" applyBorder="1" applyAlignment="1">
      <alignment horizontal="center" vertical="center"/>
    </xf>
    <xf numFmtId="0" fontId="6" fillId="2" borderId="67" xfId="2" applyNumberFormat="1" applyFont="1" applyFill="1" applyBorder="1" applyAlignment="1">
      <alignment horizontal="center" vertical="center"/>
    </xf>
    <xf numFmtId="0" fontId="9" fillId="4" borderId="0" xfId="2" applyNumberFormat="1" applyFont="1" applyFill="1" applyAlignment="1">
      <alignment horizontal="left" vertical="center"/>
    </xf>
    <xf numFmtId="176" fontId="9" fillId="0" borderId="0" xfId="2" applyNumberFormat="1" applyFont="1" applyFill="1" applyBorder="1" applyAlignment="1">
      <alignment vertical="center"/>
    </xf>
    <xf numFmtId="0" fontId="9" fillId="0" borderId="0" xfId="2" applyNumberFormat="1" applyFont="1" applyFill="1" applyAlignment="1">
      <alignment horizontal="left" vertical="center"/>
    </xf>
    <xf numFmtId="0" fontId="54" fillId="2" borderId="67" xfId="2" applyNumberFormat="1" applyFont="1" applyFill="1" applyBorder="1" applyAlignment="1">
      <alignment horizontal="center" vertical="center"/>
    </xf>
    <xf numFmtId="0" fontId="54" fillId="2" borderId="66" xfId="2" applyNumberFormat="1" applyFont="1" applyFill="1" applyBorder="1" applyAlignment="1">
      <alignment horizontal="center" vertical="center"/>
    </xf>
    <xf numFmtId="0" fontId="54" fillId="2" borderId="68" xfId="2" applyNumberFormat="1" applyFont="1" applyFill="1" applyBorder="1" applyAlignment="1">
      <alignment vertical="center"/>
    </xf>
    <xf numFmtId="0" fontId="54" fillId="2" borderId="68" xfId="2" applyNumberFormat="1" applyFont="1" applyFill="1" applyBorder="1" applyAlignment="1">
      <alignment horizontal="right" vertical="center"/>
    </xf>
    <xf numFmtId="0" fontId="54" fillId="2" borderId="23" xfId="2" applyNumberFormat="1" applyFont="1" applyFill="1" applyBorder="1" applyAlignment="1">
      <alignment horizontal="center" vertical="center"/>
    </xf>
    <xf numFmtId="0" fontId="54" fillId="2" borderId="0" xfId="2" applyNumberFormat="1" applyFont="1" applyFill="1" applyBorder="1" applyAlignment="1">
      <alignment horizontal="right" vertical="center"/>
    </xf>
    <xf numFmtId="0" fontId="54" fillId="50" borderId="67" xfId="2" applyNumberFormat="1" applyFont="1" applyFill="1" applyBorder="1" applyAlignment="1">
      <alignment horizontal="center" vertical="center" wrapText="1"/>
    </xf>
    <xf numFmtId="0" fontId="9" fillId="0" borderId="0" xfId="2" applyNumberFormat="1" applyFont="1" applyFill="1" applyAlignment="1">
      <alignment vertical="center" wrapText="1"/>
    </xf>
    <xf numFmtId="0" fontId="6" fillId="2" borderId="73" xfId="2" applyNumberFormat="1" applyFont="1" applyFill="1" applyBorder="1" applyAlignment="1">
      <alignment horizontal="center" vertical="center"/>
    </xf>
    <xf numFmtId="0" fontId="8" fillId="3" borderId="1" xfId="2" applyNumberFormat="1" applyFont="1" applyFill="1" applyBorder="1" applyAlignment="1">
      <alignment horizontal="center" vertical="center"/>
    </xf>
    <xf numFmtId="0" fontId="8" fillId="3" borderId="21" xfId="2" applyNumberFormat="1" applyFont="1" applyFill="1" applyBorder="1" applyAlignment="1">
      <alignment horizontal="center" vertical="center"/>
    </xf>
    <xf numFmtId="0" fontId="9" fillId="3" borderId="1" xfId="2" applyNumberFormat="1" applyFont="1" applyFill="1" applyBorder="1" applyAlignment="1">
      <alignment horizontal="center" vertical="center"/>
    </xf>
    <xf numFmtId="0" fontId="9" fillId="5" borderId="21" xfId="2" applyNumberFormat="1" applyFont="1" applyFill="1" applyBorder="1" applyAlignment="1">
      <alignment horizontal="center" vertical="center"/>
    </xf>
    <xf numFmtId="0" fontId="9" fillId="4" borderId="0" xfId="2" applyNumberFormat="1" applyFont="1" applyFill="1" applyAlignment="1">
      <alignment horizontal="left" vertical="center"/>
    </xf>
    <xf numFmtId="0" fontId="8" fillId="3" borderId="2" xfId="2" applyNumberFormat="1" applyFont="1" applyFill="1" applyBorder="1" applyAlignment="1">
      <alignment horizontal="center" vertical="center"/>
    </xf>
    <xf numFmtId="0" fontId="8" fillId="3" borderId="54" xfId="2" applyNumberFormat="1" applyFont="1" applyFill="1" applyBorder="1" applyAlignment="1">
      <alignment horizontal="center" vertical="center"/>
    </xf>
    <xf numFmtId="0" fontId="8" fillId="3" borderId="3" xfId="2" applyNumberFormat="1" applyFont="1" applyFill="1" applyBorder="1" applyAlignment="1">
      <alignment horizontal="center" vertical="center"/>
    </xf>
    <xf numFmtId="0" fontId="8" fillId="3" borderId="4" xfId="2" applyNumberFormat="1" applyFont="1" applyFill="1" applyBorder="1" applyAlignment="1">
      <alignment horizontal="center" vertical="center"/>
    </xf>
    <xf numFmtId="0" fontId="6" fillId="2" borderId="77" xfId="2" applyNumberFormat="1" applyFont="1" applyFill="1" applyBorder="1" applyAlignment="1">
      <alignment horizontal="center" vertical="center"/>
    </xf>
    <xf numFmtId="0" fontId="6" fillId="2" borderId="74" xfId="2" applyNumberFormat="1" applyFont="1" applyFill="1" applyBorder="1" applyAlignment="1">
      <alignment horizontal="center" vertical="center"/>
    </xf>
    <xf numFmtId="0" fontId="9" fillId="3" borderId="2" xfId="2" applyNumberFormat="1" applyFont="1" applyFill="1" applyBorder="1" applyAlignment="1">
      <alignment horizontal="center" vertical="center"/>
    </xf>
    <xf numFmtId="0" fontId="7" fillId="3" borderId="71" xfId="2" applyNumberFormat="1" applyFont="1" applyFill="1" applyBorder="1" applyAlignment="1">
      <alignment horizontal="center" vertical="center"/>
    </xf>
    <xf numFmtId="0" fontId="7" fillId="3" borderId="73" xfId="2" applyNumberFormat="1" applyFont="1" applyFill="1" applyBorder="1" applyAlignment="1">
      <alignment horizontal="center" vertical="center"/>
    </xf>
    <xf numFmtId="0" fontId="7" fillId="3" borderId="77" xfId="2" applyNumberFormat="1" applyFont="1" applyFill="1" applyBorder="1" applyAlignment="1">
      <alignment horizontal="center" vertical="center"/>
    </xf>
    <xf numFmtId="0" fontId="7" fillId="3" borderId="2" xfId="2" applyNumberFormat="1" applyFont="1" applyFill="1" applyBorder="1" applyAlignment="1">
      <alignment horizontal="center" vertical="center"/>
    </xf>
    <xf numFmtId="0" fontId="7" fillId="3" borderId="1" xfId="2" applyNumberFormat="1" applyFont="1" applyFill="1" applyBorder="1" applyAlignment="1">
      <alignment horizontal="center" vertical="center"/>
    </xf>
    <xf numFmtId="0" fontId="7" fillId="3" borderId="21" xfId="2" applyNumberFormat="1" applyFont="1" applyFill="1" applyBorder="1" applyAlignment="1">
      <alignment horizontal="center" vertical="center"/>
    </xf>
    <xf numFmtId="0" fontId="9" fillId="5" borderId="2" xfId="2" applyNumberFormat="1" applyFont="1" applyFill="1" applyBorder="1" applyAlignment="1">
      <alignment horizontal="center" vertical="center"/>
    </xf>
    <xf numFmtId="0" fontId="7" fillId="3" borderId="53" xfId="2" applyNumberFormat="1" applyFont="1" applyFill="1" applyBorder="1" applyAlignment="1">
      <alignment horizontal="center" vertical="center"/>
    </xf>
    <xf numFmtId="0" fontId="9" fillId="4" borderId="0" xfId="2" applyNumberFormat="1" applyFont="1" applyFill="1" applyBorder="1" applyAlignment="1">
      <alignment horizontal="left" vertical="center"/>
    </xf>
    <xf numFmtId="0" fontId="6" fillId="2" borderId="23" xfId="2" applyNumberFormat="1" applyFont="1" applyFill="1" applyBorder="1" applyAlignment="1">
      <alignment horizontal="center" vertical="center"/>
    </xf>
    <xf numFmtId="0" fontId="6" fillId="2" borderId="46" xfId="2" applyNumberFormat="1" applyFont="1" applyFill="1" applyBorder="1" applyAlignment="1">
      <alignment horizontal="center" vertical="center"/>
    </xf>
    <xf numFmtId="41" fontId="32" fillId="4" borderId="0" xfId="2" applyFont="1" applyFill="1" applyBorder="1" applyAlignment="1">
      <alignment horizontal="center" vertical="center"/>
    </xf>
    <xf numFmtId="0" fontId="6" fillId="2" borderId="23" xfId="2" applyNumberFormat="1" applyFont="1" applyFill="1" applyBorder="1" applyAlignment="1">
      <alignment horizontal="center" vertical="center" wrapText="1"/>
    </xf>
    <xf numFmtId="0" fontId="9" fillId="0" borderId="0" xfId="2" applyNumberFormat="1" applyFont="1" applyFill="1" applyAlignment="1">
      <alignment horizontal="left" vertical="center" wrapText="1"/>
    </xf>
    <xf numFmtId="0" fontId="6" fillId="2" borderId="72" xfId="2" applyNumberFormat="1" applyFont="1" applyFill="1" applyBorder="1" applyAlignment="1">
      <alignment horizontal="center" vertical="center" wrapText="1"/>
    </xf>
    <xf numFmtId="0" fontId="6" fillId="2" borderId="24" xfId="2" applyNumberFormat="1" applyFont="1" applyFill="1" applyBorder="1" applyAlignment="1">
      <alignment horizontal="center" vertical="center"/>
    </xf>
    <xf numFmtId="0" fontId="6" fillId="2" borderId="67" xfId="2" applyNumberFormat="1" applyFont="1" applyFill="1" applyBorder="1" applyAlignment="1">
      <alignment horizontal="center" vertical="center"/>
    </xf>
    <xf numFmtId="0" fontId="6" fillId="2" borderId="66" xfId="2" applyNumberFormat="1" applyFont="1" applyFill="1" applyBorder="1" applyAlignment="1">
      <alignment horizontal="center" vertical="center"/>
    </xf>
    <xf numFmtId="0" fontId="7" fillId="3" borderId="61" xfId="2" applyNumberFormat="1" applyFont="1" applyFill="1" applyBorder="1" applyAlignment="1">
      <alignment horizontal="center" vertical="center"/>
    </xf>
    <xf numFmtId="0" fontId="9" fillId="3" borderId="17" xfId="2" applyNumberFormat="1" applyFont="1" applyFill="1" applyBorder="1" applyAlignment="1">
      <alignment horizontal="center" vertical="center"/>
    </xf>
    <xf numFmtId="0" fontId="9" fillId="3" borderId="20" xfId="2" applyNumberFormat="1" applyFont="1" applyFill="1" applyBorder="1" applyAlignment="1">
      <alignment horizontal="center" vertical="center"/>
    </xf>
    <xf numFmtId="0" fontId="9" fillId="3" borderId="60" xfId="2" applyNumberFormat="1" applyFont="1" applyFill="1" applyBorder="1" applyAlignment="1">
      <alignment horizontal="center" vertical="center"/>
    </xf>
    <xf numFmtId="0" fontId="7" fillId="3" borderId="16" xfId="2" applyNumberFormat="1" applyFont="1" applyFill="1" applyBorder="1" applyAlignment="1">
      <alignment horizontal="center" vertical="center"/>
    </xf>
    <xf numFmtId="0" fontId="7" fillId="3" borderId="7" xfId="2" applyNumberFormat="1" applyFont="1" applyFill="1" applyBorder="1" applyAlignment="1">
      <alignment horizontal="center" vertical="center"/>
    </xf>
    <xf numFmtId="0" fontId="9" fillId="3" borderId="18" xfId="2" applyNumberFormat="1" applyFont="1" applyFill="1" applyBorder="1" applyAlignment="1">
      <alignment horizontal="center" vertical="center" wrapText="1"/>
    </xf>
    <xf numFmtId="0" fontId="9" fillId="3" borderId="18" xfId="2" applyNumberFormat="1" applyFont="1" applyFill="1" applyBorder="1" applyAlignment="1">
      <alignment horizontal="center" vertical="center"/>
    </xf>
    <xf numFmtId="0" fontId="9" fillId="3" borderId="9" xfId="2" applyNumberFormat="1" applyFont="1" applyFill="1" applyBorder="1" applyAlignment="1">
      <alignment horizontal="center" vertical="center" wrapText="1"/>
    </xf>
    <xf numFmtId="0" fontId="9" fillId="3" borderId="5" xfId="2" applyNumberFormat="1" applyFont="1" applyFill="1" applyBorder="1" applyAlignment="1">
      <alignment horizontal="center" vertical="center"/>
    </xf>
    <xf numFmtId="0" fontId="9" fillId="3" borderId="6" xfId="2" applyNumberFormat="1" applyFont="1" applyFill="1" applyBorder="1" applyAlignment="1">
      <alignment horizontal="center" vertical="center"/>
    </xf>
    <xf numFmtId="0" fontId="9" fillId="3" borderId="39" xfId="2" applyNumberFormat="1" applyFont="1" applyFill="1" applyBorder="1" applyAlignment="1">
      <alignment horizontal="center" vertical="center" wrapText="1"/>
    </xf>
    <xf numFmtId="0" fontId="9" fillId="3" borderId="39" xfId="2" applyNumberFormat="1" applyFont="1" applyFill="1" applyBorder="1" applyAlignment="1">
      <alignment horizontal="center" vertical="center"/>
    </xf>
    <xf numFmtId="0" fontId="18" fillId="2" borderId="73" xfId="0" applyNumberFormat="1" applyFont="1" applyFill="1" applyBorder="1" applyAlignment="1">
      <alignment vertical="center"/>
    </xf>
    <xf numFmtId="0" fontId="9" fillId="3" borderId="0" xfId="2" applyNumberFormat="1" applyFont="1" applyFill="1" applyBorder="1" applyAlignment="1">
      <alignment horizontal="center" vertical="center"/>
    </xf>
    <xf numFmtId="0" fontId="18" fillId="2" borderId="77" xfId="0" applyNumberFormat="1" applyFont="1" applyFill="1" applyBorder="1" applyAlignment="1">
      <alignment vertical="center"/>
    </xf>
    <xf numFmtId="0" fontId="7" fillId="3" borderId="0" xfId="2" applyNumberFormat="1" applyFont="1" applyFill="1" applyBorder="1" applyAlignment="1">
      <alignment horizontal="center" vertical="center"/>
    </xf>
    <xf numFmtId="0" fontId="6" fillId="2" borderId="0" xfId="2" applyNumberFormat="1" applyFont="1" applyFill="1" applyBorder="1" applyAlignment="1">
      <alignment horizontal="right" vertical="center"/>
    </xf>
    <xf numFmtId="0" fontId="6" fillId="2" borderId="68" xfId="2" applyNumberFormat="1" applyFont="1" applyFill="1" applyBorder="1" applyAlignment="1">
      <alignment horizontal="right" vertical="center"/>
    </xf>
    <xf numFmtId="0" fontId="6" fillId="2" borderId="0" xfId="2" applyNumberFormat="1" applyFont="1" applyFill="1" applyBorder="1" applyAlignment="1">
      <alignment horizontal="left" vertical="center"/>
    </xf>
    <xf numFmtId="0" fontId="6" fillId="2" borderId="68" xfId="2" applyNumberFormat="1" applyFont="1" applyFill="1" applyBorder="1" applyAlignment="1">
      <alignment horizontal="left" vertical="center"/>
    </xf>
    <xf numFmtId="0" fontId="9" fillId="3" borderId="8" xfId="2" applyNumberFormat="1" applyFont="1" applyFill="1" applyBorder="1" applyAlignment="1">
      <alignment horizontal="center" vertical="center"/>
    </xf>
    <xf numFmtId="0" fontId="6" fillId="2" borderId="73" xfId="0" applyNumberFormat="1" applyFont="1" applyFill="1" applyBorder="1" applyAlignment="1">
      <alignment vertical="center"/>
    </xf>
    <xf numFmtId="0" fontId="9" fillId="3" borderId="13" xfId="0" applyNumberFormat="1" applyFont="1" applyFill="1" applyBorder="1" applyAlignment="1">
      <alignment horizontal="center" vertical="center" wrapText="1"/>
    </xf>
    <xf numFmtId="0" fontId="9" fillId="3" borderId="10" xfId="0" applyNumberFormat="1" applyFont="1" applyFill="1" applyBorder="1" applyAlignment="1">
      <alignment horizontal="center" vertical="center"/>
    </xf>
    <xf numFmtId="0" fontId="9" fillId="3" borderId="14" xfId="0" applyNumberFormat="1" applyFont="1" applyFill="1" applyBorder="1" applyAlignment="1">
      <alignment horizontal="center" vertical="center"/>
    </xf>
    <xf numFmtId="0" fontId="9" fillId="3" borderId="39" xfId="0" applyNumberFormat="1" applyFont="1" applyFill="1" applyBorder="1" applyAlignment="1">
      <alignment horizontal="center" vertical="center"/>
    </xf>
    <xf numFmtId="0" fontId="9" fillId="3" borderId="10" xfId="2" applyNumberFormat="1" applyFont="1" applyFill="1" applyBorder="1" applyAlignment="1">
      <alignment horizontal="center" vertical="center"/>
    </xf>
    <xf numFmtId="0" fontId="9" fillId="3" borderId="11" xfId="2" applyNumberFormat="1" applyFont="1" applyFill="1" applyBorder="1" applyAlignment="1">
      <alignment horizontal="center" vertical="center"/>
    </xf>
    <xf numFmtId="0" fontId="9" fillId="5" borderId="14" xfId="2" applyNumberFormat="1" applyFont="1" applyFill="1" applyBorder="1" applyAlignment="1">
      <alignment horizontal="center" vertical="center"/>
    </xf>
    <xf numFmtId="0" fontId="9" fillId="5" borderId="15" xfId="2" applyNumberFormat="1" applyFont="1" applyFill="1" applyBorder="1" applyAlignment="1">
      <alignment horizontal="center" vertical="center"/>
    </xf>
    <xf numFmtId="0" fontId="9" fillId="3" borderId="13" xfId="0" applyNumberFormat="1" applyFont="1" applyFill="1" applyBorder="1" applyAlignment="1">
      <alignment horizontal="center" vertical="center"/>
    </xf>
    <xf numFmtId="0" fontId="9" fillId="3" borderId="16" xfId="0" applyNumberFormat="1" applyFont="1" applyFill="1" applyBorder="1" applyAlignment="1">
      <alignment horizontal="center" vertical="center"/>
    </xf>
    <xf numFmtId="0" fontId="9" fillId="3" borderId="15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right" vertical="center"/>
    </xf>
    <xf numFmtId="0" fontId="6" fillId="2" borderId="68" xfId="0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left" vertical="center"/>
    </xf>
    <xf numFmtId="0" fontId="6" fillId="2" borderId="68" xfId="0" applyNumberFormat="1" applyFont="1" applyFill="1" applyBorder="1" applyAlignment="1">
      <alignment horizontal="left" vertical="center"/>
    </xf>
    <xf numFmtId="0" fontId="7" fillId="3" borderId="5" xfId="2" applyNumberFormat="1" applyFont="1" applyFill="1" applyBorder="1" applyAlignment="1">
      <alignment horizontal="center" vertical="center"/>
    </xf>
    <xf numFmtId="0" fontId="32" fillId="3" borderId="5" xfId="2" applyNumberFormat="1" applyFont="1" applyFill="1" applyBorder="1" applyAlignment="1">
      <alignment horizontal="center" vertical="center"/>
    </xf>
    <xf numFmtId="0" fontId="32" fillId="3" borderId="0" xfId="2" applyNumberFormat="1" applyFont="1" applyFill="1" applyBorder="1" applyAlignment="1">
      <alignment horizontal="center" vertical="center"/>
    </xf>
    <xf numFmtId="0" fontId="32" fillId="3" borderId="41" xfId="2" applyNumberFormat="1" applyFont="1" applyFill="1" applyBorder="1" applyAlignment="1">
      <alignment horizontal="center" vertical="center"/>
    </xf>
    <xf numFmtId="41" fontId="7" fillId="0" borderId="11" xfId="2" applyFont="1" applyFill="1" applyBorder="1" applyAlignment="1">
      <alignment horizontal="center" vertical="center"/>
    </xf>
    <xf numFmtId="0" fontId="0" fillId="0" borderId="69" xfId="0" applyBorder="1">
      <alignment vertical="center"/>
    </xf>
    <xf numFmtId="41" fontId="7" fillId="0" borderId="48" xfId="2" applyFont="1" applyFill="1" applyBorder="1" applyAlignment="1">
      <alignment horizontal="center" vertical="center"/>
    </xf>
    <xf numFmtId="0" fontId="0" fillId="0" borderId="49" xfId="0" applyBorder="1">
      <alignment vertical="center"/>
    </xf>
    <xf numFmtId="41" fontId="9" fillId="0" borderId="48" xfId="2" applyFont="1" applyFill="1" applyBorder="1" applyAlignment="1">
      <alignment horizontal="center" vertical="center"/>
    </xf>
    <xf numFmtId="41" fontId="9" fillId="0" borderId="15" xfId="2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54" fillId="2" borderId="0" xfId="2" applyNumberFormat="1" applyFont="1" applyFill="1" applyBorder="1" applyAlignment="1">
      <alignment horizontal="right" vertical="center"/>
    </xf>
    <xf numFmtId="0" fontId="54" fillId="2" borderId="68" xfId="2" applyNumberFormat="1" applyFont="1" applyFill="1" applyBorder="1" applyAlignment="1">
      <alignment horizontal="right" vertical="center"/>
    </xf>
    <xf numFmtId="0" fontId="54" fillId="2" borderId="0" xfId="2" applyNumberFormat="1" applyFont="1" applyFill="1" applyBorder="1" applyAlignment="1">
      <alignment horizontal="left" vertical="center"/>
    </xf>
    <xf numFmtId="0" fontId="54" fillId="2" borderId="68" xfId="2" applyNumberFormat="1" applyFont="1" applyFill="1" applyBorder="1" applyAlignment="1">
      <alignment horizontal="left" vertical="center"/>
    </xf>
    <xf numFmtId="0" fontId="54" fillId="50" borderId="23" xfId="2" applyNumberFormat="1" applyFont="1" applyFill="1" applyBorder="1" applyAlignment="1">
      <alignment horizontal="center" vertical="center"/>
    </xf>
    <xf numFmtId="0" fontId="54" fillId="2" borderId="77" xfId="2" applyNumberFormat="1" applyFont="1" applyFill="1" applyBorder="1" applyAlignment="1">
      <alignment horizontal="center" vertical="center"/>
    </xf>
    <xf numFmtId="0" fontId="54" fillId="2" borderId="50" xfId="2" applyNumberFormat="1" applyFont="1" applyFill="1" applyBorder="1" applyAlignment="1">
      <alignment horizontal="center" vertical="center"/>
    </xf>
    <xf numFmtId="0" fontId="54" fillId="2" borderId="72" xfId="2" applyNumberFormat="1" applyFont="1" applyFill="1" applyBorder="1" applyAlignment="1">
      <alignment horizontal="center" vertical="center"/>
    </xf>
    <xf numFmtId="0" fontId="54" fillId="2" borderId="73" xfId="2" applyNumberFormat="1" applyFont="1" applyFill="1" applyBorder="1" applyAlignment="1">
      <alignment horizontal="center" vertical="center"/>
    </xf>
    <xf numFmtId="0" fontId="54" fillId="2" borderId="46" xfId="2" applyNumberFormat="1" applyFont="1" applyFill="1" applyBorder="1" applyAlignment="1">
      <alignment horizontal="center" vertical="center"/>
    </xf>
    <xf numFmtId="0" fontId="65" fillId="0" borderId="0" xfId="0" applyFont="1" applyBorder="1">
      <alignment vertical="center"/>
    </xf>
    <xf numFmtId="0" fontId="65" fillId="0" borderId="46" xfId="0" applyFont="1" applyBorder="1">
      <alignment vertical="center"/>
    </xf>
    <xf numFmtId="0" fontId="9" fillId="3" borderId="5" xfId="0" applyNumberFormat="1" applyFont="1" applyFill="1" applyBorder="1" applyAlignment="1">
      <alignment horizontal="center" vertical="center"/>
    </xf>
    <xf numFmtId="0" fontId="9" fillId="3" borderId="11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/>
    </xf>
    <xf numFmtId="0" fontId="9" fillId="3" borderId="9" xfId="0" applyNumberFormat="1" applyFont="1" applyFill="1" applyBorder="1" applyAlignment="1">
      <alignment horizontal="center" vertical="center" wrapText="1"/>
    </xf>
    <xf numFmtId="0" fontId="7" fillId="3" borderId="14" xfId="0" applyNumberFormat="1" applyFont="1" applyFill="1" applyBorder="1" applyAlignment="1">
      <alignment horizontal="center" vertical="center"/>
    </xf>
    <xf numFmtId="0" fontId="7" fillId="3" borderId="15" xfId="0" applyNumberFormat="1" applyFont="1" applyFill="1" applyBorder="1" applyAlignment="1">
      <alignment horizontal="center" vertical="center"/>
    </xf>
    <xf numFmtId="0" fontId="7" fillId="3" borderId="64" xfId="0" applyNumberFormat="1" applyFont="1" applyFill="1" applyBorder="1" applyAlignment="1">
      <alignment horizontal="center" vertical="center"/>
    </xf>
    <xf numFmtId="0" fontId="6" fillId="2" borderId="78" xfId="2" applyNumberFormat="1" applyFont="1" applyFill="1" applyBorder="1" applyAlignment="1">
      <alignment horizontal="center" vertical="center"/>
    </xf>
    <xf numFmtId="0" fontId="6" fillId="2" borderId="79" xfId="2" applyNumberFormat="1" applyFont="1" applyFill="1" applyBorder="1" applyAlignment="1">
      <alignment horizontal="center" vertical="center"/>
    </xf>
    <xf numFmtId="0" fontId="6" fillId="2" borderId="45" xfId="2" applyNumberFormat="1" applyFont="1" applyFill="1" applyBorder="1" applyAlignment="1">
      <alignment horizontal="center" vertical="center"/>
    </xf>
    <xf numFmtId="0" fontId="6" fillId="2" borderId="80" xfId="2" applyNumberFormat="1" applyFont="1" applyFill="1" applyBorder="1" applyAlignment="1">
      <alignment horizontal="center" vertical="center"/>
    </xf>
    <xf numFmtId="0" fontId="6" fillId="2" borderId="45" xfId="2" applyNumberFormat="1" applyFont="1" applyFill="1" applyBorder="1" applyAlignment="1">
      <alignment horizontal="center" vertical="center" wrapText="1"/>
    </xf>
    <xf numFmtId="176" fontId="9" fillId="0" borderId="0" xfId="2" applyNumberFormat="1" applyFont="1" applyFill="1" applyBorder="1" applyAlignment="1">
      <alignment vertical="center" wrapText="1"/>
    </xf>
    <xf numFmtId="0" fontId="9" fillId="0" borderId="0" xfId="2" applyNumberFormat="1" applyFont="1" applyFill="1" applyBorder="1" applyAlignment="1">
      <alignment vertical="center" wrapText="1"/>
    </xf>
    <xf numFmtId="0" fontId="6" fillId="2" borderId="1" xfId="2" applyNumberFormat="1" applyFont="1" applyFill="1" applyBorder="1" applyAlignment="1">
      <alignment horizontal="center" vertical="center"/>
    </xf>
    <xf numFmtId="0" fontId="6" fillId="2" borderId="1" xfId="2" applyNumberFormat="1" applyFont="1" applyFill="1" applyBorder="1" applyAlignment="1">
      <alignment horizontal="center" vertical="center" wrapText="1"/>
    </xf>
    <xf numFmtId="0" fontId="6" fillId="2" borderId="50" xfId="2" applyNumberFormat="1" applyFont="1" applyFill="1" applyBorder="1" applyAlignment="1">
      <alignment horizontal="center" vertical="center"/>
    </xf>
    <xf numFmtId="0" fontId="6" fillId="2" borderId="72" xfId="2" applyNumberFormat="1" applyFont="1" applyFill="1" applyBorder="1" applyAlignment="1">
      <alignment horizontal="center" vertical="center"/>
    </xf>
    <xf numFmtId="0" fontId="6" fillId="2" borderId="19" xfId="2" applyNumberFormat="1" applyFont="1" applyFill="1" applyBorder="1" applyAlignment="1">
      <alignment horizontal="center" vertical="center"/>
    </xf>
    <xf numFmtId="0" fontId="6" fillId="2" borderId="81" xfId="2" applyNumberFormat="1" applyFont="1" applyFill="1" applyBorder="1" applyAlignment="1">
      <alignment horizontal="center" vertical="center"/>
    </xf>
    <xf numFmtId="0" fontId="6" fillId="2" borderId="82" xfId="2" applyNumberFormat="1" applyFont="1" applyFill="1" applyBorder="1" applyAlignment="1">
      <alignment horizontal="center" vertical="center"/>
    </xf>
    <xf numFmtId="0" fontId="6" fillId="2" borderId="21" xfId="2" applyNumberFormat="1" applyFont="1" applyFill="1" applyBorder="1" applyAlignment="1">
      <alignment horizontal="center" vertical="center"/>
    </xf>
    <xf numFmtId="0" fontId="6" fillId="2" borderId="26" xfId="2" applyNumberFormat="1" applyFont="1" applyFill="1" applyBorder="1" applyAlignment="1">
      <alignment horizontal="center" vertical="center"/>
    </xf>
    <xf numFmtId="0" fontId="6" fillId="2" borderId="27" xfId="2" applyNumberFormat="1" applyFont="1" applyFill="1" applyBorder="1" applyAlignment="1">
      <alignment horizontal="center" vertical="center"/>
    </xf>
    <xf numFmtId="0" fontId="6" fillId="2" borderId="22" xfId="2" applyNumberFormat="1" applyFont="1" applyFill="1" applyBorder="1" applyAlignment="1">
      <alignment horizontal="center" vertical="center"/>
    </xf>
    <xf numFmtId="0" fontId="6" fillId="2" borderId="46" xfId="2" applyNumberFormat="1" applyFont="1" applyFill="1" applyBorder="1" applyAlignment="1">
      <alignment horizontal="center" vertical="center" wrapText="1"/>
    </xf>
    <xf numFmtId="0" fontId="6" fillId="2" borderId="43" xfId="2" applyNumberFormat="1" applyFont="1" applyFill="1" applyBorder="1" applyAlignment="1">
      <alignment horizontal="center" vertical="center"/>
    </xf>
    <xf numFmtId="0" fontId="6" fillId="2" borderId="0" xfId="2" applyNumberFormat="1" applyFont="1" applyFill="1" applyBorder="1" applyAlignment="1">
      <alignment horizontal="center" vertical="center"/>
    </xf>
    <xf numFmtId="0" fontId="9" fillId="3" borderId="61" xfId="3" applyNumberFormat="1" applyFont="1" applyFill="1" applyBorder="1" applyAlignment="1">
      <alignment horizontal="center" vertical="center"/>
    </xf>
    <xf numFmtId="0" fontId="9" fillId="3" borderId="20" xfId="3" applyNumberFormat="1" applyFont="1" applyFill="1" applyBorder="1" applyAlignment="1">
      <alignment horizontal="center" vertical="center"/>
    </xf>
    <xf numFmtId="0" fontId="6" fillId="2" borderId="44" xfId="2" applyNumberFormat="1" applyFont="1" applyFill="1" applyBorder="1" applyAlignment="1">
      <alignment horizontal="center" vertical="center"/>
    </xf>
    <xf numFmtId="0" fontId="9" fillId="4" borderId="0" xfId="2" applyNumberFormat="1" applyFont="1" applyFill="1" applyBorder="1" applyAlignment="1">
      <alignment vertical="center" wrapText="1"/>
    </xf>
    <xf numFmtId="0" fontId="9" fillId="3" borderId="69" xfId="3" applyNumberFormat="1" applyFont="1" applyFill="1" applyBorder="1" applyAlignment="1">
      <alignment horizontal="center" vertical="center"/>
    </xf>
    <xf numFmtId="0" fontId="9" fillId="3" borderId="48" xfId="3" applyNumberFormat="1" applyFont="1" applyFill="1" applyBorder="1" applyAlignment="1">
      <alignment horizontal="center" vertical="center"/>
    </xf>
    <xf numFmtId="0" fontId="9" fillId="3" borderId="0" xfId="3" applyNumberFormat="1" applyFont="1" applyFill="1" applyBorder="1" applyAlignment="1">
      <alignment horizontal="center" vertical="center"/>
    </xf>
    <xf numFmtId="0" fontId="9" fillId="3" borderId="8" xfId="3" applyNumberFormat="1" applyFont="1" applyFill="1" applyBorder="1" applyAlignment="1">
      <alignment horizontal="center" vertical="center"/>
    </xf>
    <xf numFmtId="0" fontId="54" fillId="2" borderId="1" xfId="2" applyNumberFormat="1" applyFont="1" applyFill="1" applyBorder="1" applyAlignment="1">
      <alignment horizontal="center" vertical="center"/>
    </xf>
    <xf numFmtId="0" fontId="54" fillId="2" borderId="67" xfId="2" applyNumberFormat="1" applyFont="1" applyFill="1" applyBorder="1" applyAlignment="1">
      <alignment horizontal="center" vertical="center"/>
    </xf>
    <xf numFmtId="0" fontId="54" fillId="2" borderId="21" xfId="2" applyNumberFormat="1" applyFont="1" applyFill="1" applyBorder="1" applyAlignment="1">
      <alignment horizontal="center" vertical="center"/>
    </xf>
    <xf numFmtId="0" fontId="54" fillId="2" borderId="66" xfId="2" applyNumberFormat="1" applyFont="1" applyFill="1" applyBorder="1" applyAlignment="1">
      <alignment horizontal="center" vertical="center"/>
    </xf>
    <xf numFmtId="0" fontId="54" fillId="2" borderId="23" xfId="2" applyNumberFormat="1" applyFont="1" applyFill="1" applyBorder="1" applyAlignment="1">
      <alignment horizontal="center" vertical="center"/>
    </xf>
    <xf numFmtId="0" fontId="54" fillId="2" borderId="23" xfId="2" applyNumberFormat="1" applyFont="1" applyFill="1" applyBorder="1" applyAlignment="1">
      <alignment horizontal="center" vertical="center" wrapText="1"/>
    </xf>
    <xf numFmtId="0" fontId="9" fillId="5" borderId="0" xfId="2" applyNumberFormat="1" applyFont="1" applyFill="1" applyBorder="1" applyAlignment="1">
      <alignment horizontal="center" vertical="center" wrapText="1"/>
    </xf>
    <xf numFmtId="0" fontId="9" fillId="5" borderId="0" xfId="2" applyNumberFormat="1" applyFont="1" applyFill="1" applyBorder="1" applyAlignment="1">
      <alignment horizontal="center" vertical="center"/>
    </xf>
    <xf numFmtId="0" fontId="9" fillId="5" borderId="61" xfId="2" applyNumberFormat="1" applyFont="1" applyFill="1" applyBorder="1" applyAlignment="1">
      <alignment horizontal="center" vertical="center"/>
    </xf>
    <xf numFmtId="0" fontId="9" fillId="5" borderId="61" xfId="2" applyNumberFormat="1" applyFont="1" applyFill="1" applyBorder="1" applyAlignment="1">
      <alignment horizontal="center" vertical="center" wrapText="1"/>
    </xf>
    <xf numFmtId="0" fontId="6" fillId="2" borderId="68" xfId="2" applyNumberFormat="1" applyFont="1" applyFill="1" applyBorder="1" applyAlignment="1">
      <alignment horizontal="center" vertical="center"/>
    </xf>
    <xf numFmtId="41" fontId="9" fillId="0" borderId="0" xfId="2" applyFont="1" applyFill="1" applyBorder="1" applyAlignment="1">
      <alignment horizontal="center" vertical="center"/>
    </xf>
    <xf numFmtId="176" fontId="9" fillId="0" borderId="61" xfId="2" applyNumberFormat="1" applyFont="1" applyFill="1" applyBorder="1" applyAlignment="1">
      <alignment vertical="center"/>
    </xf>
    <xf numFmtId="176" fontId="9" fillId="0" borderId="0" xfId="2" applyNumberFormat="1" applyFont="1" applyFill="1" applyBorder="1" applyAlignment="1">
      <alignment vertical="center"/>
    </xf>
    <xf numFmtId="0" fontId="6" fillId="2" borderId="66" xfId="2" applyNumberFormat="1" applyFont="1" applyFill="1" applyBorder="1" applyAlignment="1">
      <alignment horizontal="center" vertical="center" wrapText="1"/>
    </xf>
    <xf numFmtId="0" fontId="6" fillId="2" borderId="24" xfId="2" applyNumberFormat="1" applyFont="1" applyFill="1" applyBorder="1" applyAlignment="1">
      <alignment horizontal="center" vertical="center" wrapText="1"/>
    </xf>
    <xf numFmtId="0" fontId="6" fillId="2" borderId="68" xfId="2" applyNumberFormat="1" applyFont="1" applyFill="1" applyBorder="1" applyAlignment="1">
      <alignment horizontal="center" vertical="center" wrapText="1"/>
    </xf>
    <xf numFmtId="0" fontId="6" fillId="2" borderId="73" xfId="2" applyNumberFormat="1" applyFont="1" applyFill="1" applyBorder="1" applyAlignment="1">
      <alignment horizontal="center" vertical="center" wrapText="1"/>
    </xf>
    <xf numFmtId="0" fontId="9" fillId="0" borderId="0" xfId="2" applyNumberFormat="1" applyFont="1" applyFill="1" applyBorder="1" applyAlignment="1">
      <alignment horizontal="left" vertical="center" wrapText="1"/>
    </xf>
    <xf numFmtId="0" fontId="9" fillId="0" borderId="0" xfId="2" applyNumberFormat="1" applyFont="1" applyFill="1" applyAlignment="1">
      <alignment horizontal="left" vertical="center"/>
    </xf>
    <xf numFmtId="0" fontId="9" fillId="3" borderId="69" xfId="2" applyNumberFormat="1" applyFont="1" applyFill="1" applyBorder="1" applyAlignment="1">
      <alignment horizontal="center" vertical="center"/>
    </xf>
    <xf numFmtId="0" fontId="6" fillId="2" borderId="77" xfId="2" applyNumberFormat="1" applyFont="1" applyFill="1" applyBorder="1" applyAlignment="1">
      <alignment horizontal="center" vertical="center" wrapText="1"/>
    </xf>
    <xf numFmtId="0" fontId="7" fillId="3" borderId="69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9" fillId="0" borderId="61" xfId="2" applyNumberFormat="1" applyFont="1" applyFill="1" applyBorder="1" applyAlignment="1">
      <alignment horizontal="center" vertical="center"/>
    </xf>
    <xf numFmtId="0" fontId="0" fillId="0" borderId="61" xfId="0" applyBorder="1">
      <alignment vertical="center"/>
    </xf>
    <xf numFmtId="0" fontId="7" fillId="0" borderId="0" xfId="2" applyNumberFormat="1" applyFont="1" applyFill="1" applyBorder="1" applyAlignment="1">
      <alignment horizontal="center" vertical="center"/>
    </xf>
  </cellXfs>
  <cellStyles count="2321">
    <cellStyle name="20% - 강조색1 10" xfId="33"/>
    <cellStyle name="20% - 강조색1 11" xfId="34"/>
    <cellStyle name="20% - 강조색1 12" xfId="35"/>
    <cellStyle name="20% - 강조색1 13" xfId="36"/>
    <cellStyle name="20% - 강조색1 14" xfId="37"/>
    <cellStyle name="20% - 강조색1 15" xfId="38"/>
    <cellStyle name="20% - 강조색1 16" xfId="39"/>
    <cellStyle name="20% - 강조색1 17" xfId="40"/>
    <cellStyle name="20% - 강조색1 18" xfId="41"/>
    <cellStyle name="20% - 강조색1 19" xfId="42"/>
    <cellStyle name="20% - 강조색1 2" xfId="43"/>
    <cellStyle name="20% - 강조색1 2 2" xfId="44"/>
    <cellStyle name="20% - 강조색1 2 3" xfId="45"/>
    <cellStyle name="20% - 강조색1 2 4" xfId="46"/>
    <cellStyle name="20% - 강조색1 20" xfId="47"/>
    <cellStyle name="20% - 강조색1 21" xfId="48"/>
    <cellStyle name="20% - 강조색1 22" xfId="49"/>
    <cellStyle name="20% - 강조색1 23" xfId="50"/>
    <cellStyle name="20% - 강조색1 24" xfId="51"/>
    <cellStyle name="20% - 강조색1 25" xfId="52"/>
    <cellStyle name="20% - 강조색1 26" xfId="53"/>
    <cellStyle name="20% - 강조색1 27" xfId="54"/>
    <cellStyle name="20% - 강조색1 28" xfId="55"/>
    <cellStyle name="20% - 강조색1 29" xfId="56"/>
    <cellStyle name="20% - 강조색1 3" xfId="57"/>
    <cellStyle name="20% - 강조색1 3 2" xfId="58"/>
    <cellStyle name="20% - 강조색1 3 3" xfId="59"/>
    <cellStyle name="20% - 강조색1 3 4" xfId="60"/>
    <cellStyle name="20% - 강조색1 30" xfId="61"/>
    <cellStyle name="20% - 강조색1 31" xfId="62"/>
    <cellStyle name="20% - 강조색1 32" xfId="63"/>
    <cellStyle name="20% - 강조색1 33" xfId="64"/>
    <cellStyle name="20% - 강조색1 34" xfId="65"/>
    <cellStyle name="20% - 강조색1 35" xfId="66"/>
    <cellStyle name="20% - 강조색1 36" xfId="67"/>
    <cellStyle name="20% - 강조색1 37" xfId="68"/>
    <cellStyle name="20% - 강조색1 38" xfId="69"/>
    <cellStyle name="20% - 강조색1 39" xfId="70"/>
    <cellStyle name="20% - 강조색1 4" xfId="71"/>
    <cellStyle name="20% - 강조색1 4 2" xfId="72"/>
    <cellStyle name="20% - 강조색1 4 3" xfId="73"/>
    <cellStyle name="20% - 강조색1 4 4" xfId="74"/>
    <cellStyle name="20% - 강조색1 40" xfId="75"/>
    <cellStyle name="20% - 강조색1 41" xfId="76"/>
    <cellStyle name="20% - 강조색1 42" xfId="77"/>
    <cellStyle name="20% - 강조색1 43" xfId="78"/>
    <cellStyle name="20% - 강조색1 44" xfId="79"/>
    <cellStyle name="20% - 강조색1 45" xfId="80"/>
    <cellStyle name="20% - 강조색1 46" xfId="81"/>
    <cellStyle name="20% - 강조색1 47" xfId="82"/>
    <cellStyle name="20% - 강조색1 48" xfId="83"/>
    <cellStyle name="20% - 강조색1 5" xfId="84"/>
    <cellStyle name="20% - 강조색1 6" xfId="85"/>
    <cellStyle name="20% - 강조색1 7" xfId="86"/>
    <cellStyle name="20% - 강조색1 8" xfId="87"/>
    <cellStyle name="20% - 강조색1 9" xfId="88"/>
    <cellStyle name="20% - 강조색2 10" xfId="89"/>
    <cellStyle name="20% - 강조색2 11" xfId="90"/>
    <cellStyle name="20% - 강조색2 12" xfId="91"/>
    <cellStyle name="20% - 강조색2 13" xfId="92"/>
    <cellStyle name="20% - 강조색2 14" xfId="93"/>
    <cellStyle name="20% - 강조색2 15" xfId="94"/>
    <cellStyle name="20% - 강조색2 16" xfId="95"/>
    <cellStyle name="20% - 강조색2 17" xfId="96"/>
    <cellStyle name="20% - 강조색2 18" xfId="97"/>
    <cellStyle name="20% - 강조색2 19" xfId="98"/>
    <cellStyle name="20% - 강조색2 2" xfId="99"/>
    <cellStyle name="20% - 강조색2 2 2" xfId="100"/>
    <cellStyle name="20% - 강조색2 2 3" xfId="101"/>
    <cellStyle name="20% - 강조색2 2 4" xfId="102"/>
    <cellStyle name="20% - 강조색2 20" xfId="103"/>
    <cellStyle name="20% - 강조색2 21" xfId="104"/>
    <cellStyle name="20% - 강조색2 22" xfId="105"/>
    <cellStyle name="20% - 강조색2 23" xfId="106"/>
    <cellStyle name="20% - 강조색2 24" xfId="107"/>
    <cellStyle name="20% - 강조색2 25" xfId="108"/>
    <cellStyle name="20% - 강조색2 26" xfId="109"/>
    <cellStyle name="20% - 강조색2 27" xfId="110"/>
    <cellStyle name="20% - 강조색2 28" xfId="111"/>
    <cellStyle name="20% - 강조색2 29" xfId="112"/>
    <cellStyle name="20% - 강조색2 3" xfId="113"/>
    <cellStyle name="20% - 강조색2 3 2" xfId="114"/>
    <cellStyle name="20% - 강조색2 3 3" xfId="115"/>
    <cellStyle name="20% - 강조색2 3 4" xfId="116"/>
    <cellStyle name="20% - 강조색2 30" xfId="117"/>
    <cellStyle name="20% - 강조색2 31" xfId="118"/>
    <cellStyle name="20% - 강조색2 32" xfId="119"/>
    <cellStyle name="20% - 강조색2 33" xfId="120"/>
    <cellStyle name="20% - 강조색2 34" xfId="121"/>
    <cellStyle name="20% - 강조색2 35" xfId="122"/>
    <cellStyle name="20% - 강조색2 36" xfId="123"/>
    <cellStyle name="20% - 강조색2 37" xfId="124"/>
    <cellStyle name="20% - 강조색2 38" xfId="125"/>
    <cellStyle name="20% - 강조색2 39" xfId="126"/>
    <cellStyle name="20% - 강조색2 4" xfId="127"/>
    <cellStyle name="20% - 강조색2 4 2" xfId="128"/>
    <cellStyle name="20% - 강조색2 4 3" xfId="129"/>
    <cellStyle name="20% - 강조색2 4 4" xfId="130"/>
    <cellStyle name="20% - 강조색2 40" xfId="131"/>
    <cellStyle name="20% - 강조색2 41" xfId="132"/>
    <cellStyle name="20% - 강조색2 42" xfId="133"/>
    <cellStyle name="20% - 강조색2 43" xfId="134"/>
    <cellStyle name="20% - 강조색2 44" xfId="135"/>
    <cellStyle name="20% - 강조색2 45" xfId="136"/>
    <cellStyle name="20% - 강조색2 46" xfId="137"/>
    <cellStyle name="20% - 강조색2 47" xfId="138"/>
    <cellStyle name="20% - 강조색2 48" xfId="139"/>
    <cellStyle name="20% - 강조색2 5" xfId="140"/>
    <cellStyle name="20% - 강조색2 6" xfId="141"/>
    <cellStyle name="20% - 강조색2 7" xfId="142"/>
    <cellStyle name="20% - 강조색2 8" xfId="143"/>
    <cellStyle name="20% - 강조색2 9" xfId="144"/>
    <cellStyle name="20% - 강조색3 10" xfId="145"/>
    <cellStyle name="20% - 강조색3 11" xfId="146"/>
    <cellStyle name="20% - 강조색3 12" xfId="147"/>
    <cellStyle name="20% - 강조색3 13" xfId="148"/>
    <cellStyle name="20% - 강조색3 14" xfId="149"/>
    <cellStyle name="20% - 강조색3 15" xfId="150"/>
    <cellStyle name="20% - 강조색3 16" xfId="151"/>
    <cellStyle name="20% - 강조색3 17" xfId="152"/>
    <cellStyle name="20% - 강조색3 18" xfId="153"/>
    <cellStyle name="20% - 강조색3 19" xfId="154"/>
    <cellStyle name="20% - 강조색3 2" xfId="155"/>
    <cellStyle name="20% - 강조색3 2 2" xfId="156"/>
    <cellStyle name="20% - 강조색3 2 3" xfId="157"/>
    <cellStyle name="20% - 강조색3 2 4" xfId="158"/>
    <cellStyle name="20% - 강조색3 20" xfId="159"/>
    <cellStyle name="20% - 강조색3 21" xfId="160"/>
    <cellStyle name="20% - 강조색3 22" xfId="161"/>
    <cellStyle name="20% - 강조색3 23" xfId="162"/>
    <cellStyle name="20% - 강조색3 24" xfId="163"/>
    <cellStyle name="20% - 강조색3 25" xfId="164"/>
    <cellStyle name="20% - 강조색3 26" xfId="165"/>
    <cellStyle name="20% - 강조색3 27" xfId="166"/>
    <cellStyle name="20% - 강조색3 28" xfId="167"/>
    <cellStyle name="20% - 강조색3 29" xfId="168"/>
    <cellStyle name="20% - 강조색3 3" xfId="169"/>
    <cellStyle name="20% - 강조색3 3 2" xfId="170"/>
    <cellStyle name="20% - 강조색3 3 3" xfId="171"/>
    <cellStyle name="20% - 강조색3 3 4" xfId="172"/>
    <cellStyle name="20% - 강조색3 30" xfId="173"/>
    <cellStyle name="20% - 강조색3 31" xfId="174"/>
    <cellStyle name="20% - 강조색3 32" xfId="175"/>
    <cellStyle name="20% - 강조색3 33" xfId="176"/>
    <cellStyle name="20% - 강조색3 34" xfId="177"/>
    <cellStyle name="20% - 강조색3 35" xfId="178"/>
    <cellStyle name="20% - 강조색3 36" xfId="179"/>
    <cellStyle name="20% - 강조색3 37" xfId="180"/>
    <cellStyle name="20% - 강조색3 38" xfId="181"/>
    <cellStyle name="20% - 강조색3 39" xfId="182"/>
    <cellStyle name="20% - 강조색3 4" xfId="183"/>
    <cellStyle name="20% - 강조색3 4 2" xfId="184"/>
    <cellStyle name="20% - 강조색3 4 3" xfId="185"/>
    <cellStyle name="20% - 강조색3 4 4" xfId="186"/>
    <cellStyle name="20% - 강조색3 40" xfId="187"/>
    <cellStyle name="20% - 강조색3 41" xfId="188"/>
    <cellStyle name="20% - 강조색3 42" xfId="189"/>
    <cellStyle name="20% - 강조색3 43" xfId="190"/>
    <cellStyle name="20% - 강조색3 44" xfId="191"/>
    <cellStyle name="20% - 강조색3 45" xfId="192"/>
    <cellStyle name="20% - 강조색3 46" xfId="193"/>
    <cellStyle name="20% - 강조색3 47" xfId="194"/>
    <cellStyle name="20% - 강조색3 48" xfId="195"/>
    <cellStyle name="20% - 강조색3 5" xfId="196"/>
    <cellStyle name="20% - 강조색3 6" xfId="197"/>
    <cellStyle name="20% - 강조색3 7" xfId="198"/>
    <cellStyle name="20% - 강조색3 8" xfId="199"/>
    <cellStyle name="20% - 강조색3 9" xfId="200"/>
    <cellStyle name="20% - 강조색4 10" xfId="201"/>
    <cellStyle name="20% - 강조색4 11" xfId="202"/>
    <cellStyle name="20% - 강조색4 12" xfId="203"/>
    <cellStyle name="20% - 강조색4 13" xfId="204"/>
    <cellStyle name="20% - 강조색4 14" xfId="205"/>
    <cellStyle name="20% - 강조색4 15" xfId="206"/>
    <cellStyle name="20% - 강조색4 16" xfId="207"/>
    <cellStyle name="20% - 강조색4 17" xfId="208"/>
    <cellStyle name="20% - 강조색4 18" xfId="209"/>
    <cellStyle name="20% - 강조색4 19" xfId="210"/>
    <cellStyle name="20% - 강조색4 2" xfId="211"/>
    <cellStyle name="20% - 강조색4 2 2" xfId="212"/>
    <cellStyle name="20% - 강조색4 2 3" xfId="213"/>
    <cellStyle name="20% - 강조색4 2 4" xfId="214"/>
    <cellStyle name="20% - 강조색4 20" xfId="215"/>
    <cellStyle name="20% - 강조색4 21" xfId="216"/>
    <cellStyle name="20% - 강조색4 22" xfId="217"/>
    <cellStyle name="20% - 강조색4 23" xfId="218"/>
    <cellStyle name="20% - 강조색4 24" xfId="219"/>
    <cellStyle name="20% - 강조색4 25" xfId="220"/>
    <cellStyle name="20% - 강조색4 26" xfId="221"/>
    <cellStyle name="20% - 강조색4 27" xfId="222"/>
    <cellStyle name="20% - 강조색4 28" xfId="223"/>
    <cellStyle name="20% - 강조색4 29" xfId="224"/>
    <cellStyle name="20% - 강조색4 3" xfId="225"/>
    <cellStyle name="20% - 강조색4 3 2" xfId="226"/>
    <cellStyle name="20% - 강조색4 3 3" xfId="227"/>
    <cellStyle name="20% - 강조색4 3 4" xfId="228"/>
    <cellStyle name="20% - 강조색4 30" xfId="229"/>
    <cellStyle name="20% - 강조색4 31" xfId="230"/>
    <cellStyle name="20% - 강조색4 32" xfId="231"/>
    <cellStyle name="20% - 강조색4 33" xfId="232"/>
    <cellStyle name="20% - 강조색4 34" xfId="233"/>
    <cellStyle name="20% - 강조색4 35" xfId="234"/>
    <cellStyle name="20% - 강조색4 36" xfId="235"/>
    <cellStyle name="20% - 강조색4 37" xfId="236"/>
    <cellStyle name="20% - 강조색4 38" xfId="237"/>
    <cellStyle name="20% - 강조색4 39" xfId="238"/>
    <cellStyle name="20% - 강조색4 4" xfId="239"/>
    <cellStyle name="20% - 강조색4 4 2" xfId="240"/>
    <cellStyle name="20% - 강조색4 4 3" xfId="241"/>
    <cellStyle name="20% - 강조색4 4 4" xfId="242"/>
    <cellStyle name="20% - 강조색4 40" xfId="243"/>
    <cellStyle name="20% - 강조색4 41" xfId="244"/>
    <cellStyle name="20% - 강조색4 42" xfId="245"/>
    <cellStyle name="20% - 강조색4 43" xfId="246"/>
    <cellStyle name="20% - 강조색4 44" xfId="247"/>
    <cellStyle name="20% - 강조색4 45" xfId="248"/>
    <cellStyle name="20% - 강조색4 46" xfId="249"/>
    <cellStyle name="20% - 강조색4 47" xfId="250"/>
    <cellStyle name="20% - 강조색4 48" xfId="251"/>
    <cellStyle name="20% - 강조색4 5" xfId="252"/>
    <cellStyle name="20% - 강조색4 6" xfId="253"/>
    <cellStyle name="20% - 강조색4 7" xfId="254"/>
    <cellStyle name="20% - 강조색4 8" xfId="255"/>
    <cellStyle name="20% - 강조색4 9" xfId="256"/>
    <cellStyle name="20% - 강조색5 10" xfId="257"/>
    <cellStyle name="20% - 강조색5 11" xfId="258"/>
    <cellStyle name="20% - 강조색5 12" xfId="259"/>
    <cellStyle name="20% - 강조색5 13" xfId="260"/>
    <cellStyle name="20% - 강조색5 14" xfId="261"/>
    <cellStyle name="20% - 강조색5 15" xfId="262"/>
    <cellStyle name="20% - 강조색5 16" xfId="263"/>
    <cellStyle name="20% - 강조색5 17" xfId="264"/>
    <cellStyle name="20% - 강조색5 18" xfId="265"/>
    <cellStyle name="20% - 강조색5 19" xfId="266"/>
    <cellStyle name="20% - 강조색5 2" xfId="267"/>
    <cellStyle name="20% - 강조색5 2 2" xfId="268"/>
    <cellStyle name="20% - 강조색5 2 3" xfId="269"/>
    <cellStyle name="20% - 강조색5 2 4" xfId="270"/>
    <cellStyle name="20% - 강조색5 20" xfId="271"/>
    <cellStyle name="20% - 강조색5 21" xfId="272"/>
    <cellStyle name="20% - 강조색5 22" xfId="273"/>
    <cellStyle name="20% - 강조색5 23" xfId="274"/>
    <cellStyle name="20% - 강조색5 24" xfId="275"/>
    <cellStyle name="20% - 강조색5 25" xfId="276"/>
    <cellStyle name="20% - 강조색5 26" xfId="277"/>
    <cellStyle name="20% - 강조색5 27" xfId="278"/>
    <cellStyle name="20% - 강조색5 28" xfId="279"/>
    <cellStyle name="20% - 강조색5 29" xfId="280"/>
    <cellStyle name="20% - 강조색5 3" xfId="281"/>
    <cellStyle name="20% - 강조색5 3 2" xfId="282"/>
    <cellStyle name="20% - 강조색5 3 3" xfId="283"/>
    <cellStyle name="20% - 강조색5 3 4" xfId="284"/>
    <cellStyle name="20% - 강조색5 30" xfId="285"/>
    <cellStyle name="20% - 강조색5 31" xfId="286"/>
    <cellStyle name="20% - 강조색5 32" xfId="287"/>
    <cellStyle name="20% - 강조색5 33" xfId="288"/>
    <cellStyle name="20% - 강조색5 34" xfId="289"/>
    <cellStyle name="20% - 강조색5 35" xfId="290"/>
    <cellStyle name="20% - 강조색5 36" xfId="291"/>
    <cellStyle name="20% - 강조색5 37" xfId="292"/>
    <cellStyle name="20% - 강조색5 38" xfId="293"/>
    <cellStyle name="20% - 강조색5 39" xfId="294"/>
    <cellStyle name="20% - 강조색5 4" xfId="295"/>
    <cellStyle name="20% - 강조색5 4 2" xfId="296"/>
    <cellStyle name="20% - 강조색5 4 3" xfId="297"/>
    <cellStyle name="20% - 강조색5 4 4" xfId="298"/>
    <cellStyle name="20% - 강조색5 40" xfId="299"/>
    <cellStyle name="20% - 강조색5 41" xfId="300"/>
    <cellStyle name="20% - 강조색5 42" xfId="301"/>
    <cellStyle name="20% - 강조색5 43" xfId="302"/>
    <cellStyle name="20% - 강조색5 44" xfId="303"/>
    <cellStyle name="20% - 강조색5 45" xfId="304"/>
    <cellStyle name="20% - 강조색5 46" xfId="305"/>
    <cellStyle name="20% - 강조색5 47" xfId="306"/>
    <cellStyle name="20% - 강조색5 48" xfId="307"/>
    <cellStyle name="20% - 강조색5 5" xfId="308"/>
    <cellStyle name="20% - 강조색5 6" xfId="309"/>
    <cellStyle name="20% - 강조색5 7" xfId="310"/>
    <cellStyle name="20% - 강조색5 8" xfId="311"/>
    <cellStyle name="20% - 강조색5 9" xfId="312"/>
    <cellStyle name="20% - 강조색6 10" xfId="313"/>
    <cellStyle name="20% - 강조색6 11" xfId="314"/>
    <cellStyle name="20% - 강조색6 12" xfId="315"/>
    <cellStyle name="20% - 강조색6 13" xfId="316"/>
    <cellStyle name="20% - 강조색6 14" xfId="317"/>
    <cellStyle name="20% - 강조색6 15" xfId="318"/>
    <cellStyle name="20% - 강조색6 16" xfId="319"/>
    <cellStyle name="20% - 강조색6 17" xfId="320"/>
    <cellStyle name="20% - 강조색6 18" xfId="321"/>
    <cellStyle name="20% - 강조색6 19" xfId="322"/>
    <cellStyle name="20% - 강조색6 2" xfId="323"/>
    <cellStyle name="20% - 강조색6 2 2" xfId="324"/>
    <cellStyle name="20% - 강조색6 2 3" xfId="325"/>
    <cellStyle name="20% - 강조색6 2 4" xfId="326"/>
    <cellStyle name="20% - 강조색6 20" xfId="327"/>
    <cellStyle name="20% - 강조색6 21" xfId="328"/>
    <cellStyle name="20% - 강조색6 22" xfId="329"/>
    <cellStyle name="20% - 강조색6 23" xfId="330"/>
    <cellStyle name="20% - 강조색6 24" xfId="331"/>
    <cellStyle name="20% - 강조색6 25" xfId="332"/>
    <cellStyle name="20% - 강조색6 26" xfId="333"/>
    <cellStyle name="20% - 강조색6 27" xfId="334"/>
    <cellStyle name="20% - 강조색6 28" xfId="335"/>
    <cellStyle name="20% - 강조색6 29" xfId="336"/>
    <cellStyle name="20% - 강조색6 3" xfId="337"/>
    <cellStyle name="20% - 강조색6 3 2" xfId="338"/>
    <cellStyle name="20% - 강조색6 3 3" xfId="339"/>
    <cellStyle name="20% - 강조색6 3 4" xfId="340"/>
    <cellStyle name="20% - 강조색6 30" xfId="341"/>
    <cellStyle name="20% - 강조색6 31" xfId="342"/>
    <cellStyle name="20% - 강조색6 32" xfId="343"/>
    <cellStyle name="20% - 강조색6 33" xfId="344"/>
    <cellStyle name="20% - 강조색6 34" xfId="345"/>
    <cellStyle name="20% - 강조색6 35" xfId="346"/>
    <cellStyle name="20% - 강조색6 36" xfId="347"/>
    <cellStyle name="20% - 강조색6 37" xfId="348"/>
    <cellStyle name="20% - 강조색6 38" xfId="349"/>
    <cellStyle name="20% - 강조색6 39" xfId="350"/>
    <cellStyle name="20% - 강조색6 4" xfId="351"/>
    <cellStyle name="20% - 강조색6 4 2" xfId="352"/>
    <cellStyle name="20% - 강조색6 4 3" xfId="353"/>
    <cellStyle name="20% - 강조색6 4 4" xfId="354"/>
    <cellStyle name="20% - 강조색6 40" xfId="355"/>
    <cellStyle name="20% - 강조색6 41" xfId="356"/>
    <cellStyle name="20% - 강조색6 42" xfId="357"/>
    <cellStyle name="20% - 강조색6 43" xfId="358"/>
    <cellStyle name="20% - 강조색6 44" xfId="359"/>
    <cellStyle name="20% - 강조색6 45" xfId="360"/>
    <cellStyle name="20% - 강조색6 46" xfId="361"/>
    <cellStyle name="20% - 강조색6 47" xfId="362"/>
    <cellStyle name="20% - 강조색6 48" xfId="363"/>
    <cellStyle name="20% - 강조색6 5" xfId="364"/>
    <cellStyle name="20% - 강조색6 6" xfId="365"/>
    <cellStyle name="20% - 강조색6 7" xfId="366"/>
    <cellStyle name="20% - 강조색6 8" xfId="367"/>
    <cellStyle name="20% - 강조색6 9" xfId="368"/>
    <cellStyle name="40% - 강조색1 10" xfId="369"/>
    <cellStyle name="40% - 강조색1 11" xfId="370"/>
    <cellStyle name="40% - 강조색1 12" xfId="371"/>
    <cellStyle name="40% - 강조색1 13" xfId="372"/>
    <cellStyle name="40% - 강조색1 14" xfId="373"/>
    <cellStyle name="40% - 강조색1 15" xfId="374"/>
    <cellStyle name="40% - 강조색1 16" xfId="375"/>
    <cellStyle name="40% - 강조색1 17" xfId="376"/>
    <cellStyle name="40% - 강조색1 18" xfId="377"/>
    <cellStyle name="40% - 강조색1 19" xfId="378"/>
    <cellStyle name="40% - 강조색1 2" xfId="379"/>
    <cellStyle name="40% - 강조색1 2 2" xfId="380"/>
    <cellStyle name="40% - 강조색1 2 3" xfId="381"/>
    <cellStyle name="40% - 강조색1 2 4" xfId="382"/>
    <cellStyle name="40% - 강조색1 20" xfId="383"/>
    <cellStyle name="40% - 강조색1 21" xfId="384"/>
    <cellStyle name="40% - 강조색1 22" xfId="385"/>
    <cellStyle name="40% - 강조색1 23" xfId="386"/>
    <cellStyle name="40% - 강조색1 24" xfId="387"/>
    <cellStyle name="40% - 강조색1 25" xfId="388"/>
    <cellStyle name="40% - 강조색1 26" xfId="389"/>
    <cellStyle name="40% - 강조색1 27" xfId="390"/>
    <cellStyle name="40% - 강조색1 28" xfId="391"/>
    <cellStyle name="40% - 강조색1 29" xfId="392"/>
    <cellStyle name="40% - 강조색1 3" xfId="393"/>
    <cellStyle name="40% - 강조색1 3 2" xfId="394"/>
    <cellStyle name="40% - 강조색1 3 3" xfId="395"/>
    <cellStyle name="40% - 강조색1 3 4" xfId="396"/>
    <cellStyle name="40% - 강조색1 30" xfId="397"/>
    <cellStyle name="40% - 강조색1 31" xfId="398"/>
    <cellStyle name="40% - 강조색1 32" xfId="399"/>
    <cellStyle name="40% - 강조색1 33" xfId="400"/>
    <cellStyle name="40% - 강조색1 34" xfId="401"/>
    <cellStyle name="40% - 강조색1 35" xfId="402"/>
    <cellStyle name="40% - 강조색1 36" xfId="403"/>
    <cellStyle name="40% - 강조색1 37" xfId="404"/>
    <cellStyle name="40% - 강조색1 38" xfId="405"/>
    <cellStyle name="40% - 강조색1 39" xfId="406"/>
    <cellStyle name="40% - 강조색1 4" xfId="407"/>
    <cellStyle name="40% - 강조색1 4 2" xfId="408"/>
    <cellStyle name="40% - 강조색1 4 3" xfId="409"/>
    <cellStyle name="40% - 강조색1 4 4" xfId="410"/>
    <cellStyle name="40% - 강조색1 40" xfId="411"/>
    <cellStyle name="40% - 강조색1 41" xfId="412"/>
    <cellStyle name="40% - 강조색1 42" xfId="413"/>
    <cellStyle name="40% - 강조색1 43" xfId="414"/>
    <cellStyle name="40% - 강조색1 44" xfId="415"/>
    <cellStyle name="40% - 강조색1 45" xfId="416"/>
    <cellStyle name="40% - 강조색1 46" xfId="417"/>
    <cellStyle name="40% - 강조색1 47" xfId="418"/>
    <cellStyle name="40% - 강조색1 48" xfId="419"/>
    <cellStyle name="40% - 강조색1 5" xfId="420"/>
    <cellStyle name="40% - 강조색1 6" xfId="421"/>
    <cellStyle name="40% - 강조색1 7" xfId="422"/>
    <cellStyle name="40% - 강조색1 8" xfId="423"/>
    <cellStyle name="40% - 강조색1 9" xfId="424"/>
    <cellStyle name="40% - 강조색2 10" xfId="425"/>
    <cellStyle name="40% - 강조색2 11" xfId="426"/>
    <cellStyle name="40% - 강조색2 12" xfId="427"/>
    <cellStyle name="40% - 강조색2 13" xfId="428"/>
    <cellStyle name="40% - 강조색2 14" xfId="429"/>
    <cellStyle name="40% - 강조색2 15" xfId="430"/>
    <cellStyle name="40% - 강조색2 16" xfId="431"/>
    <cellStyle name="40% - 강조색2 17" xfId="432"/>
    <cellStyle name="40% - 강조색2 18" xfId="433"/>
    <cellStyle name="40% - 강조색2 19" xfId="434"/>
    <cellStyle name="40% - 강조색2 2" xfId="435"/>
    <cellStyle name="40% - 강조색2 2 2" xfId="436"/>
    <cellStyle name="40% - 강조색2 2 3" xfId="437"/>
    <cellStyle name="40% - 강조색2 2 4" xfId="438"/>
    <cellStyle name="40% - 강조색2 20" xfId="439"/>
    <cellStyle name="40% - 강조색2 21" xfId="440"/>
    <cellStyle name="40% - 강조색2 22" xfId="441"/>
    <cellStyle name="40% - 강조색2 23" xfId="442"/>
    <cellStyle name="40% - 강조색2 24" xfId="443"/>
    <cellStyle name="40% - 강조색2 25" xfId="444"/>
    <cellStyle name="40% - 강조색2 26" xfId="445"/>
    <cellStyle name="40% - 강조색2 27" xfId="446"/>
    <cellStyle name="40% - 강조색2 28" xfId="447"/>
    <cellStyle name="40% - 강조색2 29" xfId="448"/>
    <cellStyle name="40% - 강조색2 3" xfId="449"/>
    <cellStyle name="40% - 강조색2 3 2" xfId="450"/>
    <cellStyle name="40% - 강조색2 3 3" xfId="451"/>
    <cellStyle name="40% - 강조색2 3 4" xfId="452"/>
    <cellStyle name="40% - 강조색2 30" xfId="453"/>
    <cellStyle name="40% - 강조색2 31" xfId="454"/>
    <cellStyle name="40% - 강조색2 32" xfId="455"/>
    <cellStyle name="40% - 강조색2 33" xfId="456"/>
    <cellStyle name="40% - 강조색2 34" xfId="457"/>
    <cellStyle name="40% - 강조색2 35" xfId="458"/>
    <cellStyle name="40% - 강조색2 36" xfId="459"/>
    <cellStyle name="40% - 강조색2 37" xfId="460"/>
    <cellStyle name="40% - 강조색2 38" xfId="461"/>
    <cellStyle name="40% - 강조색2 39" xfId="462"/>
    <cellStyle name="40% - 강조색2 4" xfId="463"/>
    <cellStyle name="40% - 강조색2 4 2" xfId="464"/>
    <cellStyle name="40% - 강조색2 4 3" xfId="465"/>
    <cellStyle name="40% - 강조색2 4 4" xfId="466"/>
    <cellStyle name="40% - 강조색2 40" xfId="467"/>
    <cellStyle name="40% - 강조색2 41" xfId="468"/>
    <cellStyle name="40% - 강조색2 42" xfId="469"/>
    <cellStyle name="40% - 강조색2 43" xfId="470"/>
    <cellStyle name="40% - 강조색2 44" xfId="471"/>
    <cellStyle name="40% - 강조색2 45" xfId="472"/>
    <cellStyle name="40% - 강조색2 46" xfId="473"/>
    <cellStyle name="40% - 강조색2 47" xfId="474"/>
    <cellStyle name="40% - 강조색2 48" xfId="475"/>
    <cellStyle name="40% - 강조색2 5" xfId="476"/>
    <cellStyle name="40% - 강조색2 6" xfId="477"/>
    <cellStyle name="40% - 강조색2 7" xfId="478"/>
    <cellStyle name="40% - 강조색2 8" xfId="479"/>
    <cellStyle name="40% - 강조색2 9" xfId="480"/>
    <cellStyle name="40% - 강조색3 10" xfId="481"/>
    <cellStyle name="40% - 강조색3 11" xfId="482"/>
    <cellStyle name="40% - 강조색3 12" xfId="483"/>
    <cellStyle name="40% - 강조색3 13" xfId="484"/>
    <cellStyle name="40% - 강조색3 14" xfId="485"/>
    <cellStyle name="40% - 강조색3 15" xfId="486"/>
    <cellStyle name="40% - 강조색3 16" xfId="487"/>
    <cellStyle name="40% - 강조색3 17" xfId="488"/>
    <cellStyle name="40% - 강조색3 18" xfId="489"/>
    <cellStyle name="40% - 강조색3 19" xfId="490"/>
    <cellStyle name="40% - 강조색3 2" xfId="491"/>
    <cellStyle name="40% - 강조색3 2 2" xfId="492"/>
    <cellStyle name="40% - 강조색3 2 3" xfId="493"/>
    <cellStyle name="40% - 강조색3 2 4" xfId="494"/>
    <cellStyle name="40% - 강조색3 20" xfId="495"/>
    <cellStyle name="40% - 강조색3 21" xfId="496"/>
    <cellStyle name="40% - 강조색3 22" xfId="497"/>
    <cellStyle name="40% - 강조색3 23" xfId="498"/>
    <cellStyle name="40% - 강조색3 24" xfId="499"/>
    <cellStyle name="40% - 강조색3 25" xfId="500"/>
    <cellStyle name="40% - 강조색3 26" xfId="501"/>
    <cellStyle name="40% - 강조색3 27" xfId="502"/>
    <cellStyle name="40% - 강조색3 28" xfId="503"/>
    <cellStyle name="40% - 강조색3 29" xfId="504"/>
    <cellStyle name="40% - 강조색3 3" xfId="505"/>
    <cellStyle name="40% - 강조색3 3 2" xfId="506"/>
    <cellStyle name="40% - 강조색3 3 3" xfId="507"/>
    <cellStyle name="40% - 강조색3 3 4" xfId="508"/>
    <cellStyle name="40% - 강조색3 30" xfId="509"/>
    <cellStyle name="40% - 강조색3 31" xfId="510"/>
    <cellStyle name="40% - 강조색3 32" xfId="511"/>
    <cellStyle name="40% - 강조색3 33" xfId="512"/>
    <cellStyle name="40% - 강조색3 34" xfId="513"/>
    <cellStyle name="40% - 강조색3 35" xfId="514"/>
    <cellStyle name="40% - 강조색3 36" xfId="515"/>
    <cellStyle name="40% - 강조색3 37" xfId="516"/>
    <cellStyle name="40% - 강조색3 38" xfId="517"/>
    <cellStyle name="40% - 강조색3 39" xfId="518"/>
    <cellStyle name="40% - 강조색3 4" xfId="519"/>
    <cellStyle name="40% - 강조색3 4 2" xfId="520"/>
    <cellStyle name="40% - 강조색3 4 3" xfId="521"/>
    <cellStyle name="40% - 강조색3 4 4" xfId="522"/>
    <cellStyle name="40% - 강조색3 40" xfId="523"/>
    <cellStyle name="40% - 강조색3 41" xfId="524"/>
    <cellStyle name="40% - 강조색3 42" xfId="525"/>
    <cellStyle name="40% - 강조색3 43" xfId="526"/>
    <cellStyle name="40% - 강조색3 44" xfId="527"/>
    <cellStyle name="40% - 강조색3 45" xfId="528"/>
    <cellStyle name="40% - 강조색3 46" xfId="529"/>
    <cellStyle name="40% - 강조색3 47" xfId="530"/>
    <cellStyle name="40% - 강조색3 48" xfId="531"/>
    <cellStyle name="40% - 강조색3 5" xfId="532"/>
    <cellStyle name="40% - 강조색3 6" xfId="533"/>
    <cellStyle name="40% - 강조색3 7" xfId="534"/>
    <cellStyle name="40% - 강조색3 8" xfId="535"/>
    <cellStyle name="40% - 강조색3 9" xfId="536"/>
    <cellStyle name="40% - 강조색4 10" xfId="537"/>
    <cellStyle name="40% - 강조색4 11" xfId="538"/>
    <cellStyle name="40% - 강조색4 12" xfId="539"/>
    <cellStyle name="40% - 강조색4 13" xfId="540"/>
    <cellStyle name="40% - 강조색4 14" xfId="541"/>
    <cellStyle name="40% - 강조색4 15" xfId="542"/>
    <cellStyle name="40% - 강조색4 16" xfId="543"/>
    <cellStyle name="40% - 강조색4 17" xfId="544"/>
    <cellStyle name="40% - 강조색4 18" xfId="545"/>
    <cellStyle name="40% - 강조색4 19" xfId="546"/>
    <cellStyle name="40% - 강조색4 2" xfId="547"/>
    <cellStyle name="40% - 강조색4 2 2" xfId="548"/>
    <cellStyle name="40% - 강조색4 2 3" xfId="549"/>
    <cellStyle name="40% - 강조색4 2 4" xfId="550"/>
    <cellStyle name="40% - 강조색4 20" xfId="551"/>
    <cellStyle name="40% - 강조색4 21" xfId="552"/>
    <cellStyle name="40% - 강조색4 22" xfId="553"/>
    <cellStyle name="40% - 강조색4 23" xfId="554"/>
    <cellStyle name="40% - 강조색4 24" xfId="555"/>
    <cellStyle name="40% - 강조색4 25" xfId="556"/>
    <cellStyle name="40% - 강조색4 26" xfId="557"/>
    <cellStyle name="40% - 강조색4 27" xfId="558"/>
    <cellStyle name="40% - 강조색4 28" xfId="559"/>
    <cellStyle name="40% - 강조색4 29" xfId="560"/>
    <cellStyle name="40% - 강조색4 3" xfId="561"/>
    <cellStyle name="40% - 강조색4 3 2" xfId="562"/>
    <cellStyle name="40% - 강조색4 3 3" xfId="563"/>
    <cellStyle name="40% - 강조색4 3 4" xfId="564"/>
    <cellStyle name="40% - 강조색4 30" xfId="565"/>
    <cellStyle name="40% - 강조색4 31" xfId="566"/>
    <cellStyle name="40% - 강조색4 32" xfId="567"/>
    <cellStyle name="40% - 강조색4 33" xfId="568"/>
    <cellStyle name="40% - 강조색4 34" xfId="569"/>
    <cellStyle name="40% - 강조색4 35" xfId="570"/>
    <cellStyle name="40% - 강조색4 36" xfId="571"/>
    <cellStyle name="40% - 강조색4 37" xfId="572"/>
    <cellStyle name="40% - 강조색4 38" xfId="573"/>
    <cellStyle name="40% - 강조색4 39" xfId="574"/>
    <cellStyle name="40% - 강조색4 4" xfId="575"/>
    <cellStyle name="40% - 강조색4 4 2" xfId="576"/>
    <cellStyle name="40% - 강조색4 4 3" xfId="577"/>
    <cellStyle name="40% - 강조색4 4 4" xfId="578"/>
    <cellStyle name="40% - 강조색4 40" xfId="579"/>
    <cellStyle name="40% - 강조색4 41" xfId="580"/>
    <cellStyle name="40% - 강조색4 42" xfId="581"/>
    <cellStyle name="40% - 강조색4 43" xfId="582"/>
    <cellStyle name="40% - 강조색4 44" xfId="583"/>
    <cellStyle name="40% - 강조색4 45" xfId="584"/>
    <cellStyle name="40% - 강조색4 46" xfId="585"/>
    <cellStyle name="40% - 강조색4 47" xfId="586"/>
    <cellStyle name="40% - 강조색4 48" xfId="587"/>
    <cellStyle name="40% - 강조색4 5" xfId="588"/>
    <cellStyle name="40% - 강조색4 6" xfId="589"/>
    <cellStyle name="40% - 강조색4 7" xfId="590"/>
    <cellStyle name="40% - 강조색4 8" xfId="591"/>
    <cellStyle name="40% - 강조색4 9" xfId="592"/>
    <cellStyle name="40% - 강조색5 10" xfId="593"/>
    <cellStyle name="40% - 강조색5 11" xfId="594"/>
    <cellStyle name="40% - 강조색5 12" xfId="595"/>
    <cellStyle name="40% - 강조색5 13" xfId="596"/>
    <cellStyle name="40% - 강조색5 14" xfId="597"/>
    <cellStyle name="40% - 강조색5 15" xfId="598"/>
    <cellStyle name="40% - 강조색5 16" xfId="599"/>
    <cellStyle name="40% - 강조색5 17" xfId="600"/>
    <cellStyle name="40% - 강조색5 18" xfId="601"/>
    <cellStyle name="40% - 강조색5 19" xfId="602"/>
    <cellStyle name="40% - 강조색5 2" xfId="603"/>
    <cellStyle name="40% - 강조색5 2 2" xfId="604"/>
    <cellStyle name="40% - 강조색5 2 3" xfId="605"/>
    <cellStyle name="40% - 강조색5 2 4" xfId="606"/>
    <cellStyle name="40% - 강조색5 20" xfId="607"/>
    <cellStyle name="40% - 강조색5 21" xfId="608"/>
    <cellStyle name="40% - 강조색5 22" xfId="609"/>
    <cellStyle name="40% - 강조색5 23" xfId="610"/>
    <cellStyle name="40% - 강조색5 24" xfId="611"/>
    <cellStyle name="40% - 강조색5 25" xfId="612"/>
    <cellStyle name="40% - 강조색5 26" xfId="613"/>
    <cellStyle name="40% - 강조색5 27" xfId="614"/>
    <cellStyle name="40% - 강조색5 28" xfId="615"/>
    <cellStyle name="40% - 강조색5 29" xfId="616"/>
    <cellStyle name="40% - 강조색5 3" xfId="617"/>
    <cellStyle name="40% - 강조색5 3 2" xfId="618"/>
    <cellStyle name="40% - 강조색5 3 3" xfId="619"/>
    <cellStyle name="40% - 강조색5 3 4" xfId="620"/>
    <cellStyle name="40% - 강조색5 30" xfId="621"/>
    <cellStyle name="40% - 강조색5 31" xfId="622"/>
    <cellStyle name="40% - 강조색5 32" xfId="623"/>
    <cellStyle name="40% - 강조색5 33" xfId="624"/>
    <cellStyle name="40% - 강조색5 34" xfId="625"/>
    <cellStyle name="40% - 강조색5 35" xfId="626"/>
    <cellStyle name="40% - 강조색5 36" xfId="627"/>
    <cellStyle name="40% - 강조색5 37" xfId="628"/>
    <cellStyle name="40% - 강조색5 38" xfId="629"/>
    <cellStyle name="40% - 강조색5 39" xfId="630"/>
    <cellStyle name="40% - 강조색5 4" xfId="631"/>
    <cellStyle name="40% - 강조색5 4 2" xfId="632"/>
    <cellStyle name="40% - 강조색5 4 3" xfId="633"/>
    <cellStyle name="40% - 강조색5 4 4" xfId="634"/>
    <cellStyle name="40% - 강조색5 40" xfId="635"/>
    <cellStyle name="40% - 강조색5 41" xfId="636"/>
    <cellStyle name="40% - 강조색5 42" xfId="637"/>
    <cellStyle name="40% - 강조색5 43" xfId="638"/>
    <cellStyle name="40% - 강조색5 44" xfId="639"/>
    <cellStyle name="40% - 강조색5 45" xfId="640"/>
    <cellStyle name="40% - 강조색5 46" xfId="641"/>
    <cellStyle name="40% - 강조색5 47" xfId="642"/>
    <cellStyle name="40% - 강조색5 48" xfId="643"/>
    <cellStyle name="40% - 강조색5 5" xfId="644"/>
    <cellStyle name="40% - 강조색5 6" xfId="645"/>
    <cellStyle name="40% - 강조색5 7" xfId="646"/>
    <cellStyle name="40% - 강조색5 8" xfId="647"/>
    <cellStyle name="40% - 강조색5 9" xfId="648"/>
    <cellStyle name="40% - 강조색6 10" xfId="649"/>
    <cellStyle name="40% - 강조색6 11" xfId="650"/>
    <cellStyle name="40% - 강조색6 12" xfId="651"/>
    <cellStyle name="40% - 강조색6 13" xfId="652"/>
    <cellStyle name="40% - 강조색6 14" xfId="653"/>
    <cellStyle name="40% - 강조색6 15" xfId="654"/>
    <cellStyle name="40% - 강조색6 16" xfId="655"/>
    <cellStyle name="40% - 강조색6 17" xfId="656"/>
    <cellStyle name="40% - 강조색6 18" xfId="657"/>
    <cellStyle name="40% - 강조색6 19" xfId="658"/>
    <cellStyle name="40% - 강조색6 2" xfId="659"/>
    <cellStyle name="40% - 강조색6 2 2" xfId="660"/>
    <cellStyle name="40% - 강조색6 2 3" xfId="661"/>
    <cellStyle name="40% - 강조색6 2 4" xfId="662"/>
    <cellStyle name="40% - 강조색6 20" xfId="663"/>
    <cellStyle name="40% - 강조색6 21" xfId="664"/>
    <cellStyle name="40% - 강조색6 22" xfId="665"/>
    <cellStyle name="40% - 강조색6 23" xfId="666"/>
    <cellStyle name="40% - 강조색6 24" xfId="667"/>
    <cellStyle name="40% - 강조색6 25" xfId="668"/>
    <cellStyle name="40% - 강조색6 26" xfId="669"/>
    <cellStyle name="40% - 강조색6 27" xfId="670"/>
    <cellStyle name="40% - 강조색6 28" xfId="671"/>
    <cellStyle name="40% - 강조색6 29" xfId="672"/>
    <cellStyle name="40% - 강조색6 3" xfId="673"/>
    <cellStyle name="40% - 강조색6 3 2" xfId="674"/>
    <cellStyle name="40% - 강조색6 3 3" xfId="675"/>
    <cellStyle name="40% - 강조색6 3 4" xfId="676"/>
    <cellStyle name="40% - 강조색6 30" xfId="677"/>
    <cellStyle name="40% - 강조색6 31" xfId="678"/>
    <cellStyle name="40% - 강조색6 32" xfId="679"/>
    <cellStyle name="40% - 강조색6 33" xfId="680"/>
    <cellStyle name="40% - 강조색6 34" xfId="681"/>
    <cellStyle name="40% - 강조색6 35" xfId="682"/>
    <cellStyle name="40% - 강조색6 36" xfId="683"/>
    <cellStyle name="40% - 강조색6 37" xfId="684"/>
    <cellStyle name="40% - 강조색6 38" xfId="685"/>
    <cellStyle name="40% - 강조색6 39" xfId="686"/>
    <cellStyle name="40% - 강조색6 4" xfId="687"/>
    <cellStyle name="40% - 강조색6 4 2" xfId="688"/>
    <cellStyle name="40% - 강조색6 4 3" xfId="689"/>
    <cellStyle name="40% - 강조색6 4 4" xfId="690"/>
    <cellStyle name="40% - 강조색6 40" xfId="691"/>
    <cellStyle name="40% - 강조색6 41" xfId="692"/>
    <cellStyle name="40% - 강조색6 42" xfId="693"/>
    <cellStyle name="40% - 강조색6 43" xfId="694"/>
    <cellStyle name="40% - 강조색6 44" xfId="695"/>
    <cellStyle name="40% - 강조색6 45" xfId="696"/>
    <cellStyle name="40% - 강조색6 46" xfId="697"/>
    <cellStyle name="40% - 강조색6 47" xfId="698"/>
    <cellStyle name="40% - 강조색6 48" xfId="699"/>
    <cellStyle name="40% - 강조색6 5" xfId="700"/>
    <cellStyle name="40% - 강조색6 6" xfId="701"/>
    <cellStyle name="40% - 강조색6 7" xfId="702"/>
    <cellStyle name="40% - 강조색6 8" xfId="703"/>
    <cellStyle name="40% - 강조색6 9" xfId="704"/>
    <cellStyle name="60% - 강조색1 10" xfId="705"/>
    <cellStyle name="60% - 강조색1 11" xfId="706"/>
    <cellStyle name="60% - 강조색1 12" xfId="707"/>
    <cellStyle name="60% - 강조색1 13" xfId="708"/>
    <cellStyle name="60% - 강조색1 14" xfId="709"/>
    <cellStyle name="60% - 강조색1 15" xfId="710"/>
    <cellStyle name="60% - 강조색1 16" xfId="711"/>
    <cellStyle name="60% - 강조색1 17" xfId="712"/>
    <cellStyle name="60% - 강조색1 18" xfId="713"/>
    <cellStyle name="60% - 강조색1 19" xfId="714"/>
    <cellStyle name="60% - 강조색1 2" xfId="715"/>
    <cellStyle name="60% - 강조색1 2 2" xfId="716"/>
    <cellStyle name="60% - 강조색1 2 3" xfId="717"/>
    <cellStyle name="60% - 강조색1 2 4" xfId="718"/>
    <cellStyle name="60% - 강조색1 20" xfId="719"/>
    <cellStyle name="60% - 강조색1 21" xfId="720"/>
    <cellStyle name="60% - 강조색1 22" xfId="721"/>
    <cellStyle name="60% - 강조색1 23" xfId="722"/>
    <cellStyle name="60% - 강조색1 24" xfId="723"/>
    <cellStyle name="60% - 강조색1 25" xfId="724"/>
    <cellStyle name="60% - 강조색1 26" xfId="725"/>
    <cellStyle name="60% - 강조색1 27" xfId="726"/>
    <cellStyle name="60% - 강조색1 28" xfId="727"/>
    <cellStyle name="60% - 강조색1 29" xfId="728"/>
    <cellStyle name="60% - 강조색1 3" xfId="729"/>
    <cellStyle name="60% - 강조색1 3 2" xfId="730"/>
    <cellStyle name="60% - 강조색1 3 3" xfId="731"/>
    <cellStyle name="60% - 강조색1 3 4" xfId="732"/>
    <cellStyle name="60% - 강조색1 30" xfId="733"/>
    <cellStyle name="60% - 강조색1 31" xfId="734"/>
    <cellStyle name="60% - 강조색1 32" xfId="735"/>
    <cellStyle name="60% - 강조색1 33" xfId="736"/>
    <cellStyle name="60% - 강조색1 34" xfId="737"/>
    <cellStyle name="60% - 강조색1 35" xfId="738"/>
    <cellStyle name="60% - 강조색1 36" xfId="739"/>
    <cellStyle name="60% - 강조색1 37" xfId="740"/>
    <cellStyle name="60% - 강조색1 38" xfId="741"/>
    <cellStyle name="60% - 강조색1 39" xfId="742"/>
    <cellStyle name="60% - 강조색1 4" xfId="743"/>
    <cellStyle name="60% - 강조색1 4 2" xfId="744"/>
    <cellStyle name="60% - 강조색1 4 3" xfId="745"/>
    <cellStyle name="60% - 강조색1 4 4" xfId="746"/>
    <cellStyle name="60% - 강조색1 40" xfId="747"/>
    <cellStyle name="60% - 강조색1 41" xfId="748"/>
    <cellStyle name="60% - 강조색1 42" xfId="749"/>
    <cellStyle name="60% - 강조색1 43" xfId="750"/>
    <cellStyle name="60% - 강조색1 44" xfId="751"/>
    <cellStyle name="60% - 강조색1 45" xfId="752"/>
    <cellStyle name="60% - 강조색1 46" xfId="753"/>
    <cellStyle name="60% - 강조색1 47" xfId="754"/>
    <cellStyle name="60% - 강조색1 48" xfId="755"/>
    <cellStyle name="60% - 강조색1 5" xfId="756"/>
    <cellStyle name="60% - 강조색1 6" xfId="757"/>
    <cellStyle name="60% - 강조색1 7" xfId="758"/>
    <cellStyle name="60% - 강조색1 8" xfId="759"/>
    <cellStyle name="60% - 강조색1 9" xfId="760"/>
    <cellStyle name="60% - 강조색2 10" xfId="761"/>
    <cellStyle name="60% - 강조색2 11" xfId="762"/>
    <cellStyle name="60% - 강조색2 12" xfId="763"/>
    <cellStyle name="60% - 강조색2 13" xfId="764"/>
    <cellStyle name="60% - 강조색2 14" xfId="765"/>
    <cellStyle name="60% - 강조색2 15" xfId="766"/>
    <cellStyle name="60% - 강조색2 16" xfId="767"/>
    <cellStyle name="60% - 강조색2 17" xfId="768"/>
    <cellStyle name="60% - 강조색2 18" xfId="769"/>
    <cellStyle name="60% - 강조색2 19" xfId="770"/>
    <cellStyle name="60% - 강조색2 2" xfId="771"/>
    <cellStyle name="60% - 강조색2 2 2" xfId="772"/>
    <cellStyle name="60% - 강조색2 2 3" xfId="773"/>
    <cellStyle name="60% - 강조색2 2 4" xfId="774"/>
    <cellStyle name="60% - 강조색2 20" xfId="775"/>
    <cellStyle name="60% - 강조색2 21" xfId="776"/>
    <cellStyle name="60% - 강조색2 22" xfId="777"/>
    <cellStyle name="60% - 강조색2 23" xfId="778"/>
    <cellStyle name="60% - 강조색2 24" xfId="779"/>
    <cellStyle name="60% - 강조색2 25" xfId="780"/>
    <cellStyle name="60% - 강조색2 26" xfId="781"/>
    <cellStyle name="60% - 강조색2 27" xfId="782"/>
    <cellStyle name="60% - 강조색2 28" xfId="783"/>
    <cellStyle name="60% - 강조색2 29" xfId="784"/>
    <cellStyle name="60% - 강조색2 3" xfId="785"/>
    <cellStyle name="60% - 강조색2 3 2" xfId="786"/>
    <cellStyle name="60% - 강조색2 3 3" xfId="787"/>
    <cellStyle name="60% - 강조색2 3 4" xfId="788"/>
    <cellStyle name="60% - 강조색2 30" xfId="789"/>
    <cellStyle name="60% - 강조색2 31" xfId="790"/>
    <cellStyle name="60% - 강조색2 32" xfId="791"/>
    <cellStyle name="60% - 강조색2 33" xfId="792"/>
    <cellStyle name="60% - 강조색2 34" xfId="793"/>
    <cellStyle name="60% - 강조색2 35" xfId="794"/>
    <cellStyle name="60% - 강조색2 36" xfId="795"/>
    <cellStyle name="60% - 강조색2 37" xfId="796"/>
    <cellStyle name="60% - 강조색2 38" xfId="797"/>
    <cellStyle name="60% - 강조색2 39" xfId="798"/>
    <cellStyle name="60% - 강조색2 4" xfId="799"/>
    <cellStyle name="60% - 강조색2 4 2" xfId="800"/>
    <cellStyle name="60% - 강조색2 4 3" xfId="801"/>
    <cellStyle name="60% - 강조색2 4 4" xfId="802"/>
    <cellStyle name="60% - 강조색2 40" xfId="803"/>
    <cellStyle name="60% - 강조색2 41" xfId="804"/>
    <cellStyle name="60% - 강조색2 42" xfId="805"/>
    <cellStyle name="60% - 강조색2 43" xfId="806"/>
    <cellStyle name="60% - 강조색2 44" xfId="807"/>
    <cellStyle name="60% - 강조색2 45" xfId="808"/>
    <cellStyle name="60% - 강조색2 46" xfId="809"/>
    <cellStyle name="60% - 강조색2 47" xfId="810"/>
    <cellStyle name="60% - 강조색2 48" xfId="811"/>
    <cellStyle name="60% - 강조색2 5" xfId="812"/>
    <cellStyle name="60% - 강조색2 6" xfId="813"/>
    <cellStyle name="60% - 강조색2 7" xfId="814"/>
    <cellStyle name="60% - 강조색2 8" xfId="815"/>
    <cellStyle name="60% - 강조색2 9" xfId="816"/>
    <cellStyle name="60% - 강조색3 10" xfId="817"/>
    <cellStyle name="60% - 강조색3 11" xfId="818"/>
    <cellStyle name="60% - 강조색3 12" xfId="819"/>
    <cellStyle name="60% - 강조색3 13" xfId="820"/>
    <cellStyle name="60% - 강조색3 14" xfId="821"/>
    <cellStyle name="60% - 강조색3 15" xfId="822"/>
    <cellStyle name="60% - 강조색3 16" xfId="823"/>
    <cellStyle name="60% - 강조색3 17" xfId="824"/>
    <cellStyle name="60% - 강조색3 18" xfId="825"/>
    <cellStyle name="60% - 강조색3 19" xfId="826"/>
    <cellStyle name="60% - 강조색3 2" xfId="827"/>
    <cellStyle name="60% - 강조색3 2 2" xfId="828"/>
    <cellStyle name="60% - 강조색3 2 3" xfId="829"/>
    <cellStyle name="60% - 강조색3 2 4" xfId="830"/>
    <cellStyle name="60% - 강조색3 20" xfId="831"/>
    <cellStyle name="60% - 강조색3 21" xfId="832"/>
    <cellStyle name="60% - 강조색3 22" xfId="833"/>
    <cellStyle name="60% - 강조색3 23" xfId="834"/>
    <cellStyle name="60% - 강조색3 24" xfId="835"/>
    <cellStyle name="60% - 강조색3 25" xfId="836"/>
    <cellStyle name="60% - 강조색3 26" xfId="837"/>
    <cellStyle name="60% - 강조색3 27" xfId="838"/>
    <cellStyle name="60% - 강조색3 28" xfId="839"/>
    <cellStyle name="60% - 강조색3 29" xfId="840"/>
    <cellStyle name="60% - 강조색3 3" xfId="841"/>
    <cellStyle name="60% - 강조색3 3 2" xfId="842"/>
    <cellStyle name="60% - 강조색3 3 3" xfId="843"/>
    <cellStyle name="60% - 강조색3 3 4" xfId="844"/>
    <cellStyle name="60% - 강조색3 30" xfId="845"/>
    <cellStyle name="60% - 강조색3 31" xfId="846"/>
    <cellStyle name="60% - 강조색3 32" xfId="847"/>
    <cellStyle name="60% - 강조색3 33" xfId="848"/>
    <cellStyle name="60% - 강조색3 34" xfId="849"/>
    <cellStyle name="60% - 강조색3 35" xfId="850"/>
    <cellStyle name="60% - 강조색3 36" xfId="851"/>
    <cellStyle name="60% - 강조색3 37" xfId="852"/>
    <cellStyle name="60% - 강조색3 38" xfId="853"/>
    <cellStyle name="60% - 강조색3 39" xfId="854"/>
    <cellStyle name="60% - 강조색3 4" xfId="855"/>
    <cellStyle name="60% - 강조색3 4 2" xfId="856"/>
    <cellStyle name="60% - 강조색3 4 3" xfId="857"/>
    <cellStyle name="60% - 강조색3 4 4" xfId="858"/>
    <cellStyle name="60% - 강조색3 40" xfId="859"/>
    <cellStyle name="60% - 강조색3 41" xfId="860"/>
    <cellStyle name="60% - 강조색3 42" xfId="861"/>
    <cellStyle name="60% - 강조색3 43" xfId="862"/>
    <cellStyle name="60% - 강조색3 44" xfId="863"/>
    <cellStyle name="60% - 강조색3 45" xfId="864"/>
    <cellStyle name="60% - 강조색3 46" xfId="865"/>
    <cellStyle name="60% - 강조색3 47" xfId="866"/>
    <cellStyle name="60% - 강조색3 48" xfId="867"/>
    <cellStyle name="60% - 강조색3 5" xfId="868"/>
    <cellStyle name="60% - 강조색3 6" xfId="869"/>
    <cellStyle name="60% - 강조색3 7" xfId="870"/>
    <cellStyle name="60% - 강조색3 8" xfId="871"/>
    <cellStyle name="60% - 강조색3 9" xfId="872"/>
    <cellStyle name="60% - 강조색4 10" xfId="873"/>
    <cellStyle name="60% - 강조색4 11" xfId="874"/>
    <cellStyle name="60% - 강조색4 12" xfId="875"/>
    <cellStyle name="60% - 강조색4 13" xfId="876"/>
    <cellStyle name="60% - 강조색4 14" xfId="877"/>
    <cellStyle name="60% - 강조색4 15" xfId="878"/>
    <cellStyle name="60% - 강조색4 16" xfId="879"/>
    <cellStyle name="60% - 강조색4 17" xfId="880"/>
    <cellStyle name="60% - 강조색4 18" xfId="881"/>
    <cellStyle name="60% - 강조색4 19" xfId="882"/>
    <cellStyle name="60% - 강조색4 2" xfId="883"/>
    <cellStyle name="60% - 강조색4 2 2" xfId="884"/>
    <cellStyle name="60% - 강조색4 2 3" xfId="885"/>
    <cellStyle name="60% - 강조색4 2 4" xfId="886"/>
    <cellStyle name="60% - 강조색4 20" xfId="887"/>
    <cellStyle name="60% - 강조색4 21" xfId="888"/>
    <cellStyle name="60% - 강조색4 22" xfId="889"/>
    <cellStyle name="60% - 강조색4 23" xfId="890"/>
    <cellStyle name="60% - 강조색4 24" xfId="891"/>
    <cellStyle name="60% - 강조색4 25" xfId="892"/>
    <cellStyle name="60% - 강조색4 26" xfId="893"/>
    <cellStyle name="60% - 강조색4 27" xfId="894"/>
    <cellStyle name="60% - 강조색4 28" xfId="895"/>
    <cellStyle name="60% - 강조색4 29" xfId="896"/>
    <cellStyle name="60% - 강조색4 3" xfId="897"/>
    <cellStyle name="60% - 강조색4 3 2" xfId="898"/>
    <cellStyle name="60% - 강조색4 3 3" xfId="899"/>
    <cellStyle name="60% - 강조색4 3 4" xfId="900"/>
    <cellStyle name="60% - 강조색4 30" xfId="901"/>
    <cellStyle name="60% - 강조색4 31" xfId="902"/>
    <cellStyle name="60% - 강조색4 32" xfId="903"/>
    <cellStyle name="60% - 강조색4 33" xfId="904"/>
    <cellStyle name="60% - 강조색4 34" xfId="905"/>
    <cellStyle name="60% - 강조색4 35" xfId="906"/>
    <cellStyle name="60% - 강조색4 36" xfId="907"/>
    <cellStyle name="60% - 강조색4 37" xfId="908"/>
    <cellStyle name="60% - 강조색4 38" xfId="909"/>
    <cellStyle name="60% - 강조색4 39" xfId="910"/>
    <cellStyle name="60% - 강조색4 4" xfId="911"/>
    <cellStyle name="60% - 강조색4 4 2" xfId="912"/>
    <cellStyle name="60% - 강조색4 4 3" xfId="913"/>
    <cellStyle name="60% - 강조색4 4 4" xfId="914"/>
    <cellStyle name="60% - 강조색4 40" xfId="915"/>
    <cellStyle name="60% - 강조색4 41" xfId="916"/>
    <cellStyle name="60% - 강조색4 42" xfId="917"/>
    <cellStyle name="60% - 강조색4 43" xfId="918"/>
    <cellStyle name="60% - 강조색4 44" xfId="919"/>
    <cellStyle name="60% - 강조색4 45" xfId="920"/>
    <cellStyle name="60% - 강조색4 46" xfId="921"/>
    <cellStyle name="60% - 강조색4 47" xfId="922"/>
    <cellStyle name="60% - 강조색4 48" xfId="923"/>
    <cellStyle name="60% - 강조색4 5" xfId="924"/>
    <cellStyle name="60% - 강조색4 6" xfId="925"/>
    <cellStyle name="60% - 강조색4 7" xfId="926"/>
    <cellStyle name="60% - 강조색4 8" xfId="927"/>
    <cellStyle name="60% - 강조색4 9" xfId="928"/>
    <cellStyle name="60% - 강조색5 10" xfId="929"/>
    <cellStyle name="60% - 강조색5 11" xfId="930"/>
    <cellStyle name="60% - 강조색5 12" xfId="931"/>
    <cellStyle name="60% - 강조색5 13" xfId="932"/>
    <cellStyle name="60% - 강조색5 14" xfId="933"/>
    <cellStyle name="60% - 강조색5 15" xfId="934"/>
    <cellStyle name="60% - 강조색5 16" xfId="935"/>
    <cellStyle name="60% - 강조색5 17" xfId="936"/>
    <cellStyle name="60% - 강조색5 18" xfId="937"/>
    <cellStyle name="60% - 강조색5 19" xfId="938"/>
    <cellStyle name="60% - 강조색5 2" xfId="939"/>
    <cellStyle name="60% - 강조색5 2 2" xfId="940"/>
    <cellStyle name="60% - 강조색5 2 3" xfId="941"/>
    <cellStyle name="60% - 강조색5 2 4" xfId="942"/>
    <cellStyle name="60% - 강조색5 20" xfId="943"/>
    <cellStyle name="60% - 강조색5 21" xfId="944"/>
    <cellStyle name="60% - 강조색5 22" xfId="945"/>
    <cellStyle name="60% - 강조색5 23" xfId="946"/>
    <cellStyle name="60% - 강조색5 24" xfId="947"/>
    <cellStyle name="60% - 강조색5 25" xfId="948"/>
    <cellStyle name="60% - 강조색5 26" xfId="949"/>
    <cellStyle name="60% - 강조색5 27" xfId="950"/>
    <cellStyle name="60% - 강조색5 28" xfId="951"/>
    <cellStyle name="60% - 강조색5 29" xfId="952"/>
    <cellStyle name="60% - 강조색5 3" xfId="953"/>
    <cellStyle name="60% - 강조색5 3 2" xfId="954"/>
    <cellStyle name="60% - 강조색5 3 3" xfId="955"/>
    <cellStyle name="60% - 강조색5 3 4" xfId="956"/>
    <cellStyle name="60% - 강조색5 30" xfId="957"/>
    <cellStyle name="60% - 강조색5 31" xfId="958"/>
    <cellStyle name="60% - 강조색5 32" xfId="959"/>
    <cellStyle name="60% - 강조색5 33" xfId="960"/>
    <cellStyle name="60% - 강조색5 34" xfId="961"/>
    <cellStyle name="60% - 강조색5 35" xfId="962"/>
    <cellStyle name="60% - 강조색5 36" xfId="963"/>
    <cellStyle name="60% - 강조색5 37" xfId="964"/>
    <cellStyle name="60% - 강조색5 38" xfId="965"/>
    <cellStyle name="60% - 강조색5 39" xfId="966"/>
    <cellStyle name="60% - 강조색5 4" xfId="967"/>
    <cellStyle name="60% - 강조색5 4 2" xfId="968"/>
    <cellStyle name="60% - 강조색5 4 3" xfId="969"/>
    <cellStyle name="60% - 강조색5 4 4" xfId="970"/>
    <cellStyle name="60% - 강조색5 40" xfId="971"/>
    <cellStyle name="60% - 강조색5 41" xfId="972"/>
    <cellStyle name="60% - 강조색5 42" xfId="973"/>
    <cellStyle name="60% - 강조색5 43" xfId="974"/>
    <cellStyle name="60% - 강조색5 44" xfId="975"/>
    <cellStyle name="60% - 강조색5 45" xfId="976"/>
    <cellStyle name="60% - 강조색5 46" xfId="977"/>
    <cellStyle name="60% - 강조색5 47" xfId="978"/>
    <cellStyle name="60% - 강조색5 48" xfId="979"/>
    <cellStyle name="60% - 강조색5 5" xfId="980"/>
    <cellStyle name="60% - 강조색5 6" xfId="981"/>
    <cellStyle name="60% - 강조색5 7" xfId="982"/>
    <cellStyle name="60% - 강조색5 8" xfId="983"/>
    <cellStyle name="60% - 강조색5 9" xfId="984"/>
    <cellStyle name="60% - 강조색6 10" xfId="985"/>
    <cellStyle name="60% - 강조색6 11" xfId="986"/>
    <cellStyle name="60% - 강조색6 12" xfId="987"/>
    <cellStyle name="60% - 강조색6 13" xfId="988"/>
    <cellStyle name="60% - 강조색6 14" xfId="989"/>
    <cellStyle name="60% - 강조색6 15" xfId="990"/>
    <cellStyle name="60% - 강조색6 16" xfId="991"/>
    <cellStyle name="60% - 강조색6 17" xfId="992"/>
    <cellStyle name="60% - 강조색6 18" xfId="993"/>
    <cellStyle name="60% - 강조색6 19" xfId="994"/>
    <cellStyle name="60% - 강조색6 2" xfId="995"/>
    <cellStyle name="60% - 강조색6 2 2" xfId="996"/>
    <cellStyle name="60% - 강조색6 2 3" xfId="997"/>
    <cellStyle name="60% - 강조색6 2 4" xfId="998"/>
    <cellStyle name="60% - 강조색6 20" xfId="999"/>
    <cellStyle name="60% - 강조색6 21" xfId="1000"/>
    <cellStyle name="60% - 강조색6 22" xfId="1001"/>
    <cellStyle name="60% - 강조색6 23" xfId="1002"/>
    <cellStyle name="60% - 강조색6 24" xfId="1003"/>
    <cellStyle name="60% - 강조색6 25" xfId="1004"/>
    <cellStyle name="60% - 강조색6 26" xfId="1005"/>
    <cellStyle name="60% - 강조색6 27" xfId="1006"/>
    <cellStyle name="60% - 강조색6 28" xfId="1007"/>
    <cellStyle name="60% - 강조색6 29" xfId="1008"/>
    <cellStyle name="60% - 강조색6 3" xfId="1009"/>
    <cellStyle name="60% - 강조색6 3 2" xfId="1010"/>
    <cellStyle name="60% - 강조색6 3 3" xfId="1011"/>
    <cellStyle name="60% - 강조색6 3 4" xfId="1012"/>
    <cellStyle name="60% - 강조색6 30" xfId="1013"/>
    <cellStyle name="60% - 강조색6 31" xfId="1014"/>
    <cellStyle name="60% - 강조색6 32" xfId="1015"/>
    <cellStyle name="60% - 강조색6 33" xfId="1016"/>
    <cellStyle name="60% - 강조색6 34" xfId="1017"/>
    <cellStyle name="60% - 강조색6 35" xfId="1018"/>
    <cellStyle name="60% - 강조색6 36" xfId="1019"/>
    <cellStyle name="60% - 강조색6 37" xfId="1020"/>
    <cellStyle name="60% - 강조색6 38" xfId="1021"/>
    <cellStyle name="60% - 강조색6 39" xfId="1022"/>
    <cellStyle name="60% - 강조색6 4" xfId="1023"/>
    <cellStyle name="60% - 강조색6 4 2" xfId="1024"/>
    <cellStyle name="60% - 강조색6 4 3" xfId="1025"/>
    <cellStyle name="60% - 강조색6 4 4" xfId="1026"/>
    <cellStyle name="60% - 강조색6 40" xfId="1027"/>
    <cellStyle name="60% - 강조색6 41" xfId="1028"/>
    <cellStyle name="60% - 강조색6 42" xfId="1029"/>
    <cellStyle name="60% - 강조색6 43" xfId="1030"/>
    <cellStyle name="60% - 강조색6 44" xfId="1031"/>
    <cellStyle name="60% - 강조색6 45" xfId="1032"/>
    <cellStyle name="60% - 강조색6 46" xfId="1033"/>
    <cellStyle name="60% - 강조색6 47" xfId="1034"/>
    <cellStyle name="60% - 강조색6 48" xfId="1035"/>
    <cellStyle name="60% - 강조색6 5" xfId="1036"/>
    <cellStyle name="60% - 강조색6 6" xfId="1037"/>
    <cellStyle name="60% - 강조색6 7" xfId="1038"/>
    <cellStyle name="60% - 강조색6 8" xfId="1039"/>
    <cellStyle name="60% - 강조색6 9" xfId="1040"/>
    <cellStyle name="강조색1 10" xfId="1041"/>
    <cellStyle name="강조색1 11" xfId="1042"/>
    <cellStyle name="강조색1 12" xfId="1043"/>
    <cellStyle name="강조색1 13" xfId="1044"/>
    <cellStyle name="강조색1 14" xfId="1045"/>
    <cellStyle name="강조색1 15" xfId="1046"/>
    <cellStyle name="강조색1 16" xfId="1047"/>
    <cellStyle name="강조색1 17" xfId="1048"/>
    <cellStyle name="강조색1 18" xfId="1049"/>
    <cellStyle name="강조색1 19" xfId="1050"/>
    <cellStyle name="강조색1 2" xfId="1051"/>
    <cellStyle name="강조색1 2 2" xfId="1052"/>
    <cellStyle name="강조색1 2 3" xfId="1053"/>
    <cellStyle name="강조색1 2 4" xfId="1054"/>
    <cellStyle name="강조색1 20" xfId="1055"/>
    <cellStyle name="강조색1 21" xfId="1056"/>
    <cellStyle name="강조색1 22" xfId="1057"/>
    <cellStyle name="강조색1 23" xfId="1058"/>
    <cellStyle name="강조색1 24" xfId="1059"/>
    <cellStyle name="강조색1 25" xfId="1060"/>
    <cellStyle name="강조색1 26" xfId="1061"/>
    <cellStyle name="강조색1 27" xfId="1062"/>
    <cellStyle name="강조색1 28" xfId="1063"/>
    <cellStyle name="강조색1 29" xfId="1064"/>
    <cellStyle name="강조색1 3" xfId="1065"/>
    <cellStyle name="강조색1 3 2" xfId="1066"/>
    <cellStyle name="강조색1 3 3" xfId="1067"/>
    <cellStyle name="강조색1 3 4" xfId="1068"/>
    <cellStyle name="강조색1 30" xfId="1069"/>
    <cellStyle name="강조색1 31" xfId="1070"/>
    <cellStyle name="강조색1 32" xfId="1071"/>
    <cellStyle name="강조색1 33" xfId="1072"/>
    <cellStyle name="강조색1 34" xfId="1073"/>
    <cellStyle name="강조색1 35" xfId="1074"/>
    <cellStyle name="강조색1 36" xfId="1075"/>
    <cellStyle name="강조색1 37" xfId="1076"/>
    <cellStyle name="강조색1 38" xfId="1077"/>
    <cellStyle name="강조색1 39" xfId="1078"/>
    <cellStyle name="강조색1 4" xfId="1079"/>
    <cellStyle name="강조색1 4 2" xfId="1080"/>
    <cellStyle name="강조색1 4 3" xfId="1081"/>
    <cellStyle name="강조색1 4 4" xfId="1082"/>
    <cellStyle name="강조색1 40" xfId="1083"/>
    <cellStyle name="강조색1 41" xfId="1084"/>
    <cellStyle name="강조색1 42" xfId="1085"/>
    <cellStyle name="강조색1 43" xfId="1086"/>
    <cellStyle name="강조색1 44" xfId="1087"/>
    <cellStyle name="강조색1 45" xfId="1088"/>
    <cellStyle name="강조색1 46" xfId="1089"/>
    <cellStyle name="강조색1 47" xfId="1090"/>
    <cellStyle name="강조색1 48" xfId="1091"/>
    <cellStyle name="강조색1 5" xfId="1092"/>
    <cellStyle name="강조색1 6" xfId="1093"/>
    <cellStyle name="강조색1 7" xfId="1094"/>
    <cellStyle name="강조색1 8" xfId="1095"/>
    <cellStyle name="강조색1 9" xfId="1096"/>
    <cellStyle name="강조색2 10" xfId="1097"/>
    <cellStyle name="강조색2 11" xfId="1098"/>
    <cellStyle name="강조색2 12" xfId="1099"/>
    <cellStyle name="강조색2 13" xfId="1100"/>
    <cellStyle name="강조색2 14" xfId="1101"/>
    <cellStyle name="강조색2 15" xfId="1102"/>
    <cellStyle name="강조색2 16" xfId="1103"/>
    <cellStyle name="강조색2 17" xfId="1104"/>
    <cellStyle name="강조색2 18" xfId="1105"/>
    <cellStyle name="강조색2 19" xfId="1106"/>
    <cellStyle name="강조색2 2" xfId="1107"/>
    <cellStyle name="강조색2 2 2" xfId="1108"/>
    <cellStyle name="강조색2 2 3" xfId="1109"/>
    <cellStyle name="강조색2 2 4" xfId="1110"/>
    <cellStyle name="강조색2 20" xfId="1111"/>
    <cellStyle name="강조색2 21" xfId="1112"/>
    <cellStyle name="강조색2 22" xfId="1113"/>
    <cellStyle name="강조색2 23" xfId="1114"/>
    <cellStyle name="강조색2 24" xfId="1115"/>
    <cellStyle name="강조색2 25" xfId="1116"/>
    <cellStyle name="강조색2 26" xfId="1117"/>
    <cellStyle name="강조색2 27" xfId="1118"/>
    <cellStyle name="강조색2 28" xfId="1119"/>
    <cellStyle name="강조색2 29" xfId="1120"/>
    <cellStyle name="강조색2 3" xfId="1121"/>
    <cellStyle name="강조색2 3 2" xfId="1122"/>
    <cellStyle name="강조색2 3 3" xfId="1123"/>
    <cellStyle name="강조색2 3 4" xfId="1124"/>
    <cellStyle name="강조색2 30" xfId="1125"/>
    <cellStyle name="강조색2 31" xfId="1126"/>
    <cellStyle name="강조색2 32" xfId="1127"/>
    <cellStyle name="강조색2 33" xfId="1128"/>
    <cellStyle name="강조색2 34" xfId="1129"/>
    <cellStyle name="강조색2 35" xfId="1130"/>
    <cellStyle name="강조색2 36" xfId="1131"/>
    <cellStyle name="강조색2 37" xfId="1132"/>
    <cellStyle name="강조색2 38" xfId="1133"/>
    <cellStyle name="강조색2 39" xfId="1134"/>
    <cellStyle name="강조색2 4" xfId="1135"/>
    <cellStyle name="강조색2 4 2" xfId="1136"/>
    <cellStyle name="강조색2 4 3" xfId="1137"/>
    <cellStyle name="강조색2 4 4" xfId="1138"/>
    <cellStyle name="강조색2 40" xfId="1139"/>
    <cellStyle name="강조색2 41" xfId="1140"/>
    <cellStyle name="강조색2 42" xfId="1141"/>
    <cellStyle name="강조색2 43" xfId="1142"/>
    <cellStyle name="강조색2 44" xfId="1143"/>
    <cellStyle name="강조색2 45" xfId="1144"/>
    <cellStyle name="강조색2 46" xfId="1145"/>
    <cellStyle name="강조색2 47" xfId="1146"/>
    <cellStyle name="강조색2 48" xfId="1147"/>
    <cellStyle name="강조색2 5" xfId="1148"/>
    <cellStyle name="강조색2 6" xfId="1149"/>
    <cellStyle name="강조색2 7" xfId="1150"/>
    <cellStyle name="강조색2 8" xfId="1151"/>
    <cellStyle name="강조색2 9" xfId="1152"/>
    <cellStyle name="강조색3 10" xfId="1153"/>
    <cellStyle name="강조색3 11" xfId="1154"/>
    <cellStyle name="강조색3 12" xfId="1155"/>
    <cellStyle name="강조색3 13" xfId="1156"/>
    <cellStyle name="강조색3 14" xfId="1157"/>
    <cellStyle name="강조색3 15" xfId="1158"/>
    <cellStyle name="강조색3 16" xfId="1159"/>
    <cellStyle name="강조색3 17" xfId="1160"/>
    <cellStyle name="강조색3 18" xfId="1161"/>
    <cellStyle name="강조색3 19" xfId="1162"/>
    <cellStyle name="강조색3 2" xfId="1163"/>
    <cellStyle name="강조색3 2 2" xfId="1164"/>
    <cellStyle name="강조색3 2 3" xfId="1165"/>
    <cellStyle name="강조색3 2 4" xfId="1166"/>
    <cellStyle name="강조색3 20" xfId="1167"/>
    <cellStyle name="강조색3 21" xfId="1168"/>
    <cellStyle name="강조색3 22" xfId="1169"/>
    <cellStyle name="강조색3 23" xfId="1170"/>
    <cellStyle name="강조색3 24" xfId="1171"/>
    <cellStyle name="강조색3 25" xfId="1172"/>
    <cellStyle name="강조색3 26" xfId="1173"/>
    <cellStyle name="강조색3 27" xfId="1174"/>
    <cellStyle name="강조색3 28" xfId="1175"/>
    <cellStyle name="강조색3 29" xfId="1176"/>
    <cellStyle name="강조색3 3" xfId="1177"/>
    <cellStyle name="강조색3 3 2" xfId="1178"/>
    <cellStyle name="강조색3 3 3" xfId="1179"/>
    <cellStyle name="강조색3 3 4" xfId="1180"/>
    <cellStyle name="강조색3 30" xfId="1181"/>
    <cellStyle name="강조색3 31" xfId="1182"/>
    <cellStyle name="강조색3 32" xfId="1183"/>
    <cellStyle name="강조색3 33" xfId="1184"/>
    <cellStyle name="강조색3 34" xfId="1185"/>
    <cellStyle name="강조색3 35" xfId="1186"/>
    <cellStyle name="강조색3 36" xfId="1187"/>
    <cellStyle name="강조색3 37" xfId="1188"/>
    <cellStyle name="강조색3 38" xfId="1189"/>
    <cellStyle name="강조색3 39" xfId="1190"/>
    <cellStyle name="강조색3 4" xfId="1191"/>
    <cellStyle name="강조색3 4 2" xfId="1192"/>
    <cellStyle name="강조색3 4 3" xfId="1193"/>
    <cellStyle name="강조색3 4 4" xfId="1194"/>
    <cellStyle name="강조색3 40" xfId="1195"/>
    <cellStyle name="강조색3 41" xfId="1196"/>
    <cellStyle name="강조색3 42" xfId="1197"/>
    <cellStyle name="강조색3 43" xfId="1198"/>
    <cellStyle name="강조색3 44" xfId="1199"/>
    <cellStyle name="강조색3 45" xfId="1200"/>
    <cellStyle name="강조색3 46" xfId="1201"/>
    <cellStyle name="강조색3 47" xfId="1202"/>
    <cellStyle name="강조색3 48" xfId="1203"/>
    <cellStyle name="강조색3 5" xfId="1204"/>
    <cellStyle name="강조색3 6" xfId="1205"/>
    <cellStyle name="강조색3 7" xfId="1206"/>
    <cellStyle name="강조색3 8" xfId="1207"/>
    <cellStyle name="강조색3 9" xfId="1208"/>
    <cellStyle name="강조색4 10" xfId="1209"/>
    <cellStyle name="강조색4 11" xfId="1210"/>
    <cellStyle name="강조색4 12" xfId="1211"/>
    <cellStyle name="강조색4 13" xfId="1212"/>
    <cellStyle name="강조색4 14" xfId="1213"/>
    <cellStyle name="강조색4 15" xfId="1214"/>
    <cellStyle name="강조색4 16" xfId="1215"/>
    <cellStyle name="강조색4 17" xfId="1216"/>
    <cellStyle name="강조색4 18" xfId="1217"/>
    <cellStyle name="강조색4 19" xfId="1218"/>
    <cellStyle name="강조색4 2" xfId="1219"/>
    <cellStyle name="강조색4 2 2" xfId="1220"/>
    <cellStyle name="강조색4 2 3" xfId="1221"/>
    <cellStyle name="강조색4 2 4" xfId="1222"/>
    <cellStyle name="강조색4 20" xfId="1223"/>
    <cellStyle name="강조색4 21" xfId="1224"/>
    <cellStyle name="강조색4 22" xfId="1225"/>
    <cellStyle name="강조색4 23" xfId="1226"/>
    <cellStyle name="강조색4 24" xfId="1227"/>
    <cellStyle name="강조색4 25" xfId="1228"/>
    <cellStyle name="강조색4 26" xfId="1229"/>
    <cellStyle name="강조색4 27" xfId="1230"/>
    <cellStyle name="강조색4 28" xfId="1231"/>
    <cellStyle name="강조색4 29" xfId="1232"/>
    <cellStyle name="강조색4 3" xfId="1233"/>
    <cellStyle name="강조색4 3 2" xfId="1234"/>
    <cellStyle name="강조색4 3 3" xfId="1235"/>
    <cellStyle name="강조색4 3 4" xfId="1236"/>
    <cellStyle name="강조색4 30" xfId="1237"/>
    <cellStyle name="강조색4 31" xfId="1238"/>
    <cellStyle name="강조색4 32" xfId="1239"/>
    <cellStyle name="강조색4 33" xfId="1240"/>
    <cellStyle name="강조색4 34" xfId="1241"/>
    <cellStyle name="강조색4 35" xfId="1242"/>
    <cellStyle name="강조색4 36" xfId="1243"/>
    <cellStyle name="강조색4 37" xfId="1244"/>
    <cellStyle name="강조색4 38" xfId="1245"/>
    <cellStyle name="강조색4 39" xfId="1246"/>
    <cellStyle name="강조색4 4" xfId="1247"/>
    <cellStyle name="강조색4 4 2" xfId="1248"/>
    <cellStyle name="강조색4 4 3" xfId="1249"/>
    <cellStyle name="강조색4 4 4" xfId="1250"/>
    <cellStyle name="강조색4 40" xfId="1251"/>
    <cellStyle name="강조색4 41" xfId="1252"/>
    <cellStyle name="강조색4 42" xfId="1253"/>
    <cellStyle name="강조색4 43" xfId="1254"/>
    <cellStyle name="강조색4 44" xfId="1255"/>
    <cellStyle name="강조색4 45" xfId="1256"/>
    <cellStyle name="강조색4 46" xfId="1257"/>
    <cellStyle name="강조색4 47" xfId="1258"/>
    <cellStyle name="강조색4 48" xfId="1259"/>
    <cellStyle name="강조색4 5" xfId="1260"/>
    <cellStyle name="강조색4 6" xfId="1261"/>
    <cellStyle name="강조색4 7" xfId="1262"/>
    <cellStyle name="강조색4 8" xfId="1263"/>
    <cellStyle name="강조색4 9" xfId="1264"/>
    <cellStyle name="강조색5 10" xfId="1265"/>
    <cellStyle name="강조색5 11" xfId="1266"/>
    <cellStyle name="강조색5 12" xfId="1267"/>
    <cellStyle name="강조색5 13" xfId="1268"/>
    <cellStyle name="강조색5 14" xfId="1269"/>
    <cellStyle name="강조색5 15" xfId="1270"/>
    <cellStyle name="강조색5 16" xfId="1271"/>
    <cellStyle name="강조색5 17" xfId="1272"/>
    <cellStyle name="강조색5 18" xfId="1273"/>
    <cellStyle name="강조색5 19" xfId="1274"/>
    <cellStyle name="강조색5 2" xfId="1275"/>
    <cellStyle name="강조색5 2 2" xfId="1276"/>
    <cellStyle name="강조색5 2 3" xfId="1277"/>
    <cellStyle name="강조색5 2 4" xfId="1278"/>
    <cellStyle name="강조색5 20" xfId="1279"/>
    <cellStyle name="강조색5 21" xfId="1280"/>
    <cellStyle name="강조색5 22" xfId="1281"/>
    <cellStyle name="강조색5 23" xfId="1282"/>
    <cellStyle name="강조색5 24" xfId="1283"/>
    <cellStyle name="강조색5 25" xfId="1284"/>
    <cellStyle name="강조색5 26" xfId="1285"/>
    <cellStyle name="강조색5 27" xfId="1286"/>
    <cellStyle name="강조색5 28" xfId="1287"/>
    <cellStyle name="강조색5 29" xfId="1288"/>
    <cellStyle name="강조색5 3" xfId="1289"/>
    <cellStyle name="강조색5 3 2" xfId="1290"/>
    <cellStyle name="강조색5 3 3" xfId="1291"/>
    <cellStyle name="강조색5 3 4" xfId="1292"/>
    <cellStyle name="강조색5 30" xfId="1293"/>
    <cellStyle name="강조색5 31" xfId="1294"/>
    <cellStyle name="강조색5 32" xfId="1295"/>
    <cellStyle name="강조색5 33" xfId="1296"/>
    <cellStyle name="강조색5 34" xfId="1297"/>
    <cellStyle name="강조색5 35" xfId="1298"/>
    <cellStyle name="강조색5 36" xfId="1299"/>
    <cellStyle name="강조색5 37" xfId="1300"/>
    <cellStyle name="강조색5 38" xfId="1301"/>
    <cellStyle name="강조색5 39" xfId="1302"/>
    <cellStyle name="강조색5 4" xfId="1303"/>
    <cellStyle name="강조색5 4 2" xfId="1304"/>
    <cellStyle name="강조색5 4 3" xfId="1305"/>
    <cellStyle name="강조색5 4 4" xfId="1306"/>
    <cellStyle name="강조색5 40" xfId="1307"/>
    <cellStyle name="강조색5 41" xfId="1308"/>
    <cellStyle name="강조색5 42" xfId="1309"/>
    <cellStyle name="강조색5 43" xfId="1310"/>
    <cellStyle name="강조색5 44" xfId="1311"/>
    <cellStyle name="강조색5 45" xfId="1312"/>
    <cellStyle name="강조색5 46" xfId="1313"/>
    <cellStyle name="강조색5 47" xfId="1314"/>
    <cellStyle name="강조색5 48" xfId="1315"/>
    <cellStyle name="강조색5 5" xfId="1316"/>
    <cellStyle name="강조색5 6" xfId="1317"/>
    <cellStyle name="강조색5 7" xfId="1318"/>
    <cellStyle name="강조색5 8" xfId="1319"/>
    <cellStyle name="강조색5 9" xfId="1320"/>
    <cellStyle name="강조색6 10" xfId="1321"/>
    <cellStyle name="강조색6 11" xfId="1322"/>
    <cellStyle name="강조색6 12" xfId="1323"/>
    <cellStyle name="강조색6 13" xfId="1324"/>
    <cellStyle name="강조색6 14" xfId="1325"/>
    <cellStyle name="강조색6 15" xfId="1326"/>
    <cellStyle name="강조색6 16" xfId="1327"/>
    <cellStyle name="강조색6 17" xfId="1328"/>
    <cellStyle name="강조색6 18" xfId="1329"/>
    <cellStyle name="강조색6 19" xfId="1330"/>
    <cellStyle name="강조색6 2" xfId="1331"/>
    <cellStyle name="강조색6 2 2" xfId="1332"/>
    <cellStyle name="강조색6 2 3" xfId="1333"/>
    <cellStyle name="강조색6 2 4" xfId="1334"/>
    <cellStyle name="강조색6 20" xfId="1335"/>
    <cellStyle name="강조색6 21" xfId="1336"/>
    <cellStyle name="강조색6 22" xfId="1337"/>
    <cellStyle name="강조색6 23" xfId="1338"/>
    <cellStyle name="강조색6 24" xfId="1339"/>
    <cellStyle name="강조색6 25" xfId="1340"/>
    <cellStyle name="강조색6 26" xfId="1341"/>
    <cellStyle name="강조색6 27" xfId="1342"/>
    <cellStyle name="강조색6 28" xfId="1343"/>
    <cellStyle name="강조색6 29" xfId="1344"/>
    <cellStyle name="강조색6 3" xfId="1345"/>
    <cellStyle name="강조색6 3 2" xfId="1346"/>
    <cellStyle name="강조색6 3 3" xfId="1347"/>
    <cellStyle name="강조색6 3 4" xfId="1348"/>
    <cellStyle name="강조색6 30" xfId="1349"/>
    <cellStyle name="강조색6 31" xfId="1350"/>
    <cellStyle name="강조색6 32" xfId="1351"/>
    <cellStyle name="강조색6 33" xfId="1352"/>
    <cellStyle name="강조색6 34" xfId="1353"/>
    <cellStyle name="강조색6 35" xfId="1354"/>
    <cellStyle name="강조색6 36" xfId="1355"/>
    <cellStyle name="강조색6 37" xfId="1356"/>
    <cellStyle name="강조색6 38" xfId="1357"/>
    <cellStyle name="강조색6 39" xfId="1358"/>
    <cellStyle name="강조색6 4" xfId="1359"/>
    <cellStyle name="강조색6 4 2" xfId="1360"/>
    <cellStyle name="강조색6 4 3" xfId="1361"/>
    <cellStyle name="강조색6 4 4" xfId="1362"/>
    <cellStyle name="강조색6 40" xfId="1363"/>
    <cellStyle name="강조색6 41" xfId="1364"/>
    <cellStyle name="강조색6 42" xfId="1365"/>
    <cellStyle name="강조색6 43" xfId="1366"/>
    <cellStyle name="강조색6 44" xfId="1367"/>
    <cellStyle name="강조색6 45" xfId="1368"/>
    <cellStyle name="강조색6 46" xfId="1369"/>
    <cellStyle name="강조색6 47" xfId="1370"/>
    <cellStyle name="강조색6 48" xfId="1371"/>
    <cellStyle name="강조색6 5" xfId="1372"/>
    <cellStyle name="강조색6 6" xfId="1373"/>
    <cellStyle name="강조색6 7" xfId="1374"/>
    <cellStyle name="강조색6 8" xfId="1375"/>
    <cellStyle name="강조색6 9" xfId="1376"/>
    <cellStyle name="경고문 10" xfId="1377"/>
    <cellStyle name="경고문 11" xfId="1378"/>
    <cellStyle name="경고문 12" xfId="1379"/>
    <cellStyle name="경고문 13" xfId="1380"/>
    <cellStyle name="경고문 14" xfId="1381"/>
    <cellStyle name="경고문 15" xfId="1382"/>
    <cellStyle name="경고문 16" xfId="1383"/>
    <cellStyle name="경고문 17" xfId="1384"/>
    <cellStyle name="경고문 18" xfId="1385"/>
    <cellStyle name="경고문 19" xfId="1386"/>
    <cellStyle name="경고문 2" xfId="1387"/>
    <cellStyle name="경고문 20" xfId="1388"/>
    <cellStyle name="경고문 21" xfId="1389"/>
    <cellStyle name="경고문 22" xfId="1390"/>
    <cellStyle name="경고문 23" xfId="1391"/>
    <cellStyle name="경고문 24" xfId="1392"/>
    <cellStyle name="경고문 25" xfId="1393"/>
    <cellStyle name="경고문 26" xfId="1394"/>
    <cellStyle name="경고문 27" xfId="1395"/>
    <cellStyle name="경고문 28" xfId="1396"/>
    <cellStyle name="경고문 29" xfId="1397"/>
    <cellStyle name="경고문 3" xfId="1398"/>
    <cellStyle name="경고문 3 2" xfId="1399"/>
    <cellStyle name="경고문 3 3" xfId="1400"/>
    <cellStyle name="경고문 3 4" xfId="1401"/>
    <cellStyle name="경고문 4" xfId="1402"/>
    <cellStyle name="경고문 5" xfId="1403"/>
    <cellStyle name="경고문 6" xfId="1404"/>
    <cellStyle name="경고문 7" xfId="1405"/>
    <cellStyle name="경고문 8" xfId="1406"/>
    <cellStyle name="경고문 9" xfId="1407"/>
    <cellStyle name="계산 10" xfId="1408"/>
    <cellStyle name="계산 11" xfId="1409"/>
    <cellStyle name="계산 12" xfId="1410"/>
    <cellStyle name="계산 13" xfId="1411"/>
    <cellStyle name="계산 14" xfId="1412"/>
    <cellStyle name="계산 15" xfId="1413"/>
    <cellStyle name="계산 16" xfId="1414"/>
    <cellStyle name="계산 17" xfId="1415"/>
    <cellStyle name="계산 18" xfId="1416"/>
    <cellStyle name="계산 19" xfId="1417"/>
    <cellStyle name="계산 2" xfId="1418"/>
    <cellStyle name="계산 2 2" xfId="1419"/>
    <cellStyle name="계산 2 3" xfId="1420"/>
    <cellStyle name="계산 2 4" xfId="1421"/>
    <cellStyle name="계산 20" xfId="1422"/>
    <cellStyle name="계산 21" xfId="1423"/>
    <cellStyle name="계산 22" xfId="1424"/>
    <cellStyle name="계산 23" xfId="1425"/>
    <cellStyle name="계산 24" xfId="1426"/>
    <cellStyle name="계산 25" xfId="1427"/>
    <cellStyle name="계산 26" xfId="1428"/>
    <cellStyle name="계산 27" xfId="1429"/>
    <cellStyle name="계산 28" xfId="1430"/>
    <cellStyle name="계산 29" xfId="1431"/>
    <cellStyle name="계산 3" xfId="1432"/>
    <cellStyle name="계산 3 2" xfId="1433"/>
    <cellStyle name="계산 3 3" xfId="1434"/>
    <cellStyle name="계산 3 4" xfId="1435"/>
    <cellStyle name="계산 30" xfId="1436"/>
    <cellStyle name="계산 31" xfId="1437"/>
    <cellStyle name="계산 32" xfId="1438"/>
    <cellStyle name="계산 33" xfId="1439"/>
    <cellStyle name="계산 34" xfId="1440"/>
    <cellStyle name="계산 35" xfId="1441"/>
    <cellStyle name="계산 36" xfId="1442"/>
    <cellStyle name="계산 37" xfId="1443"/>
    <cellStyle name="계산 38" xfId="1444"/>
    <cellStyle name="계산 39" xfId="1445"/>
    <cellStyle name="계산 4" xfId="1446"/>
    <cellStyle name="계산 4 2" xfId="1447"/>
    <cellStyle name="계산 4 3" xfId="1448"/>
    <cellStyle name="계산 4 4" xfId="1449"/>
    <cellStyle name="계산 40" xfId="1450"/>
    <cellStyle name="계산 41" xfId="1451"/>
    <cellStyle name="계산 42" xfId="1452"/>
    <cellStyle name="계산 43" xfId="1453"/>
    <cellStyle name="계산 44" xfId="1454"/>
    <cellStyle name="계산 45" xfId="1455"/>
    <cellStyle name="계산 46" xfId="1456"/>
    <cellStyle name="계산 47" xfId="1457"/>
    <cellStyle name="계산 48" xfId="1458"/>
    <cellStyle name="계산 5" xfId="1459"/>
    <cellStyle name="계산 6" xfId="1460"/>
    <cellStyle name="계산 7" xfId="1461"/>
    <cellStyle name="계산 8" xfId="1462"/>
    <cellStyle name="계산 9" xfId="1463"/>
    <cellStyle name="나쁨 10" xfId="1464"/>
    <cellStyle name="나쁨 11" xfId="1465"/>
    <cellStyle name="나쁨 12" xfId="1466"/>
    <cellStyle name="나쁨 13" xfId="1467"/>
    <cellStyle name="나쁨 14" xfId="1468"/>
    <cellStyle name="나쁨 15" xfId="1469"/>
    <cellStyle name="나쁨 16" xfId="1470"/>
    <cellStyle name="나쁨 17" xfId="1471"/>
    <cellStyle name="나쁨 18" xfId="1472"/>
    <cellStyle name="나쁨 19" xfId="1473"/>
    <cellStyle name="나쁨 2" xfId="1474"/>
    <cellStyle name="나쁨 2 2" xfId="1475"/>
    <cellStyle name="나쁨 2 3" xfId="1476"/>
    <cellStyle name="나쁨 2 4" xfId="1477"/>
    <cellStyle name="나쁨 20" xfId="1478"/>
    <cellStyle name="나쁨 21" xfId="1479"/>
    <cellStyle name="나쁨 22" xfId="1480"/>
    <cellStyle name="나쁨 23" xfId="1481"/>
    <cellStyle name="나쁨 24" xfId="1482"/>
    <cellStyle name="나쁨 25" xfId="1483"/>
    <cellStyle name="나쁨 26" xfId="1484"/>
    <cellStyle name="나쁨 27" xfId="1485"/>
    <cellStyle name="나쁨 28" xfId="1486"/>
    <cellStyle name="나쁨 29" xfId="1487"/>
    <cellStyle name="나쁨 3" xfId="1488"/>
    <cellStyle name="나쁨 3 2" xfId="1489"/>
    <cellStyle name="나쁨 3 3" xfId="1490"/>
    <cellStyle name="나쁨 3 4" xfId="1491"/>
    <cellStyle name="나쁨 30" xfId="1492"/>
    <cellStyle name="나쁨 31" xfId="1493"/>
    <cellStyle name="나쁨 32" xfId="1494"/>
    <cellStyle name="나쁨 33" xfId="1495"/>
    <cellStyle name="나쁨 34" xfId="1496"/>
    <cellStyle name="나쁨 35" xfId="1497"/>
    <cellStyle name="나쁨 36" xfId="1498"/>
    <cellStyle name="나쁨 37" xfId="1499"/>
    <cellStyle name="나쁨 38" xfId="1500"/>
    <cellStyle name="나쁨 39" xfId="1501"/>
    <cellStyle name="나쁨 4" xfId="1502"/>
    <cellStyle name="나쁨 4 2" xfId="1503"/>
    <cellStyle name="나쁨 4 3" xfId="1504"/>
    <cellStyle name="나쁨 4 4" xfId="1505"/>
    <cellStyle name="나쁨 40" xfId="1506"/>
    <cellStyle name="나쁨 41" xfId="1507"/>
    <cellStyle name="나쁨 42" xfId="1508"/>
    <cellStyle name="나쁨 43" xfId="1509"/>
    <cellStyle name="나쁨 44" xfId="1510"/>
    <cellStyle name="나쁨 45" xfId="1511"/>
    <cellStyle name="나쁨 46" xfId="1512"/>
    <cellStyle name="나쁨 47" xfId="1513"/>
    <cellStyle name="나쁨 48" xfId="1514"/>
    <cellStyle name="나쁨 5" xfId="1515"/>
    <cellStyle name="나쁨 6" xfId="1516"/>
    <cellStyle name="나쁨 7" xfId="1517"/>
    <cellStyle name="나쁨 8" xfId="1518"/>
    <cellStyle name="나쁨 9" xfId="1519"/>
    <cellStyle name="메모 10" xfId="1520"/>
    <cellStyle name="메모 11" xfId="1521"/>
    <cellStyle name="메모 12" xfId="1522"/>
    <cellStyle name="메모 13" xfId="1523"/>
    <cellStyle name="메모 14" xfId="1524"/>
    <cellStyle name="메모 15" xfId="1525"/>
    <cellStyle name="메모 16" xfId="1526"/>
    <cellStyle name="메모 17" xfId="1527"/>
    <cellStyle name="메모 18" xfId="1528"/>
    <cellStyle name="메모 19" xfId="1529"/>
    <cellStyle name="메모 2" xfId="1530"/>
    <cellStyle name="메모 2 2" xfId="1531"/>
    <cellStyle name="메모 2 3" xfId="1532"/>
    <cellStyle name="메모 2 4" xfId="1533"/>
    <cellStyle name="메모 20" xfId="1534"/>
    <cellStyle name="메모 21" xfId="1535"/>
    <cellStyle name="메모 22" xfId="1536"/>
    <cellStyle name="메모 23" xfId="1537"/>
    <cellStyle name="메모 24" xfId="1538"/>
    <cellStyle name="메모 25" xfId="1539"/>
    <cellStyle name="메모 26" xfId="1540"/>
    <cellStyle name="메모 27" xfId="1541"/>
    <cellStyle name="메모 28" xfId="1542"/>
    <cellStyle name="메모 29" xfId="1543"/>
    <cellStyle name="메모 3" xfId="1544"/>
    <cellStyle name="메모 3 2" xfId="1545"/>
    <cellStyle name="메모 3 3" xfId="1546"/>
    <cellStyle name="메모 3 4" xfId="1547"/>
    <cellStyle name="메모 30" xfId="1548"/>
    <cellStyle name="메모 31" xfId="1549"/>
    <cellStyle name="메모 32" xfId="1550"/>
    <cellStyle name="메모 33" xfId="1551"/>
    <cellStyle name="메모 34" xfId="1552"/>
    <cellStyle name="메모 35" xfId="1553"/>
    <cellStyle name="메모 36" xfId="1554"/>
    <cellStyle name="메모 37" xfId="1555"/>
    <cellStyle name="메모 38" xfId="1556"/>
    <cellStyle name="메모 39" xfId="1557"/>
    <cellStyle name="메모 4" xfId="1558"/>
    <cellStyle name="메모 4 2" xfId="1559"/>
    <cellStyle name="메모 4 3" xfId="1560"/>
    <cellStyle name="메모 4 4" xfId="1561"/>
    <cellStyle name="메모 40" xfId="1562"/>
    <cellStyle name="메모 41" xfId="1563"/>
    <cellStyle name="메모 42" xfId="1564"/>
    <cellStyle name="메모 43" xfId="1565"/>
    <cellStyle name="메모 44" xfId="1566"/>
    <cellStyle name="메모 45" xfId="1567"/>
    <cellStyle name="메모 46" xfId="1568"/>
    <cellStyle name="메모 47" xfId="1569"/>
    <cellStyle name="메모 48" xfId="1570"/>
    <cellStyle name="메모 5" xfId="1571"/>
    <cellStyle name="메모 6" xfId="1572"/>
    <cellStyle name="메모 7" xfId="1573"/>
    <cellStyle name="메모 8" xfId="1574"/>
    <cellStyle name="메모 9" xfId="1575"/>
    <cellStyle name="백분율" xfId="1" builtinId="5"/>
    <cellStyle name="보통 10" xfId="1576"/>
    <cellStyle name="보통 11" xfId="1577"/>
    <cellStyle name="보통 12" xfId="1578"/>
    <cellStyle name="보통 13" xfId="1579"/>
    <cellStyle name="보통 14" xfId="1580"/>
    <cellStyle name="보통 15" xfId="1581"/>
    <cellStyle name="보통 16" xfId="1582"/>
    <cellStyle name="보통 17" xfId="1583"/>
    <cellStyle name="보통 18" xfId="1584"/>
    <cellStyle name="보통 19" xfId="1585"/>
    <cellStyle name="보통 2" xfId="1586"/>
    <cellStyle name="보통 2 2" xfId="1587"/>
    <cellStyle name="보통 2 3" xfId="1588"/>
    <cellStyle name="보통 2 4" xfId="1589"/>
    <cellStyle name="보통 20" xfId="1590"/>
    <cellStyle name="보통 21" xfId="1591"/>
    <cellStyle name="보통 22" xfId="1592"/>
    <cellStyle name="보통 23" xfId="1593"/>
    <cellStyle name="보통 24" xfId="1594"/>
    <cellStyle name="보통 25" xfId="1595"/>
    <cellStyle name="보통 26" xfId="1596"/>
    <cellStyle name="보통 27" xfId="1597"/>
    <cellStyle name="보통 28" xfId="1598"/>
    <cellStyle name="보통 29" xfId="1599"/>
    <cellStyle name="보통 3" xfId="1600"/>
    <cellStyle name="보통 3 2" xfId="1601"/>
    <cellStyle name="보통 3 3" xfId="1602"/>
    <cellStyle name="보통 3 4" xfId="1603"/>
    <cellStyle name="보통 30" xfId="1604"/>
    <cellStyle name="보통 31" xfId="1605"/>
    <cellStyle name="보통 32" xfId="1606"/>
    <cellStyle name="보통 33" xfId="1607"/>
    <cellStyle name="보통 34" xfId="1608"/>
    <cellStyle name="보통 35" xfId="1609"/>
    <cellStyle name="보통 36" xfId="1610"/>
    <cellStyle name="보통 37" xfId="1611"/>
    <cellStyle name="보통 38" xfId="1612"/>
    <cellStyle name="보통 39" xfId="1613"/>
    <cellStyle name="보통 4" xfId="1614"/>
    <cellStyle name="보통 4 2" xfId="1615"/>
    <cellStyle name="보통 4 3" xfId="1616"/>
    <cellStyle name="보통 4 4" xfId="1617"/>
    <cellStyle name="보통 40" xfId="1618"/>
    <cellStyle name="보통 41" xfId="1619"/>
    <cellStyle name="보통 42" xfId="1620"/>
    <cellStyle name="보통 43" xfId="1621"/>
    <cellStyle name="보통 44" xfId="1622"/>
    <cellStyle name="보통 45" xfId="1623"/>
    <cellStyle name="보통 46" xfId="1624"/>
    <cellStyle name="보통 47" xfId="1625"/>
    <cellStyle name="보통 48" xfId="1626"/>
    <cellStyle name="보통 5" xfId="1627"/>
    <cellStyle name="보통 6" xfId="1628"/>
    <cellStyle name="보통 7" xfId="1629"/>
    <cellStyle name="보통 8" xfId="1630"/>
    <cellStyle name="보통 9" xfId="1631"/>
    <cellStyle name="설명 텍스트 10" xfId="1632"/>
    <cellStyle name="설명 텍스트 11" xfId="1633"/>
    <cellStyle name="설명 텍스트 12" xfId="1634"/>
    <cellStyle name="설명 텍스트 13" xfId="1635"/>
    <cellStyle name="설명 텍스트 14" xfId="1636"/>
    <cellStyle name="설명 텍스트 15" xfId="1637"/>
    <cellStyle name="설명 텍스트 16" xfId="1638"/>
    <cellStyle name="설명 텍스트 17" xfId="1639"/>
    <cellStyle name="설명 텍스트 18" xfId="1640"/>
    <cellStyle name="설명 텍스트 19" xfId="1641"/>
    <cellStyle name="설명 텍스트 2" xfId="1642"/>
    <cellStyle name="설명 텍스트 20" xfId="1643"/>
    <cellStyle name="설명 텍스트 21" xfId="1644"/>
    <cellStyle name="설명 텍스트 22" xfId="1645"/>
    <cellStyle name="설명 텍스트 23" xfId="1646"/>
    <cellStyle name="설명 텍스트 24" xfId="1647"/>
    <cellStyle name="설명 텍스트 25" xfId="1648"/>
    <cellStyle name="설명 텍스트 26" xfId="1649"/>
    <cellStyle name="설명 텍스트 27" xfId="1650"/>
    <cellStyle name="설명 텍스트 28" xfId="1651"/>
    <cellStyle name="설명 텍스트 29" xfId="1652"/>
    <cellStyle name="설명 텍스트 3" xfId="1653"/>
    <cellStyle name="설명 텍스트 3 2" xfId="1654"/>
    <cellStyle name="설명 텍스트 3 3" xfId="1655"/>
    <cellStyle name="설명 텍스트 3 4" xfId="1656"/>
    <cellStyle name="설명 텍스트 4" xfId="1657"/>
    <cellStyle name="설명 텍스트 5" xfId="1658"/>
    <cellStyle name="설명 텍스트 6" xfId="1659"/>
    <cellStyle name="설명 텍스트 7" xfId="1660"/>
    <cellStyle name="설명 텍스트 8" xfId="1661"/>
    <cellStyle name="설명 텍스트 9" xfId="1662"/>
    <cellStyle name="셀 확인 10" xfId="1663"/>
    <cellStyle name="셀 확인 11" xfId="1664"/>
    <cellStyle name="셀 확인 12" xfId="1665"/>
    <cellStyle name="셀 확인 13" xfId="1666"/>
    <cellStyle name="셀 확인 14" xfId="1667"/>
    <cellStyle name="셀 확인 15" xfId="1668"/>
    <cellStyle name="셀 확인 16" xfId="1669"/>
    <cellStyle name="셀 확인 17" xfId="1670"/>
    <cellStyle name="셀 확인 18" xfId="1671"/>
    <cellStyle name="셀 확인 19" xfId="1672"/>
    <cellStyle name="셀 확인 2" xfId="1673"/>
    <cellStyle name="셀 확인 2 2" xfId="1674"/>
    <cellStyle name="셀 확인 2 3" xfId="1675"/>
    <cellStyle name="셀 확인 2 4" xfId="1676"/>
    <cellStyle name="셀 확인 20" xfId="1677"/>
    <cellStyle name="셀 확인 21" xfId="1678"/>
    <cellStyle name="셀 확인 22" xfId="1679"/>
    <cellStyle name="셀 확인 23" xfId="1680"/>
    <cellStyle name="셀 확인 24" xfId="1681"/>
    <cellStyle name="셀 확인 25" xfId="1682"/>
    <cellStyle name="셀 확인 26" xfId="1683"/>
    <cellStyle name="셀 확인 27" xfId="1684"/>
    <cellStyle name="셀 확인 28" xfId="1685"/>
    <cellStyle name="셀 확인 29" xfId="1686"/>
    <cellStyle name="셀 확인 3" xfId="1687"/>
    <cellStyle name="셀 확인 3 2" xfId="1688"/>
    <cellStyle name="셀 확인 3 3" xfId="1689"/>
    <cellStyle name="셀 확인 3 4" xfId="1690"/>
    <cellStyle name="셀 확인 30" xfId="1691"/>
    <cellStyle name="셀 확인 31" xfId="1692"/>
    <cellStyle name="셀 확인 32" xfId="1693"/>
    <cellStyle name="셀 확인 33" xfId="1694"/>
    <cellStyle name="셀 확인 34" xfId="1695"/>
    <cellStyle name="셀 확인 35" xfId="1696"/>
    <cellStyle name="셀 확인 36" xfId="1697"/>
    <cellStyle name="셀 확인 37" xfId="1698"/>
    <cellStyle name="셀 확인 38" xfId="1699"/>
    <cellStyle name="셀 확인 39" xfId="1700"/>
    <cellStyle name="셀 확인 4" xfId="1701"/>
    <cellStyle name="셀 확인 4 2" xfId="1702"/>
    <cellStyle name="셀 확인 4 3" xfId="1703"/>
    <cellStyle name="셀 확인 4 4" xfId="1704"/>
    <cellStyle name="셀 확인 40" xfId="1705"/>
    <cellStyle name="셀 확인 41" xfId="1706"/>
    <cellStyle name="셀 확인 42" xfId="1707"/>
    <cellStyle name="셀 확인 43" xfId="1708"/>
    <cellStyle name="셀 확인 44" xfId="1709"/>
    <cellStyle name="셀 확인 45" xfId="1710"/>
    <cellStyle name="셀 확인 46" xfId="1711"/>
    <cellStyle name="셀 확인 47" xfId="1712"/>
    <cellStyle name="셀 확인 48" xfId="1713"/>
    <cellStyle name="셀 확인 5" xfId="1714"/>
    <cellStyle name="셀 확인 6" xfId="1715"/>
    <cellStyle name="셀 확인 7" xfId="1716"/>
    <cellStyle name="셀 확인 8" xfId="1717"/>
    <cellStyle name="셀 확인 9" xfId="1718"/>
    <cellStyle name="쉼표 [0]" xfId="2" builtinId="6"/>
    <cellStyle name="쉼표 [0] 10" xfId="2318"/>
    <cellStyle name="쉼표 [0] 11 3 2" xfId="3"/>
    <cellStyle name="쉼표 [0] 2" xfId="4"/>
    <cellStyle name="쉼표 [0] 2 10" xfId="1720"/>
    <cellStyle name="쉼표 [0] 2 11" xfId="1721"/>
    <cellStyle name="쉼표 [0] 2 12" xfId="1722"/>
    <cellStyle name="쉼표 [0] 2 13" xfId="1723"/>
    <cellStyle name="쉼표 [0] 2 14" xfId="1724"/>
    <cellStyle name="쉼표 [0] 2 15" xfId="1725"/>
    <cellStyle name="쉼표 [0] 2 16" xfId="1726"/>
    <cellStyle name="쉼표 [0] 2 17" xfId="1727"/>
    <cellStyle name="쉼표 [0] 2 18" xfId="1728"/>
    <cellStyle name="쉼표 [0] 2 19" xfId="1729"/>
    <cellStyle name="쉼표 [0] 2 2" xfId="5"/>
    <cellStyle name="쉼표 [0] 2 2 2" xfId="1730"/>
    <cellStyle name="쉼표 [0] 2 20" xfId="1731"/>
    <cellStyle name="쉼표 [0] 2 21" xfId="1732"/>
    <cellStyle name="쉼표 [0] 2 22" xfId="2319"/>
    <cellStyle name="쉼표 [0] 2 3" xfId="6"/>
    <cellStyle name="쉼표 [0] 2 3 2" xfId="1734"/>
    <cellStyle name="쉼표 [0] 2 3 3" xfId="1735"/>
    <cellStyle name="쉼표 [0] 2 3 4" xfId="1736"/>
    <cellStyle name="쉼표 [0] 2 3 5" xfId="1733"/>
    <cellStyle name="쉼표 [0] 2 4" xfId="7"/>
    <cellStyle name="쉼표 [0] 2 4 2" xfId="1738"/>
    <cellStyle name="쉼표 [0] 2 4 3" xfId="1739"/>
    <cellStyle name="쉼표 [0] 2 4 4" xfId="1740"/>
    <cellStyle name="쉼표 [0] 2 4 5" xfId="1737"/>
    <cellStyle name="쉼표 [0] 2 5" xfId="8"/>
    <cellStyle name="쉼표 [0] 2 6" xfId="9"/>
    <cellStyle name="쉼표 [0] 2 7" xfId="1741"/>
    <cellStyle name="쉼표 [0] 2 8" xfId="1742"/>
    <cellStyle name="쉼표 [0] 2 9" xfId="1743"/>
    <cellStyle name="쉼표 [0] 3" xfId="10"/>
    <cellStyle name="쉼표 [0] 3 2" xfId="1744"/>
    <cellStyle name="쉼표 [0] 3 2 2" xfId="1745"/>
    <cellStyle name="쉼표 [0] 3 2 2 2" xfId="1746"/>
    <cellStyle name="쉼표 [0] 3 2 2 2 2" xfId="1747"/>
    <cellStyle name="쉼표 [0] 3 2 2 2 3" xfId="1748"/>
    <cellStyle name="쉼표 [0] 3 2 2 2 4" xfId="1749"/>
    <cellStyle name="쉼표 [0] 3 2 2 3" xfId="1750"/>
    <cellStyle name="쉼표 [0] 3 2 2 4" xfId="1751"/>
    <cellStyle name="쉼표 [0] 3 2 3" xfId="1752"/>
    <cellStyle name="쉼표 [0] 3 2 4" xfId="1753"/>
    <cellStyle name="쉼표 [0] 3 3" xfId="1754"/>
    <cellStyle name="쉼표 [0] 3 3 2" xfId="1755"/>
    <cellStyle name="쉼표 [0] 3 3 3" xfId="1756"/>
    <cellStyle name="쉼표 [0] 3 3 4" xfId="1757"/>
    <cellStyle name="쉼표 [0] 3 4" xfId="1758"/>
    <cellStyle name="쉼표 [0] 3 4 2" xfId="1759"/>
    <cellStyle name="쉼표 [0] 3 4 3" xfId="1760"/>
    <cellStyle name="쉼표 [0] 3 4 4" xfId="1761"/>
    <cellStyle name="쉼표 [0] 3 5" xfId="1762"/>
    <cellStyle name="쉼표 [0] 3 6" xfId="1763"/>
    <cellStyle name="쉼표 [0] 3 7" xfId="1764"/>
    <cellStyle name="쉼표 [0] 3 8" xfId="1765"/>
    <cellStyle name="쉼표 [0] 3 8 2" xfId="2305"/>
    <cellStyle name="쉼표 [0] 3 9" xfId="1766"/>
    <cellStyle name="쉼표 [0] 4" xfId="11"/>
    <cellStyle name="쉼표 [0] 4 2" xfId="1768"/>
    <cellStyle name="쉼표 [0] 4 3" xfId="1769"/>
    <cellStyle name="쉼표 [0] 4 3 2" xfId="1770"/>
    <cellStyle name="쉼표 [0] 4 3 3" xfId="1771"/>
    <cellStyle name="쉼표 [0] 4 3 4" xfId="1772"/>
    <cellStyle name="쉼표 [0] 4 4" xfId="1773"/>
    <cellStyle name="쉼표 [0] 4 4 2" xfId="2306"/>
    <cellStyle name="쉼표 [0] 4 5" xfId="1774"/>
    <cellStyle name="쉼표 [0] 4 6" xfId="1767"/>
    <cellStyle name="쉼표 [0] 4 7" xfId="2320"/>
    <cellStyle name="쉼표 [0] 5" xfId="12"/>
    <cellStyle name="쉼표 [0] 5 2" xfId="1776"/>
    <cellStyle name="쉼표 [0] 5 3" xfId="1777"/>
    <cellStyle name="쉼표 [0] 5 4" xfId="1778"/>
    <cellStyle name="쉼표 [0] 5 5" xfId="1775"/>
    <cellStyle name="쉼표 [0] 6" xfId="1779"/>
    <cellStyle name="쉼표 [0] 6 2" xfId="2307"/>
    <cellStyle name="쉼표 [0] 7" xfId="1780"/>
    <cellStyle name="쉼표 [0] 8" xfId="13"/>
    <cellStyle name="쉼표 [0] 8 2" xfId="1781"/>
    <cellStyle name="쉼표 [0] 9" xfId="1719"/>
    <cellStyle name="연결된 셀 10" xfId="1782"/>
    <cellStyle name="연결된 셀 11" xfId="1783"/>
    <cellStyle name="연결된 셀 12" xfId="1784"/>
    <cellStyle name="연결된 셀 13" xfId="1785"/>
    <cellStyle name="연결된 셀 14" xfId="1786"/>
    <cellStyle name="연결된 셀 15" xfId="1787"/>
    <cellStyle name="연결된 셀 16" xfId="1788"/>
    <cellStyle name="연결된 셀 17" xfId="1789"/>
    <cellStyle name="연결된 셀 18" xfId="1790"/>
    <cellStyle name="연결된 셀 19" xfId="1791"/>
    <cellStyle name="연결된 셀 2" xfId="1792"/>
    <cellStyle name="연결된 셀 20" xfId="1793"/>
    <cellStyle name="연결된 셀 21" xfId="1794"/>
    <cellStyle name="연결된 셀 22" xfId="1795"/>
    <cellStyle name="연결된 셀 23" xfId="1796"/>
    <cellStyle name="연결된 셀 24" xfId="1797"/>
    <cellStyle name="연결된 셀 25" xfId="1798"/>
    <cellStyle name="연결된 셀 26" xfId="1799"/>
    <cellStyle name="연결된 셀 27" xfId="1800"/>
    <cellStyle name="연결된 셀 28" xfId="1801"/>
    <cellStyle name="연결된 셀 29" xfId="1802"/>
    <cellStyle name="연결된 셀 3" xfId="1803"/>
    <cellStyle name="연결된 셀 3 2" xfId="1804"/>
    <cellStyle name="연결된 셀 3 3" xfId="1805"/>
    <cellStyle name="연결된 셀 3 4" xfId="1806"/>
    <cellStyle name="연결된 셀 4" xfId="1807"/>
    <cellStyle name="연결된 셀 5" xfId="1808"/>
    <cellStyle name="연결된 셀 6" xfId="1809"/>
    <cellStyle name="연결된 셀 7" xfId="1810"/>
    <cellStyle name="연결된 셀 8" xfId="1811"/>
    <cellStyle name="연결된 셀 9" xfId="1812"/>
    <cellStyle name="요약 10" xfId="1813"/>
    <cellStyle name="요약 11" xfId="1814"/>
    <cellStyle name="요약 12" xfId="1815"/>
    <cellStyle name="요약 13" xfId="1816"/>
    <cellStyle name="요약 14" xfId="1817"/>
    <cellStyle name="요약 15" xfId="1818"/>
    <cellStyle name="요약 16" xfId="1819"/>
    <cellStyle name="요약 17" xfId="1820"/>
    <cellStyle name="요약 18" xfId="1821"/>
    <cellStyle name="요약 19" xfId="1822"/>
    <cellStyle name="요약 2" xfId="1823"/>
    <cellStyle name="요약 20" xfId="1824"/>
    <cellStyle name="요약 21" xfId="1825"/>
    <cellStyle name="요약 22" xfId="1826"/>
    <cellStyle name="요약 23" xfId="1827"/>
    <cellStyle name="요약 24" xfId="1828"/>
    <cellStyle name="요약 25" xfId="1829"/>
    <cellStyle name="요약 26" xfId="1830"/>
    <cellStyle name="요약 27" xfId="1831"/>
    <cellStyle name="요약 28" xfId="1832"/>
    <cellStyle name="요약 29" xfId="1833"/>
    <cellStyle name="요약 3" xfId="1834"/>
    <cellStyle name="요약 3 2" xfId="1835"/>
    <cellStyle name="요약 3 3" xfId="1836"/>
    <cellStyle name="요약 3 4" xfId="1837"/>
    <cellStyle name="요약 4" xfId="1838"/>
    <cellStyle name="요약 5" xfId="1839"/>
    <cellStyle name="요약 6" xfId="1840"/>
    <cellStyle name="요약 7" xfId="1841"/>
    <cellStyle name="요약 8" xfId="1842"/>
    <cellStyle name="요약 9" xfId="1843"/>
    <cellStyle name="입력 10" xfId="1844"/>
    <cellStyle name="입력 11" xfId="1845"/>
    <cellStyle name="입력 12" xfId="1846"/>
    <cellStyle name="입력 13" xfId="1847"/>
    <cellStyle name="입력 14" xfId="1848"/>
    <cellStyle name="입력 15" xfId="1849"/>
    <cellStyle name="입력 16" xfId="1850"/>
    <cellStyle name="입력 17" xfId="1851"/>
    <cellStyle name="입력 18" xfId="1852"/>
    <cellStyle name="입력 19" xfId="1853"/>
    <cellStyle name="입력 2" xfId="1854"/>
    <cellStyle name="입력 2 2" xfId="1855"/>
    <cellStyle name="입력 2 3" xfId="1856"/>
    <cellStyle name="입력 2 4" xfId="1857"/>
    <cellStyle name="입력 20" xfId="1858"/>
    <cellStyle name="입력 21" xfId="1859"/>
    <cellStyle name="입력 22" xfId="1860"/>
    <cellStyle name="입력 23" xfId="1861"/>
    <cellStyle name="입력 24" xfId="1862"/>
    <cellStyle name="입력 25" xfId="1863"/>
    <cellStyle name="입력 26" xfId="1864"/>
    <cellStyle name="입력 27" xfId="1865"/>
    <cellStyle name="입력 28" xfId="1866"/>
    <cellStyle name="입력 29" xfId="1867"/>
    <cellStyle name="입력 3" xfId="1868"/>
    <cellStyle name="입력 3 2" xfId="1869"/>
    <cellStyle name="입력 3 3" xfId="1870"/>
    <cellStyle name="입력 3 4" xfId="1871"/>
    <cellStyle name="입력 30" xfId="1872"/>
    <cellStyle name="입력 31" xfId="1873"/>
    <cellStyle name="입력 32" xfId="1874"/>
    <cellStyle name="입력 33" xfId="1875"/>
    <cellStyle name="입력 34" xfId="1876"/>
    <cellStyle name="입력 35" xfId="1877"/>
    <cellStyle name="입력 36" xfId="1878"/>
    <cellStyle name="입력 37" xfId="1879"/>
    <cellStyle name="입력 38" xfId="1880"/>
    <cellStyle name="입력 39" xfId="1881"/>
    <cellStyle name="입력 4" xfId="1882"/>
    <cellStyle name="입력 4 2" xfId="1883"/>
    <cellStyle name="입력 4 3" xfId="1884"/>
    <cellStyle name="입력 4 4" xfId="1885"/>
    <cellStyle name="입력 40" xfId="1886"/>
    <cellStyle name="입력 41" xfId="1887"/>
    <cellStyle name="입력 42" xfId="1888"/>
    <cellStyle name="입력 43" xfId="1889"/>
    <cellStyle name="입력 44" xfId="1890"/>
    <cellStyle name="입력 45" xfId="1891"/>
    <cellStyle name="입력 46" xfId="1892"/>
    <cellStyle name="입력 47" xfId="1893"/>
    <cellStyle name="입력 48" xfId="1894"/>
    <cellStyle name="입력 5" xfId="1895"/>
    <cellStyle name="입력 6" xfId="1896"/>
    <cellStyle name="입력 7" xfId="1897"/>
    <cellStyle name="입력 8" xfId="1898"/>
    <cellStyle name="입력 9" xfId="1899"/>
    <cellStyle name="제목 1 10" xfId="1900"/>
    <cellStyle name="제목 1 11" xfId="1901"/>
    <cellStyle name="제목 1 12" xfId="1902"/>
    <cellStyle name="제목 1 13" xfId="1903"/>
    <cellStyle name="제목 1 14" xfId="1904"/>
    <cellStyle name="제목 1 15" xfId="1905"/>
    <cellStyle name="제목 1 16" xfId="1906"/>
    <cellStyle name="제목 1 17" xfId="1907"/>
    <cellStyle name="제목 1 18" xfId="1908"/>
    <cellStyle name="제목 1 19" xfId="1909"/>
    <cellStyle name="제목 1 2" xfId="1910"/>
    <cellStyle name="제목 1 20" xfId="1911"/>
    <cellStyle name="제목 1 21" xfId="1912"/>
    <cellStyle name="제목 1 22" xfId="1913"/>
    <cellStyle name="제목 1 23" xfId="1914"/>
    <cellStyle name="제목 1 24" xfId="1915"/>
    <cellStyle name="제목 1 25" xfId="1916"/>
    <cellStyle name="제목 1 26" xfId="1917"/>
    <cellStyle name="제목 1 27" xfId="1918"/>
    <cellStyle name="제목 1 28" xfId="1919"/>
    <cellStyle name="제목 1 29" xfId="1920"/>
    <cellStyle name="제목 1 3" xfId="1921"/>
    <cellStyle name="제목 1 3 2" xfId="1922"/>
    <cellStyle name="제목 1 3 3" xfId="1923"/>
    <cellStyle name="제목 1 3 4" xfId="1924"/>
    <cellStyle name="제목 1 4" xfId="1925"/>
    <cellStyle name="제목 1 5" xfId="1926"/>
    <cellStyle name="제목 1 6" xfId="1927"/>
    <cellStyle name="제목 1 7" xfId="1928"/>
    <cellStyle name="제목 1 8" xfId="1929"/>
    <cellStyle name="제목 1 9" xfId="1930"/>
    <cellStyle name="제목 10" xfId="1931"/>
    <cellStyle name="제목 11" xfId="1932"/>
    <cellStyle name="제목 12" xfId="1933"/>
    <cellStyle name="제목 13" xfId="1934"/>
    <cellStyle name="제목 14" xfId="1935"/>
    <cellStyle name="제목 15" xfId="1936"/>
    <cellStyle name="제목 16" xfId="1937"/>
    <cellStyle name="제목 17" xfId="1938"/>
    <cellStyle name="제목 18" xfId="1939"/>
    <cellStyle name="제목 19" xfId="1940"/>
    <cellStyle name="제목 2 10" xfId="1941"/>
    <cellStyle name="제목 2 11" xfId="1942"/>
    <cellStyle name="제목 2 12" xfId="1943"/>
    <cellStyle name="제목 2 13" xfId="1944"/>
    <cellStyle name="제목 2 14" xfId="1945"/>
    <cellStyle name="제목 2 15" xfId="1946"/>
    <cellStyle name="제목 2 16" xfId="1947"/>
    <cellStyle name="제목 2 17" xfId="1948"/>
    <cellStyle name="제목 2 18" xfId="1949"/>
    <cellStyle name="제목 2 19" xfId="1950"/>
    <cellStyle name="제목 2 2" xfId="1951"/>
    <cellStyle name="제목 2 20" xfId="1952"/>
    <cellStyle name="제목 2 21" xfId="1953"/>
    <cellStyle name="제목 2 22" xfId="1954"/>
    <cellStyle name="제목 2 23" xfId="1955"/>
    <cellStyle name="제목 2 24" xfId="1956"/>
    <cellStyle name="제목 2 25" xfId="1957"/>
    <cellStyle name="제목 2 26" xfId="1958"/>
    <cellStyle name="제목 2 27" xfId="1959"/>
    <cellStyle name="제목 2 28" xfId="1960"/>
    <cellStyle name="제목 2 29" xfId="1961"/>
    <cellStyle name="제목 2 3" xfId="1962"/>
    <cellStyle name="제목 2 3 2" xfId="1963"/>
    <cellStyle name="제목 2 3 3" xfId="1964"/>
    <cellStyle name="제목 2 3 4" xfId="1965"/>
    <cellStyle name="제목 2 4" xfId="1966"/>
    <cellStyle name="제목 2 5" xfId="1967"/>
    <cellStyle name="제목 2 6" xfId="1968"/>
    <cellStyle name="제목 2 7" xfId="1969"/>
    <cellStyle name="제목 2 8" xfId="1970"/>
    <cellStyle name="제목 2 9" xfId="1971"/>
    <cellStyle name="제목 20" xfId="1972"/>
    <cellStyle name="제목 21" xfId="1973"/>
    <cellStyle name="제목 22" xfId="1974"/>
    <cellStyle name="제목 23" xfId="1975"/>
    <cellStyle name="제목 24" xfId="1976"/>
    <cellStyle name="제목 25" xfId="1977"/>
    <cellStyle name="제목 26" xfId="1978"/>
    <cellStyle name="제목 27" xfId="1979"/>
    <cellStyle name="제목 28" xfId="1980"/>
    <cellStyle name="제목 29" xfId="1981"/>
    <cellStyle name="제목 3 10" xfId="1982"/>
    <cellStyle name="제목 3 11" xfId="1983"/>
    <cellStyle name="제목 3 12" xfId="1984"/>
    <cellStyle name="제목 3 13" xfId="1985"/>
    <cellStyle name="제목 3 14" xfId="1986"/>
    <cellStyle name="제목 3 15" xfId="1987"/>
    <cellStyle name="제목 3 16" xfId="1988"/>
    <cellStyle name="제목 3 17" xfId="1989"/>
    <cellStyle name="제목 3 18" xfId="1990"/>
    <cellStyle name="제목 3 19" xfId="1991"/>
    <cellStyle name="제목 3 2" xfId="1992"/>
    <cellStyle name="제목 3 20" xfId="1993"/>
    <cellStyle name="제목 3 21" xfId="1994"/>
    <cellStyle name="제목 3 22" xfId="1995"/>
    <cellStyle name="제목 3 23" xfId="1996"/>
    <cellStyle name="제목 3 24" xfId="1997"/>
    <cellStyle name="제목 3 25" xfId="1998"/>
    <cellStyle name="제목 3 26" xfId="1999"/>
    <cellStyle name="제목 3 27" xfId="2000"/>
    <cellStyle name="제목 3 28" xfId="2001"/>
    <cellStyle name="제목 3 29" xfId="2002"/>
    <cellStyle name="제목 3 3" xfId="2003"/>
    <cellStyle name="제목 3 3 2" xfId="2004"/>
    <cellStyle name="제목 3 3 3" xfId="2005"/>
    <cellStyle name="제목 3 3 4" xfId="2006"/>
    <cellStyle name="제목 3 4" xfId="2007"/>
    <cellStyle name="제목 3 5" xfId="2008"/>
    <cellStyle name="제목 3 6" xfId="2009"/>
    <cellStyle name="제목 3 7" xfId="2010"/>
    <cellStyle name="제목 3 8" xfId="2011"/>
    <cellStyle name="제목 3 9" xfId="2012"/>
    <cellStyle name="제목 30" xfId="2013"/>
    <cellStyle name="제목 31" xfId="2014"/>
    <cellStyle name="제목 32" xfId="2015"/>
    <cellStyle name="제목 4 10" xfId="2016"/>
    <cellStyle name="제목 4 11" xfId="2017"/>
    <cellStyle name="제목 4 12" xfId="2018"/>
    <cellStyle name="제목 4 13" xfId="2019"/>
    <cellStyle name="제목 4 14" xfId="2020"/>
    <cellStyle name="제목 4 15" xfId="2021"/>
    <cellStyle name="제목 4 16" xfId="2022"/>
    <cellStyle name="제목 4 17" xfId="2023"/>
    <cellStyle name="제목 4 18" xfId="2024"/>
    <cellStyle name="제목 4 19" xfId="2025"/>
    <cellStyle name="제목 4 2" xfId="2026"/>
    <cellStyle name="제목 4 20" xfId="2027"/>
    <cellStyle name="제목 4 21" xfId="2028"/>
    <cellStyle name="제목 4 22" xfId="2029"/>
    <cellStyle name="제목 4 23" xfId="2030"/>
    <cellStyle name="제목 4 24" xfId="2031"/>
    <cellStyle name="제목 4 25" xfId="2032"/>
    <cellStyle name="제목 4 26" xfId="2033"/>
    <cellStyle name="제목 4 27" xfId="2034"/>
    <cellStyle name="제목 4 28" xfId="2035"/>
    <cellStyle name="제목 4 29" xfId="2036"/>
    <cellStyle name="제목 4 3" xfId="2037"/>
    <cellStyle name="제목 4 3 2" xfId="2038"/>
    <cellStyle name="제목 4 3 3" xfId="2039"/>
    <cellStyle name="제목 4 3 4" xfId="2040"/>
    <cellStyle name="제목 4 4" xfId="2041"/>
    <cellStyle name="제목 4 5" xfId="2042"/>
    <cellStyle name="제목 4 6" xfId="2043"/>
    <cellStyle name="제목 4 7" xfId="2044"/>
    <cellStyle name="제목 4 8" xfId="2045"/>
    <cellStyle name="제목 4 9" xfId="2046"/>
    <cellStyle name="제목 5" xfId="2047"/>
    <cellStyle name="제목 6" xfId="2048"/>
    <cellStyle name="제목 6 2" xfId="2049"/>
    <cellStyle name="제목 6 3" xfId="2050"/>
    <cellStyle name="제목 6 4" xfId="2051"/>
    <cellStyle name="제목 7" xfId="2052"/>
    <cellStyle name="제목 8" xfId="2053"/>
    <cellStyle name="제목 9" xfId="2054"/>
    <cellStyle name="좋음 10" xfId="2055"/>
    <cellStyle name="좋음 11" xfId="2056"/>
    <cellStyle name="좋음 12" xfId="2057"/>
    <cellStyle name="좋음 13" xfId="2058"/>
    <cellStyle name="좋음 14" xfId="2059"/>
    <cellStyle name="좋음 15" xfId="2060"/>
    <cellStyle name="좋음 16" xfId="2061"/>
    <cellStyle name="좋음 17" xfId="2062"/>
    <cellStyle name="좋음 18" xfId="2063"/>
    <cellStyle name="좋음 19" xfId="2064"/>
    <cellStyle name="좋음 2" xfId="2065"/>
    <cellStyle name="좋음 2 2" xfId="2066"/>
    <cellStyle name="좋음 2 3" xfId="2067"/>
    <cellStyle name="좋음 2 4" xfId="2068"/>
    <cellStyle name="좋음 20" xfId="2069"/>
    <cellStyle name="좋음 21" xfId="2070"/>
    <cellStyle name="좋음 22" xfId="2071"/>
    <cellStyle name="좋음 23" xfId="2072"/>
    <cellStyle name="좋음 24" xfId="2073"/>
    <cellStyle name="좋음 25" xfId="2074"/>
    <cellStyle name="좋음 26" xfId="2075"/>
    <cellStyle name="좋음 27" xfId="2076"/>
    <cellStyle name="좋음 28" xfId="2077"/>
    <cellStyle name="좋음 29" xfId="2078"/>
    <cellStyle name="좋음 3" xfId="2079"/>
    <cellStyle name="좋음 3 2" xfId="2080"/>
    <cellStyle name="좋음 3 3" xfId="2081"/>
    <cellStyle name="좋음 3 4" xfId="2082"/>
    <cellStyle name="좋음 30" xfId="2083"/>
    <cellStyle name="좋음 31" xfId="2084"/>
    <cellStyle name="좋음 32" xfId="2085"/>
    <cellStyle name="좋음 33" xfId="2086"/>
    <cellStyle name="좋음 34" xfId="2087"/>
    <cellStyle name="좋음 35" xfId="2088"/>
    <cellStyle name="좋음 36" xfId="2089"/>
    <cellStyle name="좋음 37" xfId="2090"/>
    <cellStyle name="좋음 38" xfId="2091"/>
    <cellStyle name="좋음 39" xfId="2092"/>
    <cellStyle name="좋음 4" xfId="2093"/>
    <cellStyle name="좋음 4 2" xfId="2094"/>
    <cellStyle name="좋음 4 3" xfId="2095"/>
    <cellStyle name="좋음 4 4" xfId="2096"/>
    <cellStyle name="좋음 40" xfId="2097"/>
    <cellStyle name="좋음 41" xfId="2098"/>
    <cellStyle name="좋음 42" xfId="2099"/>
    <cellStyle name="좋음 43" xfId="2100"/>
    <cellStyle name="좋음 44" xfId="2101"/>
    <cellStyle name="좋음 45" xfId="2102"/>
    <cellStyle name="좋음 46" xfId="2103"/>
    <cellStyle name="좋음 47" xfId="2104"/>
    <cellStyle name="좋음 48" xfId="2105"/>
    <cellStyle name="좋음 5" xfId="2106"/>
    <cellStyle name="좋음 6" xfId="2107"/>
    <cellStyle name="좋음 7" xfId="2108"/>
    <cellStyle name="좋음 8" xfId="2109"/>
    <cellStyle name="좋음 9" xfId="2110"/>
    <cellStyle name="출력 10" xfId="2111"/>
    <cellStyle name="출력 11" xfId="2112"/>
    <cellStyle name="출력 12" xfId="2113"/>
    <cellStyle name="출력 13" xfId="2114"/>
    <cellStyle name="출력 14" xfId="2115"/>
    <cellStyle name="출력 15" xfId="2116"/>
    <cellStyle name="출력 16" xfId="2117"/>
    <cellStyle name="출력 17" xfId="2118"/>
    <cellStyle name="출력 18" xfId="2119"/>
    <cellStyle name="출력 19" xfId="2120"/>
    <cellStyle name="출력 2" xfId="2121"/>
    <cellStyle name="출력 2 2" xfId="2122"/>
    <cellStyle name="출력 2 3" xfId="2123"/>
    <cellStyle name="출력 2 4" xfId="2124"/>
    <cellStyle name="출력 20" xfId="2125"/>
    <cellStyle name="출력 21" xfId="2126"/>
    <cellStyle name="출력 22" xfId="2127"/>
    <cellStyle name="출력 23" xfId="2128"/>
    <cellStyle name="출력 24" xfId="2129"/>
    <cellStyle name="출력 25" xfId="2130"/>
    <cellStyle name="출력 26" xfId="2131"/>
    <cellStyle name="출력 27" xfId="2132"/>
    <cellStyle name="출력 28" xfId="2133"/>
    <cellStyle name="출력 29" xfId="2134"/>
    <cellStyle name="출력 3" xfId="2135"/>
    <cellStyle name="출력 3 2" xfId="2136"/>
    <cellStyle name="출력 3 3" xfId="2137"/>
    <cellStyle name="출력 3 4" xfId="2138"/>
    <cellStyle name="출력 30" xfId="2139"/>
    <cellStyle name="출력 31" xfId="2140"/>
    <cellStyle name="출력 32" xfId="2141"/>
    <cellStyle name="출력 33" xfId="2142"/>
    <cellStyle name="출력 34" xfId="2143"/>
    <cellStyle name="출력 35" xfId="2144"/>
    <cellStyle name="출력 36" xfId="2145"/>
    <cellStyle name="출력 37" xfId="2146"/>
    <cellStyle name="출력 38" xfId="2147"/>
    <cellStyle name="출력 39" xfId="2148"/>
    <cellStyle name="출력 4" xfId="2149"/>
    <cellStyle name="출력 4 2" xfId="2150"/>
    <cellStyle name="출력 4 3" xfId="2151"/>
    <cellStyle name="출력 4 4" xfId="2152"/>
    <cellStyle name="출력 40" xfId="2153"/>
    <cellStyle name="출력 41" xfId="2154"/>
    <cellStyle name="출력 42" xfId="2155"/>
    <cellStyle name="출력 43" xfId="2156"/>
    <cellStyle name="출력 44" xfId="2157"/>
    <cellStyle name="출력 45" xfId="2158"/>
    <cellStyle name="출력 46" xfId="2159"/>
    <cellStyle name="출력 47" xfId="2160"/>
    <cellStyle name="출력 48" xfId="2161"/>
    <cellStyle name="출력 5" xfId="2162"/>
    <cellStyle name="출력 6" xfId="2163"/>
    <cellStyle name="출력 7" xfId="2164"/>
    <cellStyle name="출력 8" xfId="2165"/>
    <cellStyle name="출력 9" xfId="2166"/>
    <cellStyle name="콤마 [0]_98jeug" xfId="14"/>
    <cellStyle name="콤마_98jeug" xfId="15"/>
    <cellStyle name="표준" xfId="0" builtinId="0"/>
    <cellStyle name="표준 10" xfId="16"/>
    <cellStyle name="표준 10 2" xfId="2167"/>
    <cellStyle name="표준 11" xfId="2168"/>
    <cellStyle name="표준 12" xfId="2308"/>
    <cellStyle name="표준 12 2" xfId="2309"/>
    <cellStyle name="표준 13" xfId="31"/>
    <cellStyle name="표준 13 2" xfId="2315"/>
    <cellStyle name="표준 14" xfId="2317"/>
    <cellStyle name="표준 2" xfId="17"/>
    <cellStyle name="표준 2 10" xfId="2169"/>
    <cellStyle name="표준 2 11" xfId="2170"/>
    <cellStyle name="표준 2 12" xfId="2171"/>
    <cellStyle name="표준 2 13" xfId="2172"/>
    <cellStyle name="표준 2 14" xfId="2173"/>
    <cellStyle name="표준 2 15" xfId="2174"/>
    <cellStyle name="표준 2 16" xfId="2175"/>
    <cellStyle name="표준 2 17" xfId="2176"/>
    <cellStyle name="표준 2 18" xfId="2177"/>
    <cellStyle name="표준 2 19" xfId="2178"/>
    <cellStyle name="표준 2 2" xfId="18"/>
    <cellStyle name="표준 2 2 10" xfId="2179"/>
    <cellStyle name="표준 2 2 11" xfId="2180"/>
    <cellStyle name="표준 2 2 12" xfId="2181"/>
    <cellStyle name="표준 2 2 13" xfId="2182"/>
    <cellStyle name="표준 2 2 14" xfId="2183"/>
    <cellStyle name="표준 2 2 15" xfId="2184"/>
    <cellStyle name="표준 2 2 16" xfId="2185"/>
    <cellStyle name="표준 2 2 17" xfId="2186"/>
    <cellStyle name="표준 2 2 18" xfId="2187"/>
    <cellStyle name="표준 2 2 19" xfId="2188"/>
    <cellStyle name="표준 2 2 2" xfId="19"/>
    <cellStyle name="표준 2 2 2 2" xfId="2190"/>
    <cellStyle name="표준 2 2 2 3" xfId="2191"/>
    <cellStyle name="표준 2 2 2 4" xfId="2192"/>
    <cellStyle name="표준 2 2 2 5" xfId="2189"/>
    <cellStyle name="표준 2 2 20" xfId="2193"/>
    <cellStyle name="표준 2 2 21" xfId="2194"/>
    <cellStyle name="표준 2 2 22" xfId="2195"/>
    <cellStyle name="표준 2 2 23" xfId="2196"/>
    <cellStyle name="표준 2 2 24" xfId="2197"/>
    <cellStyle name="표준 2 2 25" xfId="2198"/>
    <cellStyle name="표준 2 2 26" xfId="2199"/>
    <cellStyle name="표준 2 2 27" xfId="2200"/>
    <cellStyle name="표준 2 2 28" xfId="2201"/>
    <cellStyle name="표준 2 2 29" xfId="2202"/>
    <cellStyle name="표준 2 2 3" xfId="20"/>
    <cellStyle name="표준 2 2 3 2" xfId="2204"/>
    <cellStyle name="표준 2 2 3 3" xfId="2205"/>
    <cellStyle name="표준 2 2 3 4" xfId="2206"/>
    <cellStyle name="표준 2 2 3 5" xfId="2203"/>
    <cellStyle name="표준 2 2 30" xfId="2207"/>
    <cellStyle name="표준 2 2 31" xfId="2208"/>
    <cellStyle name="표준 2 2 32" xfId="2209"/>
    <cellStyle name="표준 2 2 33" xfId="2210"/>
    <cellStyle name="표준 2 2 34" xfId="2211"/>
    <cellStyle name="표준 2 2 35" xfId="2212"/>
    <cellStyle name="표준 2 2 36" xfId="2213"/>
    <cellStyle name="표준 2 2 37" xfId="2214"/>
    <cellStyle name="표준 2 2 38" xfId="2215"/>
    <cellStyle name="표준 2 2 39" xfId="2216"/>
    <cellStyle name="표준 2 2 4" xfId="21"/>
    <cellStyle name="표준 2 2 4 2" xfId="2217"/>
    <cellStyle name="표준 2 2 40" xfId="2218"/>
    <cellStyle name="표준 2 2 41" xfId="2219"/>
    <cellStyle name="표준 2 2 42" xfId="2220"/>
    <cellStyle name="표준 2 2 43" xfId="2221"/>
    <cellStyle name="표준 2 2 44" xfId="2222"/>
    <cellStyle name="표준 2 2 45" xfId="2223"/>
    <cellStyle name="표준 2 2 46" xfId="2224"/>
    <cellStyle name="표준 2 2 47" xfId="2292"/>
    <cellStyle name="표준 2 2 48" xfId="2293"/>
    <cellStyle name="표준 2 2 49" xfId="2294"/>
    <cellStyle name="표준 2 2 5" xfId="22"/>
    <cellStyle name="표준 2 2 5 2" xfId="2225"/>
    <cellStyle name="표준 2 2 50" xfId="2295"/>
    <cellStyle name="표준 2 2 51" xfId="2296"/>
    <cellStyle name="표준 2 2 52" xfId="2297"/>
    <cellStyle name="표준 2 2 53" xfId="2298"/>
    <cellStyle name="표준 2 2 54" xfId="2299"/>
    <cellStyle name="표준 2 2 55" xfId="2300"/>
    <cellStyle name="표준 2 2 56" xfId="2301"/>
    <cellStyle name="표준 2 2 57" xfId="2302"/>
    <cellStyle name="표준 2 2 58" xfId="2303"/>
    <cellStyle name="표준 2 2 59" xfId="2304"/>
    <cellStyle name="표준 2 2 6" xfId="23"/>
    <cellStyle name="표준 2 2 6 2" xfId="2226"/>
    <cellStyle name="표준 2 2 7" xfId="2227"/>
    <cellStyle name="표준 2 2 8" xfId="2228"/>
    <cellStyle name="표준 2 2 9" xfId="2229"/>
    <cellStyle name="표준 2 20" xfId="2230"/>
    <cellStyle name="표준 2 21" xfId="2231"/>
    <cellStyle name="표준 2 22" xfId="2232"/>
    <cellStyle name="표준 2 23" xfId="2233"/>
    <cellStyle name="표준 2 24" xfId="2234"/>
    <cellStyle name="표준 2 25" xfId="2235"/>
    <cellStyle name="표준 2 26" xfId="2236"/>
    <cellStyle name="표준 2 27" xfId="2237"/>
    <cellStyle name="표준 2 28" xfId="2238"/>
    <cellStyle name="표준 2 29" xfId="2239"/>
    <cellStyle name="표준 2 3" xfId="24"/>
    <cellStyle name="표준 2 3 2" xfId="2240"/>
    <cellStyle name="표준 2 30" xfId="2241"/>
    <cellStyle name="표준 2 31" xfId="2242"/>
    <cellStyle name="표준 2 32" xfId="2243"/>
    <cellStyle name="표준 2 33" xfId="2244"/>
    <cellStyle name="표준 2 34" xfId="2245"/>
    <cellStyle name="표준 2 4" xfId="25"/>
    <cellStyle name="표준 2 4 2" xfId="2247"/>
    <cellStyle name="표준 2 4 3" xfId="2248"/>
    <cellStyle name="표준 2 4 4" xfId="2249"/>
    <cellStyle name="표준 2 4 5" xfId="2246"/>
    <cellStyle name="표준 2 5" xfId="26"/>
    <cellStyle name="표준 2 5 2" xfId="2250"/>
    <cellStyle name="표준 2 6" xfId="27"/>
    <cellStyle name="표준 2 6 2" xfId="2251"/>
    <cellStyle name="표준 2 7" xfId="2252"/>
    <cellStyle name="표준 2 8" xfId="2253"/>
    <cellStyle name="표준 2 9" xfId="2254"/>
    <cellStyle name="표준 2_광명시법원" xfId="2255"/>
    <cellStyle name="표준 3" xfId="28"/>
    <cellStyle name="표준 3 2" xfId="2257"/>
    <cellStyle name="표준 3 2 2" xfId="2258"/>
    <cellStyle name="표준 3 2 2 2" xfId="2259"/>
    <cellStyle name="표준 3 2 2 2 2" xfId="2260"/>
    <cellStyle name="표준 3 2 2 2 3" xfId="2261"/>
    <cellStyle name="표준 3 2 2 2 4" xfId="2262"/>
    <cellStyle name="표준 3 2 2 3" xfId="2263"/>
    <cellStyle name="표준 3 2 2 4" xfId="2264"/>
    <cellStyle name="표준 3 2 3" xfId="2265"/>
    <cellStyle name="표준 3 2 4" xfId="2266"/>
    <cellStyle name="표준 3 2 5" xfId="2267"/>
    <cellStyle name="표준 3 3" xfId="2268"/>
    <cellStyle name="표준 3 4" xfId="2269"/>
    <cellStyle name="표준 3 5" xfId="2270"/>
    <cellStyle name="표준 3 6" xfId="2271"/>
    <cellStyle name="표준 3 7" xfId="2256"/>
    <cellStyle name="표준 3_광명시법원" xfId="2272"/>
    <cellStyle name="표준 4" xfId="29"/>
    <cellStyle name="표준 4 2" xfId="2274"/>
    <cellStyle name="표준 4 3" xfId="2275"/>
    <cellStyle name="표준 4 3 2" xfId="2276"/>
    <cellStyle name="표준 4 3 3" xfId="2277"/>
    <cellStyle name="표준 4 3 4" xfId="2278"/>
    <cellStyle name="표준 4 4" xfId="2279"/>
    <cellStyle name="표준 4 4 2" xfId="2310"/>
    <cellStyle name="표준 4 5" xfId="2280"/>
    <cellStyle name="표준 4 6" xfId="2311"/>
    <cellStyle name="표준 4 6 2" xfId="2316"/>
    <cellStyle name="표준 4 7" xfId="2273"/>
    <cellStyle name="표준 4_광명시법원" xfId="2281"/>
    <cellStyle name="표준 5" xfId="2282"/>
    <cellStyle name="표준 5 2" xfId="2312"/>
    <cellStyle name="표준 6" xfId="2283"/>
    <cellStyle name="표준 6 2" xfId="2284"/>
    <cellStyle name="표준 6 3" xfId="2285"/>
    <cellStyle name="표준 6 4" xfId="2286"/>
    <cellStyle name="표준 7" xfId="30"/>
    <cellStyle name="표준 7 2" xfId="2287"/>
    <cellStyle name="표준 7 3" xfId="2288"/>
    <cellStyle name="표준 7 4" xfId="2289"/>
    <cellStyle name="표준 7 5" xfId="32"/>
    <cellStyle name="표준 8" xfId="2290"/>
    <cellStyle name="표준 8 2" xfId="2313"/>
    <cellStyle name="표준 9" xfId="2291"/>
    <cellStyle name="표준 9 2" xfId="2314"/>
  </cellStyles>
  <dxfs count="0"/>
  <tableStyles count="0" defaultTableStyle="TableStyleMedium9" defaultPivotStyle="PivotStyleLight16"/>
  <colors>
    <mruColors>
      <color rgb="FFFFFFFF"/>
      <color rgb="FFC0C0C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Lbls>
            <c:dLbl>
              <c:idx val="0"/>
              <c:layout>
                <c:manualLayout>
                  <c:x val="0.18333333333333493"/>
                  <c:y val="0.1111111111111111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약식</a:t>
                    </a:r>
                  </a:p>
                  <a:p>
                    <a:r>
                      <a:rPr lang="en-US" altLang="ko-KR"/>
                      <a:t>491,690</a:t>
                    </a:r>
                  </a:p>
                  <a:p>
                    <a:r>
                      <a:rPr lang="en-US" altLang="ko-KR"/>
                      <a:t>(33.2%)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6ED-44E0-9820-19997CF8A3E3}"/>
                </c:ext>
              </c:extLst>
            </c:dLbl>
            <c:dLbl>
              <c:idx val="1"/>
              <c:layout>
                <c:manualLayout>
                  <c:x val="-0.2166666666666667"/>
                  <c:y val="0.11809523809523829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영장</a:t>
                    </a:r>
                  </a:p>
                  <a:p>
                    <a:r>
                      <a:rPr lang="en-US" altLang="ko-KR"/>
                      <a:t>466,329</a:t>
                    </a:r>
                  </a:p>
                  <a:p>
                    <a:r>
                      <a:rPr lang="en-US" altLang="ko-KR"/>
                      <a:t>(31.5%)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6ED-44E0-9820-19997CF8A3E3}"/>
                </c:ext>
              </c:extLst>
            </c:dLbl>
            <c:dLbl>
              <c:idx val="2"/>
              <c:layout>
                <c:manualLayout>
                  <c:x val="-0.17500000000000004"/>
                  <c:y val="-3.8095238095238095E-3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공판</a:t>
                    </a:r>
                  </a:p>
                  <a:p>
                    <a:r>
                      <a:rPr lang="en-US" altLang="ko-KR"/>
                      <a:t>342,693</a:t>
                    </a:r>
                  </a:p>
                  <a:p>
                    <a:r>
                      <a:rPr lang="en-US" altLang="ko-KR"/>
                      <a:t>(23.1%)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6ED-44E0-9820-19997CF8A3E3}"/>
                </c:ext>
              </c:extLst>
            </c:dLbl>
            <c:dLbl>
              <c:idx val="3"/>
              <c:layout>
                <c:manualLayout>
                  <c:x val="-0.1861111111111125"/>
                  <c:y val="-9.2938352218167847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신청</a:t>
                    </a:r>
                  </a:p>
                  <a:p>
                    <a:r>
                      <a:rPr lang="en-US" altLang="ko-KR"/>
                      <a:t>112,359</a:t>
                    </a:r>
                  </a:p>
                  <a:p>
                    <a:r>
                      <a:rPr lang="en-US" altLang="ko-KR"/>
                      <a:t>(7.6%)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6ED-44E0-9820-19997CF8A3E3}"/>
                </c:ext>
              </c:extLst>
            </c:dLbl>
            <c:dLbl>
              <c:idx val="4"/>
              <c:layout>
                <c:manualLayout>
                  <c:x val="-0.14166666666666666"/>
                  <c:y val="-0.13333333333333341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즉결</a:t>
                    </a:r>
                  </a:p>
                  <a:p>
                    <a:r>
                      <a:rPr lang="en-US" altLang="ko-KR"/>
                      <a:t>67,864</a:t>
                    </a:r>
                  </a:p>
                  <a:p>
                    <a:r>
                      <a:rPr lang="en-US" altLang="ko-KR"/>
                      <a:t>(4.6%)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6ED-44E0-9820-19997CF8A3E3}"/>
                </c:ext>
              </c:extLst>
            </c:dLbl>
            <c:dLbl>
              <c:idx val="5"/>
              <c:layout>
                <c:manualLayout>
                  <c:x val="0.17222222222222244"/>
                  <c:y val="-0.1409523809523830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치료감호</a:t>
                    </a:r>
                  </a:p>
                  <a:p>
                    <a:r>
                      <a:rPr lang="en-US" altLang="ko-KR"/>
                      <a:t>457</a:t>
                    </a:r>
                  </a:p>
                  <a:p>
                    <a:r>
                      <a:rPr lang="en-US" altLang="ko-KR"/>
                      <a:t>(0.0%)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6ED-44E0-9820-19997CF8A3E3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'1'!$E$6:$E$11</c:f>
              <c:strCache>
                <c:ptCount val="6"/>
                <c:pt idx="0">
                  <c:v>약식</c:v>
                </c:pt>
                <c:pt idx="1">
                  <c:v>영장</c:v>
                </c:pt>
                <c:pt idx="2">
                  <c:v>공판</c:v>
                </c:pt>
                <c:pt idx="3">
                  <c:v>신청</c:v>
                </c:pt>
                <c:pt idx="4">
                  <c:v>즉결</c:v>
                </c:pt>
                <c:pt idx="5">
                  <c:v>치료감호</c:v>
                </c:pt>
              </c:strCache>
            </c:strRef>
          </c:cat>
          <c:val>
            <c:numRef>
              <c:f>'1'!$F$6:$F$11</c:f>
              <c:numCache>
                <c:formatCode>_(* #,##0_);_(* \(#,##0\);_(* "-"_);_(@_)</c:formatCode>
                <c:ptCount val="6"/>
                <c:pt idx="0">
                  <c:v>491690</c:v>
                </c:pt>
                <c:pt idx="1">
                  <c:v>466329</c:v>
                </c:pt>
                <c:pt idx="2">
                  <c:v>342693</c:v>
                </c:pt>
                <c:pt idx="3">
                  <c:v>112359</c:v>
                </c:pt>
                <c:pt idx="4">
                  <c:v>67864</c:v>
                </c:pt>
                <c:pt idx="5">
                  <c:v>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ED-44E0-9820-19997CF8A3E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'1'!$B$51</c:f>
              <c:strCache>
                <c:ptCount val="1"/>
                <c:pt idx="0">
                  <c:v>공판</c:v>
                </c:pt>
              </c:strCache>
            </c:strRef>
          </c:tx>
          <c:cat>
            <c:strRef>
              <c:f>'1'!$A$52:$A$61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'1'!$B$52:$B$61</c:f>
              <c:numCache>
                <c:formatCode>_(* #,##0_);_(* \(#,##0\);_(* "-"_);_(@_)</c:formatCode>
                <c:ptCount val="10"/>
                <c:pt idx="0">
                  <c:v>356587</c:v>
                </c:pt>
                <c:pt idx="1">
                  <c:v>368992</c:v>
                </c:pt>
                <c:pt idx="2">
                  <c:v>378617</c:v>
                </c:pt>
                <c:pt idx="3">
                  <c:v>358213</c:v>
                </c:pt>
                <c:pt idx="4">
                  <c:v>366772</c:v>
                </c:pt>
                <c:pt idx="5">
                  <c:v>363652</c:v>
                </c:pt>
                <c:pt idx="6">
                  <c:v>389155</c:v>
                </c:pt>
                <c:pt idx="7">
                  <c:v>371887</c:v>
                </c:pt>
                <c:pt idx="8">
                  <c:v>339753</c:v>
                </c:pt>
                <c:pt idx="9">
                  <c:v>343150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2A-4AF3-BE97-8345076AE42A}"/>
            </c:ext>
          </c:extLst>
        </c:ser>
        <c:ser>
          <c:idx val="1"/>
          <c:order val="1"/>
          <c:tx>
            <c:strRef>
              <c:f>'1'!$C$51</c:f>
              <c:strCache>
                <c:ptCount val="1"/>
                <c:pt idx="0">
                  <c:v>영장</c:v>
                </c:pt>
              </c:strCache>
            </c:strRef>
          </c:tx>
          <c:cat>
            <c:strRef>
              <c:f>'1'!$A$52:$A$61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'1'!$C$52:$C$61</c:f>
              <c:numCache>
                <c:formatCode>_(* #,##0_);_(* \(#,##0\);_(* "-"_);_(@_)</c:formatCode>
                <c:ptCount val="10"/>
                <c:pt idx="0">
                  <c:v>312886</c:v>
                </c:pt>
                <c:pt idx="1">
                  <c:v>310190</c:v>
                </c:pt>
                <c:pt idx="2">
                  <c:v>307806</c:v>
                </c:pt>
                <c:pt idx="3">
                  <c:v>372984</c:v>
                </c:pt>
                <c:pt idx="4">
                  <c:v>367114</c:v>
                </c:pt>
                <c:pt idx="5">
                  <c:v>380799</c:v>
                </c:pt>
                <c:pt idx="6">
                  <c:v>392456</c:v>
                </c:pt>
                <c:pt idx="7">
                  <c:v>396698</c:v>
                </c:pt>
                <c:pt idx="8">
                  <c:v>429985</c:v>
                </c:pt>
                <c:pt idx="9">
                  <c:v>466329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2A-4AF3-BE97-8345076AE42A}"/>
            </c:ext>
          </c:extLst>
        </c:ser>
        <c:ser>
          <c:idx val="2"/>
          <c:order val="2"/>
          <c:tx>
            <c:strRef>
              <c:f>'1'!$D$51</c:f>
              <c:strCache>
                <c:ptCount val="1"/>
                <c:pt idx="0">
                  <c:v>신청</c:v>
                </c:pt>
              </c:strCache>
            </c:strRef>
          </c:tx>
          <c:cat>
            <c:strRef>
              <c:f>'1'!$A$52:$A$61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'1'!$D$52:$D$61</c:f>
              <c:numCache>
                <c:formatCode>_(* #,##0_);_(* \(#,##0\);_(* "-"_);_(@_)</c:formatCode>
                <c:ptCount val="10"/>
                <c:pt idx="0">
                  <c:v>104122</c:v>
                </c:pt>
                <c:pt idx="1">
                  <c:v>119460</c:v>
                </c:pt>
                <c:pt idx="2">
                  <c:v>127841</c:v>
                </c:pt>
                <c:pt idx="3">
                  <c:v>126499</c:v>
                </c:pt>
                <c:pt idx="4">
                  <c:v>117374</c:v>
                </c:pt>
                <c:pt idx="5">
                  <c:v>111525</c:v>
                </c:pt>
                <c:pt idx="6">
                  <c:v>104541</c:v>
                </c:pt>
                <c:pt idx="7">
                  <c:v>101938</c:v>
                </c:pt>
                <c:pt idx="8">
                  <c:v>99770</c:v>
                </c:pt>
                <c:pt idx="9">
                  <c:v>112359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2A-4AF3-BE97-8345076AE42A}"/>
            </c:ext>
          </c:extLst>
        </c:ser>
        <c:ser>
          <c:idx val="3"/>
          <c:order val="3"/>
          <c:tx>
            <c:strRef>
              <c:f>'1'!$E$51</c:f>
              <c:strCache>
                <c:ptCount val="1"/>
                <c:pt idx="0">
                  <c:v>즉결</c:v>
                </c:pt>
              </c:strCache>
            </c:strRef>
          </c:tx>
          <c:cat>
            <c:strRef>
              <c:f>'1'!$A$52:$A$61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'1'!$E$52:$E$61</c:f>
              <c:numCache>
                <c:formatCode>_(* #,##0_);_(* \(#,##0\);_(* "-"_);_(@_)</c:formatCode>
                <c:ptCount val="10"/>
                <c:pt idx="0">
                  <c:v>61349</c:v>
                </c:pt>
                <c:pt idx="1">
                  <c:v>56334</c:v>
                </c:pt>
                <c:pt idx="2">
                  <c:v>53054</c:v>
                </c:pt>
                <c:pt idx="3">
                  <c:v>56099</c:v>
                </c:pt>
                <c:pt idx="4">
                  <c:v>46469</c:v>
                </c:pt>
                <c:pt idx="5">
                  <c:v>54239</c:v>
                </c:pt>
                <c:pt idx="6">
                  <c:v>74580</c:v>
                </c:pt>
                <c:pt idx="7">
                  <c:v>70319</c:v>
                </c:pt>
                <c:pt idx="8">
                  <c:v>65280</c:v>
                </c:pt>
                <c:pt idx="9">
                  <c:v>67864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12A-4AF3-BE97-8345076AE42A}"/>
            </c:ext>
          </c:extLst>
        </c:ser>
        <c:ser>
          <c:idx val="4"/>
          <c:order val="4"/>
          <c:tx>
            <c:strRef>
              <c:f>'1'!$F$51</c:f>
              <c:strCache>
                <c:ptCount val="1"/>
                <c:pt idx="0">
                  <c:v>약식</c:v>
                </c:pt>
              </c:strCache>
            </c:strRef>
          </c:tx>
          <c:cat>
            <c:strRef>
              <c:f>'1'!$A$52:$A$61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'1'!$F$52:$F$61</c:f>
              <c:numCache>
                <c:formatCode>_(* #,##0_);_(* \(#,##0\);_(* "-"_);_(@_)</c:formatCode>
                <c:ptCount val="10"/>
                <c:pt idx="0">
                  <c:v>868901</c:v>
                </c:pt>
                <c:pt idx="1">
                  <c:v>800357</c:v>
                </c:pt>
                <c:pt idx="2">
                  <c:v>751823</c:v>
                </c:pt>
                <c:pt idx="3">
                  <c:v>743166</c:v>
                </c:pt>
                <c:pt idx="4">
                  <c:v>684644</c:v>
                </c:pt>
                <c:pt idx="5">
                  <c:v>667471</c:v>
                </c:pt>
                <c:pt idx="6">
                  <c:v>684072</c:v>
                </c:pt>
                <c:pt idx="7">
                  <c:v>605755</c:v>
                </c:pt>
                <c:pt idx="8">
                  <c:v>520947</c:v>
                </c:pt>
                <c:pt idx="9">
                  <c:v>491690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12A-4AF3-BE97-8345076AE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1744"/>
        <c:axId val="91898624"/>
      </c:lineChart>
      <c:catAx>
        <c:axId val="8043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년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6.5749297395435724E-2"/>
              <c:y val="0.8197491039426523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91898624"/>
        <c:crosses val="autoZero"/>
        <c:auto val="1"/>
        <c:lblAlgn val="ctr"/>
        <c:lblOffset val="100"/>
        <c:noMultiLvlLbl val="0"/>
      </c:catAx>
      <c:valAx>
        <c:axId val="91898624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crossAx val="804317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'2'!$C$19</c:f>
              <c:strCache>
                <c:ptCount val="1"/>
                <c:pt idx="0">
                  <c:v>고등법원</c:v>
                </c:pt>
              </c:strCache>
            </c:strRef>
          </c:tx>
          <c:cat>
            <c:strRef>
              <c:f>'2'!$A$20:$A$29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'2'!$C$20:$C$29</c:f>
              <c:numCache>
                <c:formatCode>_(* #,##0_);_(* \(#,##0\);_(* "-"_);_(@_)</c:formatCode>
                <c:ptCount val="10"/>
                <c:pt idx="0">
                  <c:v>10038</c:v>
                </c:pt>
                <c:pt idx="1">
                  <c:v>10042</c:v>
                </c:pt>
                <c:pt idx="2">
                  <c:v>12128</c:v>
                </c:pt>
                <c:pt idx="3">
                  <c:v>10296</c:v>
                </c:pt>
                <c:pt idx="4">
                  <c:v>11227</c:v>
                </c:pt>
                <c:pt idx="5">
                  <c:v>10520</c:v>
                </c:pt>
                <c:pt idx="6">
                  <c:v>10917</c:v>
                </c:pt>
                <c:pt idx="7">
                  <c:v>10228</c:v>
                </c:pt>
                <c:pt idx="8">
                  <c:v>9729</c:v>
                </c:pt>
                <c:pt idx="9">
                  <c:v>9351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4-44FD-9FAE-39947951DB8A}"/>
            </c:ext>
          </c:extLst>
        </c:ser>
        <c:ser>
          <c:idx val="1"/>
          <c:order val="1"/>
          <c:tx>
            <c:strRef>
              <c:f>'2'!$D$19</c:f>
              <c:strCache>
                <c:ptCount val="1"/>
                <c:pt idx="0">
                  <c:v>지방법원</c:v>
                </c:pt>
              </c:strCache>
            </c:strRef>
          </c:tx>
          <c:cat>
            <c:strRef>
              <c:f>'2'!$A$20:$A$29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'2'!$D$20:$D$29</c:f>
              <c:numCache>
                <c:formatCode>_(* #,##0_);_(* \(#,##0\);_(* "-"_);_(@_)</c:formatCode>
                <c:ptCount val="10"/>
                <c:pt idx="0">
                  <c:v>60982</c:v>
                </c:pt>
                <c:pt idx="1">
                  <c:v>59014</c:v>
                </c:pt>
                <c:pt idx="2">
                  <c:v>54050</c:v>
                </c:pt>
                <c:pt idx="3">
                  <c:v>56729</c:v>
                </c:pt>
                <c:pt idx="4">
                  <c:v>65471</c:v>
                </c:pt>
                <c:pt idx="5">
                  <c:v>69169</c:v>
                </c:pt>
                <c:pt idx="6">
                  <c:v>76570</c:v>
                </c:pt>
                <c:pt idx="7">
                  <c:v>73376</c:v>
                </c:pt>
                <c:pt idx="8">
                  <c:v>65523</c:v>
                </c:pt>
                <c:pt idx="9">
                  <c:v>64484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4-44FD-9FAE-39947951D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98464"/>
        <c:axId val="92008832"/>
      </c:lineChart>
      <c:catAx>
        <c:axId val="9199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949777777777776"/>
              <c:y val="0.7914642361111116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0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08832"/>
        <c:scaling>
          <c:orientation val="minMax"/>
          <c:max val="8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6.8791666666666723E-2"/>
              <c:y val="0.72813888888889378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19984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'2'!$A$20:$A$29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'2'!$E$20:$E$29</c:f>
              <c:numCache>
                <c:formatCode>_(* #,##0_);_(* \(#,##0\);_(* "-"_);_(@_)</c:formatCode>
                <c:ptCount val="10"/>
                <c:pt idx="0">
                  <c:v>21566</c:v>
                </c:pt>
                <c:pt idx="1">
                  <c:v>21504</c:v>
                </c:pt>
                <c:pt idx="2">
                  <c:v>19173</c:v>
                </c:pt>
                <c:pt idx="3">
                  <c:v>20062</c:v>
                </c:pt>
                <c:pt idx="4">
                  <c:v>20773</c:v>
                </c:pt>
                <c:pt idx="5">
                  <c:v>24043</c:v>
                </c:pt>
                <c:pt idx="6">
                  <c:v>25088</c:v>
                </c:pt>
                <c:pt idx="7">
                  <c:v>25308</c:v>
                </c:pt>
                <c:pt idx="8">
                  <c:v>23975</c:v>
                </c:pt>
                <c:pt idx="9">
                  <c:v>21795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0-4FA4-9EF1-67E7DF160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37504"/>
        <c:axId val="92039424"/>
      </c:lineChart>
      <c:catAx>
        <c:axId val="9203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223930555555556"/>
              <c:y val="0.782644791666666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39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394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9972222222222524E-2"/>
              <c:y val="0.72372916666666665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0375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'2'!$A$20:$A$29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'2'!$B$20:$B$29</c:f>
              <c:numCache>
                <c:formatCode>_(* #,##0_);_(* \(#,##0\);_(* "-"_);_(@_)</c:formatCode>
                <c:ptCount val="10"/>
                <c:pt idx="0">
                  <c:v>263425</c:v>
                </c:pt>
                <c:pt idx="1">
                  <c:v>277744</c:v>
                </c:pt>
                <c:pt idx="2">
                  <c:v>292707</c:v>
                </c:pt>
                <c:pt idx="3">
                  <c:v>270469</c:v>
                </c:pt>
                <c:pt idx="4">
                  <c:v>268823</c:v>
                </c:pt>
                <c:pt idx="5">
                  <c:v>259424</c:v>
                </c:pt>
                <c:pt idx="6">
                  <c:v>276074</c:v>
                </c:pt>
                <c:pt idx="7">
                  <c:v>262612</c:v>
                </c:pt>
                <c:pt idx="8">
                  <c:v>240244</c:v>
                </c:pt>
                <c:pt idx="9">
                  <c:v>247063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B-49A6-9516-D4B606589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88576"/>
        <c:axId val="92090752"/>
      </c:lineChart>
      <c:catAx>
        <c:axId val="9208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141916666666655"/>
              <c:y val="0.804693402777782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90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90752"/>
        <c:scaling>
          <c:orientation val="minMax"/>
          <c:min val="10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5861111111111123E-2"/>
              <c:y val="0.80310416666666651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088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2946286643747134E-2"/>
          <c:w val="0.97341151842424534"/>
          <c:h val="0.8078873239436615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'6'!$A$38</c:f>
              <c:strCache>
                <c:ptCount val="1"/>
                <c:pt idx="0">
                  <c:v>파기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9.2024539877300623E-2"/>
                  <c:y val="-9.211153483863288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268</a:t>
                    </a:r>
                  </a:p>
                  <a:p>
                    <a:r>
                      <a:rPr lang="en-US" altLang="ko-KR"/>
                      <a:t>(3.7%)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80-4CC5-9014-BD174E80AB6F}"/>
                </c:ext>
              </c:extLst>
            </c:dLbl>
            <c:dLbl>
              <c:idx val="1"/>
              <c:layout>
                <c:manualLayout>
                  <c:x val="0.11042944785276081"/>
                  <c:y val="6.998783688624377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4,313 </a:t>
                    </a:r>
                  </a:p>
                  <a:p>
                    <a:r>
                      <a:rPr lang="en-US" altLang="ko-KR"/>
                      <a:t>(47.9%)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80-4CC5-9014-BD174E80AB6F}"/>
                </c:ext>
              </c:extLst>
            </c:dLbl>
            <c:dLbl>
              <c:idx val="2"/>
              <c:layout>
                <c:manualLayout>
                  <c:x val="0.10429447852760827"/>
                  <c:y val="1.1993013068488503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en-US" altLang="ko-KR"/>
                      <a:t>19,835 </a:t>
                    </a:r>
                  </a:p>
                  <a:p>
                    <a:r>
                      <a:rPr lang="en-US" altLang="ko-KR"/>
                      <a:t>(36.1%)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80-4CC5-9014-BD174E80AB6F}"/>
                </c:ext>
              </c:extLst>
            </c:dLbl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'6'!$B$37:$D$37</c:f>
              <c:strCache>
                <c:ptCount val="3"/>
                <c:pt idx="0">
                  <c:v>상고심</c:v>
                </c:pt>
                <c:pt idx="1">
                  <c:v>고등법원</c:v>
                </c:pt>
                <c:pt idx="2">
                  <c:v>지방법원</c:v>
                </c:pt>
              </c:strCache>
            </c:strRef>
          </c:cat>
          <c:val>
            <c:numRef>
              <c:f>'6'!$B$38:$D$38</c:f>
              <c:numCache>
                <c:formatCode>_(* #,##0_);_(* \(#,##0\);_(* "-"_);_(@_)</c:formatCode>
                <c:ptCount val="3"/>
                <c:pt idx="0">
                  <c:v>268</c:v>
                </c:pt>
                <c:pt idx="1">
                  <c:v>4313</c:v>
                </c:pt>
                <c:pt idx="2">
                  <c:v>19835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80-4CC5-9014-BD174E80AB6F}"/>
            </c:ext>
          </c:extLst>
        </c:ser>
        <c:ser>
          <c:idx val="1"/>
          <c:order val="1"/>
          <c:tx>
            <c:strRef>
              <c:f>'6'!$A$39</c:f>
              <c:strCache>
                <c:ptCount val="1"/>
                <c:pt idx="0">
                  <c:v>기각</c:v>
                </c:pt>
              </c:strCache>
            </c:strRef>
          </c:tx>
          <c:spPr>
            <a:gradFill>
              <a:gsLst>
                <a:gs pos="0">
                  <a:srgbClr val="4F81BD">
                    <a:tint val="66000"/>
                    <a:satMod val="160000"/>
                  </a:srgbClr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</c:spPr>
          <c:invertIfNegative val="0"/>
          <c:dLbls>
            <c:dLbl>
              <c:idx val="0"/>
              <c:layout>
                <c:manualLayout>
                  <c:x val="0.10224948875255624"/>
                  <c:y val="-7.8977932636469225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7,025</a:t>
                    </a:r>
                  </a:p>
                  <a:p>
                    <a:r>
                      <a:rPr lang="en-US" altLang="ko-KR"/>
                      <a:t>(96.3%) 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80-4CC5-9014-BD174E80AB6F}"/>
                </c:ext>
              </c:extLst>
            </c:dLbl>
            <c:dLbl>
              <c:idx val="1"/>
              <c:layout>
                <c:manualLayout>
                  <c:x val="0.10838445807770969"/>
                  <c:y val="2.1292824097037511E-17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4,699 </a:t>
                    </a:r>
                  </a:p>
                  <a:p>
                    <a:r>
                      <a:rPr lang="en-US" altLang="ko-KR"/>
                      <a:t>(52.1%)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80-4CC5-9014-BD174E80AB6F}"/>
                </c:ext>
              </c:extLst>
            </c:dLbl>
            <c:dLbl>
              <c:idx val="2"/>
              <c:layout>
                <c:manualLayout>
                  <c:x val="0.10224948875255624"/>
                  <c:y val="-2.787456445993041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35,105 </a:t>
                    </a:r>
                  </a:p>
                  <a:p>
                    <a:r>
                      <a:rPr lang="en-US" altLang="ko-KR"/>
                      <a:t>(63.9%)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80-4CC5-9014-BD174E80AB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'6'!$B$37:$D$37</c:f>
              <c:strCache>
                <c:ptCount val="3"/>
                <c:pt idx="0">
                  <c:v>상고심</c:v>
                </c:pt>
                <c:pt idx="1">
                  <c:v>고등법원</c:v>
                </c:pt>
                <c:pt idx="2">
                  <c:v>지방법원</c:v>
                </c:pt>
              </c:strCache>
            </c:strRef>
          </c:cat>
          <c:val>
            <c:numRef>
              <c:f>'6'!$B$39:$D$39</c:f>
              <c:numCache>
                <c:formatCode>_(* #,##0_);_(* \(#,##0\);_(* "-"_);_(@_)</c:formatCode>
                <c:ptCount val="3"/>
                <c:pt idx="0">
                  <c:v>7025</c:v>
                </c:pt>
                <c:pt idx="1">
                  <c:v>4699</c:v>
                </c:pt>
                <c:pt idx="2">
                  <c:v>35105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80-4CC5-9014-BD174E80AB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4"/>
        <c:overlap val="100"/>
        <c:axId val="92641152"/>
        <c:axId val="92642688"/>
      </c:barChart>
      <c:catAx>
        <c:axId val="9264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2642688"/>
        <c:crosses val="autoZero"/>
        <c:auto val="1"/>
        <c:lblAlgn val="ctr"/>
        <c:lblOffset val="100"/>
        <c:noMultiLvlLbl val="0"/>
      </c:catAx>
      <c:valAx>
        <c:axId val="92642688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one"/>
        <c:crossAx val="926411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'7'!$A$35:$A$39</c:f>
              <c:strCache>
                <c:ptCount val="5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</c:strCache>
            </c:strRef>
          </c:cat>
          <c:val>
            <c:numRef>
              <c:f>'7'!$B$35:$B$39</c:f>
              <c:numCache>
                <c:formatCode>_(* #,##0_);_(* \(#,##0\);_(* "-"_);_(@_)</c:formatCode>
                <c:ptCount val="5"/>
                <c:pt idx="0">
                  <c:v>11343</c:v>
                </c:pt>
                <c:pt idx="1">
                  <c:v>11601</c:v>
                </c:pt>
                <c:pt idx="2">
                  <c:v>9438</c:v>
                </c:pt>
                <c:pt idx="3">
                  <c:v>6646</c:v>
                </c:pt>
                <c:pt idx="4">
                  <c:v>8229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1B-44ED-90AD-05FE6364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2775936"/>
        <c:axId val="92777856"/>
      </c:barChart>
      <c:catAx>
        <c:axId val="9277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1184697410777245"/>
              <c:y val="0.7663647776839686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2777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777856"/>
        <c:scaling>
          <c:orientation val="minMax"/>
          <c:max val="2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6389267849022921E-2"/>
              <c:y val="0.7264130789457125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775936"/>
        <c:crosses val="autoZero"/>
        <c:crossBetween val="between"/>
        <c:majorUnit val="5000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'8'!$B$21</c:f>
              <c:strCache>
                <c:ptCount val="1"/>
                <c:pt idx="0">
                  <c:v>합의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'8'!$B$22:$B$31</c:f>
              <c:numCache>
                <c:formatCode>_-* #,##0.0_-;\-* #,##0.0_-;_-* "-"_-;_-@_-</c:formatCode>
                <c:ptCount val="10"/>
                <c:pt idx="0">
                  <c:v>62.8</c:v>
                </c:pt>
                <c:pt idx="1">
                  <c:v>66.099999999999994</c:v>
                </c:pt>
                <c:pt idx="2">
                  <c:v>51.1</c:v>
                </c:pt>
                <c:pt idx="3">
                  <c:v>62.3</c:v>
                </c:pt>
                <c:pt idx="4">
                  <c:v>66.8</c:v>
                </c:pt>
                <c:pt idx="5">
                  <c:v>68.099999999999994</c:v>
                </c:pt>
                <c:pt idx="6">
                  <c:v>67</c:v>
                </c:pt>
                <c:pt idx="7">
                  <c:v>65.099999999999994</c:v>
                </c:pt>
                <c:pt idx="8">
                  <c:v>65.496817049543324</c:v>
                </c:pt>
                <c:pt idx="9">
                  <c:v>65.734552702544264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8-4C41-82D1-C62B21F51422}"/>
            </c:ext>
          </c:extLst>
        </c:ser>
        <c:ser>
          <c:idx val="1"/>
          <c:order val="1"/>
          <c:tx>
            <c:strRef>
              <c:f>'8'!$C$21</c:f>
              <c:strCache>
                <c:ptCount val="1"/>
                <c:pt idx="0">
                  <c:v>단독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'8'!$C$22:$C$31</c:f>
              <c:numCache>
                <c:formatCode>_-* #,##0.0_-;\-* #,##0.0_-;_-* "-"_-;_-@_-</c:formatCode>
                <c:ptCount val="10"/>
                <c:pt idx="0">
                  <c:v>31.1</c:v>
                </c:pt>
                <c:pt idx="1">
                  <c:v>29.6</c:v>
                </c:pt>
                <c:pt idx="2">
                  <c:v>27</c:v>
                </c:pt>
                <c:pt idx="3">
                  <c:v>31.6</c:v>
                </c:pt>
                <c:pt idx="4">
                  <c:v>36</c:v>
                </c:pt>
                <c:pt idx="5">
                  <c:v>38.700000000000003</c:v>
                </c:pt>
                <c:pt idx="6">
                  <c:v>40.9</c:v>
                </c:pt>
                <c:pt idx="7">
                  <c:v>39.200000000000003</c:v>
                </c:pt>
                <c:pt idx="8">
                  <c:v>39.807876946223367</c:v>
                </c:pt>
                <c:pt idx="9">
                  <c:v>40.781923237297221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8-4C41-82D1-C62B21F51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13280"/>
        <c:axId val="93335936"/>
      </c:lineChart>
      <c:catAx>
        <c:axId val="9331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148440740740741"/>
              <c:y val="0.8569784330182929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3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335936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1740740740740754E-2"/>
              <c:y val="0.86853118271721486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13280"/>
        <c:crosses val="autoZero"/>
        <c:crossBetween val="between"/>
        <c:majorUnit val="5"/>
        <c:minorUnit val="2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'8'!$D$21</c:f>
              <c:strCache>
                <c:ptCount val="1"/>
                <c:pt idx="0">
                  <c:v>고등법원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'8'!$D$22:$D$31</c:f>
              <c:numCache>
                <c:formatCode>_-* #,##0.0_-;\-* #,##0.0_-;_-* "-"_-;_-@_-</c:formatCode>
                <c:ptCount val="10"/>
                <c:pt idx="0">
                  <c:v>38.799999999999997</c:v>
                </c:pt>
                <c:pt idx="1">
                  <c:v>41.6</c:v>
                </c:pt>
                <c:pt idx="2">
                  <c:v>39.4</c:v>
                </c:pt>
                <c:pt idx="3">
                  <c:v>43.2</c:v>
                </c:pt>
                <c:pt idx="4">
                  <c:v>38</c:v>
                </c:pt>
                <c:pt idx="5">
                  <c:v>41.8</c:v>
                </c:pt>
                <c:pt idx="6">
                  <c:v>40.799999999999997</c:v>
                </c:pt>
                <c:pt idx="7">
                  <c:v>41.2</c:v>
                </c:pt>
                <c:pt idx="8">
                  <c:v>41.344331735592462</c:v>
                </c:pt>
                <c:pt idx="9">
                  <c:v>40.667998224589432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C-4D5C-BA98-408E77D2257E}"/>
            </c:ext>
          </c:extLst>
        </c:ser>
        <c:ser>
          <c:idx val="1"/>
          <c:order val="1"/>
          <c:tx>
            <c:strRef>
              <c:f>'8'!$E$21</c:f>
              <c:strCache>
                <c:ptCount val="1"/>
                <c:pt idx="0">
                  <c:v>지방법원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'8'!$E$22:$E$31</c:f>
              <c:numCache>
                <c:formatCode>_-* #,##0.0_-;\-* #,##0.0_-;_-* "-"_-;_-@_-</c:formatCode>
                <c:ptCount val="10"/>
                <c:pt idx="0">
                  <c:v>32.6</c:v>
                </c:pt>
                <c:pt idx="1">
                  <c:v>33.9</c:v>
                </c:pt>
                <c:pt idx="2">
                  <c:v>32.5</c:v>
                </c:pt>
                <c:pt idx="3">
                  <c:v>33.200000000000003</c:v>
                </c:pt>
                <c:pt idx="4">
                  <c:v>33.5</c:v>
                </c:pt>
                <c:pt idx="5">
                  <c:v>33.200000000000003</c:v>
                </c:pt>
                <c:pt idx="6">
                  <c:v>32.700000000000003</c:v>
                </c:pt>
                <c:pt idx="7">
                  <c:v>31.2</c:v>
                </c:pt>
                <c:pt idx="8">
                  <c:v>33.482883860047004</c:v>
                </c:pt>
                <c:pt idx="9">
                  <c:v>33.603931561703675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C-4D5C-BA98-408E77D22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79200"/>
        <c:axId val="93389568"/>
      </c:lineChart>
      <c:catAx>
        <c:axId val="9337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543666666666669"/>
              <c:y val="0.8662474911506039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8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389568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7037037037037911E-2"/>
              <c:y val="0.8654414966731272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3792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4.0000000000000022E-2" l="0.49000000000000032" r="0.16" t="0.56999999999999995" header="0.5" footer="0.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'10'!$A$21</c:f>
              <c:strCache>
                <c:ptCount val="1"/>
                <c:pt idx="0">
                  <c:v>2015년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'10'!$B$21:$C$21</c:f>
              <c:numCache>
                <c:formatCode>_-* #,##0.0_-;\-* #,##0.0_-;_-* "-"_-;_-@_-</c:formatCode>
                <c:ptCount val="2"/>
                <c:pt idx="0">
                  <c:v>115.5</c:v>
                </c:pt>
                <c:pt idx="1">
                  <c:v>148.69999999999999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9-47AB-BDBC-7D1D291E5FE6}"/>
            </c:ext>
          </c:extLst>
        </c:ser>
        <c:ser>
          <c:idx val="2"/>
          <c:order val="1"/>
          <c:tx>
            <c:strRef>
              <c:f>'10'!$A$22</c:f>
              <c:strCache>
                <c:ptCount val="1"/>
                <c:pt idx="0">
                  <c:v>2016년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'10'!$B$22:$C$22</c:f>
              <c:numCache>
                <c:formatCode>_-* #,##0.0_-;\-* #,##0.0_-;_-* "-"_-;_-@_-</c:formatCode>
                <c:ptCount val="2"/>
                <c:pt idx="0">
                  <c:v>119.4</c:v>
                </c:pt>
                <c:pt idx="1">
                  <c:v>153.30000000000001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59-47AB-BDBC-7D1D291E5FE6}"/>
            </c:ext>
          </c:extLst>
        </c:ser>
        <c:ser>
          <c:idx val="3"/>
          <c:order val="2"/>
          <c:tx>
            <c:strRef>
              <c:f>'10'!$A$23</c:f>
              <c:strCache>
                <c:ptCount val="1"/>
                <c:pt idx="0">
                  <c:v>2017년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'10'!$B$23:$C$23</c:f>
              <c:numCache>
                <c:formatCode>_-* #,##0.0_-;\-* #,##0.0_-;_-* "-"_-;_-@_-</c:formatCode>
                <c:ptCount val="2"/>
                <c:pt idx="0">
                  <c:v>125</c:v>
                </c:pt>
                <c:pt idx="1">
                  <c:v>150.80000000000001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59-47AB-BDBC-7D1D291E5FE6}"/>
            </c:ext>
          </c:extLst>
        </c:ser>
        <c:ser>
          <c:idx val="4"/>
          <c:order val="3"/>
          <c:tx>
            <c:strRef>
              <c:f>'10'!$A$24</c:f>
              <c:strCache>
                <c:ptCount val="1"/>
                <c:pt idx="0">
                  <c:v>2018년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'10'!$B$24:$C$24</c:f>
              <c:numCache>
                <c:formatCode>_-* #,##0.0_-;\-* #,##0.0_-;_-* "-"_-;_-@_-</c:formatCode>
                <c:ptCount val="2"/>
                <c:pt idx="0">
                  <c:v>133.78843861915803</c:v>
                </c:pt>
                <c:pt idx="1">
                  <c:v>158.7311349850836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59-47AB-BDBC-7D1D291E5FE6}"/>
            </c:ext>
          </c:extLst>
        </c:ser>
        <c:ser>
          <c:idx val="0"/>
          <c:order val="4"/>
          <c:tx>
            <c:strRef>
              <c:f>'10'!$A$25</c:f>
              <c:strCache>
                <c:ptCount val="1"/>
                <c:pt idx="0">
                  <c:v>2019년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'10'!$B$25:$C$25</c:f>
              <c:numCache>
                <c:formatCode>_-* #,##0.0_-;\-* #,##0.0_-;_-* "-"_-;_-@_-</c:formatCode>
                <c:ptCount val="2"/>
                <c:pt idx="0">
                  <c:v>142.20768006546848</c:v>
                </c:pt>
                <c:pt idx="1">
                  <c:v>158.7311349850836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59-47AB-BDBC-7D1D291E5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3591808"/>
        <c:axId val="93597696"/>
      </c:barChart>
      <c:catAx>
        <c:axId val="935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3597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5976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289351851851852"/>
              <c:y val="0.8128771367521368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59180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'10'!$A$21</c:f>
              <c:strCache>
                <c:ptCount val="1"/>
                <c:pt idx="0">
                  <c:v>2015년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'10'!$D$21:$F$21</c:f>
              <c:numCache>
                <c:formatCode>_-* #,##0.0_-;\-* #,##0.0_-;_-* "-"_-;_-@_-</c:formatCode>
                <c:ptCount val="3"/>
                <c:pt idx="0">
                  <c:v>85</c:v>
                </c:pt>
                <c:pt idx="1">
                  <c:v>137.1</c:v>
                </c:pt>
                <c:pt idx="2">
                  <c:v>135.19999999999999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E-4C53-B0E5-22910D32AFE2}"/>
            </c:ext>
          </c:extLst>
        </c:ser>
        <c:ser>
          <c:idx val="2"/>
          <c:order val="1"/>
          <c:tx>
            <c:strRef>
              <c:f>'10'!$A$22</c:f>
              <c:strCache>
                <c:ptCount val="1"/>
                <c:pt idx="0">
                  <c:v>2016년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'10'!$D$22:$F$22</c:f>
              <c:numCache>
                <c:formatCode>_-* #,##0.0_-;\-* #,##0.0_-;_-* "-"_-;_-@_-</c:formatCode>
                <c:ptCount val="3"/>
                <c:pt idx="0">
                  <c:v>87.2</c:v>
                </c:pt>
                <c:pt idx="1">
                  <c:v>143.69999999999999</c:v>
                </c:pt>
                <c:pt idx="2">
                  <c:v>124.4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6E-4C53-B0E5-22910D32AFE2}"/>
            </c:ext>
          </c:extLst>
        </c:ser>
        <c:ser>
          <c:idx val="3"/>
          <c:order val="2"/>
          <c:tx>
            <c:strRef>
              <c:f>'10'!$A$23</c:f>
              <c:strCache>
                <c:ptCount val="1"/>
                <c:pt idx="0">
                  <c:v>2017년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'10'!$D$23:$F$23</c:f>
              <c:numCache>
                <c:formatCode>_-* #,##0.0_-;\-* #,##0.0_-;_-* "-"_-;_-@_-</c:formatCode>
                <c:ptCount val="3"/>
                <c:pt idx="0">
                  <c:v>79.5</c:v>
                </c:pt>
                <c:pt idx="1">
                  <c:v>141.19999999999999</c:v>
                </c:pt>
                <c:pt idx="2">
                  <c:v>125.2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6E-4C53-B0E5-22910D32AFE2}"/>
            </c:ext>
          </c:extLst>
        </c:ser>
        <c:ser>
          <c:idx val="4"/>
          <c:order val="3"/>
          <c:tx>
            <c:strRef>
              <c:f>'10'!$A$24</c:f>
              <c:strCache>
                <c:ptCount val="1"/>
                <c:pt idx="0">
                  <c:v>2018년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'10'!$D$24:$F$24</c:f>
              <c:numCache>
                <c:formatCode>_-* #,##0.0_-;\-* #,##0.0_-;_-* "-"_-;_-@_-</c:formatCode>
                <c:ptCount val="3"/>
                <c:pt idx="0">
                  <c:v>79.967114552650756</c:v>
                </c:pt>
                <c:pt idx="1">
                  <c:v>140.78939835779886</c:v>
                </c:pt>
                <c:pt idx="2">
                  <c:v>139.86896441543496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86E-4C53-B0E5-22910D32AFE2}"/>
            </c:ext>
          </c:extLst>
        </c:ser>
        <c:ser>
          <c:idx val="0"/>
          <c:order val="4"/>
          <c:tx>
            <c:strRef>
              <c:f>'10'!$A$25</c:f>
              <c:strCache>
                <c:ptCount val="1"/>
                <c:pt idx="0">
                  <c:v>2019년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'10'!$D$25:$F$25</c:f>
              <c:numCache>
                <c:formatCode>_-* #,##0.0_-;\-* #,##0.0_-;_-* "-"_-;_-@_-</c:formatCode>
                <c:ptCount val="3"/>
                <c:pt idx="0">
                  <c:v>83.093555593408198</c:v>
                </c:pt>
                <c:pt idx="1">
                  <c:v>154.93348247240061</c:v>
                </c:pt>
                <c:pt idx="2">
                  <c:v>147.83964050431106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86E-4C53-B0E5-22910D32A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3683072"/>
        <c:axId val="93709440"/>
      </c:barChart>
      <c:catAx>
        <c:axId val="9368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3709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7094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583333333333333"/>
              <c:y val="0.8128771367521368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6830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'17'!$A$27:$A$31</c:f>
              <c:strCache>
                <c:ptCount val="5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</c:strCache>
            </c:strRef>
          </c:cat>
          <c:val>
            <c:numRef>
              <c:f>'17'!$B$27:$B$31</c:f>
              <c:numCache>
                <c:formatCode>_-* #,##0.0_-;\-* #,##0.0_-;_-* "-"_-;_-@_-</c:formatCode>
                <c:ptCount val="5"/>
                <c:pt idx="0">
                  <c:v>81.900000000000006</c:v>
                </c:pt>
                <c:pt idx="1">
                  <c:v>81.8</c:v>
                </c:pt>
                <c:pt idx="2">
                  <c:v>80.900000000000006</c:v>
                </c:pt>
                <c:pt idx="3">
                  <c:v>81.3</c:v>
                </c:pt>
                <c:pt idx="4">
                  <c:v>81.103690211158323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B-4DC7-B3D5-25D04B4D1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73216"/>
        <c:axId val="94075136"/>
      </c:lineChart>
      <c:catAx>
        <c:axId val="9407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760583387418719"/>
              <c:y val="0.8272511415525114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407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075136"/>
        <c:scaling>
          <c:orientation val="minMax"/>
          <c:max val="100"/>
          <c:min val="55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6.0134784862623851E-2"/>
              <c:y val="0.82247639592995259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073216"/>
        <c:crosses val="autoZero"/>
        <c:crossBetween val="between"/>
        <c:majorUnit val="5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'18'!$A$9:$A$18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'18'!$B$9:$B$18</c:f>
              <c:numCache>
                <c:formatCode>_(* #,##0_);_(* \(#,##0\);_(* "-"_);_(@_)</c:formatCode>
                <c:ptCount val="10"/>
                <c:pt idx="0">
                  <c:v>78573</c:v>
                </c:pt>
                <c:pt idx="1">
                  <c:v>94091</c:v>
                </c:pt>
                <c:pt idx="2">
                  <c:v>101010</c:v>
                </c:pt>
                <c:pt idx="3">
                  <c:v>93441</c:v>
                </c:pt>
                <c:pt idx="4">
                  <c:v>79822</c:v>
                </c:pt>
                <c:pt idx="5">
                  <c:v>73743</c:v>
                </c:pt>
                <c:pt idx="6">
                  <c:v>71293</c:v>
                </c:pt>
                <c:pt idx="7">
                  <c:v>64886</c:v>
                </c:pt>
                <c:pt idx="8">
                  <c:v>59197</c:v>
                </c:pt>
                <c:pt idx="9">
                  <c:v>62362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0-4B5F-A596-B99B13125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4166016"/>
        <c:axId val="94180480"/>
      </c:barChart>
      <c:catAx>
        <c:axId val="9416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7.4956271491704834E-2"/>
              <c:y val="0.85167549766735728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418048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94180480"/>
        <c:scaling>
          <c:orientation val="minMax"/>
          <c:min val="44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천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5193036767839941E-2"/>
              <c:y val="0.84597552651763064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166016"/>
        <c:crosses val="autoZero"/>
        <c:crossBetween val="between"/>
        <c:majorUnit val="8000"/>
        <c:dispUnits>
          <c:builtInUnit val="thousands"/>
        </c:dispUnits>
      </c:valAx>
    </c:plotArea>
    <c:plotVisOnly val="1"/>
    <c:dispBlanksAs val="zero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'19'!$B$42</c:f>
              <c:strCache>
                <c:ptCount val="1"/>
                <c:pt idx="0">
                  <c:v>변호인</c:v>
                </c:pt>
              </c:strCache>
            </c:strRef>
          </c:tx>
          <c:invertIfNegative val="0"/>
          <c:cat>
            <c:strRef>
              <c:f>'19'!$A$43:$A$47</c:f>
              <c:strCache>
                <c:ptCount val="5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</c:strCache>
            </c:strRef>
          </c:cat>
          <c:val>
            <c:numRef>
              <c:f>'19'!$B$43:$B$47</c:f>
              <c:numCache>
                <c:formatCode>_-* #,##0.0_-;\-* #,##0.0_-;_-* "-"_-;_-@_-</c:formatCode>
                <c:ptCount val="5"/>
                <c:pt idx="0">
                  <c:v>23.666978484565014</c:v>
                </c:pt>
                <c:pt idx="1">
                  <c:v>20.930232558139537</c:v>
                </c:pt>
                <c:pt idx="2">
                  <c:v>19.331742243436754</c:v>
                </c:pt>
                <c:pt idx="3">
                  <c:v>16.929133858267718</c:v>
                </c:pt>
                <c:pt idx="4">
                  <c:v>15.539112050739959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7-4B30-B2C5-5A377FD25290}"/>
            </c:ext>
          </c:extLst>
        </c:ser>
        <c:ser>
          <c:idx val="1"/>
          <c:order val="1"/>
          <c:tx>
            <c:strRef>
              <c:f>'19'!$C$42</c:f>
              <c:strCache>
                <c:ptCount val="1"/>
                <c:pt idx="0">
                  <c:v>비변호인</c:v>
                </c:pt>
              </c:strCache>
            </c:strRef>
          </c:tx>
          <c:invertIfNegative val="0"/>
          <c:cat>
            <c:strRef>
              <c:f>'19'!$A$43:$A$47</c:f>
              <c:strCache>
                <c:ptCount val="5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</c:strCache>
            </c:strRef>
          </c:cat>
          <c:val>
            <c:numRef>
              <c:f>'19'!$C$43:$C$47</c:f>
              <c:numCache>
                <c:formatCode>_-* #,##0.0_-;\-* #,##0.0_-;_-* "-"_-;_-@_-</c:formatCode>
                <c:ptCount val="5"/>
                <c:pt idx="0">
                  <c:v>9.6660808435852363</c:v>
                </c:pt>
                <c:pt idx="1">
                  <c:v>10.425844346549193</c:v>
                </c:pt>
                <c:pt idx="2">
                  <c:v>8.4269662921348321</c:v>
                </c:pt>
                <c:pt idx="3">
                  <c:v>7.8682525160109789</c:v>
                </c:pt>
                <c:pt idx="4">
                  <c:v>5.4029304029304033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7-4B30-B2C5-5A377FD2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4261632"/>
        <c:axId val="94263552"/>
      </c:barChart>
      <c:catAx>
        <c:axId val="9426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1437049456270528E-2"/>
              <c:y val="0.84542362204724408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4263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263552"/>
        <c:scaling>
          <c:orientation val="minMax"/>
          <c:max val="4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3937473595268284E-2"/>
              <c:y val="0.84793805774278264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261632"/>
        <c:crosses val="autoZero"/>
        <c:crossBetween val="between"/>
        <c:majorUnit val="5"/>
      </c:valAx>
    </c:plotArea>
    <c:legend>
      <c:legendPos val="t"/>
      <c:layout>
        <c:manualLayout>
          <c:xMode val="edge"/>
          <c:yMode val="edge"/>
          <c:x val="0.86809230595224485"/>
          <c:y val="0.22333333333333341"/>
          <c:w val="9.1867775083247727E-2"/>
          <c:h val="0.1269430446194243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'20'!$A$20:$A$29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'20'!$B$20:$B$29</c:f>
              <c:numCache>
                <c:formatCode>_(* #,##0_);_(* \(#,##0\);_(* "-"_);_(@_)</c:formatCode>
                <c:ptCount val="10"/>
                <c:pt idx="0">
                  <c:v>4018</c:v>
                </c:pt>
                <c:pt idx="1">
                  <c:v>4303</c:v>
                </c:pt>
                <c:pt idx="2">
                  <c:v>4725</c:v>
                </c:pt>
                <c:pt idx="3">
                  <c:v>5479</c:v>
                </c:pt>
                <c:pt idx="4">
                  <c:v>7291</c:v>
                </c:pt>
                <c:pt idx="5">
                  <c:v>8283</c:v>
                </c:pt>
                <c:pt idx="6">
                  <c:v>7118</c:v>
                </c:pt>
                <c:pt idx="7">
                  <c:v>7555</c:v>
                </c:pt>
                <c:pt idx="8">
                  <c:v>8111</c:v>
                </c:pt>
                <c:pt idx="9">
                  <c:v>8995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59-4AC9-B5BE-DF717A5F28E4}"/>
            </c:ext>
          </c:extLst>
        </c:ser>
        <c:ser>
          <c:idx val="1"/>
          <c:order val="1"/>
          <c:cat>
            <c:strRef>
              <c:f>'20'!$A$20:$A$29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'20'!$C$20:$C$29</c:f>
              <c:numCache>
                <c:formatCode>_(* #,##0_);_(* \(#,##0\);_(* "-"_);_(@_)</c:formatCode>
                <c:ptCount val="10"/>
                <c:pt idx="0">
                  <c:v>2370</c:v>
                </c:pt>
                <c:pt idx="1">
                  <c:v>2539</c:v>
                </c:pt>
                <c:pt idx="2">
                  <c:v>2641</c:v>
                </c:pt>
                <c:pt idx="3">
                  <c:v>3794</c:v>
                </c:pt>
                <c:pt idx="4">
                  <c:v>4676</c:v>
                </c:pt>
                <c:pt idx="5">
                  <c:v>3967</c:v>
                </c:pt>
                <c:pt idx="6">
                  <c:v>3414</c:v>
                </c:pt>
                <c:pt idx="7">
                  <c:v>3105</c:v>
                </c:pt>
                <c:pt idx="8">
                  <c:v>2796</c:v>
                </c:pt>
                <c:pt idx="9">
                  <c:v>2648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59-4AC9-B5BE-DF717A5F2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41312"/>
        <c:axId val="94543232"/>
      </c:lineChart>
      <c:catAx>
        <c:axId val="9454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8.9480883188570504E-2"/>
              <c:y val="0.83453083109920001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94543232"/>
        <c:crosses val="autoZero"/>
        <c:auto val="1"/>
        <c:lblAlgn val="ctr"/>
        <c:lblOffset val="100"/>
        <c:noMultiLvlLbl val="0"/>
      </c:catAx>
      <c:valAx>
        <c:axId val="945432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9828178694158065E-2"/>
              <c:y val="0.81413917094143351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crossAx val="945413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3</xdr:col>
      <xdr:colOff>9525</xdr:colOff>
      <xdr:row>20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1657350"/>
          <a:ext cx="198120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8</xdr:col>
      <xdr:colOff>762000</xdr:colOff>
      <xdr:row>16</xdr:row>
      <xdr:rowOff>190500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81</xdr:row>
      <xdr:rowOff>47625</xdr:rowOff>
    </xdr:from>
    <xdr:to>
      <xdr:col>1</xdr:col>
      <xdr:colOff>9525</xdr:colOff>
      <xdr:row>83</xdr:row>
      <xdr:rowOff>0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28575" y="2771775"/>
          <a:ext cx="9048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69</xdr:row>
      <xdr:rowOff>9525</xdr:rowOff>
    </xdr:from>
    <xdr:to>
      <xdr:col>1</xdr:col>
      <xdr:colOff>0</xdr:colOff>
      <xdr:row>71</xdr:row>
      <xdr:rowOff>0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9525" y="1386840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48</xdr:row>
      <xdr:rowOff>0</xdr:rowOff>
    </xdr:from>
    <xdr:to>
      <xdr:col>8</xdr:col>
      <xdr:colOff>923924</xdr:colOff>
      <xdr:row>67</xdr:row>
      <xdr:rowOff>0</xdr:rowOff>
    </xdr:to>
    <xdr:graphicFrame macro="">
      <xdr:nvGraphicFramePr>
        <xdr:cNvPr id="12" name="차트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428625</xdr:colOff>
      <xdr:row>54</xdr:row>
      <xdr:rowOff>114300</xdr:rowOff>
    </xdr:from>
    <xdr:ext cx="441146" cy="314060"/>
    <xdr:sp macro="" textlink="">
      <xdr:nvSpPr>
        <xdr:cNvPr id="13" name="TextBox 12"/>
        <xdr:cNvSpPr txBox="1"/>
      </xdr:nvSpPr>
      <xdr:spPr>
        <a:xfrm>
          <a:off x="8048625" y="1145857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5"/>
              </a:solidFill>
            </a:rPr>
            <a:t>약식</a:t>
          </a:r>
        </a:p>
      </xdr:txBody>
    </xdr:sp>
    <xdr:clientData/>
  </xdr:oneCellAnchor>
  <xdr:oneCellAnchor>
    <xdr:from>
      <xdr:col>8</xdr:col>
      <xdr:colOff>419100</xdr:colOff>
      <xdr:row>56</xdr:row>
      <xdr:rowOff>28575</xdr:rowOff>
    </xdr:from>
    <xdr:ext cx="441146" cy="314060"/>
    <xdr:sp macro="" textlink="">
      <xdr:nvSpPr>
        <xdr:cNvPr id="14" name="TextBox 13"/>
        <xdr:cNvSpPr txBox="1"/>
      </xdr:nvSpPr>
      <xdr:spPr>
        <a:xfrm>
          <a:off x="8039100" y="1179195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영장</a:t>
          </a:r>
        </a:p>
      </xdr:txBody>
    </xdr:sp>
    <xdr:clientData/>
  </xdr:oneCellAnchor>
  <xdr:oneCellAnchor>
    <xdr:from>
      <xdr:col>8</xdr:col>
      <xdr:colOff>400050</xdr:colOff>
      <xdr:row>60</xdr:row>
      <xdr:rowOff>161925</xdr:rowOff>
    </xdr:from>
    <xdr:ext cx="441146" cy="314060"/>
    <xdr:sp macro="" textlink="">
      <xdr:nvSpPr>
        <xdr:cNvPr id="15" name="TextBox 14"/>
        <xdr:cNvSpPr txBox="1"/>
      </xdr:nvSpPr>
      <xdr:spPr>
        <a:xfrm>
          <a:off x="8020050" y="1276350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3"/>
              </a:solidFill>
            </a:rPr>
            <a:t>신청</a:t>
          </a:r>
        </a:p>
      </xdr:txBody>
    </xdr:sp>
    <xdr:clientData/>
  </xdr:oneCellAnchor>
  <xdr:oneCellAnchor>
    <xdr:from>
      <xdr:col>8</xdr:col>
      <xdr:colOff>428625</xdr:colOff>
      <xdr:row>58</xdr:row>
      <xdr:rowOff>0</xdr:rowOff>
    </xdr:from>
    <xdr:ext cx="441146" cy="314060"/>
    <xdr:sp macro="" textlink="">
      <xdr:nvSpPr>
        <xdr:cNvPr id="16" name="TextBox 15"/>
        <xdr:cNvSpPr txBox="1"/>
      </xdr:nvSpPr>
      <xdr:spPr>
        <a:xfrm>
          <a:off x="8048625" y="1218247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공판</a:t>
          </a:r>
        </a:p>
      </xdr:txBody>
    </xdr:sp>
    <xdr:clientData/>
  </xdr:oneCellAnchor>
  <xdr:oneCellAnchor>
    <xdr:from>
      <xdr:col>8</xdr:col>
      <xdr:colOff>457200</xdr:colOff>
      <xdr:row>62</xdr:row>
      <xdr:rowOff>95250</xdr:rowOff>
    </xdr:from>
    <xdr:ext cx="441146" cy="314060"/>
    <xdr:sp macro="" textlink="">
      <xdr:nvSpPr>
        <xdr:cNvPr id="17" name="TextBox 16"/>
        <xdr:cNvSpPr txBox="1"/>
      </xdr:nvSpPr>
      <xdr:spPr>
        <a:xfrm>
          <a:off x="8077200" y="1311592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4"/>
              </a:solidFill>
            </a:rPr>
            <a:t>즉결</a:t>
          </a:r>
        </a:p>
      </xdr:txBody>
    </xdr:sp>
    <xdr:clientData/>
  </xdr:oneCellAnchor>
  <xdr:oneCellAnchor>
    <xdr:from>
      <xdr:col>6</xdr:col>
      <xdr:colOff>0</xdr:colOff>
      <xdr:row>7</xdr:row>
      <xdr:rowOff>171450</xdr:rowOff>
    </xdr:from>
    <xdr:ext cx="705962" cy="627095"/>
    <xdr:sp macro="" textlink="">
      <xdr:nvSpPr>
        <xdr:cNvPr id="18" name="TextBox 17"/>
        <xdr:cNvSpPr txBox="1"/>
      </xdr:nvSpPr>
      <xdr:spPr>
        <a:xfrm>
          <a:off x="5715000" y="1666875"/>
          <a:ext cx="705962" cy="62709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합계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en-US" altLang="ko-KR" sz="1000" b="1">
              <a:solidFill>
                <a:srgbClr val="FF0000"/>
              </a:solidFill>
            </a:rPr>
            <a:t>1,455,735</a:t>
          </a:r>
        </a:p>
        <a:p>
          <a:pPr algn="ctr"/>
          <a:r>
            <a:rPr lang="en-US" altLang="ko-KR" sz="1000" b="1">
              <a:solidFill>
                <a:srgbClr val="FF0000"/>
              </a:solidFill>
            </a:rPr>
            <a:t>(100.0%)</a:t>
          </a:r>
          <a:endParaRPr lang="ko-KR" altLang="en-US" sz="10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0</xdr:colOff>
      <xdr:row>18</xdr:row>
      <xdr:rowOff>0</xdr:rowOff>
    </xdr:from>
    <xdr:to>
      <xdr:col>3</xdr:col>
      <xdr:colOff>9525</xdr:colOff>
      <xdr:row>20</xdr:row>
      <xdr:rowOff>0</xdr:rowOff>
    </xdr:to>
    <xdr:sp macro="" textlink="">
      <xdr:nvSpPr>
        <xdr:cNvPr id="19" name="Line 2"/>
        <xdr:cNvSpPr>
          <a:spLocks noChangeShapeType="1"/>
        </xdr:cNvSpPr>
      </xdr:nvSpPr>
      <xdr:spPr bwMode="auto">
        <a:xfrm>
          <a:off x="0" y="3800475"/>
          <a:ext cx="28670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81</xdr:row>
      <xdr:rowOff>47625</xdr:rowOff>
    </xdr:from>
    <xdr:to>
      <xdr:col>1</xdr:col>
      <xdr:colOff>9525</xdr:colOff>
      <xdr:row>83</xdr:row>
      <xdr:rowOff>0</xdr:rowOff>
    </xdr:to>
    <xdr:sp macro="" textlink="">
      <xdr:nvSpPr>
        <xdr:cNvPr id="21" name="Line 1"/>
        <xdr:cNvSpPr>
          <a:spLocks noChangeShapeType="1"/>
        </xdr:cNvSpPr>
      </xdr:nvSpPr>
      <xdr:spPr bwMode="auto">
        <a:xfrm>
          <a:off x="28575" y="17049750"/>
          <a:ext cx="9334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69</xdr:row>
      <xdr:rowOff>9525</xdr:rowOff>
    </xdr:from>
    <xdr:to>
      <xdr:col>1</xdr:col>
      <xdr:colOff>0</xdr:colOff>
      <xdr:row>71</xdr:row>
      <xdr:rowOff>0</xdr:rowOff>
    </xdr:to>
    <xdr:sp macro="" textlink="">
      <xdr:nvSpPr>
        <xdr:cNvPr id="22" name="Line 2"/>
        <xdr:cNvSpPr>
          <a:spLocks noChangeShapeType="1"/>
        </xdr:cNvSpPr>
      </xdr:nvSpPr>
      <xdr:spPr bwMode="auto">
        <a:xfrm>
          <a:off x="9525" y="144970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6</xdr:col>
      <xdr:colOff>0</xdr:colOff>
      <xdr:row>7</xdr:row>
      <xdr:rowOff>171450</xdr:rowOff>
    </xdr:from>
    <xdr:ext cx="705962" cy="627095"/>
    <xdr:sp macro="" textlink="">
      <xdr:nvSpPr>
        <xdr:cNvPr id="29" name="TextBox 28"/>
        <xdr:cNvSpPr txBox="1"/>
      </xdr:nvSpPr>
      <xdr:spPr>
        <a:xfrm>
          <a:off x="5715000" y="1666875"/>
          <a:ext cx="705962" cy="62709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1,481,392</a:t>
          </a:r>
        </a:p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7</xdr:col>
      <xdr:colOff>781050</xdr:colOff>
      <xdr:row>44</xdr:row>
      <xdr:rowOff>155850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7</xdr:col>
      <xdr:colOff>781050</xdr:colOff>
      <xdr:row>60</xdr:row>
      <xdr:rowOff>155850</xdr:rowOff>
    </xdr:to>
    <xdr:graphicFrame macro="">
      <xdr:nvGraphicFramePr>
        <xdr:cNvPr id="1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781050</xdr:colOff>
      <xdr:row>28</xdr:row>
      <xdr:rowOff>155850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1</xdr:col>
      <xdr:colOff>9525</xdr:colOff>
      <xdr:row>65</xdr:row>
      <xdr:rowOff>9525</xdr:rowOff>
    </xdr:to>
    <xdr:sp macro="" textlink="">
      <xdr:nvSpPr>
        <xdr:cNvPr id="18" name="Line 2"/>
        <xdr:cNvSpPr>
          <a:spLocks noChangeShapeType="1"/>
        </xdr:cNvSpPr>
      </xdr:nvSpPr>
      <xdr:spPr bwMode="auto">
        <a:xfrm>
          <a:off x="0" y="1866900"/>
          <a:ext cx="19621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6</xdr:col>
      <xdr:colOff>466725</xdr:colOff>
      <xdr:row>34</xdr:row>
      <xdr:rowOff>200025</xdr:rowOff>
    </xdr:from>
    <xdr:ext cx="1162241" cy="314060"/>
    <xdr:sp macro="" textlink="">
      <xdr:nvSpPr>
        <xdr:cNvPr id="19" name="TextBox 18"/>
        <xdr:cNvSpPr txBox="1"/>
      </xdr:nvSpPr>
      <xdr:spPr>
        <a:xfrm>
          <a:off x="5934075" y="6905625"/>
          <a:ext cx="116224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항소심</a:t>
          </a:r>
          <a:r>
            <a:rPr lang="en-US" altLang="ko-KR" sz="1000" b="1">
              <a:solidFill>
                <a:schemeClr val="accent2"/>
              </a:solidFill>
            </a:rPr>
            <a:t>(</a:t>
          </a:r>
          <a:r>
            <a:rPr lang="ko-KR" altLang="en-US" sz="1000" b="1">
              <a:solidFill>
                <a:schemeClr val="accent2"/>
              </a:solidFill>
            </a:rPr>
            <a:t>지방법원</a:t>
          </a:r>
          <a:r>
            <a:rPr lang="en-US" altLang="ko-KR" sz="1000" b="1">
              <a:solidFill>
                <a:schemeClr val="accent2"/>
              </a:solidFill>
            </a:rPr>
            <a:t>)</a:t>
          </a:r>
          <a:endParaRPr lang="ko-KR" altLang="en-US" sz="1000" b="1">
            <a:solidFill>
              <a:schemeClr val="accent2"/>
            </a:solidFill>
          </a:endParaRPr>
        </a:p>
      </xdr:txBody>
    </xdr:sp>
    <xdr:clientData/>
  </xdr:oneCellAnchor>
  <xdr:oneCellAnchor>
    <xdr:from>
      <xdr:col>6</xdr:col>
      <xdr:colOff>542925</xdr:colOff>
      <xdr:row>37</xdr:row>
      <xdr:rowOff>152400</xdr:rowOff>
    </xdr:from>
    <xdr:ext cx="1162241" cy="314060"/>
    <xdr:sp macro="" textlink="">
      <xdr:nvSpPr>
        <xdr:cNvPr id="20" name="TextBox 19"/>
        <xdr:cNvSpPr txBox="1"/>
      </xdr:nvSpPr>
      <xdr:spPr>
        <a:xfrm>
          <a:off x="6010275" y="7486650"/>
          <a:ext cx="116224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항소심</a:t>
          </a:r>
          <a:r>
            <a:rPr lang="en-US" altLang="ko-KR" sz="1000" b="1">
              <a:solidFill>
                <a:schemeClr val="accent1"/>
              </a:solidFill>
            </a:rPr>
            <a:t>(</a:t>
          </a:r>
          <a:r>
            <a:rPr lang="ko-KR" altLang="en-US" sz="1000" b="1">
              <a:solidFill>
                <a:schemeClr val="accent1"/>
              </a:solidFill>
            </a:rPr>
            <a:t>고등법원</a:t>
          </a:r>
          <a:r>
            <a:rPr lang="en-US" altLang="ko-KR" sz="1000" b="1">
              <a:solidFill>
                <a:schemeClr val="accent1"/>
              </a:solidFill>
            </a:rPr>
            <a:t>)</a:t>
          </a:r>
          <a:endParaRPr lang="ko-KR" altLang="en-US" sz="1000" b="1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9525</xdr:rowOff>
    </xdr:from>
    <xdr:to>
      <xdr:col>1</xdr:col>
      <xdr:colOff>9525</xdr:colOff>
      <xdr:row>11</xdr:row>
      <xdr:rowOff>0</xdr:rowOff>
    </xdr:to>
    <xdr:sp macro="" textlink="">
      <xdr:nvSpPr>
        <xdr:cNvPr id="7900748" name="Line 1"/>
        <xdr:cNvSpPr>
          <a:spLocks noChangeShapeType="1"/>
        </xdr:cNvSpPr>
      </xdr:nvSpPr>
      <xdr:spPr bwMode="auto">
        <a:xfrm>
          <a:off x="19050" y="657225"/>
          <a:ext cx="22669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23</xdr:row>
      <xdr:rowOff>28575</xdr:rowOff>
    </xdr:from>
    <xdr:to>
      <xdr:col>1</xdr:col>
      <xdr:colOff>0</xdr:colOff>
      <xdr:row>25</xdr:row>
      <xdr:rowOff>9525</xdr:rowOff>
    </xdr:to>
    <xdr:sp macro="" textlink="">
      <xdr:nvSpPr>
        <xdr:cNvPr id="7900749" name="Line 2"/>
        <xdr:cNvSpPr>
          <a:spLocks noChangeShapeType="1"/>
        </xdr:cNvSpPr>
      </xdr:nvSpPr>
      <xdr:spPr bwMode="auto">
        <a:xfrm>
          <a:off x="28575" y="5086350"/>
          <a:ext cx="2247900" cy="3905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28575</xdr:rowOff>
    </xdr:from>
    <xdr:to>
      <xdr:col>1</xdr:col>
      <xdr:colOff>0</xdr:colOff>
      <xdr:row>3</xdr:row>
      <xdr:rowOff>0</xdr:rowOff>
    </xdr:to>
    <xdr:sp macro="" textlink="">
      <xdr:nvSpPr>
        <xdr:cNvPr id="7901771" name="Line 1"/>
        <xdr:cNvSpPr>
          <a:spLocks noChangeShapeType="1"/>
        </xdr:cNvSpPr>
      </xdr:nvSpPr>
      <xdr:spPr bwMode="auto">
        <a:xfrm>
          <a:off x="28575" y="342900"/>
          <a:ext cx="1552575" cy="3524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28575</xdr:rowOff>
    </xdr:from>
    <xdr:to>
      <xdr:col>1</xdr:col>
      <xdr:colOff>0</xdr:colOff>
      <xdr:row>31</xdr:row>
      <xdr:rowOff>9525</xdr:rowOff>
    </xdr:to>
    <xdr:sp macro="" textlink="">
      <xdr:nvSpPr>
        <xdr:cNvPr id="7901772" name="Line 2"/>
        <xdr:cNvSpPr>
          <a:spLocks noChangeShapeType="1"/>
        </xdr:cNvSpPr>
      </xdr:nvSpPr>
      <xdr:spPr bwMode="auto">
        <a:xfrm>
          <a:off x="0" y="6315075"/>
          <a:ext cx="1238250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47</xdr:row>
      <xdr:rowOff>0</xdr:rowOff>
    </xdr:from>
    <xdr:to>
      <xdr:col>1</xdr:col>
      <xdr:colOff>9524</xdr:colOff>
      <xdr:row>49</xdr:row>
      <xdr:rowOff>9525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10058400"/>
          <a:ext cx="1590674" cy="5619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26</xdr:row>
      <xdr:rowOff>19050</xdr:rowOff>
    </xdr:from>
    <xdr:to>
      <xdr:col>5</xdr:col>
      <xdr:colOff>0</xdr:colOff>
      <xdr:row>28</xdr:row>
      <xdr:rowOff>0</xdr:rowOff>
    </xdr:to>
    <xdr:sp macro="" textlink="">
      <xdr:nvSpPr>
        <xdr:cNvPr id="11025303" name="Line 1"/>
        <xdr:cNvSpPr>
          <a:spLocks noChangeShapeType="1"/>
        </xdr:cNvSpPr>
      </xdr:nvSpPr>
      <xdr:spPr bwMode="auto">
        <a:xfrm>
          <a:off x="19050" y="5562600"/>
          <a:ext cx="2857500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4</xdr:col>
      <xdr:colOff>0</xdr:colOff>
      <xdr:row>7</xdr:row>
      <xdr:rowOff>0</xdr:rowOff>
    </xdr:to>
    <xdr:sp macro="" textlink="">
      <xdr:nvSpPr>
        <xdr:cNvPr id="11025305" name="Line 3"/>
        <xdr:cNvSpPr>
          <a:spLocks noChangeShapeType="1"/>
        </xdr:cNvSpPr>
      </xdr:nvSpPr>
      <xdr:spPr bwMode="auto">
        <a:xfrm>
          <a:off x="9525" y="1152525"/>
          <a:ext cx="18192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1</xdr:col>
      <xdr:colOff>285750</xdr:colOff>
      <xdr:row>9</xdr:row>
      <xdr:rowOff>95250</xdr:rowOff>
    </xdr:from>
    <xdr:to>
      <xdr:col>1</xdr:col>
      <xdr:colOff>447675</xdr:colOff>
      <xdr:row>14</xdr:row>
      <xdr:rowOff>133350</xdr:rowOff>
    </xdr:to>
    <xdr:sp macro="" textlink="">
      <xdr:nvSpPr>
        <xdr:cNvPr id="13" name="AutoShape 4"/>
        <xdr:cNvSpPr>
          <a:spLocks/>
        </xdr:cNvSpPr>
      </xdr:nvSpPr>
      <xdr:spPr bwMode="auto">
        <a:xfrm>
          <a:off x="742950" y="2076450"/>
          <a:ext cx="161925" cy="10858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ysClr val="windowText" lastClr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1085850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1" name="Line 2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1095375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11857342" name="Line 3"/>
        <xdr:cNvSpPr>
          <a:spLocks noChangeShapeType="1"/>
        </xdr:cNvSpPr>
      </xdr:nvSpPr>
      <xdr:spPr bwMode="auto">
        <a:xfrm>
          <a:off x="361950" y="0"/>
          <a:ext cx="95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3" name="Line 4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723900</xdr:colOff>
      <xdr:row>0</xdr:row>
      <xdr:rowOff>0</xdr:rowOff>
    </xdr:from>
    <xdr:to>
      <xdr:col>1</xdr:col>
      <xdr:colOff>19050</xdr:colOff>
      <xdr:row>0</xdr:row>
      <xdr:rowOff>0</xdr:rowOff>
    </xdr:to>
    <xdr:sp macro="" textlink="">
      <xdr:nvSpPr>
        <xdr:cNvPr id="11857344" name="Line 5"/>
        <xdr:cNvSpPr>
          <a:spLocks noChangeShapeType="1"/>
        </xdr:cNvSpPr>
      </xdr:nvSpPr>
      <xdr:spPr bwMode="auto">
        <a:xfrm>
          <a:off x="361950" y="0"/>
          <a:ext cx="1905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0</xdr:col>
      <xdr:colOff>352425</xdr:colOff>
      <xdr:row>0</xdr:row>
      <xdr:rowOff>0</xdr:rowOff>
    </xdr:to>
    <xdr:sp macro="" textlink="">
      <xdr:nvSpPr>
        <xdr:cNvPr id="11857345" name="Line 6"/>
        <xdr:cNvSpPr>
          <a:spLocks noChangeShapeType="1"/>
        </xdr:cNvSpPr>
      </xdr:nvSpPr>
      <xdr:spPr bwMode="auto">
        <a:xfrm>
          <a:off x="352425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723900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6" name="Line 7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1</xdr:col>
      <xdr:colOff>47625</xdr:colOff>
      <xdr:row>0</xdr:row>
      <xdr:rowOff>0</xdr:rowOff>
    </xdr:to>
    <xdr:sp macro="" textlink="">
      <xdr:nvSpPr>
        <xdr:cNvPr id="11857347" name="Line 8"/>
        <xdr:cNvSpPr>
          <a:spLocks noChangeShapeType="1"/>
        </xdr:cNvSpPr>
      </xdr:nvSpPr>
      <xdr:spPr bwMode="auto">
        <a:xfrm flipH="1">
          <a:off x="352425" y="0"/>
          <a:ext cx="5715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1</xdr:col>
      <xdr:colOff>152400</xdr:colOff>
      <xdr:row>0</xdr:row>
      <xdr:rowOff>0</xdr:rowOff>
    </xdr:to>
    <xdr:sp macro="" textlink="">
      <xdr:nvSpPr>
        <xdr:cNvPr id="11857348" name="Line 9"/>
        <xdr:cNvSpPr>
          <a:spLocks noChangeShapeType="1"/>
        </xdr:cNvSpPr>
      </xdr:nvSpPr>
      <xdr:spPr bwMode="auto">
        <a:xfrm>
          <a:off x="352425" y="0"/>
          <a:ext cx="1619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3</xdr:col>
      <xdr:colOff>1095375</xdr:colOff>
      <xdr:row>9</xdr:row>
      <xdr:rowOff>0</xdr:rowOff>
    </xdr:from>
    <xdr:to>
      <xdr:col>4</xdr:col>
      <xdr:colOff>9525</xdr:colOff>
      <xdr:row>9</xdr:row>
      <xdr:rowOff>0</xdr:rowOff>
    </xdr:to>
    <xdr:sp macro="" textlink="">
      <xdr:nvSpPr>
        <xdr:cNvPr id="11857349" name="Line 10"/>
        <xdr:cNvSpPr>
          <a:spLocks noChangeShapeType="1"/>
        </xdr:cNvSpPr>
      </xdr:nvSpPr>
      <xdr:spPr bwMode="auto">
        <a:xfrm>
          <a:off x="1895475" y="1895475"/>
          <a:ext cx="95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21</xdr:row>
      <xdr:rowOff>19050</xdr:rowOff>
    </xdr:from>
    <xdr:to>
      <xdr:col>3</xdr:col>
      <xdr:colOff>9525</xdr:colOff>
      <xdr:row>23</xdr:row>
      <xdr:rowOff>9525</xdr:rowOff>
    </xdr:to>
    <xdr:sp macro="" textlink="">
      <xdr:nvSpPr>
        <xdr:cNvPr id="11857350" name="Line 11"/>
        <xdr:cNvSpPr>
          <a:spLocks noChangeShapeType="1"/>
        </xdr:cNvSpPr>
      </xdr:nvSpPr>
      <xdr:spPr bwMode="auto">
        <a:xfrm>
          <a:off x="19050" y="4581525"/>
          <a:ext cx="1000125" cy="9810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</xdr:row>
      <xdr:rowOff>19050</xdr:rowOff>
    </xdr:from>
    <xdr:to>
      <xdr:col>5</xdr:col>
      <xdr:colOff>9525</xdr:colOff>
      <xdr:row>3</xdr:row>
      <xdr:rowOff>9525</xdr:rowOff>
    </xdr:to>
    <xdr:sp macro="" textlink="">
      <xdr:nvSpPr>
        <xdr:cNvPr id="11857351" name="Line 13"/>
        <xdr:cNvSpPr>
          <a:spLocks noChangeShapeType="1"/>
        </xdr:cNvSpPr>
      </xdr:nvSpPr>
      <xdr:spPr bwMode="auto">
        <a:xfrm>
          <a:off x="19050" y="161925"/>
          <a:ext cx="26479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34</xdr:row>
      <xdr:rowOff>0</xdr:rowOff>
    </xdr:from>
    <xdr:to>
      <xdr:col>9</xdr:col>
      <xdr:colOff>647701</xdr:colOff>
      <xdr:row>47</xdr:row>
      <xdr:rowOff>9525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9525</xdr:rowOff>
    </xdr:from>
    <xdr:to>
      <xdr:col>1</xdr:col>
      <xdr:colOff>0</xdr:colOff>
      <xdr:row>2</xdr:row>
      <xdr:rowOff>180975</xdr:rowOff>
    </xdr:to>
    <xdr:sp macro="" textlink="">
      <xdr:nvSpPr>
        <xdr:cNvPr id="11859095" name="Line 1"/>
        <xdr:cNvSpPr>
          <a:spLocks noChangeShapeType="1"/>
        </xdr:cNvSpPr>
      </xdr:nvSpPr>
      <xdr:spPr bwMode="auto">
        <a:xfrm>
          <a:off x="38100" y="200025"/>
          <a:ext cx="790575" cy="3619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10</xdr:row>
      <xdr:rowOff>19050</xdr:rowOff>
    </xdr:from>
    <xdr:to>
      <xdr:col>1</xdr:col>
      <xdr:colOff>0</xdr:colOff>
      <xdr:row>12</xdr:row>
      <xdr:rowOff>9525</xdr:rowOff>
    </xdr:to>
    <xdr:sp macro="" textlink="">
      <xdr:nvSpPr>
        <xdr:cNvPr id="11859096" name="Line 2"/>
        <xdr:cNvSpPr>
          <a:spLocks noChangeShapeType="1"/>
        </xdr:cNvSpPr>
      </xdr:nvSpPr>
      <xdr:spPr bwMode="auto">
        <a:xfrm>
          <a:off x="9525" y="1876425"/>
          <a:ext cx="8191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32</xdr:row>
      <xdr:rowOff>0</xdr:rowOff>
    </xdr:from>
    <xdr:to>
      <xdr:col>7</xdr:col>
      <xdr:colOff>209550</xdr:colOff>
      <xdr:row>45</xdr:row>
      <xdr:rowOff>152400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16</xdr:row>
      <xdr:rowOff>0</xdr:rowOff>
    </xdr:from>
    <xdr:to>
      <xdr:col>15</xdr:col>
      <xdr:colOff>0</xdr:colOff>
      <xdr:row>36</xdr:row>
      <xdr:rowOff>129000</xdr:rowOff>
    </xdr:to>
    <xdr:sp macro="" textlink="">
      <xdr:nvSpPr>
        <xdr:cNvPr id="11274616" name="Text Box 1"/>
        <xdr:cNvSpPr txBox="1">
          <a:spLocks noChangeArrowheads="1"/>
        </xdr:cNvSpPr>
      </xdr:nvSpPr>
      <xdr:spPr bwMode="auto">
        <a:xfrm>
          <a:off x="57769125" y="3429000"/>
          <a:ext cx="0" cy="43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9298</xdr:colOff>
      <xdr:row>18</xdr:row>
      <xdr:rowOff>0</xdr:rowOff>
    </xdr:from>
    <xdr:to>
      <xdr:col>6</xdr:col>
      <xdr:colOff>361048</xdr:colOff>
      <xdr:row>37</xdr:row>
      <xdr:rowOff>129000</xdr:rowOff>
    </xdr:to>
    <xdr:graphicFrame macro="">
      <xdr:nvGraphicFramePr>
        <xdr:cNvPr id="2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66000</xdr:colOff>
      <xdr:row>37</xdr:row>
      <xdr:rowOff>129000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0" y="209550"/>
          <a:ext cx="1238250" cy="7048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209549</xdr:rowOff>
    </xdr:from>
    <xdr:to>
      <xdr:col>1</xdr:col>
      <xdr:colOff>9525</xdr:colOff>
      <xdr:row>10</xdr:row>
      <xdr:rowOff>9524</xdr:rowOff>
    </xdr:to>
    <xdr:sp macro="" textlink="">
      <xdr:nvSpPr>
        <xdr:cNvPr id="9" name="Line 1"/>
        <xdr:cNvSpPr>
          <a:spLocks noChangeShapeType="1"/>
        </xdr:cNvSpPr>
      </xdr:nvSpPr>
      <xdr:spPr bwMode="auto">
        <a:xfrm>
          <a:off x="0" y="1752599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5</xdr:col>
      <xdr:colOff>466725</xdr:colOff>
      <xdr:row>21</xdr:row>
      <xdr:rowOff>19050</xdr:rowOff>
    </xdr:from>
    <xdr:ext cx="466794" cy="336246"/>
    <xdr:sp macro="" textlink="">
      <xdr:nvSpPr>
        <xdr:cNvPr id="10" name="TextBox 9"/>
        <xdr:cNvSpPr txBox="1"/>
      </xdr:nvSpPr>
      <xdr:spPr>
        <a:xfrm>
          <a:off x="4752975" y="4495800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1"/>
              </a:solidFill>
            </a:rPr>
            <a:t>합의</a:t>
          </a:r>
        </a:p>
      </xdr:txBody>
    </xdr:sp>
    <xdr:clientData/>
  </xdr:oneCellAnchor>
  <xdr:oneCellAnchor>
    <xdr:from>
      <xdr:col>13</xdr:col>
      <xdr:colOff>190500</xdr:colOff>
      <xdr:row>21</xdr:row>
      <xdr:rowOff>0</xdr:rowOff>
    </xdr:from>
    <xdr:ext cx="723275" cy="325217"/>
    <xdr:sp macro="" textlink="">
      <xdr:nvSpPr>
        <xdr:cNvPr id="11" name="TextBox 10"/>
        <xdr:cNvSpPr txBox="1"/>
      </xdr:nvSpPr>
      <xdr:spPr>
        <a:xfrm>
          <a:off x="10572750" y="4476750"/>
          <a:ext cx="723275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1"/>
              </a:solidFill>
            </a:rPr>
            <a:t>고등법원</a:t>
          </a:r>
        </a:p>
      </xdr:txBody>
    </xdr:sp>
    <xdr:clientData/>
  </xdr:oneCellAnchor>
  <xdr:oneCellAnchor>
    <xdr:from>
      <xdr:col>5</xdr:col>
      <xdr:colOff>352425</xdr:colOff>
      <xdr:row>25</xdr:row>
      <xdr:rowOff>114300</xdr:rowOff>
    </xdr:from>
    <xdr:ext cx="453970" cy="325217"/>
    <xdr:sp macro="" textlink="">
      <xdr:nvSpPr>
        <xdr:cNvPr id="12" name="TextBox 11"/>
        <xdr:cNvSpPr txBox="1"/>
      </xdr:nvSpPr>
      <xdr:spPr>
        <a:xfrm>
          <a:off x="4638675" y="5429250"/>
          <a:ext cx="453970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2"/>
              </a:solidFill>
            </a:rPr>
            <a:t>단독</a:t>
          </a:r>
        </a:p>
      </xdr:txBody>
    </xdr:sp>
    <xdr:clientData/>
  </xdr:oneCellAnchor>
  <xdr:oneCellAnchor>
    <xdr:from>
      <xdr:col>13</xdr:col>
      <xdr:colOff>142875</xdr:colOff>
      <xdr:row>25</xdr:row>
      <xdr:rowOff>104775</xdr:rowOff>
    </xdr:from>
    <xdr:ext cx="723275" cy="325217"/>
    <xdr:sp macro="" textlink="">
      <xdr:nvSpPr>
        <xdr:cNvPr id="13" name="TextBox 12"/>
        <xdr:cNvSpPr txBox="1"/>
      </xdr:nvSpPr>
      <xdr:spPr>
        <a:xfrm>
          <a:off x="10525125" y="5419725"/>
          <a:ext cx="723275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2"/>
              </a:solidFill>
            </a:rPr>
            <a:t>지방법원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19050</xdr:rowOff>
    </xdr:from>
    <xdr:to>
      <xdr:col>1</xdr:col>
      <xdr:colOff>28575</xdr:colOff>
      <xdr:row>24</xdr:row>
      <xdr:rowOff>9525</xdr:rowOff>
    </xdr:to>
    <xdr:sp macro="" textlink="">
      <xdr:nvSpPr>
        <xdr:cNvPr id="10547568" name="Line 1"/>
        <xdr:cNvSpPr>
          <a:spLocks noChangeShapeType="1"/>
        </xdr:cNvSpPr>
      </xdr:nvSpPr>
      <xdr:spPr bwMode="auto">
        <a:xfrm>
          <a:off x="38100" y="5629275"/>
          <a:ext cx="11334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1304925</xdr:colOff>
      <xdr:row>26</xdr:row>
      <xdr:rowOff>85725</xdr:rowOff>
    </xdr:from>
    <xdr:to>
      <xdr:col>0</xdr:col>
      <xdr:colOff>1381125</xdr:colOff>
      <xdr:row>28</xdr:row>
      <xdr:rowOff>133350</xdr:rowOff>
    </xdr:to>
    <xdr:sp macro="" textlink="">
      <xdr:nvSpPr>
        <xdr:cNvPr id="10547569" name="AutoShape 3"/>
        <xdr:cNvSpPr>
          <a:spLocks/>
        </xdr:cNvSpPr>
      </xdr:nvSpPr>
      <xdr:spPr bwMode="auto">
        <a:xfrm>
          <a:off x="1304925" y="5972175"/>
          <a:ext cx="76200" cy="466725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1304925</xdr:colOff>
      <xdr:row>30</xdr:row>
      <xdr:rowOff>85725</xdr:rowOff>
    </xdr:from>
    <xdr:to>
      <xdr:col>0</xdr:col>
      <xdr:colOff>1381125</xdr:colOff>
      <xdr:row>32</xdr:row>
      <xdr:rowOff>133350</xdr:rowOff>
    </xdr:to>
    <xdr:sp macro="" textlink="">
      <xdr:nvSpPr>
        <xdr:cNvPr id="10547570" name="AutoShape 4"/>
        <xdr:cNvSpPr>
          <a:spLocks/>
        </xdr:cNvSpPr>
      </xdr:nvSpPr>
      <xdr:spPr bwMode="auto">
        <a:xfrm>
          <a:off x="1304925" y="6810375"/>
          <a:ext cx="76200" cy="466725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1</xdr:col>
      <xdr:colOff>9525</xdr:colOff>
      <xdr:row>7</xdr:row>
      <xdr:rowOff>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1085850"/>
          <a:ext cx="1724025" cy="6286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2288</xdr:rowOff>
    </xdr:from>
    <xdr:to>
      <xdr:col>3</xdr:col>
      <xdr:colOff>986250</xdr:colOff>
      <xdr:row>39</xdr:row>
      <xdr:rowOff>72188</xdr:rowOff>
    </xdr:to>
    <xdr:graphicFrame macro="">
      <xdr:nvGraphicFramePr>
        <xdr:cNvPr id="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9525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209550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1</xdr:col>
      <xdr:colOff>9525</xdr:colOff>
      <xdr:row>10</xdr:row>
      <xdr:rowOff>9525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0" y="209550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17</xdr:row>
      <xdr:rowOff>0</xdr:rowOff>
    </xdr:from>
    <xdr:to>
      <xdr:col>8</xdr:col>
      <xdr:colOff>685800</xdr:colOff>
      <xdr:row>39</xdr:row>
      <xdr:rowOff>69900</xdr:rowOff>
    </xdr:to>
    <xdr:graphicFrame macro="">
      <xdr:nvGraphicFramePr>
        <xdr:cNvPr id="1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9525</xdr:rowOff>
    </xdr:from>
    <xdr:to>
      <xdr:col>1</xdr:col>
      <xdr:colOff>9525</xdr:colOff>
      <xdr:row>6</xdr:row>
      <xdr:rowOff>9525</xdr:rowOff>
    </xdr:to>
    <xdr:sp macro="" textlink="">
      <xdr:nvSpPr>
        <xdr:cNvPr id="9674913" name="Line 2"/>
        <xdr:cNvSpPr>
          <a:spLocks noChangeShapeType="1"/>
        </xdr:cNvSpPr>
      </xdr:nvSpPr>
      <xdr:spPr bwMode="auto">
        <a:xfrm>
          <a:off x="19050" y="695325"/>
          <a:ext cx="1000125" cy="4857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2</xdr:col>
      <xdr:colOff>9525</xdr:colOff>
      <xdr:row>21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386715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26</xdr:row>
      <xdr:rowOff>0</xdr:rowOff>
    </xdr:from>
    <xdr:to>
      <xdr:col>2</xdr:col>
      <xdr:colOff>9525</xdr:colOff>
      <xdr:row>28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533400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34</xdr:row>
      <xdr:rowOff>0</xdr:rowOff>
    </xdr:from>
    <xdr:to>
      <xdr:col>2</xdr:col>
      <xdr:colOff>9525</xdr:colOff>
      <xdr:row>36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701040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44</xdr:row>
      <xdr:rowOff>0</xdr:rowOff>
    </xdr:from>
    <xdr:to>
      <xdr:col>2</xdr:col>
      <xdr:colOff>9525</xdr:colOff>
      <xdr:row>46</xdr:row>
      <xdr:rowOff>0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0" y="889635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19050</xdr:rowOff>
    </xdr:from>
    <xdr:to>
      <xdr:col>1</xdr:col>
      <xdr:colOff>28575</xdr:colOff>
      <xdr:row>5</xdr:row>
      <xdr:rowOff>9525</xdr:rowOff>
    </xdr:to>
    <xdr:sp macro="" textlink="">
      <xdr:nvSpPr>
        <xdr:cNvPr id="7913035" name="Line 1025"/>
        <xdr:cNvSpPr>
          <a:spLocks noChangeShapeType="1"/>
        </xdr:cNvSpPr>
      </xdr:nvSpPr>
      <xdr:spPr bwMode="auto">
        <a:xfrm>
          <a:off x="38100" y="723900"/>
          <a:ext cx="7524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17</xdr:row>
      <xdr:rowOff>19050</xdr:rowOff>
    </xdr:from>
    <xdr:to>
      <xdr:col>1</xdr:col>
      <xdr:colOff>0</xdr:colOff>
      <xdr:row>18</xdr:row>
      <xdr:rowOff>476250</xdr:rowOff>
    </xdr:to>
    <xdr:sp macro="" textlink="">
      <xdr:nvSpPr>
        <xdr:cNvPr id="7913036" name="Line 1026"/>
        <xdr:cNvSpPr>
          <a:spLocks noChangeShapeType="1"/>
        </xdr:cNvSpPr>
      </xdr:nvSpPr>
      <xdr:spPr bwMode="auto">
        <a:xfrm>
          <a:off x="19050" y="3686175"/>
          <a:ext cx="742950" cy="6953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0</xdr:rowOff>
    </xdr:from>
    <xdr:to>
      <xdr:col>1</xdr:col>
      <xdr:colOff>0</xdr:colOff>
      <xdr:row>11</xdr:row>
      <xdr:rowOff>9525</xdr:rowOff>
    </xdr:to>
    <xdr:sp macro="" textlink="">
      <xdr:nvSpPr>
        <xdr:cNvPr id="2" name="Line 1025"/>
        <xdr:cNvSpPr>
          <a:spLocks noChangeShapeType="1"/>
        </xdr:cNvSpPr>
      </xdr:nvSpPr>
      <xdr:spPr bwMode="auto">
        <a:xfrm>
          <a:off x="38100" y="1981200"/>
          <a:ext cx="9144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1</xdr:col>
      <xdr:colOff>0</xdr:colOff>
      <xdr:row>29</xdr:row>
      <xdr:rowOff>0</xdr:rowOff>
    </xdr:to>
    <xdr:sp macro="" textlink="">
      <xdr:nvSpPr>
        <xdr:cNvPr id="3" name="Line 1026"/>
        <xdr:cNvSpPr>
          <a:spLocks noChangeShapeType="1"/>
        </xdr:cNvSpPr>
      </xdr:nvSpPr>
      <xdr:spPr bwMode="auto">
        <a:xfrm>
          <a:off x="47625" y="5762625"/>
          <a:ext cx="9048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9525</xdr:rowOff>
    </xdr:from>
    <xdr:to>
      <xdr:col>1</xdr:col>
      <xdr:colOff>19050</xdr:colOff>
      <xdr:row>5</xdr:row>
      <xdr:rowOff>19050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638175"/>
          <a:ext cx="12287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12</xdr:row>
      <xdr:rowOff>28575</xdr:rowOff>
    </xdr:from>
    <xdr:to>
      <xdr:col>0</xdr:col>
      <xdr:colOff>1143000</xdr:colOff>
      <xdr:row>15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2543175"/>
          <a:ext cx="1123950" cy="6096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1152524</xdr:colOff>
      <xdr:row>26</xdr:row>
      <xdr:rowOff>9525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5029200"/>
          <a:ext cx="1152524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19050</xdr:rowOff>
    </xdr:from>
    <xdr:to>
      <xdr:col>2</xdr:col>
      <xdr:colOff>0</xdr:colOff>
      <xdr:row>20</xdr:row>
      <xdr:rowOff>9525</xdr:rowOff>
    </xdr:to>
    <xdr:sp macro="" textlink="">
      <xdr:nvSpPr>
        <xdr:cNvPr id="10551665" name="Line 1"/>
        <xdr:cNvSpPr>
          <a:spLocks noChangeShapeType="1"/>
        </xdr:cNvSpPr>
      </xdr:nvSpPr>
      <xdr:spPr bwMode="auto">
        <a:xfrm>
          <a:off x="0" y="4133850"/>
          <a:ext cx="165735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8</xdr:row>
      <xdr:rowOff>9525</xdr:rowOff>
    </xdr:from>
    <xdr:to>
      <xdr:col>1</xdr:col>
      <xdr:colOff>0</xdr:colOff>
      <xdr:row>11</xdr:row>
      <xdr:rowOff>0</xdr:rowOff>
    </xdr:to>
    <xdr:sp macro="" textlink="">
      <xdr:nvSpPr>
        <xdr:cNvPr id="10551666" name="Line 2"/>
        <xdr:cNvSpPr>
          <a:spLocks noChangeShapeType="1"/>
        </xdr:cNvSpPr>
      </xdr:nvSpPr>
      <xdr:spPr bwMode="auto">
        <a:xfrm>
          <a:off x="19050" y="2581275"/>
          <a:ext cx="809625" cy="7239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38</xdr:row>
      <xdr:rowOff>19050</xdr:rowOff>
    </xdr:from>
    <xdr:to>
      <xdr:col>1</xdr:col>
      <xdr:colOff>0</xdr:colOff>
      <xdr:row>40</xdr:row>
      <xdr:rowOff>9525</xdr:rowOff>
    </xdr:to>
    <xdr:sp macro="" textlink="">
      <xdr:nvSpPr>
        <xdr:cNvPr id="10551667" name="Line 3"/>
        <xdr:cNvSpPr>
          <a:spLocks noChangeShapeType="1"/>
        </xdr:cNvSpPr>
      </xdr:nvSpPr>
      <xdr:spPr bwMode="auto">
        <a:xfrm>
          <a:off x="9525" y="8943975"/>
          <a:ext cx="819150" cy="8191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19050</xdr:rowOff>
    </xdr:from>
    <xdr:to>
      <xdr:col>1</xdr:col>
      <xdr:colOff>0</xdr:colOff>
      <xdr:row>11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20002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20</xdr:row>
      <xdr:rowOff>19050</xdr:rowOff>
    </xdr:from>
    <xdr:to>
      <xdr:col>1</xdr:col>
      <xdr:colOff>0</xdr:colOff>
      <xdr:row>22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9525" y="4305300"/>
          <a:ext cx="942975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0</xdr:rowOff>
    </xdr:from>
    <xdr:to>
      <xdr:col>1</xdr:col>
      <xdr:colOff>0</xdr:colOff>
      <xdr:row>6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1085850"/>
          <a:ext cx="14192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5</xdr:col>
      <xdr:colOff>885825</xdr:colOff>
      <xdr:row>40</xdr:row>
      <xdr:rowOff>123825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28</xdr:row>
      <xdr:rowOff>9525</xdr:rowOff>
    </xdr:from>
    <xdr:to>
      <xdr:col>1</xdr:col>
      <xdr:colOff>9525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6067425"/>
          <a:ext cx="121920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9</xdr:col>
      <xdr:colOff>9525</xdr:colOff>
      <xdr:row>22</xdr:row>
      <xdr:rowOff>200025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10</xdr:row>
      <xdr:rowOff>85725</xdr:rowOff>
    </xdr:from>
    <xdr:to>
      <xdr:col>1</xdr:col>
      <xdr:colOff>0</xdr:colOff>
      <xdr:row>11</xdr:row>
      <xdr:rowOff>104775</xdr:rowOff>
    </xdr:to>
    <xdr:sp macro="" textlink="">
      <xdr:nvSpPr>
        <xdr:cNvPr id="2" name="AutoShape 4"/>
        <xdr:cNvSpPr>
          <a:spLocks/>
        </xdr:cNvSpPr>
      </xdr:nvSpPr>
      <xdr:spPr bwMode="auto">
        <a:xfrm>
          <a:off x="685800" y="2181225"/>
          <a:ext cx="76200" cy="22860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39</xdr:row>
      <xdr:rowOff>0</xdr:rowOff>
    </xdr:from>
    <xdr:to>
      <xdr:col>9</xdr:col>
      <xdr:colOff>657225</xdr:colOff>
      <xdr:row>57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2</xdr:col>
      <xdr:colOff>0</xdr:colOff>
      <xdr:row>5</xdr:row>
      <xdr:rowOff>9525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0" y="628650"/>
          <a:ext cx="1524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21</xdr:row>
      <xdr:rowOff>9525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3981450"/>
          <a:ext cx="762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0</xdr:rowOff>
    </xdr:from>
    <xdr:to>
      <xdr:col>1</xdr:col>
      <xdr:colOff>0</xdr:colOff>
      <xdr:row>31</xdr:row>
      <xdr:rowOff>9525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6076950"/>
          <a:ext cx="762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9525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628650"/>
          <a:ext cx="10572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0</xdr:rowOff>
    </xdr:from>
    <xdr:to>
      <xdr:col>3</xdr:col>
      <xdr:colOff>9525</xdr:colOff>
      <xdr:row>37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7467600"/>
          <a:ext cx="3152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16</xdr:row>
      <xdr:rowOff>0</xdr:rowOff>
    </xdr:from>
    <xdr:to>
      <xdr:col>7</xdr:col>
      <xdr:colOff>57150</xdr:colOff>
      <xdr:row>32</xdr:row>
      <xdr:rowOff>200025</xdr:rowOff>
    </xdr:to>
    <xdr:grpSp>
      <xdr:nvGrpSpPr>
        <xdr:cNvPr id="14" name="그룹 13"/>
        <xdr:cNvGrpSpPr/>
      </xdr:nvGrpSpPr>
      <xdr:grpSpPr>
        <a:xfrm>
          <a:off x="0" y="3486150"/>
          <a:ext cx="7391400" cy="3552825"/>
          <a:chOff x="0" y="3486149"/>
          <a:chExt cx="7391400" cy="3552825"/>
        </a:xfrm>
      </xdr:grpSpPr>
      <xdr:graphicFrame macro="">
        <xdr:nvGraphicFramePr>
          <xdr:cNvPr id="15" name="차트 14"/>
          <xdr:cNvGraphicFramePr/>
        </xdr:nvGraphicFramePr>
        <xdr:xfrm>
          <a:off x="0" y="3486149"/>
          <a:ext cx="7391400" cy="3552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6" name="TextBox 15"/>
          <xdr:cNvSpPr txBox="1"/>
        </xdr:nvSpPr>
        <xdr:spPr>
          <a:xfrm>
            <a:off x="6724650" y="4000500"/>
            <a:ext cx="569387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spAutoFit/>
          </a:bodyPr>
          <a:lstStyle/>
          <a:p>
            <a:r>
              <a:rPr lang="ko-KR" altLang="en-US" sz="1000" b="1"/>
              <a:t>재항고</a:t>
            </a:r>
            <a:endParaRPr lang="en-US" altLang="ko-KR" sz="1000" b="1"/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6677025" y="5200650"/>
            <a:ext cx="441146" cy="314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spAutoFit/>
          </a:bodyPr>
          <a:lstStyle/>
          <a:p>
            <a:r>
              <a:rPr lang="ko-KR" altLang="en-US" sz="1000" b="1"/>
              <a:t>항고</a:t>
            </a:r>
            <a:endParaRPr lang="en-US" altLang="ko-KR" sz="1000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94"/>
  <sheetViews>
    <sheetView showGridLines="0" tabSelected="1" zoomScaleNormal="100" zoomScaleSheetLayoutView="100" workbookViewId="0"/>
  </sheetViews>
  <sheetFormatPr defaultColWidth="8" defaultRowHeight="16.5" customHeight="1" x14ac:dyDescent="0.15"/>
  <cols>
    <col min="1" max="9" width="11.109375" style="84" customWidth="1"/>
    <col min="10" max="16384" width="8" style="52"/>
  </cols>
  <sheetData>
    <row r="1" spans="1:9" s="17" customFormat="1" ht="18.75" x14ac:dyDescent="0.15">
      <c r="A1" s="94" t="s">
        <v>511</v>
      </c>
      <c r="B1" s="3"/>
      <c r="C1" s="3"/>
      <c r="D1" s="3"/>
      <c r="E1" s="3"/>
      <c r="F1" s="3"/>
      <c r="G1" s="3"/>
      <c r="H1" s="3"/>
      <c r="I1" s="3"/>
    </row>
    <row r="2" spans="1:9" s="17" customFormat="1" ht="16.5" customHeight="1" x14ac:dyDescent="0.15">
      <c r="A2" s="80" t="s">
        <v>16</v>
      </c>
      <c r="B2" s="3"/>
      <c r="C2" s="3"/>
      <c r="D2" s="82"/>
      <c r="E2" s="80" t="s">
        <v>226</v>
      </c>
      <c r="F2" s="82"/>
      <c r="G2" s="3"/>
      <c r="H2" s="3"/>
      <c r="I2" s="3"/>
    </row>
    <row r="3" spans="1:9" s="17" customFormat="1" ht="16.5" customHeight="1" x14ac:dyDescent="0.15">
      <c r="A3" s="399" t="s">
        <v>676</v>
      </c>
      <c r="B3" s="399"/>
      <c r="C3" s="399"/>
      <c r="D3" s="314"/>
      <c r="E3" s="314"/>
      <c r="F3" s="314"/>
      <c r="G3" s="314"/>
      <c r="H3" s="314"/>
      <c r="I3" s="314"/>
    </row>
    <row r="4" spans="1:9" s="17" customFormat="1" ht="16.5" customHeight="1" x14ac:dyDescent="0.15">
      <c r="A4" s="399"/>
      <c r="B4" s="399"/>
      <c r="C4" s="399"/>
      <c r="D4" s="314"/>
      <c r="E4" s="292"/>
      <c r="F4" s="278" t="s">
        <v>662</v>
      </c>
      <c r="G4" s="3"/>
      <c r="H4" s="3"/>
      <c r="I4" s="3"/>
    </row>
    <row r="5" spans="1:9" s="17" customFormat="1" ht="16.5" customHeight="1" x14ac:dyDescent="0.15">
      <c r="A5" s="399"/>
      <c r="B5" s="399"/>
      <c r="C5" s="399"/>
      <c r="D5" s="314"/>
      <c r="E5" s="361"/>
      <c r="F5" s="361" t="s">
        <v>494</v>
      </c>
      <c r="G5" s="3"/>
      <c r="H5" s="3"/>
      <c r="I5" s="3"/>
    </row>
    <row r="6" spans="1:9" s="17" customFormat="1" ht="16.5" customHeight="1" x14ac:dyDescent="0.15">
      <c r="A6" s="399"/>
      <c r="B6" s="399"/>
      <c r="C6" s="399"/>
      <c r="D6" s="314"/>
      <c r="E6" s="361" t="s">
        <v>512</v>
      </c>
      <c r="F6" s="361">
        <v>491690</v>
      </c>
      <c r="G6" s="3"/>
      <c r="H6" s="3"/>
      <c r="I6" s="3"/>
    </row>
    <row r="7" spans="1:9" s="17" customFormat="1" ht="16.5" customHeight="1" x14ac:dyDescent="0.15">
      <c r="A7" s="399"/>
      <c r="B7" s="399"/>
      <c r="C7" s="399"/>
      <c r="D7" s="314"/>
      <c r="E7" s="361" t="s">
        <v>502</v>
      </c>
      <c r="F7" s="361">
        <v>466329</v>
      </c>
      <c r="G7" s="3"/>
      <c r="H7" s="3"/>
      <c r="I7" s="3"/>
    </row>
    <row r="8" spans="1:9" s="17" customFormat="1" ht="16.5" customHeight="1" x14ac:dyDescent="0.15">
      <c r="A8" s="399"/>
      <c r="B8" s="399"/>
      <c r="C8" s="399"/>
      <c r="D8" s="314"/>
      <c r="E8" s="361" t="s">
        <v>18</v>
      </c>
      <c r="F8" s="361">
        <v>342693</v>
      </c>
      <c r="G8" s="3"/>
      <c r="H8" s="3"/>
      <c r="I8" s="3"/>
    </row>
    <row r="9" spans="1:9" s="17" customFormat="1" ht="16.5" customHeight="1" x14ac:dyDescent="0.15">
      <c r="A9" s="399"/>
      <c r="B9" s="399"/>
      <c r="C9" s="399"/>
      <c r="D9" s="314"/>
      <c r="E9" s="361" t="s">
        <v>457</v>
      </c>
      <c r="F9" s="361">
        <v>112359</v>
      </c>
      <c r="G9" s="3"/>
      <c r="H9" s="3"/>
      <c r="I9" s="3"/>
    </row>
    <row r="10" spans="1:9" s="17" customFormat="1" ht="16.5" customHeight="1" x14ac:dyDescent="0.15">
      <c r="A10" s="399"/>
      <c r="B10" s="399"/>
      <c r="C10" s="399"/>
      <c r="D10" s="314"/>
      <c r="E10" s="361" t="s">
        <v>90</v>
      </c>
      <c r="F10" s="361">
        <v>67864</v>
      </c>
      <c r="G10" s="3"/>
      <c r="H10" s="3"/>
      <c r="I10" s="3"/>
    </row>
    <row r="11" spans="1:9" s="17" customFormat="1" ht="16.5" customHeight="1" x14ac:dyDescent="0.15">
      <c r="A11" s="399"/>
      <c r="B11" s="399"/>
      <c r="C11" s="399"/>
      <c r="D11" s="314"/>
      <c r="E11" s="361" t="s">
        <v>20</v>
      </c>
      <c r="F11" s="361">
        <v>457</v>
      </c>
      <c r="G11" s="3"/>
      <c r="H11" s="3"/>
      <c r="I11" s="3"/>
    </row>
    <row r="12" spans="1:9" s="17" customFormat="1" ht="16.5" customHeight="1" x14ac:dyDescent="0.15">
      <c r="A12" s="399"/>
      <c r="B12" s="399"/>
      <c r="C12" s="399"/>
      <c r="D12" s="314"/>
      <c r="E12" s="356" t="s">
        <v>32</v>
      </c>
      <c r="F12" s="357">
        <v>1481392</v>
      </c>
      <c r="G12" s="3"/>
      <c r="H12" s="3"/>
      <c r="I12" s="3"/>
    </row>
    <row r="13" spans="1:9" s="17" customFormat="1" ht="16.5" customHeight="1" x14ac:dyDescent="0.15">
      <c r="A13" s="399"/>
      <c r="B13" s="399"/>
      <c r="C13" s="399"/>
      <c r="D13" s="314"/>
      <c r="E13" s="3"/>
      <c r="F13" s="3"/>
      <c r="G13" s="3"/>
      <c r="H13" s="3"/>
      <c r="I13" s="3"/>
    </row>
    <row r="14" spans="1:9" s="17" customFormat="1" ht="16.5" customHeight="1" x14ac:dyDescent="0.15">
      <c r="A14" s="384"/>
      <c r="B14" s="314"/>
      <c r="C14" s="314"/>
      <c r="D14" s="314"/>
      <c r="E14" s="3"/>
      <c r="F14" s="3"/>
      <c r="G14" s="3"/>
      <c r="H14" s="3"/>
      <c r="I14" s="3"/>
    </row>
    <row r="15" spans="1:9" s="17" customFormat="1" ht="16.5" customHeight="1" x14ac:dyDescent="0.15">
      <c r="A15" s="3"/>
      <c r="B15" s="3"/>
      <c r="C15" s="3"/>
      <c r="D15" s="3"/>
      <c r="E15" s="3"/>
      <c r="F15" s="3"/>
      <c r="G15" s="3"/>
      <c r="H15" s="3"/>
      <c r="I15" s="3"/>
    </row>
    <row r="16" spans="1:9" s="17" customFormat="1" ht="16.5" customHeight="1" x14ac:dyDescent="0.15">
      <c r="A16" s="3"/>
      <c r="B16" s="3"/>
      <c r="C16" s="3"/>
      <c r="D16" s="3"/>
      <c r="E16" s="3"/>
      <c r="F16" s="3"/>
      <c r="G16" s="3"/>
      <c r="H16" s="3"/>
      <c r="I16" s="3"/>
    </row>
    <row r="17" spans="1:9" s="17" customFormat="1" ht="16.5" customHeight="1" x14ac:dyDescent="0.15">
      <c r="A17" s="3"/>
      <c r="B17" s="3"/>
      <c r="C17" s="3"/>
      <c r="D17" s="3"/>
      <c r="E17" s="3"/>
      <c r="F17" s="3"/>
      <c r="G17" s="3"/>
      <c r="H17" s="3"/>
      <c r="I17" s="3"/>
    </row>
    <row r="18" spans="1:9" s="17" customFormat="1" ht="16.5" customHeight="1" x14ac:dyDescent="0.15">
      <c r="A18" s="80" t="s">
        <v>682</v>
      </c>
      <c r="B18" s="3"/>
      <c r="C18" s="3"/>
      <c r="D18" s="3"/>
      <c r="E18" s="3"/>
      <c r="F18" s="3"/>
      <c r="G18" s="95"/>
      <c r="H18" s="3"/>
      <c r="I18" s="3"/>
    </row>
    <row r="19" spans="1:9" s="17" customFormat="1" ht="16.5" customHeight="1" x14ac:dyDescent="0.15">
      <c r="A19" s="268"/>
      <c r="B19" s="167"/>
      <c r="C19" s="317" t="s">
        <v>37</v>
      </c>
      <c r="D19" s="400" t="s">
        <v>663</v>
      </c>
      <c r="E19" s="400"/>
      <c r="F19" s="400" t="s">
        <v>664</v>
      </c>
      <c r="G19" s="400"/>
      <c r="H19" s="400" t="s">
        <v>85</v>
      </c>
      <c r="I19" s="411"/>
    </row>
    <row r="20" spans="1:9" s="17" customFormat="1" ht="16.5" customHeight="1" x14ac:dyDescent="0.15">
      <c r="A20" s="268" t="s">
        <v>513</v>
      </c>
      <c r="B20" s="167"/>
      <c r="C20" s="246"/>
      <c r="D20" s="315" t="s">
        <v>216</v>
      </c>
      <c r="E20" s="315" t="s">
        <v>31</v>
      </c>
      <c r="F20" s="315" t="s">
        <v>216</v>
      </c>
      <c r="G20" s="315" t="s">
        <v>31</v>
      </c>
      <c r="H20" s="315" t="s">
        <v>216</v>
      </c>
      <c r="I20" s="269" t="s">
        <v>27</v>
      </c>
    </row>
    <row r="21" spans="1:9" s="17" customFormat="1" ht="16.5" customHeight="1" x14ac:dyDescent="0.15">
      <c r="A21" s="413" t="s">
        <v>93</v>
      </c>
      <c r="B21" s="414"/>
      <c r="C21" s="415"/>
      <c r="D21" s="128">
        <v>1481392</v>
      </c>
      <c r="E21" s="129">
        <v>1460918</v>
      </c>
      <c r="F21" s="128">
        <v>1455735</v>
      </c>
      <c r="G21" s="129">
        <v>1454314</v>
      </c>
      <c r="H21" s="128">
        <v>1546597</v>
      </c>
      <c r="I21" s="129">
        <v>1547276</v>
      </c>
    </row>
    <row r="22" spans="1:9" s="17" customFormat="1" ht="16.5" customHeight="1" x14ac:dyDescent="0.15">
      <c r="A22" s="420" t="s">
        <v>17</v>
      </c>
      <c r="B22" s="417"/>
      <c r="C22" s="418"/>
      <c r="D22" s="128">
        <v>343150</v>
      </c>
      <c r="E22" s="129">
        <v>328663</v>
      </c>
      <c r="F22" s="128">
        <v>339753</v>
      </c>
      <c r="G22" s="129">
        <v>338554</v>
      </c>
      <c r="H22" s="125">
        <v>371887</v>
      </c>
      <c r="I22" s="58">
        <v>379226</v>
      </c>
    </row>
    <row r="23" spans="1:9" s="17" customFormat="1" ht="16.5" customHeight="1" x14ac:dyDescent="0.15">
      <c r="A23" s="416" t="s">
        <v>514</v>
      </c>
      <c r="B23" s="417"/>
      <c r="C23" s="418"/>
      <c r="D23" s="128">
        <v>1138242</v>
      </c>
      <c r="E23" s="129">
        <v>1132255</v>
      </c>
      <c r="F23" s="128">
        <v>1115982</v>
      </c>
      <c r="G23" s="129">
        <v>1115760</v>
      </c>
      <c r="H23" s="125">
        <v>1174710</v>
      </c>
      <c r="I23" s="58">
        <v>1168050</v>
      </c>
    </row>
    <row r="24" spans="1:9" s="17" customFormat="1" ht="16.5" customHeight="1" x14ac:dyDescent="0.15">
      <c r="A24" s="419" t="s">
        <v>515</v>
      </c>
      <c r="B24" s="403" t="s">
        <v>516</v>
      </c>
      <c r="C24" s="96" t="s">
        <v>517</v>
      </c>
      <c r="D24" s="130">
        <v>3615</v>
      </c>
      <c r="E24" s="131">
        <v>3870</v>
      </c>
      <c r="F24" s="130">
        <v>3710</v>
      </c>
      <c r="G24" s="131">
        <v>3747</v>
      </c>
      <c r="H24" s="126">
        <v>4136</v>
      </c>
      <c r="I24" s="33">
        <v>4099</v>
      </c>
    </row>
    <row r="25" spans="1:9" s="17" customFormat="1" ht="16.5" customHeight="1" x14ac:dyDescent="0.15">
      <c r="A25" s="419"/>
      <c r="B25" s="403"/>
      <c r="C25" s="96" t="s">
        <v>518</v>
      </c>
      <c r="D25" s="130">
        <v>17979</v>
      </c>
      <c r="E25" s="131">
        <v>18464</v>
      </c>
      <c r="F25" s="130">
        <v>20084</v>
      </c>
      <c r="G25" s="131">
        <v>20417</v>
      </c>
      <c r="H25" s="126">
        <v>21012</v>
      </c>
      <c r="I25" s="33">
        <v>21001</v>
      </c>
    </row>
    <row r="26" spans="1:9" s="17" customFormat="1" ht="16.5" customHeight="1" x14ac:dyDescent="0.15">
      <c r="A26" s="419"/>
      <c r="B26" s="403"/>
      <c r="C26" s="96" t="s">
        <v>520</v>
      </c>
      <c r="D26" s="130">
        <v>201</v>
      </c>
      <c r="E26" s="131">
        <v>195</v>
      </c>
      <c r="F26" s="130">
        <v>181</v>
      </c>
      <c r="G26" s="131">
        <v>165</v>
      </c>
      <c r="H26" s="126">
        <v>160</v>
      </c>
      <c r="I26" s="33">
        <v>163</v>
      </c>
    </row>
    <row r="27" spans="1:9" s="17" customFormat="1" ht="16.5" customHeight="1" x14ac:dyDescent="0.15">
      <c r="A27" s="419"/>
      <c r="B27" s="403" t="s">
        <v>522</v>
      </c>
      <c r="C27" s="96" t="s">
        <v>519</v>
      </c>
      <c r="D27" s="130">
        <v>9351</v>
      </c>
      <c r="E27" s="131">
        <v>9438</v>
      </c>
      <c r="F27" s="130">
        <v>9729</v>
      </c>
      <c r="G27" s="131">
        <v>9457</v>
      </c>
      <c r="H27" s="126">
        <v>10228</v>
      </c>
      <c r="I27" s="33">
        <v>10426</v>
      </c>
    </row>
    <row r="28" spans="1:9" s="17" customFormat="1" ht="16.5" customHeight="1" x14ac:dyDescent="0.15">
      <c r="A28" s="419"/>
      <c r="B28" s="403"/>
      <c r="C28" s="96" t="s">
        <v>521</v>
      </c>
      <c r="D28" s="130">
        <v>64484</v>
      </c>
      <c r="E28" s="131">
        <v>60415</v>
      </c>
      <c r="F28" s="130">
        <v>65523</v>
      </c>
      <c r="G28" s="131">
        <v>66776</v>
      </c>
      <c r="H28" s="126">
        <v>73376</v>
      </c>
      <c r="I28" s="33">
        <v>76734</v>
      </c>
    </row>
    <row r="29" spans="1:9" s="17" customFormat="1" ht="16.5" customHeight="1" x14ac:dyDescent="0.15">
      <c r="A29" s="419"/>
      <c r="B29" s="403" t="s">
        <v>524</v>
      </c>
      <c r="C29" s="96" t="s">
        <v>517</v>
      </c>
      <c r="D29" s="130">
        <v>17953</v>
      </c>
      <c r="E29" s="131">
        <v>18071</v>
      </c>
      <c r="F29" s="130">
        <v>19721</v>
      </c>
      <c r="G29" s="131">
        <v>19343</v>
      </c>
      <c r="H29" s="126">
        <v>19587</v>
      </c>
      <c r="I29" s="33">
        <v>19735</v>
      </c>
    </row>
    <row r="30" spans="1:9" s="17" customFormat="1" ht="16.5" customHeight="1" x14ac:dyDescent="0.15">
      <c r="A30" s="419"/>
      <c r="B30" s="403"/>
      <c r="C30" s="96" t="s">
        <v>518</v>
      </c>
      <c r="D30" s="130">
        <v>229110</v>
      </c>
      <c r="E30" s="131">
        <v>217816</v>
      </c>
      <c r="F30" s="130">
        <v>220523</v>
      </c>
      <c r="G30" s="131">
        <v>218356</v>
      </c>
      <c r="H30" s="126">
        <v>243025</v>
      </c>
      <c r="I30" s="33">
        <v>246698</v>
      </c>
    </row>
    <row r="31" spans="1:9" s="17" customFormat="1" ht="16.5" customHeight="1" x14ac:dyDescent="0.15">
      <c r="A31" s="412" t="s">
        <v>525</v>
      </c>
      <c r="B31" s="403" t="s">
        <v>516</v>
      </c>
      <c r="C31" s="404"/>
      <c r="D31" s="130">
        <v>23</v>
      </c>
      <c r="E31" s="131">
        <v>23</v>
      </c>
      <c r="F31" s="130">
        <v>20</v>
      </c>
      <c r="G31" s="131">
        <v>16</v>
      </c>
      <c r="H31" s="126">
        <v>32</v>
      </c>
      <c r="I31" s="33">
        <v>38</v>
      </c>
    </row>
    <row r="32" spans="1:9" s="17" customFormat="1" ht="16.5" customHeight="1" x14ac:dyDescent="0.15">
      <c r="A32" s="412"/>
      <c r="B32" s="403" t="s">
        <v>522</v>
      </c>
      <c r="C32" s="404"/>
      <c r="D32" s="130">
        <v>132</v>
      </c>
      <c r="E32" s="131">
        <v>107</v>
      </c>
      <c r="F32" s="130">
        <v>90</v>
      </c>
      <c r="G32" s="131">
        <v>103</v>
      </c>
      <c r="H32" s="126">
        <v>128</v>
      </c>
      <c r="I32" s="33">
        <v>128</v>
      </c>
    </row>
    <row r="33" spans="1:9" s="17" customFormat="1" ht="16.5" customHeight="1" x14ac:dyDescent="0.15">
      <c r="A33" s="412"/>
      <c r="B33" s="403" t="s">
        <v>524</v>
      </c>
      <c r="C33" s="404"/>
      <c r="D33" s="130">
        <v>302</v>
      </c>
      <c r="E33" s="131">
        <v>264</v>
      </c>
      <c r="F33" s="130">
        <v>172</v>
      </c>
      <c r="G33" s="131">
        <v>174</v>
      </c>
      <c r="H33" s="126">
        <v>203</v>
      </c>
      <c r="I33" s="33">
        <v>204</v>
      </c>
    </row>
    <row r="34" spans="1:9" s="17" customFormat="1" ht="16.5" customHeight="1" x14ac:dyDescent="0.15">
      <c r="A34" s="406" t="s">
        <v>527</v>
      </c>
      <c r="B34" s="401"/>
      <c r="C34" s="402"/>
      <c r="D34" s="130">
        <v>491690</v>
      </c>
      <c r="E34" s="131">
        <v>489849</v>
      </c>
      <c r="F34" s="130">
        <v>520947</v>
      </c>
      <c r="G34" s="131">
        <v>523215</v>
      </c>
      <c r="H34" s="126">
        <v>605755</v>
      </c>
      <c r="I34" s="33">
        <v>598185</v>
      </c>
    </row>
    <row r="35" spans="1:9" s="17" customFormat="1" ht="16.5" customHeight="1" x14ac:dyDescent="0.15">
      <c r="A35" s="406" t="s">
        <v>29</v>
      </c>
      <c r="B35" s="401"/>
      <c r="C35" s="402"/>
      <c r="D35" s="130">
        <v>67864</v>
      </c>
      <c r="E35" s="131">
        <v>67867</v>
      </c>
      <c r="F35" s="130">
        <v>65280</v>
      </c>
      <c r="G35" s="131">
        <v>65274</v>
      </c>
      <c r="H35" s="126">
        <v>70319</v>
      </c>
      <c r="I35" s="33">
        <v>70313</v>
      </c>
    </row>
    <row r="36" spans="1:9" s="17" customFormat="1" ht="16.5" customHeight="1" x14ac:dyDescent="0.15">
      <c r="A36" s="406" t="s">
        <v>28</v>
      </c>
      <c r="B36" s="401" t="s">
        <v>523</v>
      </c>
      <c r="C36" s="402"/>
      <c r="D36" s="130">
        <v>18</v>
      </c>
      <c r="E36" s="131">
        <v>18</v>
      </c>
      <c r="F36" s="130">
        <v>21</v>
      </c>
      <c r="G36" s="131">
        <v>21</v>
      </c>
      <c r="H36" s="126">
        <v>19</v>
      </c>
      <c r="I36" s="33">
        <v>19</v>
      </c>
    </row>
    <row r="37" spans="1:9" s="17" customFormat="1" ht="16.5" customHeight="1" x14ac:dyDescent="0.15">
      <c r="A37" s="406"/>
      <c r="B37" s="401" t="s">
        <v>519</v>
      </c>
      <c r="C37" s="402"/>
      <c r="D37" s="130">
        <v>448</v>
      </c>
      <c r="E37" s="131">
        <v>448</v>
      </c>
      <c r="F37" s="130">
        <v>452</v>
      </c>
      <c r="G37" s="131">
        <v>452</v>
      </c>
      <c r="H37" s="126">
        <v>405</v>
      </c>
      <c r="I37" s="33">
        <v>405</v>
      </c>
    </row>
    <row r="38" spans="1:9" s="17" customFormat="1" ht="16.5" customHeight="1" x14ac:dyDescent="0.15">
      <c r="A38" s="406"/>
      <c r="B38" s="401" t="s">
        <v>521</v>
      </c>
      <c r="C38" s="402"/>
      <c r="D38" s="130">
        <v>465863</v>
      </c>
      <c r="E38" s="131">
        <v>465869</v>
      </c>
      <c r="F38" s="130">
        <v>429512</v>
      </c>
      <c r="G38" s="131">
        <v>429514</v>
      </c>
      <c r="H38" s="126">
        <v>396274</v>
      </c>
      <c r="I38" s="33">
        <v>396287</v>
      </c>
    </row>
    <row r="39" spans="1:9" s="17" customFormat="1" ht="16.5" customHeight="1" x14ac:dyDescent="0.15">
      <c r="A39" s="406" t="s">
        <v>528</v>
      </c>
      <c r="B39" s="401" t="s">
        <v>523</v>
      </c>
      <c r="C39" s="402"/>
      <c r="D39" s="130">
        <v>10584</v>
      </c>
      <c r="E39" s="131">
        <v>7266</v>
      </c>
      <c r="F39" s="130">
        <v>9684</v>
      </c>
      <c r="G39" s="131">
        <v>9425</v>
      </c>
      <c r="H39" s="126">
        <v>9152</v>
      </c>
      <c r="I39" s="33">
        <v>8702</v>
      </c>
    </row>
    <row r="40" spans="1:9" s="17" customFormat="1" ht="16.5" customHeight="1" x14ac:dyDescent="0.15">
      <c r="A40" s="406"/>
      <c r="B40" s="401" t="s">
        <v>519</v>
      </c>
      <c r="C40" s="402"/>
      <c r="D40" s="130">
        <v>35869</v>
      </c>
      <c r="E40" s="131">
        <v>36402</v>
      </c>
      <c r="F40" s="130">
        <v>27228</v>
      </c>
      <c r="G40" s="131">
        <v>25317</v>
      </c>
      <c r="H40" s="126">
        <v>24232</v>
      </c>
      <c r="I40" s="33">
        <v>24416</v>
      </c>
    </row>
    <row r="41" spans="1:9" s="17" customFormat="1" ht="16.5" customHeight="1" x14ac:dyDescent="0.15">
      <c r="A41" s="407"/>
      <c r="B41" s="408" t="s">
        <v>521</v>
      </c>
      <c r="C41" s="409"/>
      <c r="D41" s="132">
        <v>65906</v>
      </c>
      <c r="E41" s="133">
        <v>64536</v>
      </c>
      <c r="F41" s="132">
        <v>62858</v>
      </c>
      <c r="G41" s="133">
        <v>62542</v>
      </c>
      <c r="H41" s="127">
        <v>68554</v>
      </c>
      <c r="I41" s="34">
        <v>69723</v>
      </c>
    </row>
    <row r="42" spans="1:9" s="17" customFormat="1" ht="16.5" customHeight="1" x14ac:dyDescent="0.15">
      <c r="A42" s="3" t="s">
        <v>529</v>
      </c>
      <c r="B42" s="3"/>
      <c r="C42" s="3"/>
      <c r="D42" s="3"/>
      <c r="E42" s="3"/>
      <c r="F42" s="3"/>
      <c r="G42" s="3"/>
      <c r="H42" s="3"/>
      <c r="I42" s="3"/>
    </row>
    <row r="43" spans="1:9" s="17" customFormat="1" ht="16.5" customHeight="1" x14ac:dyDescent="0.15">
      <c r="A43" s="97" t="s">
        <v>728</v>
      </c>
      <c r="B43" s="97"/>
      <c r="C43" s="97"/>
      <c r="D43" s="3"/>
      <c r="E43" s="3"/>
      <c r="F43" s="3"/>
      <c r="G43" s="3"/>
      <c r="H43" s="3"/>
      <c r="I43" s="3"/>
    </row>
    <row r="44" spans="1:9" s="17" customFormat="1" ht="16.5" customHeight="1" x14ac:dyDescent="0.15">
      <c r="A44" s="405" t="s">
        <v>691</v>
      </c>
      <c r="B44" s="405"/>
      <c r="C44" s="405"/>
      <c r="D44" s="3"/>
      <c r="E44" s="3"/>
      <c r="F44" s="3"/>
      <c r="G44" s="3"/>
      <c r="H44" s="3"/>
      <c r="I44" s="3"/>
    </row>
    <row r="45" spans="1:9" s="17" customFormat="1" ht="16.5" customHeight="1" x14ac:dyDescent="0.15">
      <c r="A45" s="389"/>
      <c r="B45" s="389"/>
      <c r="C45" s="389"/>
      <c r="D45" s="3"/>
      <c r="E45" s="3"/>
      <c r="F45" s="3"/>
      <c r="G45" s="3"/>
      <c r="H45" s="3"/>
      <c r="I45" s="3"/>
    </row>
    <row r="46" spans="1:9" s="17" customFormat="1" ht="16.5" customHeight="1" x14ac:dyDescent="0.15">
      <c r="A46" s="63" t="s">
        <v>530</v>
      </c>
      <c r="B46" s="3"/>
      <c r="C46" s="3"/>
      <c r="D46" s="3"/>
      <c r="E46" s="3"/>
      <c r="F46" s="3"/>
      <c r="G46" s="3"/>
      <c r="H46" s="3"/>
      <c r="I46" s="3"/>
    </row>
    <row r="47" spans="1:9" s="17" customFormat="1" ht="16.5" customHeight="1" x14ac:dyDescent="0.15">
      <c r="A47" s="63"/>
      <c r="B47" s="63"/>
      <c r="C47" s="63"/>
      <c r="D47" s="63"/>
      <c r="E47" s="63"/>
      <c r="F47" s="63"/>
      <c r="G47" s="63"/>
      <c r="H47" s="63"/>
      <c r="I47" s="63"/>
    </row>
    <row r="48" spans="1:9" s="17" customFormat="1" ht="16.5" customHeight="1" x14ac:dyDescent="0.15">
      <c r="A48" s="80" t="s">
        <v>531</v>
      </c>
      <c r="B48" s="313"/>
      <c r="C48" s="313"/>
      <c r="D48" s="3"/>
      <c r="E48" s="3"/>
      <c r="F48" s="3"/>
      <c r="G48" s="3"/>
      <c r="H48" s="3"/>
      <c r="I48" s="3"/>
    </row>
    <row r="49" spans="1:9" ht="16.5" customHeight="1" x14ac:dyDescent="0.15">
      <c r="A49" s="313"/>
      <c r="B49" s="313"/>
      <c r="C49" s="313"/>
      <c r="D49" s="3"/>
      <c r="E49" s="3"/>
      <c r="F49" s="3"/>
      <c r="G49" s="3"/>
      <c r="H49" s="3"/>
      <c r="I49" s="3"/>
    </row>
    <row r="50" spans="1:9" ht="16.5" customHeight="1" x14ac:dyDescent="0.15">
      <c r="A50" s="53"/>
      <c r="B50" s="278" t="s">
        <v>532</v>
      </c>
      <c r="C50" s="54"/>
      <c r="D50" s="54"/>
      <c r="E50" s="54"/>
      <c r="F50" s="54"/>
      <c r="G50" s="54"/>
      <c r="H50" s="3"/>
      <c r="I50" s="3"/>
    </row>
    <row r="51" spans="1:9" ht="16.5" customHeight="1" x14ac:dyDescent="0.15">
      <c r="A51" s="294"/>
      <c r="B51" s="347" t="s">
        <v>515</v>
      </c>
      <c r="C51" s="347" t="s">
        <v>533</v>
      </c>
      <c r="D51" s="347" t="s">
        <v>526</v>
      </c>
      <c r="E51" s="347" t="s">
        <v>534</v>
      </c>
      <c r="F51" s="347" t="s">
        <v>535</v>
      </c>
      <c r="G51" s="347" t="s">
        <v>536</v>
      </c>
      <c r="H51" s="3"/>
      <c r="I51" s="3"/>
    </row>
    <row r="52" spans="1:9" ht="16.5" customHeight="1" x14ac:dyDescent="0.15">
      <c r="A52" s="358" t="s">
        <v>217</v>
      </c>
      <c r="B52" s="347">
        <v>356587</v>
      </c>
      <c r="C52" s="347">
        <v>312886</v>
      </c>
      <c r="D52" s="347">
        <v>104122</v>
      </c>
      <c r="E52" s="347">
        <v>61349</v>
      </c>
      <c r="F52" s="347">
        <v>868901</v>
      </c>
      <c r="G52" s="355">
        <v>1703845</v>
      </c>
      <c r="H52" s="3"/>
      <c r="I52" s="3"/>
    </row>
    <row r="53" spans="1:9" ht="16.5" customHeight="1" x14ac:dyDescent="0.15">
      <c r="A53" s="358" t="s">
        <v>218</v>
      </c>
      <c r="B53" s="347">
        <v>368992</v>
      </c>
      <c r="C53" s="347">
        <v>310190</v>
      </c>
      <c r="D53" s="347">
        <v>119460</v>
      </c>
      <c r="E53" s="347">
        <v>56334</v>
      </c>
      <c r="F53" s="347">
        <v>800357</v>
      </c>
      <c r="G53" s="355">
        <v>1655333</v>
      </c>
      <c r="H53" s="3"/>
      <c r="I53" s="3"/>
    </row>
    <row r="54" spans="1:9" ht="16.5" customHeight="1" x14ac:dyDescent="0.15">
      <c r="A54" s="358" t="s">
        <v>219</v>
      </c>
      <c r="B54" s="347">
        <v>378617</v>
      </c>
      <c r="C54" s="347">
        <v>307806</v>
      </c>
      <c r="D54" s="347">
        <v>127841</v>
      </c>
      <c r="E54" s="347">
        <v>53054</v>
      </c>
      <c r="F54" s="347">
        <v>751823</v>
      </c>
      <c r="G54" s="355">
        <v>1619141</v>
      </c>
      <c r="H54" s="3"/>
      <c r="I54" s="3"/>
    </row>
    <row r="55" spans="1:9" ht="16.5" customHeight="1" x14ac:dyDescent="0.15">
      <c r="A55" s="358" t="s">
        <v>220</v>
      </c>
      <c r="B55" s="347">
        <v>358213</v>
      </c>
      <c r="C55" s="347">
        <v>372984</v>
      </c>
      <c r="D55" s="347">
        <v>126499</v>
      </c>
      <c r="E55" s="347">
        <v>56099</v>
      </c>
      <c r="F55" s="347">
        <v>743166</v>
      </c>
      <c r="G55" s="355">
        <v>1656961</v>
      </c>
      <c r="H55" s="3"/>
      <c r="I55" s="3"/>
    </row>
    <row r="56" spans="1:9" ht="16.5" customHeight="1" x14ac:dyDescent="0.15">
      <c r="A56" s="358" t="s">
        <v>221</v>
      </c>
      <c r="B56" s="347">
        <v>366772</v>
      </c>
      <c r="C56" s="347">
        <v>367114</v>
      </c>
      <c r="D56" s="347">
        <v>117374</v>
      </c>
      <c r="E56" s="347">
        <v>46469</v>
      </c>
      <c r="F56" s="347">
        <v>684644</v>
      </c>
      <c r="G56" s="355">
        <v>1582373</v>
      </c>
      <c r="H56" s="3"/>
      <c r="I56" s="3"/>
    </row>
    <row r="57" spans="1:9" ht="16.5" customHeight="1" x14ac:dyDescent="0.15">
      <c r="A57" s="358" t="s">
        <v>222</v>
      </c>
      <c r="B57" s="347">
        <v>363652</v>
      </c>
      <c r="C57" s="347">
        <v>380799</v>
      </c>
      <c r="D57" s="347">
        <v>111525</v>
      </c>
      <c r="E57" s="347">
        <v>54239</v>
      </c>
      <c r="F57" s="347">
        <v>667471</v>
      </c>
      <c r="G57" s="355">
        <v>1577686</v>
      </c>
      <c r="H57" s="3"/>
      <c r="I57" s="3"/>
    </row>
    <row r="58" spans="1:9" ht="16.5" customHeight="1" x14ac:dyDescent="0.15">
      <c r="A58" s="358" t="s">
        <v>223</v>
      </c>
      <c r="B58" s="347">
        <v>389155</v>
      </c>
      <c r="C58" s="347">
        <v>392456</v>
      </c>
      <c r="D58" s="347">
        <v>104541</v>
      </c>
      <c r="E58" s="347">
        <v>74580</v>
      </c>
      <c r="F58" s="347">
        <v>684072</v>
      </c>
      <c r="G58" s="355">
        <v>1644804</v>
      </c>
      <c r="H58" s="3"/>
      <c r="I58" s="3"/>
    </row>
    <row r="59" spans="1:9" ht="16.5" customHeight="1" x14ac:dyDescent="0.15">
      <c r="A59" s="358" t="s">
        <v>224</v>
      </c>
      <c r="B59" s="347">
        <v>371887</v>
      </c>
      <c r="C59" s="347">
        <v>396698</v>
      </c>
      <c r="D59" s="347">
        <v>101938</v>
      </c>
      <c r="E59" s="347">
        <v>70319</v>
      </c>
      <c r="F59" s="347">
        <v>605755</v>
      </c>
      <c r="G59" s="355">
        <v>1546597</v>
      </c>
      <c r="H59" s="3"/>
      <c r="I59" s="3"/>
    </row>
    <row r="60" spans="1:9" ht="16.5" customHeight="1" x14ac:dyDescent="0.15">
      <c r="A60" s="358" t="s">
        <v>225</v>
      </c>
      <c r="B60" s="347">
        <v>339753</v>
      </c>
      <c r="C60" s="347">
        <v>429985</v>
      </c>
      <c r="D60" s="347">
        <v>99770</v>
      </c>
      <c r="E60" s="347">
        <v>65280</v>
      </c>
      <c r="F60" s="347">
        <v>520947</v>
      </c>
      <c r="G60" s="347">
        <v>1455735</v>
      </c>
      <c r="H60" s="3"/>
      <c r="I60" s="3"/>
    </row>
    <row r="61" spans="1:9" ht="16.5" customHeight="1" x14ac:dyDescent="0.15">
      <c r="A61" s="358" t="s">
        <v>493</v>
      </c>
      <c r="B61" s="360">
        <v>343150</v>
      </c>
      <c r="C61" s="360">
        <v>466329</v>
      </c>
      <c r="D61" s="360">
        <v>112359</v>
      </c>
      <c r="E61" s="360">
        <v>67864</v>
      </c>
      <c r="F61" s="360">
        <v>491690</v>
      </c>
      <c r="G61" s="360">
        <v>1481392</v>
      </c>
      <c r="H61" s="3"/>
      <c r="I61" s="3"/>
    </row>
    <row r="62" spans="1:9" ht="16.5" customHeight="1" x14ac:dyDescent="0.15">
      <c r="A62" s="313"/>
      <c r="B62" s="313"/>
      <c r="C62" s="313"/>
      <c r="D62" s="3"/>
      <c r="E62" s="3"/>
      <c r="F62" s="3"/>
      <c r="G62" s="3"/>
      <c r="H62" s="3"/>
      <c r="I62" s="3"/>
    </row>
    <row r="63" spans="1:9" ht="16.5" customHeight="1" x14ac:dyDescent="0.15">
      <c r="A63" s="313"/>
      <c r="B63" s="313"/>
      <c r="C63" s="313"/>
      <c r="D63" s="3"/>
      <c r="E63" s="3"/>
      <c r="F63" s="3"/>
      <c r="G63" s="3"/>
      <c r="H63" s="3"/>
      <c r="I63" s="3"/>
    </row>
    <row r="64" spans="1:9" ht="16.5" customHeight="1" x14ac:dyDescent="0.15">
      <c r="A64" s="313"/>
      <c r="B64" s="313"/>
      <c r="C64" s="313"/>
      <c r="D64" s="3"/>
      <c r="E64" s="3"/>
      <c r="F64" s="3"/>
      <c r="G64" s="3"/>
      <c r="H64" s="3"/>
      <c r="I64" s="3"/>
    </row>
    <row r="69" spans="1:9" ht="16.5" customHeight="1" x14ac:dyDescent="0.15">
      <c r="A69" s="80" t="s">
        <v>537</v>
      </c>
      <c r="B69" s="3"/>
      <c r="C69" s="3"/>
      <c r="D69" s="3"/>
      <c r="E69" s="3"/>
      <c r="F69" s="3"/>
      <c r="G69" s="3"/>
      <c r="H69" s="59"/>
      <c r="I69" s="59"/>
    </row>
    <row r="70" spans="1:9" ht="16.5" customHeight="1" x14ac:dyDescent="0.15">
      <c r="A70" s="270" t="s">
        <v>538</v>
      </c>
      <c r="B70" s="400" t="s">
        <v>93</v>
      </c>
      <c r="C70" s="400"/>
      <c r="D70" s="400" t="s">
        <v>210</v>
      </c>
      <c r="E70" s="400"/>
      <c r="F70" s="400" t="s">
        <v>211</v>
      </c>
      <c r="G70" s="410"/>
      <c r="H70" s="59"/>
      <c r="I70" s="59"/>
    </row>
    <row r="71" spans="1:9" ht="16.5" customHeight="1" x14ac:dyDescent="0.15">
      <c r="A71" s="271" t="s">
        <v>539</v>
      </c>
      <c r="B71" s="315" t="s">
        <v>540</v>
      </c>
      <c r="C71" s="315" t="s">
        <v>541</v>
      </c>
      <c r="D71" s="315" t="s">
        <v>540</v>
      </c>
      <c r="E71" s="315" t="s">
        <v>541</v>
      </c>
      <c r="F71" s="315" t="s">
        <v>540</v>
      </c>
      <c r="G71" s="316" t="s">
        <v>212</v>
      </c>
      <c r="H71" s="59"/>
      <c r="I71" s="59"/>
    </row>
    <row r="72" spans="1:9" ht="16.5" customHeight="1" x14ac:dyDescent="0.15">
      <c r="A72" s="362">
        <v>2010</v>
      </c>
      <c r="B72" s="135">
        <v>1703845</v>
      </c>
      <c r="C72" s="340">
        <v>100</v>
      </c>
      <c r="D72" s="286">
        <v>356587</v>
      </c>
      <c r="E72" s="341">
        <v>100</v>
      </c>
      <c r="F72" s="286">
        <v>868901</v>
      </c>
      <c r="G72" s="27">
        <v>100</v>
      </c>
      <c r="H72" s="59"/>
      <c r="I72" s="59"/>
    </row>
    <row r="73" spans="1:9" ht="16.5" customHeight="1" x14ac:dyDescent="0.15">
      <c r="A73" s="362">
        <v>2011</v>
      </c>
      <c r="B73" s="135">
        <v>1655333</v>
      </c>
      <c r="C73" s="340">
        <v>97.15279265426139</v>
      </c>
      <c r="D73" s="286">
        <v>368992</v>
      </c>
      <c r="E73" s="341">
        <v>103.47881442677382</v>
      </c>
      <c r="F73" s="286">
        <v>800357</v>
      </c>
      <c r="G73" s="27">
        <v>92.111414303815977</v>
      </c>
      <c r="H73" s="59"/>
      <c r="I73" s="59"/>
    </row>
    <row r="74" spans="1:9" ht="16.5" customHeight="1" x14ac:dyDescent="0.15">
      <c r="A74" s="362">
        <v>2012</v>
      </c>
      <c r="B74" s="135">
        <v>1619141</v>
      </c>
      <c r="C74" s="340">
        <v>95.028655775613387</v>
      </c>
      <c r="D74" s="286">
        <v>378617</v>
      </c>
      <c r="E74" s="341">
        <v>106.17801546326704</v>
      </c>
      <c r="F74" s="286">
        <v>751823</v>
      </c>
      <c r="G74" s="27">
        <v>86.525737684730487</v>
      </c>
      <c r="H74" s="59"/>
      <c r="I74" s="59"/>
    </row>
    <row r="75" spans="1:9" ht="16.5" customHeight="1" x14ac:dyDescent="0.15">
      <c r="A75" s="362">
        <v>2013</v>
      </c>
      <c r="B75" s="135">
        <v>1656961</v>
      </c>
      <c r="C75" s="340">
        <v>97.248341251698363</v>
      </c>
      <c r="D75" s="286">
        <v>358213</v>
      </c>
      <c r="E75" s="341">
        <v>100.45598970237278</v>
      </c>
      <c r="F75" s="286">
        <v>743166</v>
      </c>
      <c r="G75" s="27">
        <v>85.529421648726384</v>
      </c>
      <c r="H75" s="59"/>
      <c r="I75" s="59"/>
    </row>
    <row r="76" spans="1:9" ht="16.5" customHeight="1" x14ac:dyDescent="0.15">
      <c r="A76" s="362">
        <v>2014</v>
      </c>
      <c r="B76" s="135">
        <v>1582373</v>
      </c>
      <c r="C76" s="340">
        <v>92.870713004997512</v>
      </c>
      <c r="D76" s="286">
        <v>366772</v>
      </c>
      <c r="E76" s="341">
        <v>102.85624546043462</v>
      </c>
      <c r="F76" s="286">
        <v>684644</v>
      </c>
      <c r="G76" s="27">
        <v>78.794246985559923</v>
      </c>
      <c r="H76" s="59"/>
      <c r="I76" s="59"/>
    </row>
    <row r="77" spans="1:9" ht="16.5" customHeight="1" x14ac:dyDescent="0.15">
      <c r="A77" s="362">
        <v>2015</v>
      </c>
      <c r="B77" s="135">
        <v>1577686</v>
      </c>
      <c r="C77" s="340">
        <v>92.595629297265887</v>
      </c>
      <c r="D77" s="286">
        <v>363652</v>
      </c>
      <c r="E77" s="341">
        <v>101.98128366990385</v>
      </c>
      <c r="F77" s="286">
        <v>667471</v>
      </c>
      <c r="G77" s="27">
        <v>76.817842308847617</v>
      </c>
      <c r="H77" s="59"/>
      <c r="I77" s="59"/>
    </row>
    <row r="78" spans="1:9" ht="16.5" customHeight="1" x14ac:dyDescent="0.15">
      <c r="A78" s="362">
        <v>2016</v>
      </c>
      <c r="B78" s="135">
        <v>1644804</v>
      </c>
      <c r="C78" s="340">
        <v>96.534837382508385</v>
      </c>
      <c r="D78" s="286">
        <v>389155</v>
      </c>
      <c r="E78" s="341">
        <v>109.13325499807902</v>
      </c>
      <c r="F78" s="286">
        <v>684072</v>
      </c>
      <c r="G78" s="27">
        <v>78.728416701097132</v>
      </c>
      <c r="H78" s="59"/>
      <c r="I78" s="59"/>
    </row>
    <row r="79" spans="1:9" ht="16.5" customHeight="1" x14ac:dyDescent="0.15">
      <c r="A79" s="362">
        <v>2017</v>
      </c>
      <c r="B79" s="135">
        <v>1546597</v>
      </c>
      <c r="C79" s="340">
        <v>90.770991492770762</v>
      </c>
      <c r="D79" s="286">
        <v>371887</v>
      </c>
      <c r="E79" s="341">
        <v>104.29067801125672</v>
      </c>
      <c r="F79" s="286">
        <v>605755</v>
      </c>
      <c r="G79" s="27">
        <v>69.715076861460616</v>
      </c>
      <c r="H79" s="59"/>
      <c r="I79" s="59"/>
    </row>
    <row r="80" spans="1:9" ht="16.5" customHeight="1" x14ac:dyDescent="0.15">
      <c r="A80" s="362">
        <v>2018</v>
      </c>
      <c r="B80" s="135">
        <v>1455735</v>
      </c>
      <c r="C80" s="340">
        <v>85.438229416408191</v>
      </c>
      <c r="D80" s="38">
        <v>339753</v>
      </c>
      <c r="E80" s="342">
        <v>95.279132441732315</v>
      </c>
      <c r="F80" s="38">
        <v>520947</v>
      </c>
      <c r="G80" s="39">
        <v>59.954701398663367</v>
      </c>
      <c r="H80" s="59"/>
      <c r="I80" s="59"/>
    </row>
    <row r="81" spans="1:9" ht="16.5" customHeight="1" x14ac:dyDescent="0.15">
      <c r="A81" s="366">
        <v>2019</v>
      </c>
      <c r="B81" s="135">
        <v>1481392</v>
      </c>
      <c r="C81" s="340">
        <v>86.944058878595172</v>
      </c>
      <c r="D81" s="38">
        <v>343150</v>
      </c>
      <c r="E81" s="342">
        <v>96.231775134819827</v>
      </c>
      <c r="F81" s="38">
        <v>491690</v>
      </c>
      <c r="G81" s="39">
        <v>56.587574418719747</v>
      </c>
      <c r="H81" s="59"/>
      <c r="I81" s="59"/>
    </row>
    <row r="82" spans="1:9" ht="16.5" customHeight="1" x14ac:dyDescent="0.15">
      <c r="A82" s="270" t="s">
        <v>538</v>
      </c>
      <c r="B82" s="400" t="s">
        <v>213</v>
      </c>
      <c r="C82" s="400"/>
      <c r="D82" s="400" t="s">
        <v>214</v>
      </c>
      <c r="E82" s="400"/>
      <c r="F82" s="400" t="s">
        <v>215</v>
      </c>
      <c r="G82" s="410"/>
    </row>
    <row r="83" spans="1:9" ht="16.5" customHeight="1" x14ac:dyDescent="0.15">
      <c r="A83" s="271" t="s">
        <v>539</v>
      </c>
      <c r="B83" s="315" t="s">
        <v>107</v>
      </c>
      <c r="C83" s="315" t="s">
        <v>212</v>
      </c>
      <c r="D83" s="315" t="s">
        <v>107</v>
      </c>
      <c r="E83" s="315" t="s">
        <v>212</v>
      </c>
      <c r="F83" s="315" t="s">
        <v>107</v>
      </c>
      <c r="G83" s="316" t="s">
        <v>212</v>
      </c>
    </row>
    <row r="84" spans="1:9" ht="16.5" customHeight="1" x14ac:dyDescent="0.15">
      <c r="A84" s="362">
        <v>2010</v>
      </c>
      <c r="B84" s="286">
        <v>61349</v>
      </c>
      <c r="C84" s="341">
        <v>100</v>
      </c>
      <c r="D84" s="286">
        <v>312886</v>
      </c>
      <c r="E84" s="341">
        <v>100</v>
      </c>
      <c r="F84" s="38">
        <v>104122</v>
      </c>
      <c r="G84" s="39">
        <v>100</v>
      </c>
    </row>
    <row r="85" spans="1:9" ht="16.5" customHeight="1" x14ac:dyDescent="0.15">
      <c r="A85" s="362">
        <v>2011</v>
      </c>
      <c r="B85" s="286">
        <v>56334</v>
      </c>
      <c r="C85" s="341">
        <v>91.825457627671199</v>
      </c>
      <c r="D85" s="286">
        <v>310190</v>
      </c>
      <c r="E85" s="341">
        <v>99.138344317099509</v>
      </c>
      <c r="F85" s="38">
        <v>119460</v>
      </c>
      <c r="G85" s="39">
        <v>114.7307965655673</v>
      </c>
    </row>
    <row r="86" spans="1:9" ht="16.5" customHeight="1" x14ac:dyDescent="0.15">
      <c r="A86" s="362">
        <v>2012</v>
      </c>
      <c r="B86" s="286">
        <v>53054</v>
      </c>
      <c r="C86" s="341">
        <v>86.478997212668503</v>
      </c>
      <c r="D86" s="286">
        <v>307806</v>
      </c>
      <c r="E86" s="341">
        <v>98.376405463970912</v>
      </c>
      <c r="F86" s="38">
        <v>127841</v>
      </c>
      <c r="G86" s="39">
        <v>122.78000806745932</v>
      </c>
    </row>
    <row r="87" spans="1:9" ht="16.5" customHeight="1" x14ac:dyDescent="0.15">
      <c r="A87" s="362">
        <v>2013</v>
      </c>
      <c r="B87" s="286">
        <v>56099</v>
      </c>
      <c r="C87" s="341">
        <v>91.442403299157277</v>
      </c>
      <c r="D87" s="286">
        <v>372984</v>
      </c>
      <c r="E87" s="341">
        <v>119.20763472958203</v>
      </c>
      <c r="F87" s="38">
        <v>126499</v>
      </c>
      <c r="G87" s="39">
        <v>121.49113539885903</v>
      </c>
    </row>
    <row r="88" spans="1:9" ht="16.5" customHeight="1" x14ac:dyDescent="0.15">
      <c r="A88" s="362">
        <v>2014</v>
      </c>
      <c r="B88" s="318">
        <v>46469</v>
      </c>
      <c r="C88" s="341">
        <v>75.745325922182914</v>
      </c>
      <c r="D88" s="286">
        <v>367114</v>
      </c>
      <c r="E88" s="341">
        <v>117.33155206688699</v>
      </c>
      <c r="F88" s="134">
        <v>117374</v>
      </c>
      <c r="G88" s="39">
        <v>112.72737749947177</v>
      </c>
    </row>
    <row r="89" spans="1:9" ht="16.5" customHeight="1" x14ac:dyDescent="0.15">
      <c r="A89" s="362">
        <v>2015</v>
      </c>
      <c r="B89" s="318">
        <v>54239</v>
      </c>
      <c r="C89" s="341">
        <v>88.410569039430143</v>
      </c>
      <c r="D89" s="286">
        <v>380799</v>
      </c>
      <c r="E89" s="341">
        <v>121.70534955223309</v>
      </c>
      <c r="F89" s="134">
        <v>111525</v>
      </c>
      <c r="G89" s="39">
        <v>107.1099287374426</v>
      </c>
    </row>
    <row r="90" spans="1:9" ht="16.5" customHeight="1" x14ac:dyDescent="0.15">
      <c r="A90" s="362">
        <v>2016</v>
      </c>
      <c r="B90" s="318">
        <v>74580</v>
      </c>
      <c r="C90" s="341">
        <v>121.56677370454285</v>
      </c>
      <c r="D90" s="286">
        <v>392456</v>
      </c>
      <c r="E90" s="341">
        <v>125.43098764406207</v>
      </c>
      <c r="F90" s="134">
        <v>104541</v>
      </c>
      <c r="G90" s="39">
        <v>100.40241255450337</v>
      </c>
    </row>
    <row r="91" spans="1:9" ht="16.5" customHeight="1" x14ac:dyDescent="0.15">
      <c r="A91" s="362">
        <v>2017</v>
      </c>
      <c r="B91" s="318">
        <v>70319</v>
      </c>
      <c r="C91" s="341">
        <v>114.62126522029699</v>
      </c>
      <c r="D91" s="286">
        <v>396698</v>
      </c>
      <c r="E91" s="341">
        <v>126.78675300269107</v>
      </c>
      <c r="F91" s="134">
        <v>101938</v>
      </c>
      <c r="G91" s="39">
        <v>97.902460575094594</v>
      </c>
    </row>
    <row r="92" spans="1:9" ht="16.5" customHeight="1" x14ac:dyDescent="0.15">
      <c r="A92" s="362">
        <v>2018</v>
      </c>
      <c r="B92" s="134">
        <v>65280</v>
      </c>
      <c r="C92" s="342">
        <v>106.40760240590718</v>
      </c>
      <c r="D92" s="38">
        <v>429985</v>
      </c>
      <c r="E92" s="342">
        <v>137.42545208158882</v>
      </c>
      <c r="F92" s="134">
        <v>99770</v>
      </c>
      <c r="G92" s="39">
        <v>95.82028773938265</v>
      </c>
    </row>
    <row r="93" spans="1:9" ht="16.5" customHeight="1" x14ac:dyDescent="0.15">
      <c r="A93" s="366">
        <v>2019</v>
      </c>
      <c r="B93" s="343">
        <v>67864</v>
      </c>
      <c r="C93" s="344">
        <v>110.61957000114103</v>
      </c>
      <c r="D93" s="345">
        <v>466329</v>
      </c>
      <c r="E93" s="344">
        <v>149.04118432911667</v>
      </c>
      <c r="F93" s="343">
        <v>112359</v>
      </c>
      <c r="G93" s="346">
        <v>107.91091219915099</v>
      </c>
    </row>
    <row r="94" spans="1:9" ht="16.5" customHeight="1" x14ac:dyDescent="0.15">
      <c r="A94" s="3" t="s">
        <v>542</v>
      </c>
      <c r="B94" s="3"/>
      <c r="C94" s="3"/>
      <c r="D94" s="3"/>
      <c r="E94" s="3"/>
      <c r="F94" s="3"/>
      <c r="G94" s="3"/>
    </row>
  </sheetData>
  <sheetProtection algorithmName="SHA-512" hashValue="3AGrBAu1JnX2alGGSZDqCTVi9cZSA2A7t7fOr5D34UlLQ8As9h1JQb9lUcp0xHpavxLzXCGLyvZNcvKswqCqLA==" saltValue="Te4VVNIIWZP8jcQhavv3Xg==" spinCount="100000" sheet="1" objects="1" scenarios="1"/>
  <mergeCells count="32">
    <mergeCell ref="B70:C70"/>
    <mergeCell ref="F82:G82"/>
    <mergeCell ref="H19:I19"/>
    <mergeCell ref="D70:E70"/>
    <mergeCell ref="F70:G70"/>
    <mergeCell ref="A34:C34"/>
    <mergeCell ref="A35:C35"/>
    <mergeCell ref="A31:A33"/>
    <mergeCell ref="B31:C31"/>
    <mergeCell ref="A21:C21"/>
    <mergeCell ref="F19:G19"/>
    <mergeCell ref="A23:C23"/>
    <mergeCell ref="A24:A30"/>
    <mergeCell ref="B24:B26"/>
    <mergeCell ref="B27:B28"/>
    <mergeCell ref="A22:C22"/>
    <mergeCell ref="A3:C13"/>
    <mergeCell ref="B82:C82"/>
    <mergeCell ref="D82:E82"/>
    <mergeCell ref="B38:C38"/>
    <mergeCell ref="B32:C32"/>
    <mergeCell ref="B33:C33"/>
    <mergeCell ref="A44:C44"/>
    <mergeCell ref="A39:A41"/>
    <mergeCell ref="B39:C39"/>
    <mergeCell ref="B40:C40"/>
    <mergeCell ref="B41:C41"/>
    <mergeCell ref="A36:A38"/>
    <mergeCell ref="B29:B30"/>
    <mergeCell ref="D19:E19"/>
    <mergeCell ref="B36:C36"/>
    <mergeCell ref="B37:C37"/>
  </mergeCells>
  <phoneticPr fontId="5" type="noConversion"/>
  <pageMargins left="0.23622047244094491" right="7.874015748031496E-2" top="0.47244094488188981" bottom="0.11811023622047245" header="0.51181102362204722" footer="0.51181102362204722"/>
  <pageSetup paperSize="9" scale="87" fitToHeight="0" pageOrder="overThenDown" orientation="portrait" horizontalDpi="1200" verticalDpi="1200" r:id="rId1"/>
  <headerFooter alignWithMargins="0"/>
  <rowBreaks count="1" manualBreakCount="1">
    <brk id="45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85"/>
  <sheetViews>
    <sheetView showGridLines="0" zoomScaleNormal="100" zoomScaleSheetLayoutView="100" workbookViewId="0"/>
  </sheetViews>
  <sheetFormatPr defaultRowHeight="16.5" customHeight="1" x14ac:dyDescent="0.15"/>
  <cols>
    <col min="1" max="8" width="11.109375" style="101" customWidth="1"/>
    <col min="9" max="16384" width="8.88671875" style="2"/>
  </cols>
  <sheetData>
    <row r="1" spans="1:8" s="1" customFormat="1" ht="16.5" customHeight="1" x14ac:dyDescent="0.15">
      <c r="A1" s="80" t="s">
        <v>23</v>
      </c>
      <c r="B1" s="3"/>
      <c r="C1" s="3"/>
      <c r="D1" s="3"/>
      <c r="E1" s="3"/>
      <c r="F1" s="3"/>
      <c r="G1" s="3"/>
      <c r="H1" s="3"/>
    </row>
    <row r="2" spans="1:8" s="1" customFormat="1" ht="16.5" customHeight="1" x14ac:dyDescent="0.15">
      <c r="A2" s="3"/>
      <c r="B2" s="3"/>
      <c r="C2" s="3"/>
      <c r="D2" s="3"/>
      <c r="E2" s="3"/>
      <c r="F2" s="3"/>
      <c r="G2" s="3"/>
      <c r="H2" s="3"/>
    </row>
    <row r="3" spans="1:8" s="1" customFormat="1" ht="16.5" customHeight="1" x14ac:dyDescent="0.15">
      <c r="A3" s="80" t="s">
        <v>24</v>
      </c>
      <c r="B3" s="3"/>
      <c r="C3" s="3"/>
      <c r="D3" s="3"/>
      <c r="E3" s="3"/>
      <c r="F3" s="3"/>
      <c r="G3" s="3"/>
      <c r="H3" s="3"/>
    </row>
    <row r="4" spans="1:8" s="1" customFormat="1" ht="16.5" customHeight="1" x14ac:dyDescent="0.15">
      <c r="A4" s="399" t="s">
        <v>687</v>
      </c>
      <c r="B4" s="399"/>
      <c r="C4" s="399"/>
      <c r="D4" s="399"/>
      <c r="E4" s="399"/>
      <c r="F4" s="399"/>
      <c r="G4" s="399"/>
      <c r="H4" s="399"/>
    </row>
    <row r="5" spans="1:8" s="1" customFormat="1" ht="16.5" customHeight="1" x14ac:dyDescent="0.15">
      <c r="A5" s="399"/>
      <c r="B5" s="399"/>
      <c r="C5" s="399"/>
      <c r="D5" s="399"/>
      <c r="E5" s="399"/>
      <c r="F5" s="399"/>
      <c r="G5" s="399"/>
      <c r="H5" s="399"/>
    </row>
    <row r="6" spans="1:8" s="1" customFormat="1" ht="16.5" customHeight="1" x14ac:dyDescent="0.15">
      <c r="A6" s="399"/>
      <c r="B6" s="399"/>
      <c r="C6" s="399"/>
      <c r="D6" s="399"/>
      <c r="E6" s="399"/>
      <c r="F6" s="399"/>
      <c r="G6" s="399"/>
      <c r="H6" s="399"/>
    </row>
    <row r="7" spans="1:8" s="1" customFormat="1" ht="16.5" customHeight="1" x14ac:dyDescent="0.15">
      <c r="A7" s="63"/>
      <c r="B7" s="63"/>
      <c r="C7" s="63"/>
      <c r="D7" s="63"/>
      <c r="E7" s="63"/>
      <c r="F7" s="63"/>
      <c r="G7" s="63"/>
      <c r="H7" s="63"/>
    </row>
    <row r="8" spans="1:8" s="1" customFormat="1" ht="16.5" customHeight="1" x14ac:dyDescent="0.15">
      <c r="A8" s="80" t="s">
        <v>25</v>
      </c>
      <c r="B8" s="3"/>
      <c r="C8" s="3"/>
      <c r="D8" s="3"/>
      <c r="E8" s="391"/>
      <c r="F8" s="391"/>
      <c r="G8" s="391"/>
      <c r="H8" s="391"/>
    </row>
    <row r="9" spans="1:8" s="1" customFormat="1" ht="16.5" customHeight="1" x14ac:dyDescent="0.15">
      <c r="A9" s="80" t="s">
        <v>178</v>
      </c>
      <c r="B9" s="3"/>
      <c r="C9" s="3"/>
      <c r="D9" s="3"/>
      <c r="E9" s="3"/>
      <c r="F9" s="3"/>
      <c r="G9" s="3"/>
      <c r="H9" s="3"/>
    </row>
    <row r="10" spans="1:8" s="1" customFormat="1" ht="16.5" customHeight="1" x14ac:dyDescent="0.15">
      <c r="A10" s="63" t="s">
        <v>727</v>
      </c>
      <c r="B10" s="63"/>
      <c r="C10" s="63"/>
      <c r="D10" s="63"/>
      <c r="E10" s="3"/>
      <c r="F10" s="3"/>
      <c r="G10" s="3"/>
      <c r="H10" s="3"/>
    </row>
    <row r="11" spans="1:8" s="1" customFormat="1" ht="16.5" customHeight="1" x14ac:dyDescent="0.15">
      <c r="A11" s="80" t="s">
        <v>26</v>
      </c>
      <c r="B11" s="3"/>
      <c r="C11" s="3"/>
      <c r="D11" s="3"/>
      <c r="E11" s="3"/>
      <c r="F11" s="3"/>
      <c r="G11" s="3"/>
      <c r="H11" s="3"/>
    </row>
    <row r="12" spans="1:8" s="1" customFormat="1" ht="16.5" customHeight="1" x14ac:dyDescent="0.15">
      <c r="A12" s="399" t="s">
        <v>495</v>
      </c>
      <c r="B12" s="399"/>
      <c r="C12" s="399"/>
      <c r="D12" s="399"/>
      <c r="E12" s="399"/>
      <c r="F12" s="399"/>
      <c r="G12" s="399"/>
      <c r="H12" s="399"/>
    </row>
    <row r="13" spans="1:8" s="1" customFormat="1" ht="16.5" customHeight="1" x14ac:dyDescent="0.15">
      <c r="A13" s="399"/>
      <c r="B13" s="399"/>
      <c r="C13" s="399"/>
      <c r="D13" s="399"/>
      <c r="E13" s="399"/>
      <c r="F13" s="399"/>
      <c r="G13" s="399"/>
      <c r="H13" s="399"/>
    </row>
    <row r="14" spans="1:8" s="1" customFormat="1" ht="16.5" customHeight="1" x14ac:dyDescent="0.15">
      <c r="A14" s="63"/>
      <c r="B14" s="63"/>
      <c r="C14" s="63"/>
      <c r="D14" s="63"/>
      <c r="E14" s="63"/>
      <c r="F14" s="63"/>
      <c r="G14" s="63"/>
      <c r="H14" s="63"/>
    </row>
    <row r="15" spans="1:8" s="1" customFormat="1" ht="16.5" customHeight="1" x14ac:dyDescent="0.15">
      <c r="A15" s="80" t="s">
        <v>227</v>
      </c>
      <c r="B15" s="3"/>
      <c r="C15" s="3"/>
      <c r="D15" s="3"/>
      <c r="E15" s="3"/>
      <c r="F15" s="3"/>
      <c r="G15" s="3"/>
      <c r="H15" s="3"/>
    </row>
    <row r="16" spans="1:8" s="1" customFormat="1" ht="16.5" customHeight="1" x14ac:dyDescent="0.15">
      <c r="A16" s="3"/>
      <c r="B16" s="3"/>
      <c r="C16" s="3"/>
      <c r="D16" s="3"/>
      <c r="E16" s="3"/>
      <c r="F16" s="3"/>
      <c r="G16" s="3"/>
      <c r="H16" s="3"/>
    </row>
    <row r="17" spans="1:8" s="1" customFormat="1" ht="16.5" customHeight="1" x14ac:dyDescent="0.15">
      <c r="A17" s="22"/>
      <c r="B17" s="290" t="s">
        <v>458</v>
      </c>
      <c r="C17" s="22"/>
      <c r="D17" s="22"/>
      <c r="E17" s="22"/>
      <c r="F17" s="22"/>
      <c r="G17" s="3"/>
      <c r="H17" s="3"/>
    </row>
    <row r="18" spans="1:8" s="1" customFormat="1" ht="16.5" customHeight="1" x14ac:dyDescent="0.15">
      <c r="A18" s="291"/>
      <c r="B18" s="424" t="s">
        <v>87</v>
      </c>
      <c r="C18" s="424" t="s">
        <v>21</v>
      </c>
      <c r="D18" s="424"/>
      <c r="E18" s="424" t="s">
        <v>19</v>
      </c>
      <c r="F18" s="424" t="s">
        <v>161</v>
      </c>
      <c r="G18" s="3"/>
      <c r="H18" s="3"/>
    </row>
    <row r="19" spans="1:8" s="1" customFormat="1" ht="16.5" customHeight="1" x14ac:dyDescent="0.15">
      <c r="A19" s="291"/>
      <c r="B19" s="424"/>
      <c r="C19" s="291" t="s">
        <v>2</v>
      </c>
      <c r="D19" s="291" t="s">
        <v>3</v>
      </c>
      <c r="E19" s="424"/>
      <c r="F19" s="424"/>
      <c r="G19" s="3"/>
      <c r="H19" s="3"/>
    </row>
    <row r="20" spans="1:8" s="1" customFormat="1" ht="16.5" customHeight="1" x14ac:dyDescent="0.15">
      <c r="A20" s="320" t="s">
        <v>217</v>
      </c>
      <c r="B20" s="312">
        <v>263425</v>
      </c>
      <c r="C20" s="319">
        <v>10038</v>
      </c>
      <c r="D20" s="319">
        <v>60982</v>
      </c>
      <c r="E20" s="319">
        <v>21566</v>
      </c>
      <c r="F20" s="291">
        <v>356011</v>
      </c>
      <c r="G20" s="3"/>
      <c r="H20" s="3"/>
    </row>
    <row r="21" spans="1:8" s="1" customFormat="1" ht="16.5" customHeight="1" x14ac:dyDescent="0.15">
      <c r="A21" s="320" t="s">
        <v>218</v>
      </c>
      <c r="B21" s="312">
        <v>277744</v>
      </c>
      <c r="C21" s="319">
        <v>10042</v>
      </c>
      <c r="D21" s="319">
        <v>59014</v>
      </c>
      <c r="E21" s="319">
        <v>21504</v>
      </c>
      <c r="F21" s="291">
        <v>368304</v>
      </c>
      <c r="G21" s="3"/>
      <c r="H21" s="3"/>
    </row>
    <row r="22" spans="1:8" s="1" customFormat="1" ht="16.5" customHeight="1" x14ac:dyDescent="0.15">
      <c r="A22" s="320" t="s">
        <v>219</v>
      </c>
      <c r="B22" s="312">
        <v>292707</v>
      </c>
      <c r="C22" s="319">
        <v>12128</v>
      </c>
      <c r="D22" s="319">
        <v>54050</v>
      </c>
      <c r="E22" s="319">
        <v>19173</v>
      </c>
      <c r="F22" s="291">
        <v>378058</v>
      </c>
      <c r="G22" s="3"/>
      <c r="H22" s="3"/>
    </row>
    <row r="23" spans="1:8" s="1" customFormat="1" ht="16.5" customHeight="1" x14ac:dyDescent="0.15">
      <c r="A23" s="320" t="s">
        <v>220</v>
      </c>
      <c r="B23" s="312">
        <v>270469</v>
      </c>
      <c r="C23" s="319">
        <v>10296</v>
      </c>
      <c r="D23" s="319">
        <v>56729</v>
      </c>
      <c r="E23" s="319">
        <v>20062</v>
      </c>
      <c r="F23" s="291">
        <v>357556</v>
      </c>
      <c r="G23" s="3"/>
      <c r="H23" s="3"/>
    </row>
    <row r="24" spans="1:8" s="1" customFormat="1" ht="16.5" customHeight="1" x14ac:dyDescent="0.15">
      <c r="A24" s="320" t="s">
        <v>221</v>
      </c>
      <c r="B24" s="312">
        <v>268823</v>
      </c>
      <c r="C24" s="319">
        <v>11227</v>
      </c>
      <c r="D24" s="319">
        <v>65471</v>
      </c>
      <c r="E24" s="319">
        <v>20773</v>
      </c>
      <c r="F24" s="291">
        <v>366294</v>
      </c>
      <c r="G24" s="3"/>
      <c r="H24" s="3"/>
    </row>
    <row r="25" spans="1:8" s="1" customFormat="1" ht="16.5" customHeight="1" x14ac:dyDescent="0.15">
      <c r="A25" s="320" t="s">
        <v>222</v>
      </c>
      <c r="B25" s="312">
        <v>259424</v>
      </c>
      <c r="C25" s="319">
        <v>10520</v>
      </c>
      <c r="D25" s="319">
        <v>69169</v>
      </c>
      <c r="E25" s="319">
        <v>24043</v>
      </c>
      <c r="F25" s="291">
        <v>363156</v>
      </c>
      <c r="G25" s="3"/>
      <c r="H25" s="3"/>
    </row>
    <row r="26" spans="1:8" s="1" customFormat="1" ht="16.5" customHeight="1" x14ac:dyDescent="0.15">
      <c r="A26" s="320" t="s">
        <v>223</v>
      </c>
      <c r="B26" s="312">
        <v>276074</v>
      </c>
      <c r="C26" s="319">
        <v>10917</v>
      </c>
      <c r="D26" s="319">
        <v>76570</v>
      </c>
      <c r="E26" s="319">
        <v>25088</v>
      </c>
      <c r="F26" s="291">
        <v>388649</v>
      </c>
      <c r="G26" s="3"/>
      <c r="H26" s="3"/>
    </row>
    <row r="27" spans="1:8" s="1" customFormat="1" ht="16.5" customHeight="1" x14ac:dyDescent="0.15">
      <c r="A27" s="320" t="s">
        <v>224</v>
      </c>
      <c r="B27" s="312">
        <v>262612</v>
      </c>
      <c r="C27" s="319">
        <v>10228</v>
      </c>
      <c r="D27" s="319">
        <v>73376</v>
      </c>
      <c r="E27" s="319">
        <v>25308</v>
      </c>
      <c r="F27" s="291">
        <v>371524</v>
      </c>
      <c r="G27" s="3"/>
      <c r="H27" s="3"/>
    </row>
    <row r="28" spans="1:8" s="1" customFormat="1" ht="16.5" customHeight="1" x14ac:dyDescent="0.15">
      <c r="A28" s="320" t="s">
        <v>225</v>
      </c>
      <c r="B28" s="312">
        <v>240244</v>
      </c>
      <c r="C28" s="319">
        <v>9729</v>
      </c>
      <c r="D28" s="319">
        <v>65523</v>
      </c>
      <c r="E28" s="319">
        <v>23975</v>
      </c>
      <c r="F28" s="291">
        <v>339471</v>
      </c>
      <c r="G28" s="3"/>
      <c r="H28" s="3"/>
    </row>
    <row r="29" spans="1:8" s="1" customFormat="1" ht="16.5" customHeight="1" x14ac:dyDescent="0.15">
      <c r="A29" s="320" t="s">
        <v>493</v>
      </c>
      <c r="B29" s="22">
        <v>247063</v>
      </c>
      <c r="C29" s="22">
        <v>9351</v>
      </c>
      <c r="D29" s="22">
        <v>64484</v>
      </c>
      <c r="E29" s="22">
        <v>21795</v>
      </c>
      <c r="F29" s="22">
        <v>342693</v>
      </c>
      <c r="G29" s="3"/>
      <c r="H29" s="3"/>
    </row>
    <row r="30" spans="1:8" s="1" customFormat="1" ht="16.5" customHeight="1" x14ac:dyDescent="0.15">
      <c r="A30" s="3"/>
      <c r="B30" s="3"/>
      <c r="C30" s="3"/>
      <c r="D30" s="3"/>
      <c r="E30" s="3"/>
      <c r="F30" s="3"/>
      <c r="G30" s="3"/>
      <c r="H30" s="3"/>
    </row>
    <row r="31" spans="1:8" s="1" customFormat="1" ht="16.5" customHeight="1" x14ac:dyDescent="0.15">
      <c r="A31" s="80" t="s">
        <v>228</v>
      </c>
      <c r="B31" s="3"/>
      <c r="C31" s="3"/>
      <c r="D31" s="3"/>
      <c r="E31" s="3"/>
      <c r="F31" s="3"/>
      <c r="G31" s="3"/>
      <c r="H31" s="3"/>
    </row>
    <row r="32" spans="1:8" ht="16.5" customHeight="1" x14ac:dyDescent="0.15">
      <c r="A32" s="3"/>
      <c r="B32" s="3"/>
      <c r="C32" s="3"/>
      <c r="D32" s="3"/>
      <c r="E32" s="3"/>
      <c r="F32" s="3"/>
      <c r="G32" s="3"/>
      <c r="H32" s="3"/>
    </row>
    <row r="33" spans="1:8" ht="16.5" customHeight="1" x14ac:dyDescent="0.15">
      <c r="A33" s="3"/>
      <c r="B33" s="3"/>
      <c r="C33" s="3"/>
      <c r="D33" s="3"/>
      <c r="E33" s="3"/>
      <c r="F33" s="3"/>
      <c r="G33" s="3"/>
      <c r="H33" s="3"/>
    </row>
    <row r="34" spans="1:8" ht="16.5" customHeight="1" x14ac:dyDescent="0.15">
      <c r="A34" s="3"/>
      <c r="B34" s="3"/>
      <c r="C34" s="3"/>
      <c r="D34" s="3"/>
      <c r="E34" s="3"/>
      <c r="F34" s="3"/>
      <c r="G34" s="3"/>
      <c r="H34" s="3"/>
    </row>
    <row r="35" spans="1:8" ht="16.5" customHeight="1" x14ac:dyDescent="0.15">
      <c r="A35" s="3"/>
      <c r="B35" s="3"/>
      <c r="C35" s="3"/>
      <c r="D35" s="3"/>
      <c r="E35" s="3"/>
      <c r="F35" s="3"/>
      <c r="G35" s="3"/>
      <c r="H35" s="3"/>
    </row>
    <row r="36" spans="1:8" ht="16.5" customHeight="1" x14ac:dyDescent="0.15">
      <c r="A36" s="3"/>
      <c r="B36" s="3"/>
      <c r="C36" s="3"/>
      <c r="D36" s="3"/>
      <c r="E36" s="3"/>
      <c r="F36" s="3"/>
      <c r="G36" s="3"/>
      <c r="H36" s="3"/>
    </row>
    <row r="47" spans="1:8" ht="16.5" customHeight="1" x14ac:dyDescent="0.15">
      <c r="A47" s="80" t="s">
        <v>229</v>
      </c>
    </row>
    <row r="63" spans="1:8" ht="16.5" customHeight="1" x14ac:dyDescent="0.15">
      <c r="A63" s="80" t="s">
        <v>188</v>
      </c>
      <c r="B63" s="3"/>
      <c r="C63" s="3"/>
      <c r="D63" s="3"/>
      <c r="E63" s="84"/>
      <c r="F63" s="84"/>
      <c r="G63" s="84"/>
      <c r="H63" s="84"/>
    </row>
    <row r="64" spans="1:8" ht="16.5" customHeight="1" x14ac:dyDescent="0.15">
      <c r="A64" s="196" t="s">
        <v>37</v>
      </c>
      <c r="B64" s="422" t="s">
        <v>93</v>
      </c>
      <c r="C64" s="422" t="s">
        <v>230</v>
      </c>
      <c r="D64" s="423" t="s">
        <v>231</v>
      </c>
      <c r="E64" s="84"/>
      <c r="F64" s="84"/>
      <c r="G64" s="84"/>
      <c r="H64" s="84"/>
    </row>
    <row r="65" spans="1:8" ht="16.5" customHeight="1" x14ac:dyDescent="0.15">
      <c r="A65" s="167" t="s">
        <v>266</v>
      </c>
      <c r="B65" s="422"/>
      <c r="C65" s="422"/>
      <c r="D65" s="423"/>
      <c r="E65" s="84"/>
      <c r="F65" s="84"/>
      <c r="G65" s="84"/>
      <c r="H65" s="84"/>
    </row>
    <row r="66" spans="1:8" ht="16.5" customHeight="1" x14ac:dyDescent="0.15">
      <c r="A66" s="72" t="s">
        <v>232</v>
      </c>
      <c r="B66" s="56">
        <v>342693</v>
      </c>
      <c r="C66" s="35">
        <v>64043</v>
      </c>
      <c r="D66" s="35">
        <v>278650</v>
      </c>
      <c r="E66" s="84"/>
      <c r="F66" s="84"/>
      <c r="G66" s="84"/>
      <c r="H66" s="84"/>
    </row>
    <row r="67" spans="1:8" ht="16.5" customHeight="1" x14ac:dyDescent="0.15">
      <c r="A67" s="71"/>
      <c r="B67" s="55">
        <v>100</v>
      </c>
      <c r="C67" s="36">
        <v>18.688155287677308</v>
      </c>
      <c r="D67" s="36">
        <v>81.311844712322696</v>
      </c>
      <c r="E67" s="84"/>
      <c r="F67" s="84"/>
      <c r="G67" s="84"/>
      <c r="H67" s="84"/>
    </row>
    <row r="68" spans="1:8" ht="16.5" customHeight="1" x14ac:dyDescent="0.15">
      <c r="A68" s="72"/>
      <c r="B68" s="56"/>
      <c r="C68" s="14"/>
      <c r="D68" s="14"/>
      <c r="E68" s="84"/>
      <c r="F68" s="84"/>
      <c r="G68" s="84"/>
      <c r="H68" s="84"/>
    </row>
    <row r="69" spans="1:8" ht="16.5" customHeight="1" x14ac:dyDescent="0.15">
      <c r="A69" s="72" t="s">
        <v>233</v>
      </c>
      <c r="B69" s="56">
        <v>247063</v>
      </c>
      <c r="C69" s="35">
        <v>24608</v>
      </c>
      <c r="D69" s="35">
        <v>222455</v>
      </c>
      <c r="E69" s="84"/>
      <c r="F69" s="84"/>
      <c r="G69" s="84"/>
      <c r="H69" s="84"/>
    </row>
    <row r="70" spans="1:8" ht="16.5" customHeight="1" x14ac:dyDescent="0.15">
      <c r="A70" s="71"/>
      <c r="B70" s="55">
        <v>100</v>
      </c>
      <c r="C70" s="36">
        <v>9.9602125773588117</v>
      </c>
      <c r="D70" s="36">
        <v>90.039787422641197</v>
      </c>
      <c r="E70" s="84"/>
      <c r="F70" s="84"/>
      <c r="G70" s="84"/>
      <c r="H70" s="84"/>
    </row>
    <row r="71" spans="1:8" ht="16.5" customHeight="1" x14ac:dyDescent="0.15">
      <c r="A71" s="71" t="s">
        <v>104</v>
      </c>
      <c r="B71" s="88">
        <v>17953</v>
      </c>
      <c r="C71" s="14">
        <v>5328</v>
      </c>
      <c r="D71" s="14">
        <v>12625</v>
      </c>
    </row>
    <row r="72" spans="1:8" ht="16.5" customHeight="1" x14ac:dyDescent="0.15">
      <c r="A72" s="71" t="s">
        <v>105</v>
      </c>
      <c r="B72" s="88">
        <v>229110</v>
      </c>
      <c r="C72" s="14">
        <v>19280</v>
      </c>
      <c r="D72" s="14">
        <v>209830</v>
      </c>
    </row>
    <row r="73" spans="1:8" ht="16.5" customHeight="1" x14ac:dyDescent="0.15">
      <c r="A73" s="72"/>
      <c r="B73" s="56"/>
      <c r="C73" s="14"/>
      <c r="D73" s="14"/>
    </row>
    <row r="74" spans="1:8" ht="16.5" customHeight="1" x14ac:dyDescent="0.15">
      <c r="A74" s="72" t="s">
        <v>234</v>
      </c>
      <c r="B74" s="56">
        <v>73835</v>
      </c>
      <c r="C74" s="35">
        <v>29103</v>
      </c>
      <c r="D74" s="35">
        <v>44732</v>
      </c>
    </row>
    <row r="75" spans="1:8" ht="16.5" customHeight="1" x14ac:dyDescent="0.15">
      <c r="A75" s="71"/>
      <c r="B75" s="55">
        <v>100</v>
      </c>
      <c r="C75" s="36">
        <v>39.416265998510191</v>
      </c>
      <c r="D75" s="36">
        <v>60.583734001489809</v>
      </c>
    </row>
    <row r="76" spans="1:8" ht="16.5" customHeight="1" x14ac:dyDescent="0.15">
      <c r="A76" s="71" t="s">
        <v>62</v>
      </c>
      <c r="B76" s="88">
        <v>9351</v>
      </c>
      <c r="C76" s="14">
        <v>5219</v>
      </c>
      <c r="D76" s="14">
        <v>4132</v>
      </c>
    </row>
    <row r="77" spans="1:8" ht="16.5" customHeight="1" x14ac:dyDescent="0.15">
      <c r="A77" s="71" t="s">
        <v>8</v>
      </c>
      <c r="B77" s="88">
        <v>64484</v>
      </c>
      <c r="C77" s="14">
        <v>23884</v>
      </c>
      <c r="D77" s="14">
        <v>40600</v>
      </c>
    </row>
    <row r="78" spans="1:8" ht="16.5" customHeight="1" x14ac:dyDescent="0.15">
      <c r="A78" s="72"/>
      <c r="B78" s="56"/>
      <c r="C78" s="14"/>
      <c r="D78" s="14"/>
    </row>
    <row r="79" spans="1:8" ht="16.5" customHeight="1" x14ac:dyDescent="0.15">
      <c r="A79" s="72" t="s">
        <v>235</v>
      </c>
      <c r="B79" s="56">
        <v>21795</v>
      </c>
      <c r="C79" s="35">
        <v>10332</v>
      </c>
      <c r="D79" s="35">
        <v>11463</v>
      </c>
    </row>
    <row r="80" spans="1:8" ht="16.5" customHeight="1" x14ac:dyDescent="0.15">
      <c r="A80" s="71"/>
      <c r="B80" s="55">
        <v>100</v>
      </c>
      <c r="C80" s="36">
        <v>47.405368203716449</v>
      </c>
      <c r="D80" s="36">
        <v>52.594631796283551</v>
      </c>
    </row>
    <row r="81" spans="1:8" ht="16.5" customHeight="1" x14ac:dyDescent="0.15">
      <c r="A81" s="71" t="s">
        <v>236</v>
      </c>
      <c r="B81" s="88">
        <v>3615</v>
      </c>
      <c r="C81" s="14">
        <v>2333</v>
      </c>
      <c r="D81" s="14">
        <v>1282</v>
      </c>
    </row>
    <row r="82" spans="1:8" ht="16.5" customHeight="1" x14ac:dyDescent="0.15">
      <c r="A82" s="71" t="s">
        <v>237</v>
      </c>
      <c r="B82" s="88">
        <v>17979</v>
      </c>
      <c r="C82" s="14">
        <v>7960</v>
      </c>
      <c r="D82" s="14">
        <v>10019</v>
      </c>
    </row>
    <row r="83" spans="1:8" ht="16.5" customHeight="1" x14ac:dyDescent="0.15">
      <c r="A83" s="73" t="s">
        <v>209</v>
      </c>
      <c r="B83" s="89">
        <v>201</v>
      </c>
      <c r="C83" s="51">
        <v>39</v>
      </c>
      <c r="D83" s="51">
        <v>162</v>
      </c>
    </row>
    <row r="84" spans="1:8" ht="16.5" customHeight="1" x14ac:dyDescent="0.15">
      <c r="A84" s="421" t="s">
        <v>711</v>
      </c>
      <c r="B84" s="421"/>
      <c r="C84" s="421"/>
      <c r="D84" s="421"/>
      <c r="E84" s="59"/>
      <c r="F84" s="59"/>
      <c r="G84" s="59"/>
      <c r="H84" s="59"/>
    </row>
    <row r="85" spans="1:8" ht="16.5" customHeight="1" x14ac:dyDescent="0.15">
      <c r="A85" s="230" t="s">
        <v>459</v>
      </c>
      <c r="B85" s="3"/>
      <c r="C85" s="3"/>
      <c r="D85" s="3"/>
      <c r="E85" s="59"/>
      <c r="F85" s="59"/>
      <c r="G85" s="59"/>
      <c r="H85" s="59"/>
    </row>
  </sheetData>
  <sheetProtection algorithmName="SHA-512" hashValue="jCNSFXMA6IBK/90vfWyRsRewUzuFGUrOLSu5tfFqRBdDWumkKYb4ESUcDrvNduIsrVcjeChzvF+QqenqsHOucw==" saltValue="3jcIZHAg4OebcblkeodpfA==" spinCount="100000" sheet="1" objects="1" scenarios="1"/>
  <mergeCells count="10">
    <mergeCell ref="A4:H6"/>
    <mergeCell ref="A84:D84"/>
    <mergeCell ref="B64:B65"/>
    <mergeCell ref="C64:C65"/>
    <mergeCell ref="D64:D65"/>
    <mergeCell ref="F18:F19"/>
    <mergeCell ref="E18:E19"/>
    <mergeCell ref="B18:B19"/>
    <mergeCell ref="C18:D18"/>
    <mergeCell ref="A12:H13"/>
  </mergeCells>
  <phoneticPr fontId="5" type="noConversion"/>
  <pageMargins left="0.55000000000000004" right="0.52" top="0.63" bottom="0.04" header="0.5" footer="7.0000000000000007E-2"/>
  <pageSetup paperSize="9" scale="79" pageOrder="overThenDown" orientation="portrait" verticalDpi="1200" r:id="rId1"/>
  <headerFooter alignWithMargins="0"/>
  <rowBreaks count="1" manualBreakCount="1">
    <brk id="46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46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20" style="84" customWidth="1"/>
    <col min="2" max="5" width="12.21875" style="84" customWidth="1"/>
    <col min="6" max="16384" width="8" style="2"/>
  </cols>
  <sheetData>
    <row r="1" spans="1:5" s="1" customFormat="1" ht="16.5" customHeight="1" x14ac:dyDescent="0.15">
      <c r="A1" s="80" t="s">
        <v>244</v>
      </c>
      <c r="B1" s="3"/>
      <c r="C1" s="3"/>
      <c r="D1" s="3"/>
      <c r="E1" s="3"/>
    </row>
    <row r="2" spans="1:5" s="1" customFormat="1" ht="16.5" customHeight="1" x14ac:dyDescent="0.15">
      <c r="A2" s="63" t="s">
        <v>665</v>
      </c>
      <c r="B2" s="63"/>
      <c r="C2" s="63"/>
      <c r="D2" s="63"/>
      <c r="E2" s="3"/>
    </row>
    <row r="3" spans="1:5" s="1" customFormat="1" ht="16.5" customHeight="1" x14ac:dyDescent="0.15">
      <c r="A3" s="63"/>
      <c r="B3" s="63"/>
      <c r="C3" s="63"/>
      <c r="D3" s="63"/>
      <c r="E3" s="3"/>
    </row>
    <row r="4" spans="1:5" s="1" customFormat="1" ht="16.5" customHeight="1" x14ac:dyDescent="0.15">
      <c r="A4" s="80" t="s">
        <v>250</v>
      </c>
      <c r="B4" s="3"/>
      <c r="C4" s="3"/>
      <c r="D4" s="3"/>
      <c r="E4" s="3"/>
    </row>
    <row r="5" spans="1:5" s="1" customFormat="1" ht="52.5" customHeight="1" x14ac:dyDescent="0.15">
      <c r="A5" s="426" t="s">
        <v>714</v>
      </c>
      <c r="B5" s="426"/>
      <c r="C5" s="426"/>
      <c r="D5" s="426"/>
      <c r="E5" s="426"/>
    </row>
    <row r="6" spans="1:5" s="1" customFormat="1" ht="16.5" customHeight="1" x14ac:dyDescent="0.15">
      <c r="A6" s="80" t="s">
        <v>251</v>
      </c>
      <c r="B6" s="3"/>
      <c r="C6" s="3"/>
      <c r="D6" s="3"/>
      <c r="E6" s="3"/>
    </row>
    <row r="7" spans="1:5" s="1" customFormat="1" ht="16.5" customHeight="1" x14ac:dyDescent="0.15">
      <c r="A7" s="3" t="s">
        <v>252</v>
      </c>
      <c r="B7" s="3"/>
      <c r="C7" s="3"/>
      <c r="D7" s="3"/>
      <c r="E7" s="3"/>
    </row>
    <row r="8" spans="1:5" s="1" customFormat="1" ht="16.5" customHeight="1" x14ac:dyDescent="0.15">
      <c r="A8" s="63"/>
      <c r="B8" s="63"/>
      <c r="C8" s="63"/>
      <c r="D8" s="63"/>
      <c r="E8" s="3"/>
    </row>
    <row r="9" spans="1:5" s="1" customFormat="1" ht="16.5" customHeight="1" x14ac:dyDescent="0.15">
      <c r="A9" s="80" t="s">
        <v>189</v>
      </c>
      <c r="B9" s="3"/>
      <c r="C9" s="3"/>
      <c r="D9" s="3"/>
      <c r="E9" s="3"/>
    </row>
    <row r="10" spans="1:5" s="1" customFormat="1" ht="16.5" customHeight="1" x14ac:dyDescent="0.15">
      <c r="A10" s="196" t="s">
        <v>171</v>
      </c>
      <c r="B10" s="422" t="s">
        <v>93</v>
      </c>
      <c r="C10" s="425" t="s">
        <v>109</v>
      </c>
      <c r="D10" s="423" t="s">
        <v>30</v>
      </c>
      <c r="E10" s="3"/>
    </row>
    <row r="11" spans="1:5" s="1" customFormat="1" ht="16.5" customHeight="1" x14ac:dyDescent="0.15">
      <c r="A11" s="167" t="s">
        <v>39</v>
      </c>
      <c r="B11" s="422"/>
      <c r="C11" s="422"/>
      <c r="D11" s="423"/>
      <c r="E11" s="3"/>
    </row>
    <row r="12" spans="1:5" s="5" customFormat="1" ht="16.5" customHeight="1" x14ac:dyDescent="0.15">
      <c r="A12" s="198" t="s">
        <v>232</v>
      </c>
      <c r="B12" s="108">
        <v>342693</v>
      </c>
      <c r="C12" s="35">
        <v>298111</v>
      </c>
      <c r="D12" s="35">
        <v>44582</v>
      </c>
      <c r="E12" s="3"/>
    </row>
    <row r="13" spans="1:5" s="1" customFormat="1" ht="16.5" customHeight="1" x14ac:dyDescent="0.15">
      <c r="A13" s="71"/>
      <c r="B13" s="104">
        <v>100</v>
      </c>
      <c r="C13" s="36">
        <v>86.9906884587663</v>
      </c>
      <c r="D13" s="36">
        <v>13.009311541233698</v>
      </c>
      <c r="E13" s="102"/>
    </row>
    <row r="14" spans="1:5" s="5" customFormat="1" ht="16.5" customHeight="1" x14ac:dyDescent="0.15">
      <c r="A14" s="71" t="s">
        <v>101</v>
      </c>
      <c r="B14" s="105">
        <v>247063</v>
      </c>
      <c r="C14" s="14">
        <v>214213</v>
      </c>
      <c r="D14" s="14">
        <v>32850</v>
      </c>
      <c r="E14" s="103"/>
    </row>
    <row r="15" spans="1:5" s="1" customFormat="1" ht="16.5" customHeight="1" x14ac:dyDescent="0.15">
      <c r="A15" s="71"/>
      <c r="B15" s="106">
        <v>100</v>
      </c>
      <c r="C15" s="18">
        <v>86.703796197730938</v>
      </c>
      <c r="D15" s="18">
        <v>13.296203802269059</v>
      </c>
      <c r="E15" s="102">
        <f>C14*100/B14</f>
        <v>86.703796197730938</v>
      </c>
    </row>
    <row r="16" spans="1:5" s="5" customFormat="1" ht="16.5" customHeight="1" x14ac:dyDescent="0.15">
      <c r="A16" s="71" t="s">
        <v>102</v>
      </c>
      <c r="B16" s="105">
        <v>73835</v>
      </c>
      <c r="C16" s="14">
        <v>64569</v>
      </c>
      <c r="D16" s="14">
        <v>9266</v>
      </c>
      <c r="E16" s="103"/>
    </row>
    <row r="17" spans="1:5" s="1" customFormat="1" ht="16.5" customHeight="1" x14ac:dyDescent="0.15">
      <c r="A17" s="71"/>
      <c r="B17" s="106">
        <v>100</v>
      </c>
      <c r="C17" s="18">
        <v>87.4503961535857</v>
      </c>
      <c r="D17" s="18">
        <v>12.549603846414303</v>
      </c>
      <c r="E17" s="102">
        <f>C16*100/B16</f>
        <v>87.4503961535857</v>
      </c>
    </row>
    <row r="18" spans="1:5" s="5" customFormat="1" ht="16.5" customHeight="1" x14ac:dyDescent="0.15">
      <c r="A18" s="71" t="s">
        <v>103</v>
      </c>
      <c r="B18" s="105">
        <v>21795</v>
      </c>
      <c r="C18" s="14">
        <v>19329</v>
      </c>
      <c r="D18" s="14">
        <v>2466</v>
      </c>
      <c r="E18" s="103"/>
    </row>
    <row r="19" spans="1:5" s="1" customFormat="1" ht="16.5" customHeight="1" x14ac:dyDescent="0.15">
      <c r="A19" s="73"/>
      <c r="B19" s="107">
        <v>100</v>
      </c>
      <c r="C19" s="367">
        <v>88.68547832071576</v>
      </c>
      <c r="D19" s="368">
        <v>11.31452167928424</v>
      </c>
      <c r="E19" s="102">
        <f>C18*100/B18</f>
        <v>88.68547832071576</v>
      </c>
    </row>
    <row r="20" spans="1:5" s="1" customFormat="1" ht="16.5" customHeight="1" x14ac:dyDescent="0.15">
      <c r="A20" s="3" t="s">
        <v>148</v>
      </c>
      <c r="B20" s="3"/>
      <c r="C20" s="3"/>
      <c r="D20" s="3"/>
      <c r="E20" s="103"/>
    </row>
    <row r="21" spans="1:5" s="1" customFormat="1" ht="16.5" customHeight="1" x14ac:dyDescent="0.15">
      <c r="A21" s="3"/>
      <c r="B21" s="3"/>
      <c r="C21" s="3"/>
      <c r="D21" s="3"/>
      <c r="E21" s="103"/>
    </row>
    <row r="22" spans="1:5" s="1" customFormat="1" ht="16.5" customHeight="1" x14ac:dyDescent="0.15">
      <c r="A22" s="3"/>
      <c r="B22" s="3"/>
      <c r="C22" s="3"/>
      <c r="D22" s="3"/>
      <c r="E22" s="3"/>
    </row>
    <row r="23" spans="1:5" s="1" customFormat="1" ht="16.5" customHeight="1" x14ac:dyDescent="0.15">
      <c r="A23" s="80" t="s">
        <v>253</v>
      </c>
      <c r="B23" s="3"/>
      <c r="C23" s="3"/>
      <c r="D23" s="3"/>
      <c r="E23" s="3"/>
    </row>
    <row r="24" spans="1:5" s="1" customFormat="1" ht="16.5" customHeight="1" x14ac:dyDescent="0.15">
      <c r="A24" s="196" t="s">
        <v>254</v>
      </c>
      <c r="B24" s="422" t="s">
        <v>93</v>
      </c>
      <c r="C24" s="422" t="s">
        <v>101</v>
      </c>
      <c r="D24" s="422" t="s">
        <v>102</v>
      </c>
      <c r="E24" s="423" t="s">
        <v>103</v>
      </c>
    </row>
    <row r="25" spans="1:5" s="1" customFormat="1" ht="16.5" customHeight="1" x14ac:dyDescent="0.15">
      <c r="A25" s="167" t="s">
        <v>255</v>
      </c>
      <c r="B25" s="422"/>
      <c r="C25" s="422"/>
      <c r="D25" s="422"/>
      <c r="E25" s="423"/>
    </row>
    <row r="26" spans="1:5" s="1" customFormat="1" ht="16.5" customHeight="1" x14ac:dyDescent="0.15">
      <c r="A26" s="72" t="s">
        <v>93</v>
      </c>
      <c r="B26" s="108">
        <v>342693</v>
      </c>
      <c r="C26" s="35">
        <v>247063</v>
      </c>
      <c r="D26" s="35">
        <v>73835</v>
      </c>
      <c r="E26" s="35">
        <v>21795</v>
      </c>
    </row>
    <row r="27" spans="1:5" s="1" customFormat="1" ht="16.5" customHeight="1" x14ac:dyDescent="0.15">
      <c r="A27" s="72" t="s">
        <v>238</v>
      </c>
      <c r="B27" s="108">
        <v>184367</v>
      </c>
      <c r="C27" s="35">
        <v>130148</v>
      </c>
      <c r="D27" s="35">
        <v>42210</v>
      </c>
      <c r="E27" s="35">
        <v>12009</v>
      </c>
    </row>
    <row r="28" spans="1:5" s="1" customFormat="1" ht="16.5" customHeight="1" x14ac:dyDescent="0.15">
      <c r="A28" s="71" t="s">
        <v>256</v>
      </c>
      <c r="B28" s="105">
        <v>11645</v>
      </c>
      <c r="C28" s="14">
        <v>8760</v>
      </c>
      <c r="D28" s="14">
        <v>2408</v>
      </c>
      <c r="E28" s="14">
        <v>477</v>
      </c>
    </row>
    <row r="29" spans="1:5" s="1" customFormat="1" ht="16.5" customHeight="1" x14ac:dyDescent="0.15">
      <c r="A29" s="71" t="s">
        <v>257</v>
      </c>
      <c r="B29" s="105">
        <v>912</v>
      </c>
      <c r="C29" s="14">
        <v>722</v>
      </c>
      <c r="D29" s="286">
        <v>146</v>
      </c>
      <c r="E29" s="14">
        <v>44</v>
      </c>
    </row>
    <row r="30" spans="1:5" s="1" customFormat="1" ht="16.5" customHeight="1" x14ac:dyDescent="0.15">
      <c r="A30" s="71" t="s">
        <v>258</v>
      </c>
      <c r="B30" s="105">
        <v>1397</v>
      </c>
      <c r="C30" s="14">
        <v>1045</v>
      </c>
      <c r="D30" s="286">
        <v>298</v>
      </c>
      <c r="E30" s="14">
        <v>54</v>
      </c>
    </row>
    <row r="31" spans="1:5" s="1" customFormat="1" ht="16.5" customHeight="1" x14ac:dyDescent="0.15">
      <c r="A31" s="71" t="s">
        <v>259</v>
      </c>
      <c r="B31" s="105">
        <v>31426</v>
      </c>
      <c r="C31" s="14">
        <v>23281</v>
      </c>
      <c r="D31" s="286">
        <v>6450</v>
      </c>
      <c r="E31" s="14">
        <v>1695</v>
      </c>
    </row>
    <row r="32" spans="1:5" s="1" customFormat="1" ht="16.5" customHeight="1" x14ac:dyDescent="0.15">
      <c r="A32" s="71" t="s">
        <v>260</v>
      </c>
      <c r="B32" s="105">
        <v>10123</v>
      </c>
      <c r="C32" s="14">
        <v>6342</v>
      </c>
      <c r="D32" s="286">
        <v>2857</v>
      </c>
      <c r="E32" s="14">
        <v>924</v>
      </c>
    </row>
    <row r="33" spans="1:5" s="1" customFormat="1" ht="16.5" customHeight="1" x14ac:dyDescent="0.15">
      <c r="A33" s="386" t="s">
        <v>692</v>
      </c>
      <c r="B33" s="105">
        <v>8471</v>
      </c>
      <c r="C33" s="14">
        <v>5861</v>
      </c>
      <c r="D33" s="286">
        <v>2015</v>
      </c>
      <c r="E33" s="14">
        <v>595</v>
      </c>
    </row>
    <row r="34" spans="1:5" s="1" customFormat="1" ht="16.5" customHeight="1" x14ac:dyDescent="0.15">
      <c r="A34" s="71" t="s">
        <v>261</v>
      </c>
      <c r="B34" s="105">
        <v>17395</v>
      </c>
      <c r="C34" s="14">
        <v>13094</v>
      </c>
      <c r="D34" s="286">
        <v>3360</v>
      </c>
      <c r="E34" s="14">
        <v>941</v>
      </c>
    </row>
    <row r="35" spans="1:5" s="1" customFormat="1" ht="16.5" customHeight="1" x14ac:dyDescent="0.15">
      <c r="A35" s="71" t="s">
        <v>262</v>
      </c>
      <c r="B35" s="105">
        <v>62854</v>
      </c>
      <c r="C35" s="14">
        <v>43931</v>
      </c>
      <c r="D35" s="286">
        <v>14848</v>
      </c>
      <c r="E35" s="14">
        <v>4075</v>
      </c>
    </row>
    <row r="36" spans="1:5" s="1" customFormat="1" ht="16.5" customHeight="1" x14ac:dyDescent="0.15">
      <c r="A36" s="71" t="s">
        <v>263</v>
      </c>
      <c r="B36" s="105">
        <v>8073</v>
      </c>
      <c r="C36" s="14">
        <v>5294</v>
      </c>
      <c r="D36" s="286">
        <v>2116</v>
      </c>
      <c r="E36" s="14">
        <v>663</v>
      </c>
    </row>
    <row r="37" spans="1:5" s="1" customFormat="1" ht="16.5" customHeight="1" x14ac:dyDescent="0.15">
      <c r="A37" s="71" t="s">
        <v>81</v>
      </c>
      <c r="B37" s="105">
        <v>32071</v>
      </c>
      <c r="C37" s="14">
        <v>21818</v>
      </c>
      <c r="D37" s="286">
        <v>7712</v>
      </c>
      <c r="E37" s="14">
        <v>2541</v>
      </c>
    </row>
    <row r="38" spans="1:5" s="1" customFormat="1" ht="16.5" customHeight="1" x14ac:dyDescent="0.15">
      <c r="A38" s="72" t="s">
        <v>239</v>
      </c>
      <c r="B38" s="108">
        <v>158326</v>
      </c>
      <c r="C38" s="35">
        <v>116915</v>
      </c>
      <c r="D38" s="35">
        <v>31625</v>
      </c>
      <c r="E38" s="35">
        <v>9786</v>
      </c>
    </row>
    <row r="39" spans="1:5" s="1" customFormat="1" ht="16.5" customHeight="1" x14ac:dyDescent="0.15">
      <c r="A39" s="71" t="s">
        <v>264</v>
      </c>
      <c r="B39" s="105">
        <v>11443</v>
      </c>
      <c r="C39" s="14">
        <v>9432</v>
      </c>
      <c r="D39" s="14">
        <v>1737</v>
      </c>
      <c r="E39" s="14">
        <v>274</v>
      </c>
    </row>
    <row r="40" spans="1:5" s="1" customFormat="1" ht="16.5" customHeight="1" x14ac:dyDescent="0.15">
      <c r="A40" s="71" t="s">
        <v>240</v>
      </c>
      <c r="B40" s="105">
        <v>55</v>
      </c>
      <c r="C40" s="14">
        <v>39</v>
      </c>
      <c r="D40" s="14">
        <v>12</v>
      </c>
      <c r="E40" s="14">
        <v>4</v>
      </c>
    </row>
    <row r="41" spans="1:5" s="1" customFormat="1" ht="16.5" customHeight="1" x14ac:dyDescent="0.15">
      <c r="A41" s="71" t="s">
        <v>241</v>
      </c>
      <c r="B41" s="105">
        <v>36833</v>
      </c>
      <c r="C41" s="14">
        <v>30651</v>
      </c>
      <c r="D41" s="14">
        <v>4975</v>
      </c>
      <c r="E41" s="14">
        <v>1207</v>
      </c>
    </row>
    <row r="42" spans="1:5" s="1" customFormat="1" ht="16.5" customHeight="1" x14ac:dyDescent="0.15">
      <c r="A42" s="71" t="s">
        <v>242</v>
      </c>
      <c r="B42" s="105">
        <v>287</v>
      </c>
      <c r="C42" s="14">
        <v>230</v>
      </c>
      <c r="D42" s="14">
        <v>44</v>
      </c>
      <c r="E42" s="14">
        <v>13</v>
      </c>
    </row>
    <row r="43" spans="1:5" s="1" customFormat="1" ht="16.5" customHeight="1" x14ac:dyDescent="0.15">
      <c r="A43" s="71" t="s">
        <v>243</v>
      </c>
      <c r="B43" s="105">
        <v>775</v>
      </c>
      <c r="C43" s="14">
        <v>585</v>
      </c>
      <c r="D43" s="14">
        <v>142</v>
      </c>
      <c r="E43" s="14">
        <v>48</v>
      </c>
    </row>
    <row r="44" spans="1:5" s="1" customFormat="1" ht="16.5" customHeight="1" x14ac:dyDescent="0.15">
      <c r="A44" s="71" t="s">
        <v>265</v>
      </c>
      <c r="B44" s="105">
        <v>14667</v>
      </c>
      <c r="C44" s="14">
        <v>10707</v>
      </c>
      <c r="D44" s="14">
        <v>3053</v>
      </c>
      <c r="E44" s="14">
        <v>907</v>
      </c>
    </row>
    <row r="45" spans="1:5" s="1" customFormat="1" ht="16.5" customHeight="1" x14ac:dyDescent="0.15">
      <c r="A45" s="71" t="s">
        <v>401</v>
      </c>
      <c r="B45" s="105">
        <v>6891</v>
      </c>
      <c r="C45" s="14">
        <v>4782</v>
      </c>
      <c r="D45" s="14">
        <v>1616</v>
      </c>
      <c r="E45" s="14">
        <v>493</v>
      </c>
    </row>
    <row r="46" spans="1:5" s="1" customFormat="1" ht="16.5" customHeight="1" x14ac:dyDescent="0.15">
      <c r="A46" s="73" t="s">
        <v>81</v>
      </c>
      <c r="B46" s="267">
        <v>87375</v>
      </c>
      <c r="C46" s="37">
        <v>60489</v>
      </c>
      <c r="D46" s="37">
        <v>20046</v>
      </c>
      <c r="E46" s="37">
        <v>6840</v>
      </c>
    </row>
  </sheetData>
  <sheetProtection algorithmName="SHA-512" hashValue="5uSWUeblYI3kFPv8Ms3J0hulT+BJzsNjSXEvuXy7yeixLMxnHiu6YmUHDGE18IItV7sDc50F4zXr4n9LRGpcFA==" saltValue="CW7dRAV+ZN8S+mxhi4fTZA==" spinCount="100000" sheet="1" objects="1" scenarios="1"/>
  <mergeCells count="8">
    <mergeCell ref="B10:B11"/>
    <mergeCell ref="C10:C11"/>
    <mergeCell ref="D10:D11"/>
    <mergeCell ref="A5:E5"/>
    <mergeCell ref="B24:B25"/>
    <mergeCell ref="C24:C25"/>
    <mergeCell ref="D24:D25"/>
    <mergeCell ref="E24:E25"/>
  </mergeCells>
  <phoneticPr fontId="5" type="noConversion"/>
  <pageMargins left="0.36" right="0.06" top="0.63" bottom="0.17" header="0.5" footer="0.27"/>
  <pageSetup paperSize="9" scale="98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54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4" customWidth="1"/>
    <col min="2" max="13" width="8" style="84" customWidth="1"/>
    <col min="14" max="14" width="8" style="85" customWidth="1"/>
    <col min="15" max="16384" width="8.88671875" style="2"/>
  </cols>
  <sheetData>
    <row r="1" spans="1:14" s="1" customFormat="1" ht="16.5" customHeight="1" x14ac:dyDescent="0.15">
      <c r="A1" s="80" t="s">
        <v>190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9"/>
    </row>
    <row r="2" spans="1:14" s="1" customFormat="1" ht="16.5" customHeight="1" x14ac:dyDescent="0.15">
      <c r="A2" s="245" t="s">
        <v>39</v>
      </c>
      <c r="B2" s="400" t="s">
        <v>101</v>
      </c>
      <c r="C2" s="400"/>
      <c r="D2" s="400"/>
      <c r="E2" s="400" t="s">
        <v>102</v>
      </c>
      <c r="F2" s="410"/>
      <c r="G2" s="3"/>
      <c r="H2" s="3"/>
      <c r="I2" s="3"/>
      <c r="J2" s="3"/>
      <c r="K2" s="3"/>
      <c r="L2" s="3"/>
      <c r="M2" s="3"/>
      <c r="N2" s="59"/>
    </row>
    <row r="3" spans="1:14" s="1" customFormat="1" ht="16.5" customHeight="1" x14ac:dyDescent="0.15">
      <c r="A3" s="246" t="s">
        <v>360</v>
      </c>
      <c r="B3" s="247" t="s">
        <v>361</v>
      </c>
      <c r="C3" s="247" t="s">
        <v>104</v>
      </c>
      <c r="D3" s="247" t="s">
        <v>105</v>
      </c>
      <c r="E3" s="247" t="s">
        <v>306</v>
      </c>
      <c r="F3" s="258" t="s">
        <v>305</v>
      </c>
      <c r="G3" s="3"/>
      <c r="H3" s="110"/>
      <c r="I3" s="110"/>
      <c r="J3" s="110"/>
      <c r="K3" s="110"/>
      <c r="L3" s="110"/>
      <c r="M3" s="110"/>
      <c r="N3" s="81"/>
    </row>
    <row r="4" spans="1:14" s="1" customFormat="1" ht="16.5" customHeight="1" x14ac:dyDescent="0.15">
      <c r="A4" s="72" t="s">
        <v>93</v>
      </c>
      <c r="B4" s="48">
        <v>247063</v>
      </c>
      <c r="C4" s="35">
        <v>17953</v>
      </c>
      <c r="D4" s="257">
        <v>229110</v>
      </c>
      <c r="E4" s="35">
        <v>64484</v>
      </c>
      <c r="F4" s="35">
        <v>9351</v>
      </c>
      <c r="G4" s="3"/>
      <c r="H4" s="115">
        <v>259424</v>
      </c>
      <c r="I4" s="115">
        <v>19547</v>
      </c>
      <c r="J4" s="116">
        <v>239877</v>
      </c>
      <c r="K4" s="110"/>
      <c r="L4" s="110">
        <f t="shared" ref="L4:M19" si="0">IF(I4&lt;&gt;C4,1,0)</f>
        <v>1</v>
      </c>
      <c r="M4" s="110">
        <f t="shared" si="0"/>
        <v>1</v>
      </c>
      <c r="N4" s="81"/>
    </row>
    <row r="5" spans="1:14" s="1" customFormat="1" ht="16.5" customHeight="1" x14ac:dyDescent="0.15">
      <c r="A5" s="71" t="s">
        <v>362</v>
      </c>
      <c r="B5" s="90">
        <v>15627</v>
      </c>
      <c r="C5" s="14">
        <v>1613</v>
      </c>
      <c r="D5" s="91">
        <v>14014</v>
      </c>
      <c r="E5" s="14">
        <v>5418</v>
      </c>
      <c r="F5" s="14">
        <v>4187</v>
      </c>
      <c r="G5" s="3"/>
      <c r="H5" s="117">
        <v>18076</v>
      </c>
      <c r="I5" s="117">
        <v>1971</v>
      </c>
      <c r="J5" s="118">
        <v>16105</v>
      </c>
      <c r="K5" s="110"/>
      <c r="L5" s="110">
        <f t="shared" si="0"/>
        <v>1</v>
      </c>
      <c r="M5" s="110">
        <f t="shared" si="0"/>
        <v>1</v>
      </c>
      <c r="N5" s="81"/>
    </row>
    <row r="6" spans="1:14" s="1" customFormat="1" ht="16.5" customHeight="1" x14ac:dyDescent="0.15">
      <c r="A6" s="71" t="s">
        <v>363</v>
      </c>
      <c r="B6" s="90">
        <v>6814</v>
      </c>
      <c r="C6" s="14">
        <v>495</v>
      </c>
      <c r="D6" s="91">
        <v>6319</v>
      </c>
      <c r="E6" s="14">
        <v>2235</v>
      </c>
      <c r="F6" s="14">
        <v>0</v>
      </c>
      <c r="G6" s="3"/>
      <c r="H6" s="117">
        <v>7757</v>
      </c>
      <c r="I6" s="117">
        <v>542</v>
      </c>
      <c r="J6" s="118">
        <v>7215</v>
      </c>
      <c r="K6" s="110"/>
      <c r="L6" s="110">
        <f t="shared" si="0"/>
        <v>1</v>
      </c>
      <c r="M6" s="110">
        <f t="shared" si="0"/>
        <v>1</v>
      </c>
      <c r="N6" s="81"/>
    </row>
    <row r="7" spans="1:14" s="1" customFormat="1" ht="16.5" customHeight="1" x14ac:dyDescent="0.15">
      <c r="A7" s="71" t="s">
        <v>364</v>
      </c>
      <c r="B7" s="90">
        <v>10041</v>
      </c>
      <c r="C7" s="14">
        <v>668</v>
      </c>
      <c r="D7" s="91">
        <v>9373</v>
      </c>
      <c r="E7" s="14">
        <v>3229</v>
      </c>
      <c r="F7" s="14">
        <v>0</v>
      </c>
      <c r="G7" s="3"/>
      <c r="H7" s="117">
        <v>10566</v>
      </c>
      <c r="I7" s="117">
        <v>811</v>
      </c>
      <c r="J7" s="118">
        <v>9755</v>
      </c>
      <c r="K7" s="110"/>
      <c r="L7" s="110">
        <f t="shared" si="0"/>
        <v>1</v>
      </c>
      <c r="M7" s="110">
        <f t="shared" si="0"/>
        <v>1</v>
      </c>
      <c r="N7" s="81"/>
    </row>
    <row r="8" spans="1:14" s="1" customFormat="1" ht="16.5" customHeight="1" x14ac:dyDescent="0.15">
      <c r="A8" s="71" t="s">
        <v>365</v>
      </c>
      <c r="B8" s="90">
        <v>9187</v>
      </c>
      <c r="C8" s="14">
        <v>535</v>
      </c>
      <c r="D8" s="91">
        <v>8652</v>
      </c>
      <c r="E8" s="14">
        <v>2646</v>
      </c>
      <c r="F8" s="14">
        <v>0</v>
      </c>
      <c r="G8" s="3"/>
      <c r="H8" s="117">
        <v>9038</v>
      </c>
      <c r="I8" s="117">
        <v>598</v>
      </c>
      <c r="J8" s="118">
        <v>8440</v>
      </c>
      <c r="K8" s="110"/>
      <c r="L8" s="110">
        <f t="shared" si="0"/>
        <v>1</v>
      </c>
      <c r="M8" s="110">
        <f t="shared" si="0"/>
        <v>1</v>
      </c>
      <c r="N8" s="81"/>
    </row>
    <row r="9" spans="1:14" s="1" customFormat="1" ht="16.5" customHeight="1" x14ac:dyDescent="0.15">
      <c r="A9" s="71" t="s">
        <v>366</v>
      </c>
      <c r="B9" s="90">
        <v>6556</v>
      </c>
      <c r="C9" s="14">
        <v>464</v>
      </c>
      <c r="D9" s="91">
        <v>6092</v>
      </c>
      <c r="E9" s="14">
        <v>2043</v>
      </c>
      <c r="F9" s="14">
        <v>0</v>
      </c>
      <c r="G9" s="3"/>
      <c r="H9" s="117">
        <v>6417</v>
      </c>
      <c r="I9" s="117">
        <v>495</v>
      </c>
      <c r="J9" s="118">
        <v>5922</v>
      </c>
      <c r="K9" s="110"/>
      <c r="L9" s="110">
        <f t="shared" si="0"/>
        <v>1</v>
      </c>
      <c r="M9" s="110">
        <f t="shared" si="0"/>
        <v>1</v>
      </c>
      <c r="N9" s="81"/>
    </row>
    <row r="10" spans="1:14" s="1" customFormat="1" ht="16.5" customHeight="1" x14ac:dyDescent="0.15">
      <c r="A10" s="71" t="s">
        <v>367</v>
      </c>
      <c r="B10" s="90">
        <v>14689</v>
      </c>
      <c r="C10" s="14">
        <v>848</v>
      </c>
      <c r="D10" s="91">
        <v>13841</v>
      </c>
      <c r="E10" s="14">
        <v>4162</v>
      </c>
      <c r="F10" s="14">
        <v>0</v>
      </c>
      <c r="G10" s="3"/>
      <c r="H10" s="115">
        <v>16050</v>
      </c>
      <c r="I10" s="115">
        <v>997</v>
      </c>
      <c r="J10" s="116">
        <v>15053</v>
      </c>
      <c r="K10" s="110"/>
      <c r="L10" s="110">
        <f t="shared" si="0"/>
        <v>1</v>
      </c>
      <c r="M10" s="110">
        <f t="shared" si="0"/>
        <v>1</v>
      </c>
      <c r="N10" s="81"/>
    </row>
    <row r="11" spans="1:14" s="1" customFormat="1" ht="16.5" customHeight="1" x14ac:dyDescent="0.15">
      <c r="A11" s="71" t="s">
        <v>368</v>
      </c>
      <c r="B11" s="90">
        <v>21906</v>
      </c>
      <c r="C11" s="14">
        <v>1646</v>
      </c>
      <c r="D11" s="91">
        <v>20260</v>
      </c>
      <c r="E11" s="14">
        <v>5176</v>
      </c>
      <c r="F11" s="14">
        <v>0</v>
      </c>
      <c r="G11" s="3"/>
      <c r="H11" s="115">
        <v>21999</v>
      </c>
      <c r="I11" s="115">
        <v>1742</v>
      </c>
      <c r="J11" s="116">
        <v>20257</v>
      </c>
      <c r="K11" s="110"/>
      <c r="L11" s="110">
        <f t="shared" si="0"/>
        <v>1</v>
      </c>
      <c r="M11" s="110">
        <f t="shared" si="0"/>
        <v>1</v>
      </c>
      <c r="N11" s="81"/>
    </row>
    <row r="12" spans="1:14" s="1" customFormat="1" ht="16.5" customHeight="1" x14ac:dyDescent="0.15">
      <c r="A12" s="71" t="s">
        <v>369</v>
      </c>
      <c r="B12" s="90">
        <v>34819</v>
      </c>
      <c r="C12" s="14">
        <v>2501</v>
      </c>
      <c r="D12" s="91">
        <v>32318</v>
      </c>
      <c r="E12" s="14">
        <v>8229</v>
      </c>
      <c r="F12" s="14">
        <v>809</v>
      </c>
      <c r="G12" s="3"/>
      <c r="H12" s="115">
        <v>34727</v>
      </c>
      <c r="I12" s="115">
        <v>2562</v>
      </c>
      <c r="J12" s="116">
        <v>32165</v>
      </c>
      <c r="K12" s="110"/>
      <c r="L12" s="110">
        <f t="shared" si="0"/>
        <v>1</v>
      </c>
      <c r="M12" s="110">
        <f t="shared" si="0"/>
        <v>1</v>
      </c>
      <c r="N12" s="81"/>
    </row>
    <row r="13" spans="1:14" s="1" customFormat="1" ht="16.5" customHeight="1" x14ac:dyDescent="0.15">
      <c r="A13" s="71" t="s">
        <v>370</v>
      </c>
      <c r="B13" s="90">
        <v>8016</v>
      </c>
      <c r="C13" s="14">
        <v>538</v>
      </c>
      <c r="D13" s="91">
        <v>7478</v>
      </c>
      <c r="E13" s="14">
        <v>1990</v>
      </c>
      <c r="F13" s="14">
        <v>0</v>
      </c>
      <c r="G13" s="3"/>
      <c r="H13" s="115">
        <v>8486</v>
      </c>
      <c r="I13" s="115">
        <v>558</v>
      </c>
      <c r="J13" s="116">
        <v>7928</v>
      </c>
      <c r="K13" s="110"/>
      <c r="L13" s="110">
        <f t="shared" si="0"/>
        <v>1</v>
      </c>
      <c r="M13" s="110">
        <f t="shared" si="0"/>
        <v>1</v>
      </c>
      <c r="N13" s="81"/>
    </row>
    <row r="14" spans="1:14" s="1" customFormat="1" ht="16.5" customHeight="1" x14ac:dyDescent="0.15">
      <c r="A14" s="71" t="s">
        <v>371</v>
      </c>
      <c r="B14" s="90">
        <v>18402</v>
      </c>
      <c r="C14" s="14">
        <v>1425</v>
      </c>
      <c r="D14" s="91">
        <v>16977</v>
      </c>
      <c r="E14" s="14">
        <v>4581</v>
      </c>
      <c r="F14" s="14">
        <v>1036</v>
      </c>
      <c r="G14" s="3"/>
      <c r="H14" s="115">
        <v>19277</v>
      </c>
      <c r="I14" s="115">
        <v>1621</v>
      </c>
      <c r="J14" s="116">
        <v>17656</v>
      </c>
      <c r="K14" s="110"/>
      <c r="L14" s="110">
        <f t="shared" si="0"/>
        <v>1</v>
      </c>
      <c r="M14" s="110">
        <f t="shared" si="0"/>
        <v>1</v>
      </c>
      <c r="N14" s="81"/>
    </row>
    <row r="15" spans="1:14" s="1" customFormat="1" ht="16.5" customHeight="1" x14ac:dyDescent="0.15">
      <c r="A15" s="71" t="s">
        <v>372</v>
      </c>
      <c r="B15" s="90">
        <v>6984</v>
      </c>
      <c r="C15" s="14">
        <v>479</v>
      </c>
      <c r="D15" s="91">
        <v>6505</v>
      </c>
      <c r="E15" s="14">
        <v>2077</v>
      </c>
      <c r="F15" s="14">
        <v>0</v>
      </c>
      <c r="G15" s="3"/>
      <c r="H15" s="115">
        <v>6997</v>
      </c>
      <c r="I15" s="115">
        <v>528</v>
      </c>
      <c r="J15" s="116">
        <v>6469</v>
      </c>
      <c r="K15" s="110"/>
      <c r="L15" s="110">
        <f t="shared" si="0"/>
        <v>1</v>
      </c>
      <c r="M15" s="110">
        <f t="shared" si="0"/>
        <v>1</v>
      </c>
      <c r="N15" s="81"/>
    </row>
    <row r="16" spans="1:14" s="1" customFormat="1" ht="16.5" customHeight="1" x14ac:dyDescent="0.15">
      <c r="A16" s="71" t="s">
        <v>373</v>
      </c>
      <c r="B16" s="90">
        <v>24768</v>
      </c>
      <c r="C16" s="14">
        <v>1528</v>
      </c>
      <c r="D16" s="91">
        <v>23240</v>
      </c>
      <c r="E16" s="14">
        <v>5934</v>
      </c>
      <c r="F16" s="14">
        <v>799</v>
      </c>
      <c r="G16" s="3"/>
      <c r="H16" s="115">
        <v>26498</v>
      </c>
      <c r="I16" s="115">
        <v>1816</v>
      </c>
      <c r="J16" s="116">
        <v>24682</v>
      </c>
      <c r="K16" s="110"/>
      <c r="L16" s="110">
        <f t="shared" si="0"/>
        <v>1</v>
      </c>
      <c r="M16" s="110">
        <f t="shared" si="0"/>
        <v>1</v>
      </c>
      <c r="N16" s="81"/>
    </row>
    <row r="17" spans="1:14" s="1" customFormat="1" ht="16.5" customHeight="1" x14ac:dyDescent="0.15">
      <c r="A17" s="71" t="s">
        <v>374</v>
      </c>
      <c r="B17" s="90">
        <v>18616</v>
      </c>
      <c r="C17" s="14">
        <v>1482</v>
      </c>
      <c r="D17" s="91">
        <v>17134</v>
      </c>
      <c r="E17" s="14">
        <v>4998</v>
      </c>
      <c r="F17" s="14">
        <v>1301</v>
      </c>
      <c r="G17" s="3"/>
      <c r="H17" s="115">
        <v>22044</v>
      </c>
      <c r="I17" s="115">
        <v>1453</v>
      </c>
      <c r="J17" s="116">
        <v>20591</v>
      </c>
      <c r="K17" s="110"/>
      <c r="L17" s="110">
        <f t="shared" si="0"/>
        <v>1</v>
      </c>
      <c r="M17" s="110">
        <f t="shared" si="0"/>
        <v>1</v>
      </c>
      <c r="N17" s="81"/>
    </row>
    <row r="18" spans="1:14" s="1" customFormat="1" ht="16.5" customHeight="1" x14ac:dyDescent="0.15">
      <c r="A18" s="71" t="s">
        <v>375</v>
      </c>
      <c r="B18" s="90">
        <v>7644</v>
      </c>
      <c r="C18" s="14">
        <v>587</v>
      </c>
      <c r="D18" s="91">
        <v>7057</v>
      </c>
      <c r="E18" s="14">
        <v>1626</v>
      </c>
      <c r="F18" s="14">
        <v>0</v>
      </c>
      <c r="G18" s="3"/>
      <c r="H18" s="117">
        <v>6852</v>
      </c>
      <c r="I18" s="117">
        <v>529</v>
      </c>
      <c r="J18" s="118">
        <v>6323</v>
      </c>
      <c r="K18" s="110"/>
      <c r="L18" s="110">
        <f t="shared" si="0"/>
        <v>1</v>
      </c>
      <c r="M18" s="110">
        <f t="shared" si="0"/>
        <v>1</v>
      </c>
      <c r="N18" s="81"/>
    </row>
    <row r="19" spans="1:14" s="1" customFormat="1" ht="16.5" customHeight="1" x14ac:dyDescent="0.15">
      <c r="A19" s="71" t="s">
        <v>376</v>
      </c>
      <c r="B19" s="90">
        <v>14148</v>
      </c>
      <c r="C19" s="14">
        <v>855</v>
      </c>
      <c r="D19" s="91">
        <v>13293</v>
      </c>
      <c r="E19" s="14">
        <v>3180</v>
      </c>
      <c r="F19" s="14">
        <v>0</v>
      </c>
      <c r="G19" s="3"/>
      <c r="H19" s="115">
        <v>14622</v>
      </c>
      <c r="I19" s="115">
        <v>1018</v>
      </c>
      <c r="J19" s="116">
        <v>13604</v>
      </c>
      <c r="K19" s="110"/>
      <c r="L19" s="110">
        <f t="shared" si="0"/>
        <v>1</v>
      </c>
      <c r="M19" s="110">
        <f t="shared" si="0"/>
        <v>1</v>
      </c>
      <c r="N19" s="81"/>
    </row>
    <row r="20" spans="1:14" s="1" customFormat="1" ht="16.5" customHeight="1" x14ac:dyDescent="0.15">
      <c r="A20" s="71" t="s">
        <v>377</v>
      </c>
      <c r="B20" s="90">
        <v>16842</v>
      </c>
      <c r="C20" s="14">
        <v>1178</v>
      </c>
      <c r="D20" s="91">
        <v>15664</v>
      </c>
      <c r="E20" s="14">
        <v>3666</v>
      </c>
      <c r="F20" s="14">
        <v>1219</v>
      </c>
      <c r="G20" s="3"/>
      <c r="H20" s="115">
        <v>17982</v>
      </c>
      <c r="I20" s="115">
        <v>1417</v>
      </c>
      <c r="J20" s="116">
        <v>16565</v>
      </c>
      <c r="K20" s="110"/>
      <c r="L20" s="110">
        <f t="shared" ref="L20:M22" si="1">IF(I20&lt;&gt;C20,1,0)</f>
        <v>1</v>
      </c>
      <c r="M20" s="110">
        <f t="shared" si="1"/>
        <v>1</v>
      </c>
      <c r="N20" s="81"/>
    </row>
    <row r="21" spans="1:14" s="1" customFormat="1" ht="16.5" customHeight="1" x14ac:dyDescent="0.15">
      <c r="A21" s="71" t="s">
        <v>378</v>
      </c>
      <c r="B21" s="90">
        <v>7930</v>
      </c>
      <c r="C21" s="14">
        <v>791</v>
      </c>
      <c r="D21" s="91">
        <v>7139</v>
      </c>
      <c r="E21" s="14">
        <v>2005</v>
      </c>
      <c r="F21" s="14">
        <v>0</v>
      </c>
      <c r="G21" s="3"/>
      <c r="H21" s="115">
        <v>8467</v>
      </c>
      <c r="I21" s="115">
        <v>644</v>
      </c>
      <c r="J21" s="116">
        <v>7823</v>
      </c>
      <c r="K21" s="110"/>
      <c r="L21" s="110">
        <f t="shared" si="1"/>
        <v>1</v>
      </c>
      <c r="M21" s="110">
        <f t="shared" si="1"/>
        <v>1</v>
      </c>
      <c r="N21" s="81"/>
    </row>
    <row r="22" spans="1:14" s="1" customFormat="1" ht="16.5" customHeight="1" x14ac:dyDescent="0.15">
      <c r="A22" s="73" t="s">
        <v>379</v>
      </c>
      <c r="B22" s="47">
        <v>4074</v>
      </c>
      <c r="C22" s="37">
        <v>320</v>
      </c>
      <c r="D22" s="50">
        <v>3754</v>
      </c>
      <c r="E22" s="37">
        <v>1289</v>
      </c>
      <c r="F22" s="37">
        <v>0</v>
      </c>
      <c r="G22" s="3"/>
      <c r="H22" s="117">
        <v>3569</v>
      </c>
      <c r="I22" s="117">
        <v>245</v>
      </c>
      <c r="J22" s="118">
        <v>3324</v>
      </c>
      <c r="K22" s="110"/>
      <c r="L22" s="110">
        <f t="shared" si="1"/>
        <v>1</v>
      </c>
      <c r="M22" s="110">
        <f t="shared" si="1"/>
        <v>1</v>
      </c>
      <c r="N22" s="81"/>
    </row>
    <row r="23" spans="1:14" s="1" customFormat="1" ht="16.5" customHeight="1" x14ac:dyDescent="0.15">
      <c r="A23" s="111"/>
      <c r="B23" s="60"/>
      <c r="C23" s="60"/>
      <c r="D23" s="60"/>
      <c r="E23" s="60"/>
      <c r="F23" s="60"/>
      <c r="G23" s="3"/>
      <c r="H23" s="82"/>
      <c r="I23" s="82"/>
      <c r="J23" s="82"/>
      <c r="K23" s="82"/>
      <c r="L23" s="82"/>
      <c r="M23" s="82"/>
      <c r="N23" s="59"/>
    </row>
    <row r="24" spans="1:14" s="1" customFormat="1" ht="16.5" customHeight="1" x14ac:dyDescent="0.15">
      <c r="A24" s="112" t="s">
        <v>380</v>
      </c>
      <c r="B24" s="60"/>
      <c r="C24" s="60"/>
      <c r="D24" s="60"/>
      <c r="E24" s="60"/>
      <c r="F24" s="60"/>
      <c r="G24" s="3"/>
      <c r="H24" s="3"/>
      <c r="I24" s="3"/>
      <c r="J24" s="3"/>
      <c r="K24" s="3"/>
      <c r="L24" s="3"/>
      <c r="M24" s="3"/>
      <c r="N24" s="59"/>
    </row>
    <row r="25" spans="1:14" s="1" customFormat="1" ht="16.5" customHeight="1" x14ac:dyDescent="0.15">
      <c r="A25" s="60"/>
      <c r="B25" s="60"/>
      <c r="C25" s="60"/>
      <c r="D25" s="60"/>
      <c r="E25" s="60"/>
      <c r="F25" s="60"/>
      <c r="G25" s="3"/>
      <c r="H25" s="3"/>
      <c r="I25" s="3"/>
      <c r="J25" s="3"/>
      <c r="K25" s="3"/>
      <c r="L25" s="3"/>
      <c r="M25" s="3"/>
      <c r="N25" s="59"/>
    </row>
    <row r="26" spans="1:14" s="1" customFormat="1" ht="16.5" customHeight="1" x14ac:dyDescent="0.15">
      <c r="A26" s="112" t="s">
        <v>381</v>
      </c>
      <c r="B26" s="60"/>
      <c r="C26" s="60"/>
      <c r="D26" s="60"/>
      <c r="E26" s="60"/>
      <c r="F26" s="60"/>
      <c r="G26" s="3"/>
      <c r="H26" s="3"/>
      <c r="I26" s="3"/>
      <c r="J26" s="3"/>
      <c r="K26" s="3"/>
      <c r="L26" s="3"/>
      <c r="M26" s="3"/>
      <c r="N26" s="59"/>
    </row>
    <row r="27" spans="1:14" s="1" customFormat="1" ht="16.5" customHeight="1" x14ac:dyDescent="0.15">
      <c r="A27" s="62" t="s">
        <v>496</v>
      </c>
      <c r="B27" s="57"/>
      <c r="C27" s="57"/>
      <c r="D27" s="57"/>
      <c r="E27" s="57"/>
      <c r="F27" s="57"/>
      <c r="G27" s="3"/>
      <c r="H27" s="3"/>
      <c r="I27" s="3"/>
      <c r="J27" s="3"/>
      <c r="K27" s="3"/>
      <c r="L27" s="3"/>
      <c r="M27" s="3"/>
      <c r="N27" s="59"/>
    </row>
    <row r="28" spans="1:14" s="1" customFormat="1" ht="16.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59"/>
    </row>
    <row r="29" spans="1:14" s="1" customFormat="1" ht="16.5" customHeight="1" x14ac:dyDescent="0.15">
      <c r="A29" s="80" t="s">
        <v>382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59"/>
    </row>
    <row r="30" spans="1:14" s="1" customFormat="1" ht="16.5" customHeight="1" x14ac:dyDescent="0.15">
      <c r="A30" s="245" t="s">
        <v>383</v>
      </c>
      <c r="B30" s="422" t="s">
        <v>490</v>
      </c>
      <c r="C30" s="422" t="s">
        <v>384</v>
      </c>
      <c r="D30" s="400" t="s">
        <v>385</v>
      </c>
      <c r="E30" s="410" t="s">
        <v>386</v>
      </c>
      <c r="F30" s="3"/>
      <c r="G30" s="3"/>
      <c r="H30" s="3"/>
      <c r="I30" s="3"/>
      <c r="J30" s="3"/>
      <c r="K30" s="3"/>
      <c r="L30" s="3"/>
      <c r="M30" s="3"/>
      <c r="N30" s="59"/>
    </row>
    <row r="31" spans="1:14" s="1" customFormat="1" ht="16.5" customHeight="1" x14ac:dyDescent="0.15">
      <c r="A31" s="246" t="s">
        <v>254</v>
      </c>
      <c r="B31" s="422"/>
      <c r="C31" s="422"/>
      <c r="D31" s="429"/>
      <c r="E31" s="430"/>
      <c r="F31" s="3"/>
      <c r="G31" s="3"/>
      <c r="H31" s="3"/>
      <c r="I31" s="3"/>
      <c r="J31" s="3"/>
      <c r="K31" s="3"/>
      <c r="L31" s="3"/>
      <c r="M31" s="3"/>
      <c r="N31" s="59"/>
    </row>
    <row r="32" spans="1:14" s="1" customFormat="1" ht="16.5" customHeight="1" x14ac:dyDescent="0.15">
      <c r="A32" s="248" t="s">
        <v>232</v>
      </c>
      <c r="B32" s="48">
        <v>342693</v>
      </c>
      <c r="C32" s="35">
        <v>328269</v>
      </c>
      <c r="D32" s="35">
        <v>148999</v>
      </c>
      <c r="E32" s="40">
        <v>95.790984934037169</v>
      </c>
      <c r="F32" s="3"/>
      <c r="G32" s="3"/>
      <c r="H32" s="3"/>
      <c r="I32" s="3"/>
      <c r="J32" s="3"/>
      <c r="K32" s="3"/>
      <c r="L32" s="3"/>
      <c r="M32" s="3"/>
      <c r="N32" s="59"/>
    </row>
    <row r="33" spans="1:14" s="1" customFormat="1" ht="16.5" customHeight="1" x14ac:dyDescent="0.15">
      <c r="A33" s="136" t="s">
        <v>233</v>
      </c>
      <c r="B33" s="92">
        <v>247063</v>
      </c>
      <c r="C33" s="35">
        <v>235887</v>
      </c>
      <c r="D33" s="35">
        <v>109628</v>
      </c>
      <c r="E33" s="40">
        <v>95.47645742179121</v>
      </c>
      <c r="F33" s="3"/>
      <c r="G33" s="3"/>
      <c r="H33" s="3"/>
      <c r="I33" s="3"/>
      <c r="J33" s="3"/>
      <c r="K33" s="3"/>
      <c r="L33" s="3"/>
      <c r="M33" s="3"/>
      <c r="N33" s="59"/>
    </row>
    <row r="34" spans="1:14" s="1" customFormat="1" ht="16.5" customHeight="1" x14ac:dyDescent="0.15">
      <c r="A34" s="137" t="s">
        <v>104</v>
      </c>
      <c r="B34" s="90">
        <v>17953</v>
      </c>
      <c r="C34" s="14">
        <v>18071</v>
      </c>
      <c r="D34" s="14">
        <v>9335</v>
      </c>
      <c r="E34" s="27">
        <v>100.65727176516459</v>
      </c>
      <c r="F34" s="3"/>
      <c r="G34" s="3"/>
      <c r="H34" s="3"/>
      <c r="I34" s="3"/>
      <c r="J34" s="3"/>
      <c r="K34" s="3"/>
      <c r="L34" s="3"/>
      <c r="M34" s="3"/>
      <c r="N34" s="59"/>
    </row>
    <row r="35" spans="1:14" s="1" customFormat="1" ht="16.5" customHeight="1" x14ac:dyDescent="0.15">
      <c r="A35" s="137" t="s">
        <v>105</v>
      </c>
      <c r="B35" s="90">
        <v>229110</v>
      </c>
      <c r="C35" s="14">
        <v>217816</v>
      </c>
      <c r="D35" s="14">
        <v>100293</v>
      </c>
      <c r="E35" s="27">
        <v>95.07049015756624</v>
      </c>
      <c r="F35" s="3"/>
      <c r="G35" s="3"/>
      <c r="H35" s="3"/>
      <c r="I35" s="3"/>
      <c r="J35" s="3"/>
      <c r="K35" s="3"/>
      <c r="L35" s="3"/>
      <c r="M35" s="3"/>
      <c r="N35" s="59"/>
    </row>
    <row r="36" spans="1:14" s="1" customFormat="1" ht="16.5" customHeight="1" x14ac:dyDescent="0.15">
      <c r="A36" s="136" t="s">
        <v>234</v>
      </c>
      <c r="B36" s="92">
        <v>73835</v>
      </c>
      <c r="C36" s="35">
        <v>69853</v>
      </c>
      <c r="D36" s="35">
        <v>34109</v>
      </c>
      <c r="E36" s="40">
        <v>94.606893749576756</v>
      </c>
      <c r="F36" s="3"/>
      <c r="G36" s="3"/>
      <c r="H36" s="3"/>
      <c r="I36" s="3"/>
      <c r="J36" s="3"/>
      <c r="K36" s="3"/>
      <c r="L36" s="3"/>
      <c r="M36" s="3"/>
      <c r="N36" s="59"/>
    </row>
    <row r="37" spans="1:14" s="1" customFormat="1" ht="16.5" customHeight="1" x14ac:dyDescent="0.15">
      <c r="A37" s="137" t="s">
        <v>62</v>
      </c>
      <c r="B37" s="90">
        <v>9351</v>
      </c>
      <c r="C37" s="14">
        <v>9438</v>
      </c>
      <c r="D37" s="14">
        <v>3895</v>
      </c>
      <c r="E37" s="27">
        <v>100.93038177735001</v>
      </c>
      <c r="F37" s="3"/>
      <c r="G37" s="3"/>
      <c r="H37" s="3"/>
      <c r="I37" s="3"/>
      <c r="J37" s="3"/>
      <c r="K37" s="3"/>
      <c r="L37" s="3"/>
      <c r="M37" s="3"/>
      <c r="N37" s="59"/>
    </row>
    <row r="38" spans="1:14" s="1" customFormat="1" ht="16.5" customHeight="1" x14ac:dyDescent="0.15">
      <c r="A38" s="137" t="s">
        <v>8</v>
      </c>
      <c r="B38" s="90">
        <v>64484</v>
      </c>
      <c r="C38" s="14">
        <v>60415</v>
      </c>
      <c r="D38" s="14">
        <v>30214</v>
      </c>
      <c r="E38" s="27">
        <v>93.689907573971837</v>
      </c>
      <c r="F38" s="3"/>
      <c r="G38" s="3"/>
      <c r="H38" s="3"/>
      <c r="I38" s="3"/>
      <c r="J38" s="3"/>
      <c r="K38" s="3"/>
      <c r="L38" s="3"/>
      <c r="M38" s="3"/>
      <c r="N38" s="59"/>
    </row>
    <row r="39" spans="1:14" s="1" customFormat="1" ht="16.5" customHeight="1" x14ac:dyDescent="0.15">
      <c r="A39" s="136" t="s">
        <v>235</v>
      </c>
      <c r="B39" s="92">
        <v>21795</v>
      </c>
      <c r="C39" s="35">
        <v>22529</v>
      </c>
      <c r="D39" s="35">
        <v>5262</v>
      </c>
      <c r="E39" s="40">
        <v>103.36774489561826</v>
      </c>
      <c r="F39" s="3"/>
      <c r="G39" s="3"/>
      <c r="H39" s="3"/>
      <c r="I39" s="3"/>
      <c r="J39" s="3"/>
      <c r="K39" s="3"/>
      <c r="L39" s="3"/>
      <c r="M39" s="3"/>
      <c r="N39" s="59"/>
    </row>
    <row r="40" spans="1:14" s="1" customFormat="1" ht="16.5" customHeight="1" x14ac:dyDescent="0.15">
      <c r="A40" s="137" t="s">
        <v>236</v>
      </c>
      <c r="B40" s="90">
        <v>3615</v>
      </c>
      <c r="C40" s="14">
        <v>3870</v>
      </c>
      <c r="D40" s="14">
        <v>966</v>
      </c>
      <c r="E40" s="27">
        <v>107.0539419087137</v>
      </c>
      <c r="F40" s="3"/>
      <c r="G40" s="3"/>
      <c r="H40" s="3"/>
      <c r="I40" s="3"/>
      <c r="J40" s="3"/>
      <c r="K40" s="3"/>
      <c r="L40" s="3"/>
      <c r="M40" s="3"/>
      <c r="N40" s="59"/>
    </row>
    <row r="41" spans="1:14" s="1" customFormat="1" ht="16.5" customHeight="1" x14ac:dyDescent="0.15">
      <c r="A41" s="137" t="s">
        <v>237</v>
      </c>
      <c r="B41" s="90">
        <v>17979</v>
      </c>
      <c r="C41" s="14">
        <v>18464</v>
      </c>
      <c r="D41" s="14">
        <v>4230</v>
      </c>
      <c r="E41" s="27">
        <v>102.6975916346849</v>
      </c>
      <c r="F41" s="3"/>
      <c r="G41" s="3"/>
      <c r="H41" s="3"/>
      <c r="I41" s="3"/>
      <c r="J41" s="3"/>
      <c r="K41" s="3"/>
      <c r="L41" s="3"/>
      <c r="M41" s="3"/>
      <c r="N41" s="59"/>
    </row>
    <row r="42" spans="1:14" s="1" customFormat="1" ht="16.5" customHeight="1" x14ac:dyDescent="0.15">
      <c r="A42" s="70" t="s">
        <v>387</v>
      </c>
      <c r="B42" s="47">
        <v>201</v>
      </c>
      <c r="C42" s="37">
        <v>195</v>
      </c>
      <c r="D42" s="37">
        <v>66</v>
      </c>
      <c r="E42" s="41">
        <v>97.014925373134332</v>
      </c>
      <c r="F42" s="3"/>
      <c r="G42" s="3"/>
      <c r="H42" s="3"/>
      <c r="I42" s="3"/>
      <c r="J42" s="3"/>
      <c r="K42" s="3"/>
      <c r="L42" s="3"/>
      <c r="M42" s="3"/>
      <c r="N42" s="59"/>
    </row>
    <row r="43" spans="1:14" s="1" customFormat="1" ht="16.5" customHeight="1" x14ac:dyDescent="0.15">
      <c r="A43" s="3" t="s">
        <v>688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59"/>
    </row>
    <row r="44" spans="1:14" s="1" customFormat="1" ht="16.5" customHeight="1" x14ac:dyDescent="0.15">
      <c r="A44" s="8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59"/>
    </row>
    <row r="45" spans="1:14" s="1" customFormat="1" ht="16.5" customHeight="1" x14ac:dyDescent="0.15">
      <c r="A45" s="3" t="s">
        <v>709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59"/>
    </row>
    <row r="46" spans="1:14" s="1" customFormat="1" ht="16.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59"/>
    </row>
    <row r="47" spans="1:14" ht="16.5" customHeight="1" x14ac:dyDescent="0.15">
      <c r="A47" s="119" t="s">
        <v>388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</row>
    <row r="48" spans="1:14" ht="16.5" customHeight="1" x14ac:dyDescent="0.15">
      <c r="A48" s="245" t="s">
        <v>383</v>
      </c>
      <c r="B48" s="427" t="s">
        <v>389</v>
      </c>
      <c r="C48" s="400" t="s">
        <v>390</v>
      </c>
      <c r="D48" s="400"/>
      <c r="E48" s="400"/>
      <c r="F48" s="400"/>
      <c r="G48" s="400"/>
      <c r="H48" s="400"/>
      <c r="I48" s="400"/>
      <c r="J48" s="400"/>
      <c r="K48" s="400"/>
      <c r="L48" s="400"/>
      <c r="M48" s="400"/>
      <c r="N48" s="400"/>
    </row>
    <row r="49" spans="1:14" ht="22.5" x14ac:dyDescent="0.15">
      <c r="A49" s="246" t="s">
        <v>391</v>
      </c>
      <c r="B49" s="428"/>
      <c r="C49" s="247" t="s">
        <v>79</v>
      </c>
      <c r="D49" s="247" t="s">
        <v>392</v>
      </c>
      <c r="E49" s="247" t="s">
        <v>245</v>
      </c>
      <c r="F49" s="247" t="s">
        <v>393</v>
      </c>
      <c r="G49" s="272" t="s">
        <v>394</v>
      </c>
      <c r="H49" s="247" t="s">
        <v>395</v>
      </c>
      <c r="I49" s="247" t="s">
        <v>396</v>
      </c>
      <c r="J49" s="272" t="s">
        <v>179</v>
      </c>
      <c r="K49" s="272" t="s">
        <v>397</v>
      </c>
      <c r="L49" s="272" t="s">
        <v>398</v>
      </c>
      <c r="M49" s="272" t="s">
        <v>399</v>
      </c>
      <c r="N49" s="247" t="s">
        <v>400</v>
      </c>
    </row>
    <row r="50" spans="1:14" ht="16.5" customHeight="1" x14ac:dyDescent="0.15">
      <c r="A50" s="138">
        <v>2015</v>
      </c>
      <c r="B50" s="140">
        <v>3878</v>
      </c>
      <c r="C50" s="139">
        <v>3409</v>
      </c>
      <c r="D50" s="113">
        <v>708</v>
      </c>
      <c r="E50" s="113">
        <v>77</v>
      </c>
      <c r="F50" s="113">
        <v>13</v>
      </c>
      <c r="G50" s="113">
        <v>0</v>
      </c>
      <c r="H50" s="113">
        <v>2</v>
      </c>
      <c r="I50" s="113">
        <v>338</v>
      </c>
      <c r="J50" s="113">
        <v>1</v>
      </c>
      <c r="K50" s="113">
        <v>1</v>
      </c>
      <c r="L50" s="113">
        <v>1939</v>
      </c>
      <c r="M50" s="113">
        <v>102</v>
      </c>
      <c r="N50" s="114">
        <v>228</v>
      </c>
    </row>
    <row r="51" spans="1:14" ht="16.5" customHeight="1" x14ac:dyDescent="0.15">
      <c r="A51" s="138">
        <v>2016</v>
      </c>
      <c r="B51" s="141">
        <v>2056</v>
      </c>
      <c r="C51" s="139">
        <v>2294</v>
      </c>
      <c r="D51" s="113">
        <v>449</v>
      </c>
      <c r="E51" s="113">
        <v>116</v>
      </c>
      <c r="F51" s="113">
        <v>14</v>
      </c>
      <c r="G51" s="113">
        <v>0</v>
      </c>
      <c r="H51" s="113">
        <v>3</v>
      </c>
      <c r="I51" s="113">
        <v>124</v>
      </c>
      <c r="J51" s="113">
        <v>1</v>
      </c>
      <c r="K51" s="113">
        <v>1</v>
      </c>
      <c r="L51" s="113">
        <v>1374</v>
      </c>
      <c r="M51" s="113">
        <v>75</v>
      </c>
      <c r="N51" s="114">
        <v>137</v>
      </c>
    </row>
    <row r="52" spans="1:14" ht="16.5" customHeight="1" x14ac:dyDescent="0.15">
      <c r="A52" s="138">
        <v>2017</v>
      </c>
      <c r="B52" s="141">
        <v>1501</v>
      </c>
      <c r="C52" s="139">
        <v>1418</v>
      </c>
      <c r="D52" s="113">
        <v>132</v>
      </c>
      <c r="E52" s="113">
        <v>35</v>
      </c>
      <c r="F52" s="113">
        <v>3</v>
      </c>
      <c r="G52" s="113">
        <v>0</v>
      </c>
      <c r="H52" s="113">
        <v>0</v>
      </c>
      <c r="I52" s="113">
        <v>108</v>
      </c>
      <c r="J52" s="113">
        <v>13</v>
      </c>
      <c r="K52" s="113">
        <v>0</v>
      </c>
      <c r="L52" s="113">
        <v>977</v>
      </c>
      <c r="M52" s="113">
        <v>60</v>
      </c>
      <c r="N52" s="114">
        <v>90</v>
      </c>
    </row>
    <row r="53" spans="1:14" ht="16.5" customHeight="1" x14ac:dyDescent="0.15">
      <c r="A53" s="138">
        <v>2018</v>
      </c>
      <c r="B53" s="141">
        <v>1230</v>
      </c>
      <c r="C53" s="139">
        <v>1348</v>
      </c>
      <c r="D53" s="113">
        <v>87</v>
      </c>
      <c r="E53" s="113">
        <v>54</v>
      </c>
      <c r="F53" s="113">
        <v>5</v>
      </c>
      <c r="G53" s="113">
        <v>0</v>
      </c>
      <c r="H53" s="113">
        <v>5</v>
      </c>
      <c r="I53" s="113">
        <v>136</v>
      </c>
      <c r="J53" s="113">
        <v>5</v>
      </c>
      <c r="K53" s="113">
        <v>0</v>
      </c>
      <c r="L53" s="113">
        <v>947</v>
      </c>
      <c r="M53" s="113">
        <v>30</v>
      </c>
      <c r="N53" s="114">
        <v>79</v>
      </c>
    </row>
    <row r="54" spans="1:14" ht="16.5" customHeight="1" x14ac:dyDescent="0.15">
      <c r="A54" s="138">
        <v>2019</v>
      </c>
      <c r="B54" s="141">
        <v>1002</v>
      </c>
      <c r="C54" s="139">
        <v>1042</v>
      </c>
      <c r="D54" s="113">
        <v>30</v>
      </c>
      <c r="E54" s="113">
        <v>20</v>
      </c>
      <c r="F54" s="113">
        <v>1</v>
      </c>
      <c r="G54" s="113">
        <v>1</v>
      </c>
      <c r="H54" s="113">
        <v>1</v>
      </c>
      <c r="I54" s="113">
        <v>135</v>
      </c>
      <c r="J54" s="113">
        <v>7</v>
      </c>
      <c r="K54" s="113">
        <v>19</v>
      </c>
      <c r="L54" s="113">
        <v>718</v>
      </c>
      <c r="M54" s="113">
        <v>23</v>
      </c>
      <c r="N54" s="114">
        <v>87</v>
      </c>
    </row>
  </sheetData>
  <sheetProtection algorithmName="SHA-512" hashValue="1bAA2HqKpVJgp7JbyYjnoFfwdEz77EE19uvVaxg6iuGyJgXkQ7cbKAsym4wt768btgtCdqVcUofa6ZrI1EvAQg==" saltValue="aYh5KNab0E3h+GdBN+AZrg==" spinCount="100000" sheet="1" objects="1" scenarios="1"/>
  <mergeCells count="8">
    <mergeCell ref="B48:B49"/>
    <mergeCell ref="C48:N48"/>
    <mergeCell ref="B2:D2"/>
    <mergeCell ref="E2:F2"/>
    <mergeCell ref="B30:B31"/>
    <mergeCell ref="C30:C31"/>
    <mergeCell ref="D30:D31"/>
    <mergeCell ref="E30:E31"/>
  </mergeCells>
  <phoneticPr fontId="5" type="noConversion"/>
  <pageMargins left="0.45" right="0.18" top="0.61" bottom="0.33" header="0.5" footer="0.5"/>
  <pageSetup paperSize="9" scale="67" pageOrder="overThenDown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47"/>
  <sheetViews>
    <sheetView showGridLines="0" zoomScaleNormal="100" zoomScaleSheetLayoutView="100" workbookViewId="0"/>
  </sheetViews>
  <sheetFormatPr defaultColWidth="8" defaultRowHeight="16.5" customHeight="1" x14ac:dyDescent="0.15"/>
  <cols>
    <col min="1" max="4" width="5.33203125" style="142" customWidth="1"/>
    <col min="5" max="11" width="11.109375" style="142" customWidth="1"/>
    <col min="12" max="16384" width="8" style="142"/>
  </cols>
  <sheetData>
    <row r="1" spans="1:11" ht="16.5" customHeight="1" x14ac:dyDescent="0.15">
      <c r="A1" s="80" t="s">
        <v>267</v>
      </c>
      <c r="B1" s="3"/>
      <c r="C1" s="3"/>
      <c r="D1" s="3"/>
      <c r="E1" s="3"/>
      <c r="F1" s="3"/>
    </row>
    <row r="2" spans="1:11" ht="24" customHeight="1" x14ac:dyDescent="0.15">
      <c r="A2" s="426" t="s">
        <v>499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</row>
    <row r="4" spans="1:11" s="3" customFormat="1" ht="16.5" customHeight="1" x14ac:dyDescent="0.15">
      <c r="A4" s="80" t="s">
        <v>268</v>
      </c>
      <c r="B4" s="143"/>
    </row>
    <row r="5" spans="1:11" s="3" customFormat="1" ht="16.5" customHeight="1" x14ac:dyDescent="0.15">
      <c r="A5" s="80" t="s">
        <v>22</v>
      </c>
    </row>
    <row r="6" spans="1:11" s="3" customFormat="1" ht="16.5" customHeight="1" x14ac:dyDescent="0.15">
      <c r="A6" s="448" t="s">
        <v>248</v>
      </c>
      <c r="B6" s="448"/>
      <c r="C6" s="448"/>
      <c r="D6" s="449"/>
      <c r="E6" s="400" t="s">
        <v>93</v>
      </c>
      <c r="F6" s="400"/>
      <c r="G6" s="400" t="s">
        <v>104</v>
      </c>
      <c r="H6" s="400"/>
      <c r="I6" s="400" t="s">
        <v>105</v>
      </c>
      <c r="J6" s="410"/>
    </row>
    <row r="7" spans="1:11" s="3" customFormat="1" ht="16.5" customHeight="1" x14ac:dyDescent="0.15">
      <c r="A7" s="450" t="s">
        <v>269</v>
      </c>
      <c r="B7" s="450"/>
      <c r="C7" s="450"/>
      <c r="D7" s="451"/>
      <c r="E7" s="247" t="s">
        <v>230</v>
      </c>
      <c r="F7" s="247" t="s">
        <v>231</v>
      </c>
      <c r="G7" s="247" t="s">
        <v>230</v>
      </c>
      <c r="H7" s="247" t="s">
        <v>231</v>
      </c>
      <c r="I7" s="247" t="s">
        <v>230</v>
      </c>
      <c r="J7" s="258" t="s">
        <v>231</v>
      </c>
    </row>
    <row r="8" spans="1:11" s="3" customFormat="1" ht="16.5" customHeight="1" x14ac:dyDescent="0.15">
      <c r="A8" s="447" t="s">
        <v>93</v>
      </c>
      <c r="B8" s="447"/>
      <c r="C8" s="447"/>
      <c r="D8" s="447"/>
      <c r="E8" s="48">
        <v>24351</v>
      </c>
      <c r="F8" s="257">
        <v>211536</v>
      </c>
      <c r="G8" s="48">
        <v>5374</v>
      </c>
      <c r="H8" s="257">
        <v>12697</v>
      </c>
      <c r="I8" s="35">
        <v>18977</v>
      </c>
      <c r="J8" s="35">
        <v>198839</v>
      </c>
    </row>
    <row r="9" spans="1:11" s="3" customFormat="1" ht="16.5" customHeight="1" x14ac:dyDescent="0.15">
      <c r="A9" s="447" t="s">
        <v>472</v>
      </c>
      <c r="B9" s="447"/>
      <c r="C9" s="447"/>
      <c r="D9" s="447"/>
      <c r="E9" s="92">
        <v>23414</v>
      </c>
      <c r="F9" s="93">
        <v>195096</v>
      </c>
      <c r="G9" s="92">
        <v>5210</v>
      </c>
      <c r="H9" s="93">
        <v>11848</v>
      </c>
      <c r="I9" s="35">
        <v>18204</v>
      </c>
      <c r="J9" s="35">
        <v>183248</v>
      </c>
    </row>
    <row r="10" spans="1:11" s="3" customFormat="1" ht="16.5" customHeight="1" x14ac:dyDescent="0.15">
      <c r="A10" s="445" t="s">
        <v>270</v>
      </c>
      <c r="B10" s="445"/>
      <c r="C10" s="445" t="s">
        <v>271</v>
      </c>
      <c r="D10" s="445"/>
      <c r="E10" s="90">
        <v>1</v>
      </c>
      <c r="F10" s="91">
        <v>2</v>
      </c>
      <c r="G10" s="90">
        <v>1</v>
      </c>
      <c r="H10" s="91">
        <v>2</v>
      </c>
      <c r="I10" s="14">
        <v>0</v>
      </c>
      <c r="J10" s="14">
        <v>0</v>
      </c>
    </row>
    <row r="11" spans="1:11" s="3" customFormat="1" ht="16.5" customHeight="1" x14ac:dyDescent="0.15">
      <c r="A11" s="445"/>
      <c r="B11" s="445"/>
      <c r="C11" s="445" t="s">
        <v>272</v>
      </c>
      <c r="D11" s="445"/>
      <c r="E11" s="90">
        <v>18210</v>
      </c>
      <c r="F11" s="91">
        <v>44921</v>
      </c>
      <c r="G11" s="90">
        <v>4015</v>
      </c>
      <c r="H11" s="91">
        <v>4668</v>
      </c>
      <c r="I11" s="14">
        <v>14195</v>
      </c>
      <c r="J11" s="14">
        <v>40253</v>
      </c>
    </row>
    <row r="12" spans="1:11" s="3" customFormat="1" ht="16.5" customHeight="1" x14ac:dyDescent="0.15">
      <c r="A12" s="445"/>
      <c r="B12" s="445"/>
      <c r="C12" s="445" t="s">
        <v>273</v>
      </c>
      <c r="D12" s="445"/>
      <c r="E12" s="90">
        <v>4790</v>
      </c>
      <c r="F12" s="91">
        <v>76775</v>
      </c>
      <c r="G12" s="90">
        <v>1094</v>
      </c>
      <c r="H12" s="91">
        <v>4829</v>
      </c>
      <c r="I12" s="14">
        <v>3696</v>
      </c>
      <c r="J12" s="14">
        <v>71946</v>
      </c>
    </row>
    <row r="13" spans="1:11" s="3" customFormat="1" ht="16.5" customHeight="1" x14ac:dyDescent="0.15">
      <c r="A13" s="445"/>
      <c r="B13" s="445"/>
      <c r="C13" s="445" t="s">
        <v>274</v>
      </c>
      <c r="D13" s="445"/>
      <c r="E13" s="90">
        <v>0</v>
      </c>
      <c r="F13" s="91">
        <v>2</v>
      </c>
      <c r="G13" s="90">
        <v>0</v>
      </c>
      <c r="H13" s="91">
        <v>0</v>
      </c>
      <c r="I13" s="14">
        <v>0</v>
      </c>
      <c r="J13" s="14">
        <v>2</v>
      </c>
    </row>
    <row r="14" spans="1:11" s="3" customFormat="1" ht="16.5" customHeight="1" x14ac:dyDescent="0.15">
      <c r="A14" s="445"/>
      <c r="B14" s="445"/>
      <c r="C14" s="445" t="s">
        <v>249</v>
      </c>
      <c r="D14" s="445"/>
      <c r="E14" s="90">
        <v>255</v>
      </c>
      <c r="F14" s="91">
        <v>59525</v>
      </c>
      <c r="G14" s="90">
        <v>19</v>
      </c>
      <c r="H14" s="91">
        <v>1414</v>
      </c>
      <c r="I14" s="14">
        <v>236</v>
      </c>
      <c r="J14" s="14">
        <v>58111</v>
      </c>
    </row>
    <row r="15" spans="1:11" s="3" customFormat="1" ht="16.5" customHeight="1" x14ac:dyDescent="0.15">
      <c r="A15" s="445"/>
      <c r="B15" s="445"/>
      <c r="C15" s="445" t="s">
        <v>275</v>
      </c>
      <c r="D15" s="445"/>
      <c r="E15" s="90">
        <v>0</v>
      </c>
      <c r="F15" s="91">
        <v>1695</v>
      </c>
      <c r="G15" s="90">
        <v>0</v>
      </c>
      <c r="H15" s="91">
        <v>14</v>
      </c>
      <c r="I15" s="14">
        <v>0</v>
      </c>
      <c r="J15" s="14">
        <v>1681</v>
      </c>
    </row>
    <row r="16" spans="1:11" s="3" customFormat="1" ht="16.5" customHeight="1" x14ac:dyDescent="0.15">
      <c r="A16" s="445" t="s">
        <v>464</v>
      </c>
      <c r="B16" s="445"/>
      <c r="C16" s="445"/>
      <c r="D16" s="445"/>
      <c r="E16" s="90">
        <v>1</v>
      </c>
      <c r="F16" s="91">
        <v>1855</v>
      </c>
      <c r="G16" s="90">
        <v>0</v>
      </c>
      <c r="H16" s="91">
        <v>81</v>
      </c>
      <c r="I16" s="14">
        <v>1</v>
      </c>
      <c r="J16" s="14">
        <v>1774</v>
      </c>
    </row>
    <row r="17" spans="1:11" s="3" customFormat="1" ht="16.5" customHeight="1" x14ac:dyDescent="0.15">
      <c r="A17" s="445" t="s">
        <v>80</v>
      </c>
      <c r="B17" s="445"/>
      <c r="C17" s="445"/>
      <c r="D17" s="445"/>
      <c r="E17" s="90">
        <v>142</v>
      </c>
      <c r="F17" s="91">
        <v>6726</v>
      </c>
      <c r="G17" s="90">
        <v>78</v>
      </c>
      <c r="H17" s="91">
        <v>757</v>
      </c>
      <c r="I17" s="14">
        <v>64</v>
      </c>
      <c r="J17" s="14">
        <v>5969</v>
      </c>
    </row>
    <row r="18" spans="1:11" s="3" customFormat="1" ht="16.5" customHeight="1" x14ac:dyDescent="0.15">
      <c r="A18" s="445" t="s">
        <v>180</v>
      </c>
      <c r="B18" s="445"/>
      <c r="C18" s="445"/>
      <c r="D18" s="445"/>
      <c r="E18" s="90">
        <v>3</v>
      </c>
      <c r="F18" s="91">
        <v>370</v>
      </c>
      <c r="G18" s="90">
        <v>2</v>
      </c>
      <c r="H18" s="91">
        <v>28</v>
      </c>
      <c r="I18" s="14">
        <v>1</v>
      </c>
      <c r="J18" s="14">
        <v>342</v>
      </c>
    </row>
    <row r="19" spans="1:11" s="3" customFormat="1" ht="16.5" customHeight="1" x14ac:dyDescent="0.15">
      <c r="A19" s="445" t="s">
        <v>473</v>
      </c>
      <c r="B19" s="445"/>
      <c r="C19" s="445"/>
      <c r="D19" s="445"/>
      <c r="E19" s="90">
        <v>0</v>
      </c>
      <c r="F19" s="91">
        <v>4</v>
      </c>
      <c r="G19" s="90">
        <v>0</v>
      </c>
      <c r="H19" s="91">
        <v>4</v>
      </c>
      <c r="I19" s="14">
        <v>0</v>
      </c>
      <c r="J19" s="14">
        <v>0</v>
      </c>
    </row>
    <row r="20" spans="1:11" s="3" customFormat="1" ht="16.5" customHeight="1" x14ac:dyDescent="0.15">
      <c r="A20" s="445" t="s">
        <v>465</v>
      </c>
      <c r="B20" s="445"/>
      <c r="C20" s="445"/>
      <c r="D20" s="445"/>
      <c r="E20" s="90">
        <v>12</v>
      </c>
      <c r="F20" s="91">
        <v>3221</v>
      </c>
      <c r="G20" s="90">
        <v>1</v>
      </c>
      <c r="H20" s="91">
        <v>51</v>
      </c>
      <c r="I20" s="14">
        <v>11</v>
      </c>
      <c r="J20" s="14">
        <v>3170</v>
      </c>
    </row>
    <row r="21" spans="1:11" s="3" customFormat="1" ht="16.5" customHeight="1" x14ac:dyDescent="0.15">
      <c r="A21" s="447" t="s">
        <v>474</v>
      </c>
      <c r="B21" s="447"/>
      <c r="C21" s="447"/>
      <c r="D21" s="447"/>
      <c r="E21" s="92">
        <v>937</v>
      </c>
      <c r="F21" s="93">
        <v>16440</v>
      </c>
      <c r="G21" s="92">
        <v>164</v>
      </c>
      <c r="H21" s="93">
        <v>849</v>
      </c>
      <c r="I21" s="35">
        <v>773</v>
      </c>
      <c r="J21" s="35">
        <v>15591</v>
      </c>
    </row>
    <row r="22" spans="1:11" s="3" customFormat="1" ht="16.5" customHeight="1" x14ac:dyDescent="0.15">
      <c r="A22" s="445" t="s">
        <v>276</v>
      </c>
      <c r="B22" s="445"/>
      <c r="C22" s="445"/>
      <c r="D22" s="445"/>
      <c r="E22" s="90">
        <v>25</v>
      </c>
      <c r="F22" s="91">
        <v>2143</v>
      </c>
      <c r="G22" s="90">
        <v>7</v>
      </c>
      <c r="H22" s="91">
        <v>48</v>
      </c>
      <c r="I22" s="14">
        <v>18</v>
      </c>
      <c r="J22" s="14">
        <v>2095</v>
      </c>
    </row>
    <row r="23" spans="1:11" s="3" customFormat="1" ht="16.5" customHeight="1" x14ac:dyDescent="0.15">
      <c r="A23" s="445" t="s">
        <v>277</v>
      </c>
      <c r="B23" s="445"/>
      <c r="C23" s="445"/>
      <c r="D23" s="445"/>
      <c r="E23" s="90">
        <v>260</v>
      </c>
      <c r="F23" s="91">
        <v>1126</v>
      </c>
      <c r="G23" s="90">
        <v>51</v>
      </c>
      <c r="H23" s="91">
        <v>201</v>
      </c>
      <c r="I23" s="14">
        <v>209</v>
      </c>
      <c r="J23" s="14">
        <v>925</v>
      </c>
    </row>
    <row r="24" spans="1:11" s="3" customFormat="1" ht="16.5" customHeight="1" x14ac:dyDescent="0.15">
      <c r="A24" s="452" t="s">
        <v>278</v>
      </c>
      <c r="B24" s="452"/>
      <c r="C24" s="452"/>
      <c r="D24" s="452"/>
      <c r="E24" s="47">
        <v>652</v>
      </c>
      <c r="F24" s="50">
        <v>13171</v>
      </c>
      <c r="G24" s="47">
        <v>106</v>
      </c>
      <c r="H24" s="50">
        <v>600</v>
      </c>
      <c r="I24" s="37">
        <v>546</v>
      </c>
      <c r="J24" s="37">
        <v>12571</v>
      </c>
    </row>
    <row r="25" spans="1:11" s="3" customFormat="1" ht="16.5" customHeight="1" x14ac:dyDescent="0.15">
      <c r="D25" s="111"/>
      <c r="E25" s="60"/>
      <c r="F25" s="60"/>
      <c r="G25" s="60"/>
      <c r="H25" s="60"/>
      <c r="I25" s="60"/>
      <c r="J25" s="60"/>
      <c r="K25" s="59"/>
    </row>
    <row r="26" spans="1:11" s="3" customFormat="1" ht="16.5" customHeight="1" x14ac:dyDescent="0.15">
      <c r="A26" s="80" t="s">
        <v>402</v>
      </c>
    </row>
    <row r="27" spans="1:11" s="3" customFormat="1" ht="16.5" customHeight="1" x14ac:dyDescent="0.15">
      <c r="A27" s="448" t="s">
        <v>279</v>
      </c>
      <c r="B27" s="448"/>
      <c r="C27" s="448"/>
      <c r="D27" s="448"/>
      <c r="E27" s="449"/>
      <c r="F27" s="400" t="s">
        <v>93</v>
      </c>
      <c r="G27" s="444"/>
      <c r="H27" s="400" t="s">
        <v>62</v>
      </c>
      <c r="I27" s="444"/>
      <c r="J27" s="400" t="s">
        <v>8</v>
      </c>
      <c r="K27" s="446"/>
    </row>
    <row r="28" spans="1:11" s="3" customFormat="1" ht="16.5" customHeight="1" x14ac:dyDescent="0.15">
      <c r="A28" s="450" t="s">
        <v>280</v>
      </c>
      <c r="B28" s="450"/>
      <c r="C28" s="450"/>
      <c r="D28" s="450"/>
      <c r="E28" s="451"/>
      <c r="F28" s="247" t="s">
        <v>230</v>
      </c>
      <c r="G28" s="247" t="s">
        <v>231</v>
      </c>
      <c r="H28" s="247" t="s">
        <v>230</v>
      </c>
      <c r="I28" s="247" t="s">
        <v>231</v>
      </c>
      <c r="J28" s="247" t="s">
        <v>230</v>
      </c>
      <c r="K28" s="258" t="s">
        <v>231</v>
      </c>
    </row>
    <row r="29" spans="1:11" s="3" customFormat="1" ht="16.5" customHeight="1" x14ac:dyDescent="0.15">
      <c r="A29" s="431" t="s">
        <v>93</v>
      </c>
      <c r="B29" s="431"/>
      <c r="C29" s="431"/>
      <c r="D29" s="431"/>
      <c r="E29" s="431"/>
      <c r="F29" s="48">
        <v>28346</v>
      </c>
      <c r="G29" s="257">
        <v>41507</v>
      </c>
      <c r="H29" s="48">
        <v>5184</v>
      </c>
      <c r="I29" s="257">
        <v>4254</v>
      </c>
      <c r="J29" s="35">
        <v>23162</v>
      </c>
      <c r="K29" s="35">
        <v>37253</v>
      </c>
    </row>
    <row r="30" spans="1:11" s="3" customFormat="1" ht="16.5" customHeight="1" x14ac:dyDescent="0.15">
      <c r="A30" s="437" t="s">
        <v>281</v>
      </c>
      <c r="B30" s="437" t="s">
        <v>282</v>
      </c>
      <c r="C30" s="439" t="s">
        <v>283</v>
      </c>
      <c r="D30" s="442" t="s">
        <v>284</v>
      </c>
      <c r="E30" s="231" t="s">
        <v>460</v>
      </c>
      <c r="F30" s="90">
        <v>0</v>
      </c>
      <c r="G30" s="91">
        <v>0</v>
      </c>
      <c r="H30" s="90">
        <v>0</v>
      </c>
      <c r="I30" s="91">
        <v>0</v>
      </c>
      <c r="J30" s="14">
        <v>0</v>
      </c>
      <c r="K30" s="14">
        <v>0</v>
      </c>
    </row>
    <row r="31" spans="1:11" s="3" customFormat="1" ht="16.5" customHeight="1" x14ac:dyDescent="0.15">
      <c r="A31" s="438"/>
      <c r="B31" s="438"/>
      <c r="C31" s="440"/>
      <c r="D31" s="443"/>
      <c r="E31" s="231" t="s">
        <v>461</v>
      </c>
      <c r="F31" s="90">
        <v>7362</v>
      </c>
      <c r="G31" s="91">
        <v>2852</v>
      </c>
      <c r="H31" s="90">
        <v>1813</v>
      </c>
      <c r="I31" s="91">
        <v>494</v>
      </c>
      <c r="J31" s="14">
        <v>5549</v>
      </c>
      <c r="K31" s="14">
        <v>2358</v>
      </c>
    </row>
    <row r="32" spans="1:11" s="3" customFormat="1" ht="16.5" customHeight="1" x14ac:dyDescent="0.15">
      <c r="A32" s="438"/>
      <c r="B32" s="438"/>
      <c r="C32" s="440"/>
      <c r="D32" s="443"/>
      <c r="E32" s="231" t="s">
        <v>245</v>
      </c>
      <c r="F32" s="90">
        <v>3727</v>
      </c>
      <c r="G32" s="91">
        <v>3494</v>
      </c>
      <c r="H32" s="90">
        <v>719</v>
      </c>
      <c r="I32" s="91">
        <v>668</v>
      </c>
      <c r="J32" s="14">
        <v>3008</v>
      </c>
      <c r="K32" s="14">
        <v>2826</v>
      </c>
    </row>
    <row r="33" spans="1:11" s="3" customFormat="1" ht="16.5" customHeight="1" x14ac:dyDescent="0.15">
      <c r="A33" s="438"/>
      <c r="B33" s="438"/>
      <c r="C33" s="440"/>
      <c r="D33" s="443"/>
      <c r="E33" s="231" t="s">
        <v>462</v>
      </c>
      <c r="F33" s="90">
        <v>0</v>
      </c>
      <c r="G33" s="91">
        <v>0</v>
      </c>
      <c r="H33" s="90">
        <v>0</v>
      </c>
      <c r="I33" s="91">
        <v>0</v>
      </c>
      <c r="J33" s="14">
        <v>0</v>
      </c>
      <c r="K33" s="14">
        <v>0</v>
      </c>
    </row>
    <row r="34" spans="1:11" s="3" customFormat="1" ht="16.5" customHeight="1" x14ac:dyDescent="0.15">
      <c r="A34" s="438"/>
      <c r="B34" s="438"/>
      <c r="C34" s="440"/>
      <c r="D34" s="443"/>
      <c r="E34" s="231" t="s">
        <v>463</v>
      </c>
      <c r="F34" s="90">
        <v>377</v>
      </c>
      <c r="G34" s="91">
        <v>4011</v>
      </c>
      <c r="H34" s="90">
        <v>23</v>
      </c>
      <c r="I34" s="91">
        <v>284</v>
      </c>
      <c r="J34" s="14">
        <v>354</v>
      </c>
      <c r="K34" s="14">
        <v>3727</v>
      </c>
    </row>
    <row r="35" spans="1:11" s="3" customFormat="1" ht="16.5" customHeight="1" x14ac:dyDescent="0.15">
      <c r="A35" s="438"/>
      <c r="B35" s="438"/>
      <c r="C35" s="440"/>
      <c r="D35" s="443"/>
      <c r="E35" s="71" t="s">
        <v>275</v>
      </c>
      <c r="F35" s="90">
        <v>0</v>
      </c>
      <c r="G35" s="91">
        <v>233</v>
      </c>
      <c r="H35" s="90">
        <v>0</v>
      </c>
      <c r="I35" s="91">
        <v>6</v>
      </c>
      <c r="J35" s="14">
        <v>0</v>
      </c>
      <c r="K35" s="14">
        <v>227</v>
      </c>
    </row>
    <row r="36" spans="1:11" s="3" customFormat="1" ht="16.5" customHeight="1" x14ac:dyDescent="0.15">
      <c r="A36" s="438"/>
      <c r="B36" s="438"/>
      <c r="C36" s="440"/>
      <c r="D36" s="432" t="s">
        <v>464</v>
      </c>
      <c r="E36" s="434"/>
      <c r="F36" s="90">
        <v>1</v>
      </c>
      <c r="G36" s="91">
        <v>296</v>
      </c>
      <c r="H36" s="90">
        <v>1</v>
      </c>
      <c r="I36" s="91">
        <v>24</v>
      </c>
      <c r="J36" s="14">
        <v>0</v>
      </c>
      <c r="K36" s="14">
        <v>272</v>
      </c>
    </row>
    <row r="37" spans="1:11" s="3" customFormat="1" ht="16.5" customHeight="1" x14ac:dyDescent="0.15">
      <c r="A37" s="438"/>
      <c r="B37" s="438"/>
      <c r="C37" s="440"/>
      <c r="D37" s="432" t="s">
        <v>80</v>
      </c>
      <c r="E37" s="434"/>
      <c r="F37" s="90">
        <v>142</v>
      </c>
      <c r="G37" s="91">
        <v>1510</v>
      </c>
      <c r="H37" s="90">
        <v>45</v>
      </c>
      <c r="I37" s="91">
        <v>206</v>
      </c>
      <c r="J37" s="14">
        <v>97</v>
      </c>
      <c r="K37" s="14">
        <v>1304</v>
      </c>
    </row>
    <row r="38" spans="1:11" s="3" customFormat="1" ht="16.5" customHeight="1" x14ac:dyDescent="0.15">
      <c r="A38" s="438"/>
      <c r="B38" s="438"/>
      <c r="C38" s="440"/>
      <c r="D38" s="432" t="s">
        <v>180</v>
      </c>
      <c r="E38" s="434"/>
      <c r="F38" s="90">
        <v>5</v>
      </c>
      <c r="G38" s="91">
        <v>60</v>
      </c>
      <c r="H38" s="90">
        <v>0</v>
      </c>
      <c r="I38" s="91">
        <v>2</v>
      </c>
      <c r="J38" s="14">
        <v>5</v>
      </c>
      <c r="K38" s="14">
        <v>58</v>
      </c>
    </row>
    <row r="39" spans="1:11" s="3" customFormat="1" ht="16.5" customHeight="1" x14ac:dyDescent="0.15">
      <c r="A39" s="438"/>
      <c r="B39" s="438"/>
      <c r="C39" s="441"/>
      <c r="D39" s="432" t="s">
        <v>465</v>
      </c>
      <c r="E39" s="434"/>
      <c r="F39" s="90">
        <v>0</v>
      </c>
      <c r="G39" s="91">
        <v>39</v>
      </c>
      <c r="H39" s="90">
        <v>0</v>
      </c>
      <c r="I39" s="91">
        <v>1</v>
      </c>
      <c r="J39" s="14">
        <v>0</v>
      </c>
      <c r="K39" s="14">
        <v>38</v>
      </c>
    </row>
    <row r="40" spans="1:11" s="3" customFormat="1" ht="16.5" customHeight="1" x14ac:dyDescent="0.15">
      <c r="A40" s="438"/>
      <c r="B40" s="438"/>
      <c r="C40" s="433" t="s">
        <v>466</v>
      </c>
      <c r="D40" s="433"/>
      <c r="E40" s="434"/>
      <c r="F40" s="90">
        <v>12</v>
      </c>
      <c r="G40" s="91">
        <v>15</v>
      </c>
      <c r="H40" s="90">
        <v>11</v>
      </c>
      <c r="I40" s="91">
        <v>6</v>
      </c>
      <c r="J40" s="14">
        <v>1</v>
      </c>
      <c r="K40" s="14">
        <v>9</v>
      </c>
    </row>
    <row r="41" spans="1:11" s="3" customFormat="1" ht="16.5" customHeight="1" x14ac:dyDescent="0.15">
      <c r="A41" s="438"/>
      <c r="B41" s="438"/>
      <c r="C41" s="433" t="s">
        <v>467</v>
      </c>
      <c r="D41" s="433"/>
      <c r="E41" s="434"/>
      <c r="F41" s="90">
        <v>4</v>
      </c>
      <c r="G41" s="91">
        <v>8</v>
      </c>
      <c r="H41" s="90">
        <v>4</v>
      </c>
      <c r="I41" s="91">
        <v>6</v>
      </c>
      <c r="J41" s="14">
        <v>0</v>
      </c>
      <c r="K41" s="14">
        <v>2</v>
      </c>
    </row>
    <row r="42" spans="1:11" s="3" customFormat="1" ht="16.5" customHeight="1" x14ac:dyDescent="0.15">
      <c r="A42" s="438"/>
      <c r="B42" s="437" t="s">
        <v>285</v>
      </c>
      <c r="C42" s="433" t="s">
        <v>468</v>
      </c>
      <c r="D42" s="433"/>
      <c r="E42" s="434"/>
      <c r="F42" s="90">
        <v>15296</v>
      </c>
      <c r="G42" s="91">
        <v>24438</v>
      </c>
      <c r="H42" s="90">
        <v>2422</v>
      </c>
      <c r="I42" s="91">
        <v>2277</v>
      </c>
      <c r="J42" s="14">
        <v>12874</v>
      </c>
      <c r="K42" s="14">
        <v>22161</v>
      </c>
    </row>
    <row r="43" spans="1:11" s="3" customFormat="1" ht="16.5" customHeight="1" x14ac:dyDescent="0.15">
      <c r="A43" s="438"/>
      <c r="B43" s="438"/>
      <c r="C43" s="433" t="s">
        <v>469</v>
      </c>
      <c r="D43" s="433"/>
      <c r="E43" s="434"/>
      <c r="F43" s="90">
        <v>0</v>
      </c>
      <c r="G43" s="91">
        <v>70</v>
      </c>
      <c r="H43" s="90">
        <v>0</v>
      </c>
      <c r="I43" s="91">
        <v>0</v>
      </c>
      <c r="J43" s="14">
        <v>0</v>
      </c>
      <c r="K43" s="14">
        <v>70</v>
      </c>
    </row>
    <row r="44" spans="1:11" s="3" customFormat="1" ht="16.5" customHeight="1" x14ac:dyDescent="0.15">
      <c r="A44" s="438"/>
      <c r="B44" s="435" t="s">
        <v>247</v>
      </c>
      <c r="C44" s="436"/>
      <c r="D44" s="436"/>
      <c r="E44" s="436"/>
      <c r="F44" s="92">
        <v>26926</v>
      </c>
      <c r="G44" s="93">
        <v>37026</v>
      </c>
      <c r="H44" s="92">
        <v>5038</v>
      </c>
      <c r="I44" s="93">
        <v>3974</v>
      </c>
      <c r="J44" s="35">
        <v>21888</v>
      </c>
      <c r="K44" s="35">
        <v>33052</v>
      </c>
    </row>
    <row r="45" spans="1:11" s="3" customFormat="1" ht="16.5" customHeight="1" x14ac:dyDescent="0.15">
      <c r="A45" s="432" t="s">
        <v>470</v>
      </c>
      <c r="B45" s="433"/>
      <c r="C45" s="433"/>
      <c r="D45" s="433"/>
      <c r="E45" s="434"/>
      <c r="F45" s="90">
        <v>20</v>
      </c>
      <c r="G45" s="91">
        <v>9</v>
      </c>
      <c r="H45" s="90">
        <v>12</v>
      </c>
      <c r="I45" s="91">
        <v>7</v>
      </c>
      <c r="J45" s="14">
        <v>8</v>
      </c>
      <c r="K45" s="14">
        <v>2</v>
      </c>
    </row>
    <row r="46" spans="1:11" s="3" customFormat="1" ht="16.5" customHeight="1" x14ac:dyDescent="0.15">
      <c r="A46" s="432" t="s">
        <v>471</v>
      </c>
      <c r="B46" s="433"/>
      <c r="C46" s="433"/>
      <c r="D46" s="433"/>
      <c r="E46" s="434"/>
      <c r="F46" s="90">
        <v>1269</v>
      </c>
      <c r="G46" s="91">
        <v>1708</v>
      </c>
      <c r="H46" s="90">
        <v>111</v>
      </c>
      <c r="I46" s="91">
        <v>113</v>
      </c>
      <c r="J46" s="14">
        <v>1158</v>
      </c>
      <c r="K46" s="14">
        <v>1595</v>
      </c>
    </row>
    <row r="47" spans="1:11" s="3" customFormat="1" ht="16.5" customHeight="1" x14ac:dyDescent="0.15">
      <c r="A47" s="432" t="s">
        <v>81</v>
      </c>
      <c r="B47" s="433"/>
      <c r="C47" s="433"/>
      <c r="D47" s="433"/>
      <c r="E47" s="434"/>
      <c r="F47" s="47">
        <v>131</v>
      </c>
      <c r="G47" s="50">
        <v>2764</v>
      </c>
      <c r="H47" s="47">
        <v>23</v>
      </c>
      <c r="I47" s="50">
        <v>160</v>
      </c>
      <c r="J47" s="37">
        <v>108</v>
      </c>
      <c r="K47" s="37">
        <v>2604</v>
      </c>
    </row>
  </sheetData>
  <sheetProtection algorithmName="SHA-512" hashValue="hz74tECjSPmT2TafpYQyscdU2A8ia6ywkCgKnlB66DcvLT64xkyWDQnsyPMa+VK1rt+a5Pbev1nxcihazUAAJA==" saltValue="C/iRzEqMOJu7ttawYB9Gpw==" spinCount="100000" sheet="1" objects="1" scenarios="1"/>
  <mergeCells count="47">
    <mergeCell ref="D38:E38"/>
    <mergeCell ref="D39:E39"/>
    <mergeCell ref="A10:B15"/>
    <mergeCell ref="A16:D16"/>
    <mergeCell ref="A20:D20"/>
    <mergeCell ref="A19:D19"/>
    <mergeCell ref="A18:D18"/>
    <mergeCell ref="A17:D17"/>
    <mergeCell ref="C15:D15"/>
    <mergeCell ref="C10:D10"/>
    <mergeCell ref="C12:D12"/>
    <mergeCell ref="C13:D13"/>
    <mergeCell ref="C14:D14"/>
    <mergeCell ref="A28:E28"/>
    <mergeCell ref="A27:E27"/>
    <mergeCell ref="I6:J6"/>
    <mergeCell ref="F27:G27"/>
    <mergeCell ref="H27:I27"/>
    <mergeCell ref="C11:D11"/>
    <mergeCell ref="A2:K2"/>
    <mergeCell ref="J27:K27"/>
    <mergeCell ref="E6:F6"/>
    <mergeCell ref="A9:D9"/>
    <mergeCell ref="A8:D8"/>
    <mergeCell ref="G6:H6"/>
    <mergeCell ref="A6:D6"/>
    <mergeCell ref="A7:D7"/>
    <mergeCell ref="A24:D24"/>
    <mergeCell ref="A23:D23"/>
    <mergeCell ref="A22:D22"/>
    <mergeCell ref="A21:D21"/>
    <mergeCell ref="A29:E29"/>
    <mergeCell ref="A47:E47"/>
    <mergeCell ref="A45:E45"/>
    <mergeCell ref="A46:E46"/>
    <mergeCell ref="B44:E44"/>
    <mergeCell ref="A30:A44"/>
    <mergeCell ref="B42:B43"/>
    <mergeCell ref="C42:E42"/>
    <mergeCell ref="C43:E43"/>
    <mergeCell ref="C30:C39"/>
    <mergeCell ref="C40:E40"/>
    <mergeCell ref="C41:E41"/>
    <mergeCell ref="B30:B41"/>
    <mergeCell ref="D30:D35"/>
    <mergeCell ref="D36:E36"/>
    <mergeCell ref="D37:E37"/>
  </mergeCells>
  <phoneticPr fontId="5" type="noConversion"/>
  <pageMargins left="0.39370078740157483" right="0.15748031496062992" top="0.51181102362204722" bottom="0.19685039370078741" header="0.51181102362204722" footer="0.51181102362204722"/>
  <pageSetup paperSize="9" scale="86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Q48"/>
  <sheetViews>
    <sheetView showGridLines="0" zoomScaleNormal="100" zoomScaleSheetLayoutView="100" workbookViewId="0"/>
  </sheetViews>
  <sheetFormatPr defaultColWidth="8" defaultRowHeight="16.5" customHeight="1" x14ac:dyDescent="0.15"/>
  <cols>
    <col min="1" max="4" width="3.5546875" style="84" customWidth="1"/>
    <col min="5" max="5" width="8.88671875" style="84" customWidth="1"/>
    <col min="6" max="17" width="10.44140625" style="84" customWidth="1"/>
    <col min="18" max="16384" width="8" style="2"/>
  </cols>
  <sheetData>
    <row r="1" spans="1:13" ht="16.5" customHeight="1" x14ac:dyDescent="0.15">
      <c r="A1" s="119" t="s">
        <v>19</v>
      </c>
    </row>
    <row r="2" spans="1:13" ht="16.5" customHeight="1" x14ac:dyDescent="0.15">
      <c r="A2" s="465" t="s">
        <v>37</v>
      </c>
      <c r="B2" s="465"/>
      <c r="C2" s="465"/>
      <c r="D2" s="465"/>
      <c r="E2" s="466"/>
      <c r="F2" s="400" t="s">
        <v>93</v>
      </c>
      <c r="G2" s="453"/>
      <c r="H2" s="400" t="s">
        <v>403</v>
      </c>
      <c r="I2" s="453"/>
      <c r="J2" s="400" t="s">
        <v>404</v>
      </c>
      <c r="K2" s="453"/>
      <c r="L2" s="400" t="s">
        <v>489</v>
      </c>
      <c r="M2" s="453"/>
    </row>
    <row r="3" spans="1:13" ht="16.5" customHeight="1" x14ac:dyDescent="0.15">
      <c r="A3" s="467" t="s">
        <v>172</v>
      </c>
      <c r="B3" s="467"/>
      <c r="C3" s="467"/>
      <c r="D3" s="467"/>
      <c r="E3" s="468"/>
      <c r="F3" s="247" t="s">
        <v>230</v>
      </c>
      <c r="G3" s="247" t="s">
        <v>97</v>
      </c>
      <c r="H3" s="247" t="s">
        <v>230</v>
      </c>
      <c r="I3" s="247" t="s">
        <v>97</v>
      </c>
      <c r="J3" s="247" t="s">
        <v>230</v>
      </c>
      <c r="K3" s="247" t="s">
        <v>97</v>
      </c>
      <c r="L3" s="247" t="s">
        <v>230</v>
      </c>
      <c r="M3" s="258" t="s">
        <v>97</v>
      </c>
    </row>
    <row r="4" spans="1:13" ht="16.5" customHeight="1" x14ac:dyDescent="0.15">
      <c r="A4" s="498" t="s">
        <v>93</v>
      </c>
      <c r="B4" s="496"/>
      <c r="C4" s="496"/>
      <c r="D4" s="496"/>
      <c r="E4" s="497"/>
      <c r="F4" s="48">
        <v>10481</v>
      </c>
      <c r="G4" s="257">
        <v>12048</v>
      </c>
      <c r="H4" s="35">
        <v>2415</v>
      </c>
      <c r="I4" s="35">
        <v>1455</v>
      </c>
      <c r="J4" s="48">
        <v>8037</v>
      </c>
      <c r="K4" s="257">
        <v>10427</v>
      </c>
      <c r="L4" s="35">
        <v>29</v>
      </c>
      <c r="M4" s="35">
        <v>166</v>
      </c>
    </row>
    <row r="5" spans="1:13" ht="16.5" customHeight="1" x14ac:dyDescent="0.15">
      <c r="A5" s="495" t="s">
        <v>164</v>
      </c>
      <c r="B5" s="454" t="s">
        <v>91</v>
      </c>
      <c r="C5" s="454" t="s">
        <v>92</v>
      </c>
      <c r="D5" s="454" t="s">
        <v>163</v>
      </c>
      <c r="E5" s="146" t="s">
        <v>34</v>
      </c>
      <c r="F5" s="90">
        <v>0</v>
      </c>
      <c r="G5" s="91">
        <v>0</v>
      </c>
      <c r="H5" s="14">
        <v>0</v>
      </c>
      <c r="I5" s="14">
        <v>0</v>
      </c>
      <c r="J5" s="90">
        <v>0</v>
      </c>
      <c r="K5" s="91">
        <v>0</v>
      </c>
      <c r="L5" s="14">
        <v>0</v>
      </c>
      <c r="M5" s="14">
        <v>0</v>
      </c>
    </row>
    <row r="6" spans="1:13" ht="16.5" customHeight="1" x14ac:dyDescent="0.15">
      <c r="A6" s="492"/>
      <c r="B6" s="455"/>
      <c r="C6" s="455"/>
      <c r="D6" s="457"/>
      <c r="E6" s="147" t="s">
        <v>35</v>
      </c>
      <c r="F6" s="90">
        <v>0</v>
      </c>
      <c r="G6" s="91">
        <v>0</v>
      </c>
      <c r="H6" s="14">
        <v>0</v>
      </c>
      <c r="I6" s="14">
        <v>0</v>
      </c>
      <c r="J6" s="90">
        <v>0</v>
      </c>
      <c r="K6" s="91">
        <v>0</v>
      </c>
      <c r="L6" s="14">
        <v>0</v>
      </c>
      <c r="M6" s="14">
        <v>0</v>
      </c>
    </row>
    <row r="7" spans="1:13" ht="16.5" customHeight="1" x14ac:dyDescent="0.15">
      <c r="A7" s="492"/>
      <c r="B7" s="455"/>
      <c r="C7" s="455"/>
      <c r="D7" s="457"/>
      <c r="E7" s="232" t="s">
        <v>245</v>
      </c>
      <c r="F7" s="90">
        <v>0</v>
      </c>
      <c r="G7" s="91">
        <v>0</v>
      </c>
      <c r="H7" s="14">
        <v>0</v>
      </c>
      <c r="I7" s="14">
        <v>0</v>
      </c>
      <c r="J7" s="90">
        <v>0</v>
      </c>
      <c r="K7" s="91">
        <v>0</v>
      </c>
      <c r="L7" s="14">
        <v>0</v>
      </c>
      <c r="M7" s="14">
        <v>0</v>
      </c>
    </row>
    <row r="8" spans="1:13" ht="16.5" customHeight="1" x14ac:dyDescent="0.15">
      <c r="A8" s="492"/>
      <c r="B8" s="455"/>
      <c r="C8" s="455"/>
      <c r="D8" s="457"/>
      <c r="E8" s="232" t="s">
        <v>462</v>
      </c>
      <c r="F8" s="90">
        <v>0</v>
      </c>
      <c r="G8" s="91">
        <v>0</v>
      </c>
      <c r="H8" s="14">
        <v>0</v>
      </c>
      <c r="I8" s="14">
        <v>0</v>
      </c>
      <c r="J8" s="90">
        <v>0</v>
      </c>
      <c r="K8" s="91">
        <v>0</v>
      </c>
      <c r="L8" s="14">
        <v>0</v>
      </c>
      <c r="M8" s="14">
        <v>0</v>
      </c>
    </row>
    <row r="9" spans="1:13" ht="16.5" customHeight="1" x14ac:dyDescent="0.15">
      <c r="A9" s="492"/>
      <c r="B9" s="455"/>
      <c r="C9" s="455"/>
      <c r="D9" s="456"/>
      <c r="E9" s="100" t="s">
        <v>463</v>
      </c>
      <c r="F9" s="90">
        <v>0</v>
      </c>
      <c r="G9" s="91">
        <v>3</v>
      </c>
      <c r="H9" s="14">
        <v>0</v>
      </c>
      <c r="I9" s="14">
        <v>3</v>
      </c>
      <c r="J9" s="90">
        <v>0</v>
      </c>
      <c r="K9" s="91">
        <v>0</v>
      </c>
      <c r="L9" s="14">
        <v>0</v>
      </c>
      <c r="M9" s="14">
        <v>0</v>
      </c>
    </row>
    <row r="10" spans="1:13" ht="16.5" customHeight="1" x14ac:dyDescent="0.15">
      <c r="A10" s="492"/>
      <c r="B10" s="455"/>
      <c r="C10" s="455"/>
      <c r="D10" s="458" t="s">
        <v>464</v>
      </c>
      <c r="E10" s="459"/>
      <c r="F10" s="90">
        <v>0</v>
      </c>
      <c r="G10" s="91">
        <v>1</v>
      </c>
      <c r="H10" s="14">
        <v>0</v>
      </c>
      <c r="I10" s="14">
        <v>0</v>
      </c>
      <c r="J10" s="90">
        <v>0</v>
      </c>
      <c r="K10" s="91">
        <v>1</v>
      </c>
      <c r="L10" s="14">
        <v>0</v>
      </c>
      <c r="M10" s="14">
        <v>0</v>
      </c>
    </row>
    <row r="11" spans="1:13" ht="16.5" customHeight="1" x14ac:dyDescent="0.15">
      <c r="A11" s="492"/>
      <c r="B11" s="455"/>
      <c r="C11" s="455"/>
      <c r="D11" s="458" t="s">
        <v>80</v>
      </c>
      <c r="E11" s="459"/>
      <c r="F11" s="90">
        <v>0</v>
      </c>
      <c r="G11" s="91">
        <v>0</v>
      </c>
      <c r="H11" s="14">
        <v>0</v>
      </c>
      <c r="I11" s="14">
        <v>0</v>
      </c>
      <c r="J11" s="90">
        <v>0</v>
      </c>
      <c r="K11" s="91">
        <v>0</v>
      </c>
      <c r="L11" s="14">
        <v>0</v>
      </c>
      <c r="M11" s="14">
        <v>0</v>
      </c>
    </row>
    <row r="12" spans="1:13" ht="16.5" customHeight="1" x14ac:dyDescent="0.15">
      <c r="A12" s="492"/>
      <c r="B12" s="455"/>
      <c r="C12" s="455"/>
      <c r="D12" s="458" t="s">
        <v>180</v>
      </c>
      <c r="E12" s="459"/>
      <c r="F12" s="90">
        <v>0</v>
      </c>
      <c r="G12" s="91">
        <v>0</v>
      </c>
      <c r="H12" s="14">
        <v>0</v>
      </c>
      <c r="I12" s="14">
        <v>0</v>
      </c>
      <c r="J12" s="90">
        <v>0</v>
      </c>
      <c r="K12" s="91">
        <v>0</v>
      </c>
      <c r="L12" s="14">
        <v>0</v>
      </c>
      <c r="M12" s="14">
        <v>0</v>
      </c>
    </row>
    <row r="13" spans="1:13" ht="16.5" customHeight="1" x14ac:dyDescent="0.15">
      <c r="A13" s="492"/>
      <c r="B13" s="455"/>
      <c r="C13" s="456"/>
      <c r="D13" s="460" t="s">
        <v>465</v>
      </c>
      <c r="E13" s="461"/>
      <c r="F13" s="90">
        <v>0</v>
      </c>
      <c r="G13" s="91">
        <v>2</v>
      </c>
      <c r="H13" s="14">
        <v>0</v>
      </c>
      <c r="I13" s="14">
        <v>0</v>
      </c>
      <c r="J13" s="90">
        <v>0</v>
      </c>
      <c r="K13" s="91">
        <v>2</v>
      </c>
      <c r="L13" s="14">
        <v>0</v>
      </c>
      <c r="M13" s="14">
        <v>0</v>
      </c>
    </row>
    <row r="14" spans="1:13" ht="16.5" customHeight="1" x14ac:dyDescent="0.15">
      <c r="A14" s="492"/>
      <c r="B14" s="455"/>
      <c r="C14" s="462" t="s">
        <v>466</v>
      </c>
      <c r="D14" s="462"/>
      <c r="E14" s="463"/>
      <c r="F14" s="90">
        <v>58</v>
      </c>
      <c r="G14" s="91">
        <v>203</v>
      </c>
      <c r="H14" s="14">
        <v>18</v>
      </c>
      <c r="I14" s="14">
        <v>21</v>
      </c>
      <c r="J14" s="90">
        <v>39</v>
      </c>
      <c r="K14" s="91">
        <v>180</v>
      </c>
      <c r="L14" s="14">
        <v>1</v>
      </c>
      <c r="M14" s="14">
        <v>2</v>
      </c>
    </row>
    <row r="15" spans="1:13" ht="16.5" customHeight="1" x14ac:dyDescent="0.15">
      <c r="A15" s="492"/>
      <c r="B15" s="456"/>
      <c r="C15" s="456" t="s">
        <v>467</v>
      </c>
      <c r="D15" s="456"/>
      <c r="E15" s="464"/>
      <c r="F15" s="90">
        <v>0</v>
      </c>
      <c r="G15" s="91">
        <v>1</v>
      </c>
      <c r="H15" s="14">
        <v>0</v>
      </c>
      <c r="I15" s="14">
        <v>0</v>
      </c>
      <c r="J15" s="90">
        <v>0</v>
      </c>
      <c r="K15" s="91">
        <v>1</v>
      </c>
      <c r="L15" s="14">
        <v>0</v>
      </c>
      <c r="M15" s="14">
        <v>0</v>
      </c>
    </row>
    <row r="16" spans="1:13" ht="16.5" customHeight="1" x14ac:dyDescent="0.15">
      <c r="A16" s="492"/>
      <c r="B16" s="456" t="s">
        <v>475</v>
      </c>
      <c r="C16" s="456"/>
      <c r="D16" s="456"/>
      <c r="E16" s="464"/>
      <c r="F16" s="90">
        <v>2064</v>
      </c>
      <c r="G16" s="91">
        <v>4961</v>
      </c>
      <c r="H16" s="14">
        <v>1151</v>
      </c>
      <c r="I16" s="14">
        <v>908</v>
      </c>
      <c r="J16" s="90">
        <v>906</v>
      </c>
      <c r="K16" s="91">
        <v>3948</v>
      </c>
      <c r="L16" s="14">
        <v>7</v>
      </c>
      <c r="M16" s="14">
        <v>105</v>
      </c>
    </row>
    <row r="17" spans="1:17" ht="16.5" customHeight="1" x14ac:dyDescent="0.15">
      <c r="A17" s="494"/>
      <c r="B17" s="496" t="s">
        <v>32</v>
      </c>
      <c r="C17" s="496"/>
      <c r="D17" s="496"/>
      <c r="E17" s="497"/>
      <c r="F17" s="92">
        <v>2122</v>
      </c>
      <c r="G17" s="93">
        <v>5171</v>
      </c>
      <c r="H17" s="35">
        <v>1169</v>
      </c>
      <c r="I17" s="35">
        <v>932</v>
      </c>
      <c r="J17" s="92">
        <v>945</v>
      </c>
      <c r="K17" s="93">
        <v>4132</v>
      </c>
      <c r="L17" s="35">
        <v>8</v>
      </c>
      <c r="M17" s="35">
        <v>107</v>
      </c>
    </row>
    <row r="18" spans="1:17" ht="16.5" customHeight="1" x14ac:dyDescent="0.15">
      <c r="A18" s="492" t="s">
        <v>476</v>
      </c>
      <c r="B18" s="455"/>
      <c r="C18" s="455"/>
      <c r="D18" s="455"/>
      <c r="E18" s="493"/>
      <c r="F18" s="90">
        <v>1956</v>
      </c>
      <c r="G18" s="91">
        <v>227</v>
      </c>
      <c r="H18" s="14">
        <v>362</v>
      </c>
      <c r="I18" s="14">
        <v>43</v>
      </c>
      <c r="J18" s="90">
        <v>1590</v>
      </c>
      <c r="K18" s="91">
        <v>180</v>
      </c>
      <c r="L18" s="14">
        <v>4</v>
      </c>
      <c r="M18" s="14">
        <v>4</v>
      </c>
    </row>
    <row r="19" spans="1:17" ht="16.5" customHeight="1" x14ac:dyDescent="0.15">
      <c r="A19" s="494" t="s">
        <v>81</v>
      </c>
      <c r="B19" s="456"/>
      <c r="C19" s="456"/>
      <c r="D19" s="456"/>
      <c r="E19" s="464"/>
      <c r="F19" s="47">
        <v>6403</v>
      </c>
      <c r="G19" s="50">
        <v>6650</v>
      </c>
      <c r="H19" s="37">
        <v>884</v>
      </c>
      <c r="I19" s="37">
        <v>480</v>
      </c>
      <c r="J19" s="47">
        <v>5502</v>
      </c>
      <c r="K19" s="50">
        <v>6115</v>
      </c>
      <c r="L19" s="37">
        <v>17</v>
      </c>
      <c r="M19" s="37">
        <v>55</v>
      </c>
    </row>
    <row r="21" spans="1:17" s="6" customFormat="1" ht="16.5" customHeight="1" x14ac:dyDescent="0.15">
      <c r="A21" s="80" t="s">
        <v>191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</row>
    <row r="22" spans="1:17" s="6" customFormat="1" ht="16.5" customHeight="1" x14ac:dyDescent="0.15">
      <c r="A22" s="480" t="s">
        <v>37</v>
      </c>
      <c r="B22" s="480"/>
      <c r="C22" s="481"/>
      <c r="D22" s="489" t="s">
        <v>38</v>
      </c>
      <c r="E22" s="490"/>
      <c r="F22" s="488" t="s">
        <v>405</v>
      </c>
      <c r="G22" s="488"/>
      <c r="H22" s="485"/>
      <c r="I22" s="485" t="s">
        <v>406</v>
      </c>
      <c r="J22" s="486"/>
      <c r="K22" s="486"/>
      <c r="L22" s="486"/>
      <c r="M22" s="486"/>
      <c r="N22" s="486"/>
      <c r="O22" s="486"/>
      <c r="P22" s="487"/>
      <c r="Q22" s="484" t="s">
        <v>168</v>
      </c>
    </row>
    <row r="23" spans="1:17" s="6" customFormat="1" ht="45" x14ac:dyDescent="0.15">
      <c r="A23" s="482" t="s">
        <v>39</v>
      </c>
      <c r="B23" s="482"/>
      <c r="C23" s="483"/>
      <c r="D23" s="491"/>
      <c r="E23" s="490"/>
      <c r="F23" s="149" t="s">
        <v>165</v>
      </c>
      <c r="G23" s="149" t="s">
        <v>166</v>
      </c>
      <c r="H23" s="150" t="s">
        <v>167</v>
      </c>
      <c r="I23" s="398" t="s">
        <v>701</v>
      </c>
      <c r="J23" s="398" t="s">
        <v>702</v>
      </c>
      <c r="K23" s="398" t="s">
        <v>703</v>
      </c>
      <c r="L23" s="398" t="s">
        <v>704</v>
      </c>
      <c r="M23" s="398" t="s">
        <v>705</v>
      </c>
      <c r="N23" s="398" t="s">
        <v>706</v>
      </c>
      <c r="O23" s="398" t="s">
        <v>707</v>
      </c>
      <c r="P23" s="398" t="s">
        <v>708</v>
      </c>
      <c r="Q23" s="484"/>
    </row>
    <row r="24" spans="1:17" s="6" customFormat="1" ht="16.5" customHeight="1" x14ac:dyDescent="0.15">
      <c r="A24" s="447" t="s">
        <v>22</v>
      </c>
      <c r="B24" s="447"/>
      <c r="C24" s="447"/>
      <c r="D24" s="473">
        <v>83260</v>
      </c>
      <c r="E24" s="474"/>
      <c r="F24" s="35">
        <v>5353</v>
      </c>
      <c r="G24" s="35">
        <v>16540</v>
      </c>
      <c r="H24" s="35">
        <v>9718</v>
      </c>
      <c r="I24" s="35">
        <v>6383</v>
      </c>
      <c r="J24" s="35">
        <v>3287</v>
      </c>
      <c r="K24" s="35">
        <v>420</v>
      </c>
      <c r="L24" s="35">
        <v>8801</v>
      </c>
      <c r="M24" s="35">
        <v>3157</v>
      </c>
      <c r="N24" s="35">
        <v>27</v>
      </c>
      <c r="O24" s="35">
        <v>58</v>
      </c>
      <c r="P24" s="35">
        <v>18</v>
      </c>
      <c r="Q24" s="35">
        <v>53762</v>
      </c>
    </row>
    <row r="25" spans="1:17" s="6" customFormat="1" ht="16.5" customHeight="1" x14ac:dyDescent="0.15">
      <c r="A25" s="469" t="s">
        <v>40</v>
      </c>
      <c r="B25" s="469"/>
      <c r="C25" s="447"/>
      <c r="D25" s="475">
        <v>7454</v>
      </c>
      <c r="E25" s="476"/>
      <c r="F25" s="35">
        <v>358</v>
      </c>
      <c r="G25" s="35">
        <v>1186</v>
      </c>
      <c r="H25" s="35">
        <v>870</v>
      </c>
      <c r="I25" s="35">
        <v>442</v>
      </c>
      <c r="J25" s="35">
        <v>258</v>
      </c>
      <c r="K25" s="35">
        <v>20</v>
      </c>
      <c r="L25" s="35">
        <v>527</v>
      </c>
      <c r="M25" s="35">
        <v>190</v>
      </c>
      <c r="N25" s="35">
        <v>1</v>
      </c>
      <c r="O25" s="35">
        <v>7</v>
      </c>
      <c r="P25" s="35">
        <v>0</v>
      </c>
      <c r="Q25" s="35">
        <v>3859</v>
      </c>
    </row>
    <row r="26" spans="1:17" s="6" customFormat="1" ht="16.5" customHeight="1" x14ac:dyDescent="0.15">
      <c r="A26" s="470" t="s">
        <v>2</v>
      </c>
      <c r="B26" s="470"/>
      <c r="C26" s="471"/>
      <c r="D26" s="477">
        <v>1393</v>
      </c>
      <c r="E26" s="476"/>
      <c r="F26" s="14">
        <v>43</v>
      </c>
      <c r="G26" s="14">
        <v>142</v>
      </c>
      <c r="H26" s="14">
        <v>396</v>
      </c>
      <c r="I26" s="14">
        <v>26</v>
      </c>
      <c r="J26" s="14">
        <v>76</v>
      </c>
      <c r="K26" s="14">
        <v>4</v>
      </c>
      <c r="L26" s="14">
        <v>166</v>
      </c>
      <c r="M26" s="14">
        <v>59</v>
      </c>
      <c r="N26" s="14">
        <v>1</v>
      </c>
      <c r="O26" s="14">
        <v>2</v>
      </c>
      <c r="P26" s="14">
        <v>0</v>
      </c>
      <c r="Q26" s="14">
        <v>915</v>
      </c>
    </row>
    <row r="27" spans="1:17" s="6" customFormat="1" ht="16.5" customHeight="1" x14ac:dyDescent="0.15">
      <c r="A27" s="472" t="s">
        <v>3</v>
      </c>
      <c r="B27" s="472"/>
      <c r="C27" s="472"/>
      <c r="D27" s="478">
        <v>6061</v>
      </c>
      <c r="E27" s="479"/>
      <c r="F27" s="51">
        <v>315</v>
      </c>
      <c r="G27" s="51">
        <v>1044</v>
      </c>
      <c r="H27" s="51">
        <v>474</v>
      </c>
      <c r="I27" s="51">
        <v>416</v>
      </c>
      <c r="J27" s="51">
        <v>182</v>
      </c>
      <c r="K27" s="51">
        <v>16</v>
      </c>
      <c r="L27" s="51">
        <v>361</v>
      </c>
      <c r="M27" s="51">
        <v>131</v>
      </c>
      <c r="N27" s="51">
        <v>0</v>
      </c>
      <c r="O27" s="51">
        <v>5</v>
      </c>
      <c r="P27" s="51">
        <v>0</v>
      </c>
      <c r="Q27" s="51">
        <v>2944</v>
      </c>
    </row>
    <row r="28" spans="1:17" s="1" customFormat="1" ht="16.5" customHeight="1" x14ac:dyDescent="0.15">
      <c r="A28" s="151" t="s">
        <v>717</v>
      </c>
      <c r="B28" s="385"/>
      <c r="C28" s="385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81"/>
      <c r="O28" s="81"/>
      <c r="P28" s="81"/>
      <c r="Q28" s="81"/>
    </row>
    <row r="29" spans="1:17" s="1" customFormat="1" ht="16.5" customHeight="1" x14ac:dyDescent="0.15">
      <c r="A29" s="3" t="s">
        <v>716</v>
      </c>
      <c r="B29" s="59"/>
      <c r="C29" s="59"/>
      <c r="D29" s="3"/>
      <c r="E29" s="3"/>
      <c r="F29" s="3"/>
      <c r="G29" s="3"/>
      <c r="H29" s="3"/>
      <c r="I29" s="3"/>
      <c r="J29" s="3"/>
      <c r="K29" s="3"/>
      <c r="L29" s="3"/>
      <c r="M29" s="3"/>
      <c r="N29" s="59"/>
      <c r="O29" s="59"/>
      <c r="P29" s="59"/>
      <c r="Q29" s="59"/>
    </row>
    <row r="30" spans="1:17" s="1" customFormat="1" ht="16.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59"/>
      <c r="O30" s="59"/>
      <c r="P30" s="59"/>
      <c r="Q30" s="59"/>
    </row>
    <row r="31" spans="1:17" s="1" customFormat="1" ht="16.5" customHeight="1" x14ac:dyDescent="0.15">
      <c r="A31" s="63" t="s">
        <v>509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152"/>
      <c r="O31" s="152"/>
      <c r="P31" s="152"/>
      <c r="Q31" s="152"/>
    </row>
    <row r="32" spans="1:17" s="1" customFormat="1" ht="16.5" customHeight="1" x14ac:dyDescent="0.15">
      <c r="A32" s="63" t="s">
        <v>510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152"/>
      <c r="O32" s="152"/>
      <c r="P32" s="152"/>
      <c r="Q32" s="152"/>
    </row>
    <row r="33" spans="1:17" s="123" customFormat="1" ht="16.5" customHeight="1" x14ac:dyDescent="0.15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5"/>
      <c r="O33" s="155"/>
      <c r="P33" s="155"/>
      <c r="Q33" s="155"/>
    </row>
    <row r="34" spans="1:17" s="123" customFormat="1" ht="16.5" customHeight="1" x14ac:dyDescent="0.15">
      <c r="A34" s="80" t="s">
        <v>726</v>
      </c>
      <c r="B34" s="156"/>
      <c r="C34" s="156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5"/>
      <c r="O34" s="155"/>
      <c r="P34" s="155"/>
      <c r="Q34" s="155"/>
    </row>
    <row r="35" spans="1:17" s="123" customFormat="1" ht="16.5" customHeight="1" x14ac:dyDescent="0.15">
      <c r="A35" s="156"/>
      <c r="B35" s="157"/>
      <c r="C35" s="157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5"/>
      <c r="O35" s="155"/>
      <c r="P35" s="155"/>
      <c r="Q35" s="155"/>
    </row>
    <row r="36" spans="1:17" s="123" customFormat="1" ht="16.5" customHeight="1" x14ac:dyDescent="0.15">
      <c r="B36" s="279" t="s">
        <v>487</v>
      </c>
      <c r="C36" s="124"/>
      <c r="D36" s="124"/>
      <c r="E36" s="154"/>
      <c r="F36" s="154"/>
      <c r="G36" s="154"/>
      <c r="H36" s="154"/>
      <c r="I36" s="154"/>
      <c r="J36" s="154"/>
      <c r="K36" s="154"/>
      <c r="L36" s="154"/>
      <c r="M36" s="154"/>
      <c r="N36" s="155"/>
      <c r="O36" s="155"/>
      <c r="P36" s="155"/>
      <c r="Q36" s="155"/>
    </row>
    <row r="37" spans="1:17" s="123" customFormat="1" ht="16.5" customHeight="1" x14ac:dyDescent="0.15">
      <c r="A37" s="22"/>
      <c r="B37" s="22" t="s">
        <v>19</v>
      </c>
      <c r="C37" s="22" t="s">
        <v>62</v>
      </c>
      <c r="D37" s="22" t="s">
        <v>8</v>
      </c>
      <c r="E37" s="154"/>
      <c r="F37" s="154"/>
      <c r="G37" s="154"/>
      <c r="H37" s="154"/>
      <c r="I37" s="154"/>
      <c r="J37" s="154"/>
      <c r="K37" s="154"/>
      <c r="L37" s="154"/>
      <c r="M37" s="154"/>
      <c r="N37" s="155"/>
      <c r="O37" s="155"/>
      <c r="P37" s="155"/>
      <c r="Q37" s="155"/>
    </row>
    <row r="38" spans="1:17" s="123" customFormat="1" ht="16.5" customHeight="1" x14ac:dyDescent="0.15">
      <c r="A38" s="22" t="s">
        <v>61</v>
      </c>
      <c r="B38" s="22">
        <v>268</v>
      </c>
      <c r="C38" s="22">
        <v>4313</v>
      </c>
      <c r="D38" s="22">
        <v>19835</v>
      </c>
      <c r="E38" s="154"/>
      <c r="F38" s="154"/>
      <c r="G38" s="154"/>
      <c r="H38" s="154"/>
      <c r="I38" s="154"/>
      <c r="J38" s="154"/>
      <c r="K38" s="154"/>
      <c r="L38" s="154"/>
      <c r="M38" s="154"/>
      <c r="N38" s="155"/>
      <c r="O38" s="155"/>
      <c r="P38" s="155"/>
      <c r="Q38" s="155"/>
    </row>
    <row r="39" spans="1:17" s="123" customFormat="1" ht="16.5" customHeight="1" x14ac:dyDescent="0.15">
      <c r="A39" s="22" t="s">
        <v>63</v>
      </c>
      <c r="B39" s="22">
        <v>7025</v>
      </c>
      <c r="C39" s="22">
        <v>4699</v>
      </c>
      <c r="D39" s="22">
        <v>35105</v>
      </c>
      <c r="E39" s="154"/>
      <c r="F39" s="154"/>
      <c r="G39" s="154"/>
      <c r="H39" s="154"/>
      <c r="I39" s="154"/>
      <c r="J39" s="154"/>
      <c r="K39" s="154"/>
      <c r="L39" s="154"/>
      <c r="M39" s="154"/>
      <c r="N39" s="155"/>
      <c r="O39" s="155"/>
      <c r="P39" s="155"/>
      <c r="Q39" s="155"/>
    </row>
    <row r="40" spans="1:17" s="123" customFormat="1" ht="16.5" customHeight="1" x14ac:dyDescent="0.15">
      <c r="A40" s="26" t="s">
        <v>359</v>
      </c>
      <c r="B40" s="25">
        <v>3.6747566159330867</v>
      </c>
      <c r="C40" s="25">
        <v>47.858411007545492</v>
      </c>
      <c r="D40" s="25">
        <v>36.103021477975972</v>
      </c>
      <c r="E40" s="154"/>
      <c r="F40" s="154"/>
      <c r="G40" s="154"/>
      <c r="H40" s="154"/>
      <c r="I40" s="154"/>
      <c r="J40" s="154"/>
      <c r="K40" s="154"/>
      <c r="L40" s="154"/>
      <c r="M40" s="154"/>
      <c r="N40" s="155"/>
      <c r="O40" s="155"/>
      <c r="P40" s="155"/>
      <c r="Q40" s="155"/>
    </row>
    <row r="41" spans="1:17" s="123" customFormat="1" ht="16.5" customHeight="1" x14ac:dyDescent="0.15">
      <c r="A41" s="26" t="s">
        <v>83</v>
      </c>
      <c r="B41" s="25">
        <v>96.325243384066908</v>
      </c>
      <c r="C41" s="25">
        <v>52.141588992454508</v>
      </c>
      <c r="D41" s="25">
        <v>63.896978522024028</v>
      </c>
      <c r="E41" s="154"/>
      <c r="F41" s="154"/>
      <c r="G41" s="154"/>
      <c r="H41" s="154"/>
      <c r="I41" s="154"/>
      <c r="J41" s="154"/>
      <c r="K41" s="154"/>
      <c r="L41" s="154"/>
      <c r="M41" s="154"/>
      <c r="N41" s="155"/>
      <c r="O41" s="155"/>
      <c r="P41" s="155"/>
      <c r="Q41" s="155"/>
    </row>
    <row r="42" spans="1:17" s="123" customFormat="1" ht="16.5" customHeight="1" x14ac:dyDescent="0.15">
      <c r="A42" s="159"/>
      <c r="B42" s="159"/>
      <c r="C42" s="159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5"/>
      <c r="O42" s="155"/>
      <c r="P42" s="155"/>
      <c r="Q42" s="155"/>
    </row>
    <row r="43" spans="1:17" s="123" customFormat="1" ht="16.5" customHeight="1" x14ac:dyDescent="0.15">
      <c r="A43" s="158"/>
      <c r="B43" s="158"/>
      <c r="C43" s="158"/>
      <c r="D43" s="154"/>
      <c r="E43" s="154"/>
      <c r="F43" s="154"/>
      <c r="G43" s="154"/>
      <c r="H43" s="160"/>
      <c r="I43" s="154"/>
      <c r="J43" s="154"/>
      <c r="K43" s="154"/>
      <c r="L43" s="154"/>
      <c r="M43" s="154"/>
      <c r="N43" s="155"/>
      <c r="O43" s="155"/>
      <c r="P43" s="155"/>
      <c r="Q43" s="155"/>
    </row>
    <row r="44" spans="1:17" s="123" customFormat="1" ht="16.5" customHeight="1" x14ac:dyDescent="0.15">
      <c r="A44" s="158"/>
      <c r="B44" s="158"/>
      <c r="C44" s="161"/>
      <c r="D44" s="154"/>
      <c r="E44" s="154"/>
      <c r="F44" s="154"/>
      <c r="G44" s="154"/>
      <c r="H44" s="160"/>
      <c r="I44" s="161"/>
      <c r="J44" s="154"/>
      <c r="K44" s="154"/>
      <c r="L44" s="154"/>
      <c r="M44" s="154"/>
      <c r="N44" s="155"/>
      <c r="O44" s="155"/>
      <c r="P44" s="155"/>
      <c r="Q44" s="155"/>
    </row>
    <row r="45" spans="1:17" s="123" customFormat="1" ht="16.5" customHeight="1" x14ac:dyDescent="0.15">
      <c r="A45" s="158"/>
      <c r="B45" s="158"/>
      <c r="C45" s="161"/>
      <c r="D45" s="154"/>
      <c r="E45" s="154"/>
      <c r="F45" s="154"/>
      <c r="G45" s="154"/>
      <c r="H45" s="160"/>
      <c r="I45" s="161"/>
      <c r="J45" s="154"/>
      <c r="K45" s="154"/>
      <c r="L45" s="154"/>
      <c r="M45" s="154"/>
      <c r="N45" s="155"/>
      <c r="O45" s="155"/>
      <c r="P45" s="155"/>
      <c r="Q45" s="155"/>
    </row>
    <row r="46" spans="1:17" s="123" customFormat="1" ht="16.5" customHeight="1" x14ac:dyDescent="0.15">
      <c r="A46" s="154"/>
      <c r="B46" s="154"/>
      <c r="C46" s="161"/>
      <c r="D46" s="154"/>
      <c r="E46" s="154"/>
      <c r="F46" s="154"/>
      <c r="G46" s="154"/>
      <c r="H46" s="160"/>
      <c r="I46" s="155"/>
      <c r="J46" s="155"/>
      <c r="K46" s="154"/>
      <c r="L46" s="154"/>
      <c r="M46" s="154"/>
      <c r="N46" s="155"/>
      <c r="O46" s="155"/>
      <c r="P46" s="155"/>
      <c r="Q46" s="155"/>
    </row>
    <row r="47" spans="1:17" s="123" customFormat="1" ht="16.5" customHeight="1" x14ac:dyDescent="0.15">
      <c r="A47" s="154"/>
      <c r="B47" s="154"/>
      <c r="C47" s="161"/>
      <c r="D47" s="154"/>
      <c r="E47" s="154"/>
      <c r="F47" s="154"/>
      <c r="G47" s="154"/>
      <c r="H47" s="160"/>
      <c r="I47" s="155"/>
      <c r="J47" s="155"/>
      <c r="K47" s="154"/>
      <c r="L47" s="154"/>
      <c r="M47" s="154"/>
      <c r="N47" s="155"/>
      <c r="O47" s="155"/>
      <c r="P47" s="155"/>
      <c r="Q47" s="155"/>
    </row>
    <row r="48" spans="1:17" s="123" customFormat="1" ht="16.5" customHeight="1" x14ac:dyDescent="0.15">
      <c r="A48" s="154"/>
      <c r="B48" s="154"/>
      <c r="C48" s="161"/>
      <c r="D48" s="154"/>
      <c r="E48" s="154"/>
      <c r="F48" s="154"/>
      <c r="G48" s="154"/>
      <c r="H48" s="160"/>
      <c r="I48" s="155"/>
      <c r="J48" s="155"/>
      <c r="K48" s="154"/>
      <c r="L48" s="154"/>
      <c r="M48" s="154"/>
      <c r="N48" s="155"/>
      <c r="O48" s="155"/>
      <c r="P48" s="155"/>
      <c r="Q48" s="155"/>
    </row>
  </sheetData>
  <sheetProtection algorithmName="SHA-512" hashValue="InhSPnRc7eikz7iKi+tJ+pkdXis/ZnWsXo3QxXrWNejrGZtX0NnYB42SlGCDmrD2t9T1BCQ94dZOsetn0CUKbw==" saltValue="NIp8hKlzBpejTywDQZHOSQ==" spinCount="100000" sheet="1" objects="1" scenarios="1"/>
  <mergeCells count="35">
    <mergeCell ref="J2:K2"/>
    <mergeCell ref="L2:M2"/>
    <mergeCell ref="A22:C22"/>
    <mergeCell ref="A23:C23"/>
    <mergeCell ref="Q22:Q23"/>
    <mergeCell ref="I22:P22"/>
    <mergeCell ref="D11:E11"/>
    <mergeCell ref="F22:H22"/>
    <mergeCell ref="D22:E23"/>
    <mergeCell ref="A18:E18"/>
    <mergeCell ref="A19:E19"/>
    <mergeCell ref="A5:A17"/>
    <mergeCell ref="B16:E16"/>
    <mergeCell ref="B17:E17"/>
    <mergeCell ref="A4:E4"/>
    <mergeCell ref="C5:C13"/>
    <mergeCell ref="A24:C24"/>
    <mergeCell ref="A25:C25"/>
    <mergeCell ref="A26:C26"/>
    <mergeCell ref="A27:C27"/>
    <mergeCell ref="D24:E24"/>
    <mergeCell ref="D25:E25"/>
    <mergeCell ref="D26:E26"/>
    <mergeCell ref="D27:E27"/>
    <mergeCell ref="F2:G2"/>
    <mergeCell ref="H2:I2"/>
    <mergeCell ref="B5:B15"/>
    <mergeCell ref="D5:D9"/>
    <mergeCell ref="D12:E12"/>
    <mergeCell ref="D13:E13"/>
    <mergeCell ref="C14:E14"/>
    <mergeCell ref="C15:E15"/>
    <mergeCell ref="A2:E2"/>
    <mergeCell ref="A3:E3"/>
    <mergeCell ref="D10:E10"/>
  </mergeCells>
  <phoneticPr fontId="55" type="noConversion"/>
  <pageMargins left="0.43307086614173229" right="7.874015748031496E-2" top="0.35433070866141736" bottom="7.874015748031496E-2" header="0.35433070866141736" footer="0.11811023622047245"/>
  <pageSetup paperSize="9" scale="57" pageOrder="overThenDown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46"/>
  <sheetViews>
    <sheetView showGridLines="0" zoomScaleNormal="100" zoomScaleSheetLayoutView="100" workbookViewId="0"/>
  </sheetViews>
  <sheetFormatPr defaultRowHeight="16.5" customHeight="1" x14ac:dyDescent="0.15"/>
  <cols>
    <col min="1" max="1" width="21.109375" style="2" customWidth="1"/>
    <col min="2" max="13" width="8" style="2" customWidth="1"/>
    <col min="14" max="16384" width="8.88671875" style="84"/>
  </cols>
  <sheetData>
    <row r="1" spans="1:13" s="3" customFormat="1" ht="16.5" customHeight="1" x14ac:dyDescent="0.15">
      <c r="A1" s="80" t="s">
        <v>192</v>
      </c>
    </row>
    <row r="2" spans="1:13" s="3" customFormat="1" ht="16.5" customHeight="1" x14ac:dyDescent="0.15">
      <c r="A2" s="162" t="s">
        <v>169</v>
      </c>
      <c r="B2" s="499" t="s">
        <v>93</v>
      </c>
      <c r="C2" s="500" t="s">
        <v>96</v>
      </c>
      <c r="D2" s="500"/>
      <c r="E2" s="500"/>
      <c r="F2" s="500"/>
      <c r="G2" s="500"/>
      <c r="H2" s="500"/>
      <c r="I2" s="500"/>
      <c r="J2" s="500"/>
      <c r="L2" s="62"/>
      <c r="M2" s="62"/>
    </row>
    <row r="3" spans="1:13" s="3" customFormat="1" ht="16.5" customHeight="1" x14ac:dyDescent="0.15">
      <c r="A3" s="273" t="s">
        <v>39</v>
      </c>
      <c r="B3" s="428"/>
      <c r="C3" s="247" t="s">
        <v>95</v>
      </c>
      <c r="D3" s="247" t="s">
        <v>319</v>
      </c>
      <c r="E3" s="247" t="s">
        <v>320</v>
      </c>
      <c r="F3" s="247" t="s">
        <v>321</v>
      </c>
      <c r="G3" s="247" t="s">
        <v>322</v>
      </c>
      <c r="H3" s="247" t="s">
        <v>323</v>
      </c>
      <c r="I3" s="247" t="s">
        <v>38</v>
      </c>
      <c r="J3" s="247" t="s">
        <v>5</v>
      </c>
      <c r="M3" s="62"/>
    </row>
    <row r="4" spans="1:13" s="3" customFormat="1" ht="16.5" customHeight="1" x14ac:dyDescent="0.15">
      <c r="A4" s="71" t="s">
        <v>6</v>
      </c>
      <c r="B4" s="108">
        <v>144696</v>
      </c>
      <c r="C4" s="14">
        <v>16</v>
      </c>
      <c r="D4" s="14">
        <v>487</v>
      </c>
      <c r="E4" s="14">
        <v>2148</v>
      </c>
      <c r="F4" s="14">
        <v>5834</v>
      </c>
      <c r="G4" s="14">
        <v>30671</v>
      </c>
      <c r="H4" s="14">
        <v>23263</v>
      </c>
      <c r="I4" s="14">
        <v>81565</v>
      </c>
      <c r="J4" s="14">
        <v>712</v>
      </c>
      <c r="L4" s="163">
        <f>I4/B4*100</f>
        <v>56.369906562724616</v>
      </c>
      <c r="M4" s="102"/>
    </row>
    <row r="5" spans="1:13" s="3" customFormat="1" ht="16.5" customHeight="1" x14ac:dyDescent="0.15">
      <c r="A5" s="73" t="s">
        <v>21</v>
      </c>
      <c r="B5" s="202">
        <v>17435</v>
      </c>
      <c r="C5" s="37">
        <v>3</v>
      </c>
      <c r="D5" s="37">
        <v>120</v>
      </c>
      <c r="E5" s="37">
        <v>527</v>
      </c>
      <c r="F5" s="37">
        <v>1181</v>
      </c>
      <c r="G5" s="37">
        <v>4855</v>
      </c>
      <c r="H5" s="37">
        <v>3420</v>
      </c>
      <c r="I5" s="37">
        <v>7221</v>
      </c>
      <c r="J5" s="37">
        <v>108</v>
      </c>
      <c r="K5" s="63"/>
      <c r="L5" s="163">
        <f>I5/B5*100</f>
        <v>41.416690564955552</v>
      </c>
      <c r="M5" s="102"/>
    </row>
    <row r="6" spans="1:13" s="3" customFormat="1" ht="16.5" customHeight="1" x14ac:dyDescent="0.15">
      <c r="L6" s="110"/>
      <c r="M6" s="110"/>
    </row>
    <row r="7" spans="1:13" s="3" customFormat="1" ht="16.5" customHeight="1" x14ac:dyDescent="0.15">
      <c r="A7" s="80" t="s">
        <v>683</v>
      </c>
    </row>
    <row r="8" spans="1:13" s="3" customFormat="1" ht="16.5" customHeight="1" x14ac:dyDescent="0.15">
      <c r="A8" s="63" t="s">
        <v>674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</row>
    <row r="9" spans="1:13" s="3" customFormat="1" ht="16.5" customHeight="1" x14ac:dyDescent="0.15"/>
    <row r="10" spans="1:13" s="3" customFormat="1" ht="16.5" customHeight="1" x14ac:dyDescent="0.15">
      <c r="A10" s="80" t="s">
        <v>193</v>
      </c>
    </row>
    <row r="11" spans="1:13" s="3" customFormat="1" ht="16.5" customHeight="1" x14ac:dyDescent="0.15">
      <c r="A11" s="162" t="s">
        <v>169</v>
      </c>
      <c r="B11" s="501" t="s">
        <v>93</v>
      </c>
      <c r="C11" s="501" t="s">
        <v>34</v>
      </c>
      <c r="D11" s="501" t="s">
        <v>94</v>
      </c>
      <c r="E11" s="503" t="s">
        <v>324</v>
      </c>
      <c r="F11" s="501" t="s">
        <v>325</v>
      </c>
      <c r="G11" s="501" t="s">
        <v>326</v>
      </c>
      <c r="H11" s="501" t="s">
        <v>327</v>
      </c>
      <c r="I11" s="503" t="s">
        <v>328</v>
      </c>
      <c r="J11" s="501" t="s">
        <v>329</v>
      </c>
      <c r="K11" s="501" t="s">
        <v>80</v>
      </c>
      <c r="L11" s="501" t="s">
        <v>330</v>
      </c>
      <c r="M11" s="501" t="s">
        <v>81</v>
      </c>
    </row>
    <row r="12" spans="1:13" s="3" customFormat="1" ht="16.5" customHeight="1" x14ac:dyDescent="0.15">
      <c r="A12" s="273" t="s">
        <v>331</v>
      </c>
      <c r="B12" s="502"/>
      <c r="C12" s="502"/>
      <c r="D12" s="502"/>
      <c r="E12" s="502"/>
      <c r="F12" s="502" t="s">
        <v>332</v>
      </c>
      <c r="G12" s="502"/>
      <c r="H12" s="502"/>
      <c r="I12" s="502"/>
      <c r="J12" s="502"/>
      <c r="K12" s="502"/>
      <c r="L12" s="502"/>
      <c r="M12" s="502"/>
    </row>
    <row r="13" spans="1:13" s="3" customFormat="1" ht="16.5" customHeight="1" x14ac:dyDescent="0.15">
      <c r="A13" s="72" t="s">
        <v>333</v>
      </c>
      <c r="B13" s="108">
        <v>3036</v>
      </c>
      <c r="C13" s="67">
        <v>0</v>
      </c>
      <c r="D13" s="67">
        <v>0</v>
      </c>
      <c r="E13" s="67">
        <v>4</v>
      </c>
      <c r="F13" s="35">
        <v>712</v>
      </c>
      <c r="G13" s="35">
        <v>546</v>
      </c>
      <c r="H13" s="35">
        <v>78</v>
      </c>
      <c r="I13" s="35">
        <v>2</v>
      </c>
      <c r="J13" s="35">
        <v>4</v>
      </c>
      <c r="K13" s="35">
        <v>10</v>
      </c>
      <c r="L13" s="35">
        <v>1386</v>
      </c>
      <c r="M13" s="35">
        <v>294</v>
      </c>
    </row>
    <row r="14" spans="1:13" s="3" customFormat="1" ht="16.5" customHeight="1" x14ac:dyDescent="0.15">
      <c r="A14" s="285" t="s">
        <v>7</v>
      </c>
      <c r="B14" s="211">
        <v>100</v>
      </c>
      <c r="C14" s="351" t="s">
        <v>187</v>
      </c>
      <c r="D14" s="351" t="s">
        <v>693</v>
      </c>
      <c r="E14" s="46">
        <v>0.13175230566534915</v>
      </c>
      <c r="F14" s="46">
        <v>23.4</v>
      </c>
      <c r="G14" s="46">
        <v>17.984189723320156</v>
      </c>
      <c r="H14" s="46">
        <v>2.5691699604743086</v>
      </c>
      <c r="I14" s="46">
        <v>6.5876152832674575E-2</v>
      </c>
      <c r="J14" s="46">
        <v>0.13175230566534915</v>
      </c>
      <c r="K14" s="46">
        <v>0.32938076416337286</v>
      </c>
      <c r="L14" s="46">
        <v>45.652173913043477</v>
      </c>
      <c r="M14" s="46">
        <v>9.6837944664031621</v>
      </c>
    </row>
    <row r="15" spans="1:13" s="3" customFormat="1" ht="16.5" customHeight="1" x14ac:dyDescent="0.15">
      <c r="A15" s="231" t="s">
        <v>477</v>
      </c>
      <c r="B15" s="105">
        <v>1111</v>
      </c>
      <c r="C15" s="68">
        <v>0</v>
      </c>
      <c r="D15" s="68">
        <v>0</v>
      </c>
      <c r="E15" s="68">
        <v>2</v>
      </c>
      <c r="F15" s="14">
        <v>195</v>
      </c>
      <c r="G15" s="14">
        <v>177</v>
      </c>
      <c r="H15" s="14">
        <v>5</v>
      </c>
      <c r="I15" s="14">
        <v>0</v>
      </c>
      <c r="J15" s="14">
        <v>0</v>
      </c>
      <c r="K15" s="14">
        <v>0</v>
      </c>
      <c r="L15" s="14">
        <v>614</v>
      </c>
      <c r="M15" s="14">
        <v>118</v>
      </c>
    </row>
    <row r="16" spans="1:13" s="3" customFormat="1" ht="16.5" customHeight="1" x14ac:dyDescent="0.15">
      <c r="A16" s="231" t="s">
        <v>478</v>
      </c>
      <c r="B16" s="105">
        <v>132</v>
      </c>
      <c r="C16" s="68">
        <v>0</v>
      </c>
      <c r="D16" s="68">
        <v>0</v>
      </c>
      <c r="E16" s="68">
        <v>0</v>
      </c>
      <c r="F16" s="14">
        <v>30</v>
      </c>
      <c r="G16" s="14">
        <v>37</v>
      </c>
      <c r="H16" s="14">
        <v>0</v>
      </c>
      <c r="I16" s="14">
        <v>0</v>
      </c>
      <c r="J16" s="14">
        <v>0</v>
      </c>
      <c r="K16" s="14">
        <v>0</v>
      </c>
      <c r="L16" s="14">
        <v>61</v>
      </c>
      <c r="M16" s="14">
        <v>4</v>
      </c>
    </row>
    <row r="17" spans="1:13" s="3" customFormat="1" ht="16.5" customHeight="1" x14ac:dyDescent="0.15">
      <c r="A17" s="231" t="s">
        <v>479</v>
      </c>
      <c r="B17" s="105">
        <v>538</v>
      </c>
      <c r="C17" s="14">
        <v>0</v>
      </c>
      <c r="D17" s="14">
        <v>0</v>
      </c>
      <c r="E17" s="14">
        <v>1</v>
      </c>
      <c r="F17" s="14">
        <v>186</v>
      </c>
      <c r="G17" s="14">
        <v>74</v>
      </c>
      <c r="H17" s="14">
        <v>9</v>
      </c>
      <c r="I17" s="14">
        <v>0</v>
      </c>
      <c r="J17" s="14">
        <v>1</v>
      </c>
      <c r="K17" s="14">
        <v>1</v>
      </c>
      <c r="L17" s="14">
        <v>215</v>
      </c>
      <c r="M17" s="14">
        <v>51</v>
      </c>
    </row>
    <row r="18" spans="1:13" s="3" customFormat="1" ht="16.5" customHeight="1" x14ac:dyDescent="0.15">
      <c r="A18" s="231" t="s">
        <v>480</v>
      </c>
      <c r="B18" s="105">
        <v>102</v>
      </c>
      <c r="C18" s="14">
        <v>0</v>
      </c>
      <c r="D18" s="14">
        <v>0</v>
      </c>
      <c r="E18" s="14">
        <v>0</v>
      </c>
      <c r="F18" s="14">
        <v>24</v>
      </c>
      <c r="G18" s="14">
        <v>18</v>
      </c>
      <c r="H18" s="14">
        <v>7</v>
      </c>
      <c r="I18" s="14">
        <v>1</v>
      </c>
      <c r="J18" s="14">
        <v>0</v>
      </c>
      <c r="K18" s="14">
        <v>1</v>
      </c>
      <c r="L18" s="14">
        <v>37</v>
      </c>
      <c r="M18" s="14">
        <v>14</v>
      </c>
    </row>
    <row r="19" spans="1:13" s="3" customFormat="1" ht="16.5" customHeight="1" x14ac:dyDescent="0.15">
      <c r="A19" s="71" t="s">
        <v>334</v>
      </c>
      <c r="B19" s="105">
        <v>21</v>
      </c>
      <c r="C19" s="14">
        <v>0</v>
      </c>
      <c r="D19" s="14">
        <v>0</v>
      </c>
      <c r="E19" s="14">
        <v>0</v>
      </c>
      <c r="F19" s="14">
        <v>5</v>
      </c>
      <c r="G19" s="14">
        <v>10</v>
      </c>
      <c r="H19" s="14">
        <v>0</v>
      </c>
      <c r="I19" s="14">
        <v>0</v>
      </c>
      <c r="J19" s="14">
        <v>0</v>
      </c>
      <c r="K19" s="14">
        <v>0</v>
      </c>
      <c r="L19" s="14">
        <v>6</v>
      </c>
      <c r="M19" s="14">
        <v>0</v>
      </c>
    </row>
    <row r="20" spans="1:13" s="3" customFormat="1" ht="16.5" customHeight="1" x14ac:dyDescent="0.15">
      <c r="A20" s="71" t="s">
        <v>335</v>
      </c>
      <c r="B20" s="105">
        <v>279</v>
      </c>
      <c r="C20" s="14">
        <v>0</v>
      </c>
      <c r="D20" s="14">
        <v>0</v>
      </c>
      <c r="E20" s="14">
        <v>0</v>
      </c>
      <c r="F20" s="14">
        <v>56</v>
      </c>
      <c r="G20" s="14">
        <v>49</v>
      </c>
      <c r="H20" s="14">
        <v>13</v>
      </c>
      <c r="I20" s="14">
        <v>1</v>
      </c>
      <c r="J20" s="14">
        <v>0</v>
      </c>
      <c r="K20" s="14">
        <v>0</v>
      </c>
      <c r="L20" s="14">
        <v>126</v>
      </c>
      <c r="M20" s="14">
        <v>34</v>
      </c>
    </row>
    <row r="21" spans="1:13" s="3" customFormat="1" ht="16.5" customHeight="1" x14ac:dyDescent="0.15">
      <c r="A21" s="71" t="s">
        <v>336</v>
      </c>
      <c r="B21" s="105">
        <v>146</v>
      </c>
      <c r="C21" s="14">
        <v>0</v>
      </c>
      <c r="D21" s="14">
        <v>0</v>
      </c>
      <c r="E21" s="14">
        <v>0</v>
      </c>
      <c r="F21" s="14">
        <v>51</v>
      </c>
      <c r="G21" s="14">
        <v>32</v>
      </c>
      <c r="H21" s="14">
        <v>5</v>
      </c>
      <c r="I21" s="14">
        <v>0</v>
      </c>
      <c r="J21" s="14">
        <v>1</v>
      </c>
      <c r="K21" s="14">
        <v>0</v>
      </c>
      <c r="L21" s="14">
        <v>48</v>
      </c>
      <c r="M21" s="14">
        <v>9</v>
      </c>
    </row>
    <row r="22" spans="1:13" s="3" customFormat="1" ht="16.5" customHeight="1" x14ac:dyDescent="0.15">
      <c r="A22" s="71" t="s">
        <v>337</v>
      </c>
      <c r="B22" s="105">
        <v>53</v>
      </c>
      <c r="C22" s="14">
        <v>0</v>
      </c>
      <c r="D22" s="14">
        <v>0</v>
      </c>
      <c r="E22" s="14">
        <v>0</v>
      </c>
      <c r="F22" s="14">
        <v>10</v>
      </c>
      <c r="G22" s="14">
        <v>11</v>
      </c>
      <c r="H22" s="14">
        <v>7</v>
      </c>
      <c r="I22" s="14">
        <v>0</v>
      </c>
      <c r="J22" s="14">
        <v>0</v>
      </c>
      <c r="K22" s="14">
        <v>0</v>
      </c>
      <c r="L22" s="14">
        <v>17</v>
      </c>
      <c r="M22" s="14">
        <v>8</v>
      </c>
    </row>
    <row r="23" spans="1:13" s="3" customFormat="1" ht="16.5" customHeight="1" x14ac:dyDescent="0.15">
      <c r="A23" s="73" t="s">
        <v>338</v>
      </c>
      <c r="B23" s="109">
        <v>654</v>
      </c>
      <c r="C23" s="37">
        <v>0</v>
      </c>
      <c r="D23" s="37">
        <v>0</v>
      </c>
      <c r="E23" s="37">
        <v>1</v>
      </c>
      <c r="F23" s="37">
        <v>155</v>
      </c>
      <c r="G23" s="37">
        <v>138</v>
      </c>
      <c r="H23" s="37">
        <v>32</v>
      </c>
      <c r="I23" s="37">
        <v>0</v>
      </c>
      <c r="J23" s="37">
        <v>2</v>
      </c>
      <c r="K23" s="37">
        <v>8</v>
      </c>
      <c r="L23" s="37">
        <v>262</v>
      </c>
      <c r="M23" s="37">
        <v>56</v>
      </c>
    </row>
    <row r="24" spans="1:13" s="3" customFormat="1" ht="16.5" customHeight="1" x14ac:dyDescent="0.15">
      <c r="A24" s="11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</row>
    <row r="25" spans="1:13" s="3" customFormat="1" ht="16.5" customHeight="1" x14ac:dyDescent="0.15">
      <c r="A25" s="112" t="s">
        <v>339</v>
      </c>
      <c r="B25" s="112"/>
      <c r="C25" s="60"/>
      <c r="D25" s="60"/>
      <c r="E25" s="60"/>
      <c r="F25" s="293"/>
      <c r="G25" s="293"/>
      <c r="H25" s="293"/>
      <c r="I25" s="293"/>
      <c r="J25" s="293"/>
      <c r="K25" s="293"/>
      <c r="L25" s="293"/>
      <c r="M25" s="293"/>
    </row>
    <row r="26" spans="1:13" s="3" customFormat="1" ht="16.5" customHeight="1" x14ac:dyDescent="0.15">
      <c r="A26" s="505" t="s">
        <v>672</v>
      </c>
      <c r="B26" s="505"/>
      <c r="C26" s="505"/>
      <c r="D26" s="505"/>
      <c r="E26" s="505"/>
      <c r="F26" s="505"/>
      <c r="G26" s="505"/>
      <c r="H26" s="505"/>
      <c r="I26" s="505"/>
      <c r="J26" s="505"/>
      <c r="K26" s="505"/>
      <c r="L26" s="505"/>
      <c r="M26" s="505"/>
    </row>
    <row r="27" spans="1:13" s="3" customFormat="1" ht="16.5" customHeight="1" x14ac:dyDescent="0.15">
      <c r="A27" s="505"/>
      <c r="B27" s="505"/>
      <c r="C27" s="505"/>
      <c r="D27" s="505"/>
      <c r="E27" s="505"/>
      <c r="F27" s="505"/>
      <c r="G27" s="505"/>
      <c r="H27" s="505"/>
      <c r="I27" s="505"/>
      <c r="J27" s="505"/>
      <c r="K27" s="505"/>
      <c r="L27" s="505"/>
      <c r="M27" s="505"/>
    </row>
    <row r="28" spans="1:13" s="3" customFormat="1" ht="16.5" customHeight="1" x14ac:dyDescent="0.15">
      <c r="A28" s="8" t="s">
        <v>11</v>
      </c>
      <c r="B28" s="8"/>
      <c r="C28" s="9"/>
      <c r="D28" s="9"/>
      <c r="E28" s="9"/>
      <c r="F28" s="9"/>
      <c r="G28" s="9"/>
      <c r="H28" s="165"/>
      <c r="I28" s="165"/>
      <c r="J28" s="165"/>
      <c r="K28" s="165"/>
      <c r="L28" s="165"/>
      <c r="M28" s="165"/>
    </row>
    <row r="29" spans="1:13" s="3" customFormat="1" ht="16.5" customHeight="1" x14ac:dyDescent="0.15">
      <c r="A29" s="504" t="s">
        <v>661</v>
      </c>
      <c r="B29" s="504"/>
      <c r="C29" s="504"/>
      <c r="D29" s="504"/>
      <c r="E29" s="504"/>
      <c r="F29" s="504"/>
      <c r="G29" s="504"/>
      <c r="H29" s="504"/>
      <c r="I29" s="504"/>
      <c r="J29" s="504"/>
      <c r="K29" s="504"/>
      <c r="L29" s="504"/>
      <c r="M29" s="504"/>
    </row>
    <row r="30" spans="1:13" s="3" customFormat="1" ht="16.5" customHeight="1" x14ac:dyDescent="0.15">
      <c r="A30" s="504"/>
      <c r="B30" s="504"/>
      <c r="C30" s="504"/>
      <c r="D30" s="504"/>
      <c r="E30" s="504"/>
      <c r="F30" s="504"/>
      <c r="G30" s="504"/>
      <c r="H30" s="504"/>
      <c r="I30" s="504"/>
      <c r="J30" s="504"/>
      <c r="K30" s="504"/>
      <c r="L30" s="504"/>
      <c r="M30" s="504"/>
    </row>
    <row r="31" spans="1:13" s="3" customFormat="1" ht="16.5" customHeight="1" x14ac:dyDescent="0.1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 spans="1:13" s="60" customFormat="1" ht="16.5" customHeight="1" x14ac:dyDescent="0.15">
      <c r="A32" s="80" t="s">
        <v>407</v>
      </c>
    </row>
    <row r="33" spans="1:7" s="60" customFormat="1" ht="16.5" customHeight="1" x14ac:dyDescent="0.15"/>
    <row r="34" spans="1:7" s="60" customFormat="1" ht="16.5" customHeight="1" x14ac:dyDescent="0.15">
      <c r="A34" s="164"/>
      <c r="B34" s="282" t="s">
        <v>486</v>
      </c>
    </row>
    <row r="35" spans="1:7" s="60" customFormat="1" ht="16.5" customHeight="1" x14ac:dyDescent="0.15">
      <c r="A35" s="320" t="s">
        <v>222</v>
      </c>
      <c r="B35" s="319">
        <v>11343</v>
      </c>
    </row>
    <row r="36" spans="1:7" s="60" customFormat="1" ht="16.5" customHeight="1" x14ac:dyDescent="0.15">
      <c r="A36" s="320" t="s">
        <v>223</v>
      </c>
      <c r="B36" s="319">
        <v>11601</v>
      </c>
    </row>
    <row r="37" spans="1:7" s="60" customFormat="1" ht="16.5" customHeight="1" x14ac:dyDescent="0.15">
      <c r="A37" s="320" t="s">
        <v>224</v>
      </c>
      <c r="B37" s="319">
        <v>9438</v>
      </c>
    </row>
    <row r="38" spans="1:7" s="60" customFormat="1" ht="16.5" customHeight="1" x14ac:dyDescent="0.15">
      <c r="A38" s="320" t="s">
        <v>225</v>
      </c>
      <c r="B38" s="319">
        <v>6646</v>
      </c>
    </row>
    <row r="39" spans="1:7" s="60" customFormat="1" ht="16.5" customHeight="1" x14ac:dyDescent="0.15">
      <c r="A39" s="320" t="s">
        <v>493</v>
      </c>
      <c r="B39" s="319">
        <v>8229</v>
      </c>
    </row>
    <row r="40" spans="1:7" s="60" customFormat="1" ht="16.5" customHeight="1" x14ac:dyDescent="0.15"/>
    <row r="41" spans="1:7" s="60" customFormat="1" ht="16.5" customHeight="1" x14ac:dyDescent="0.15"/>
    <row r="42" spans="1:7" s="60" customFormat="1" ht="16.5" customHeight="1" x14ac:dyDescent="0.15"/>
    <row r="43" spans="1:7" s="60" customFormat="1" ht="16.5" customHeight="1" x14ac:dyDescent="0.15"/>
    <row r="44" spans="1:7" s="60" customFormat="1" ht="16.5" customHeight="1" x14ac:dyDescent="0.15"/>
    <row r="45" spans="1:7" s="60" customFormat="1" ht="16.5" customHeight="1" x14ac:dyDescent="0.15">
      <c r="A45" s="111"/>
      <c r="B45" s="112"/>
      <c r="D45" s="81"/>
      <c r="E45" s="81"/>
      <c r="F45" s="81"/>
      <c r="G45" s="81"/>
    </row>
    <row r="46" spans="1:7" s="60" customFormat="1" ht="16.5" customHeight="1" x14ac:dyDescent="0.15">
      <c r="A46" s="111"/>
      <c r="B46" s="112"/>
      <c r="D46" s="81"/>
      <c r="E46" s="81"/>
      <c r="F46" s="81"/>
      <c r="G46" s="81"/>
    </row>
  </sheetData>
  <sheetProtection algorithmName="SHA-512" hashValue="q5Tcy3q/LKAwnqcinSlISLf7DEGFrRrEVIaoKhJc6CQtBBA3D678Bq3YRSfQsnwyIS665j2gH1ieXLuvv7aJPA==" saltValue="m1Z5HHXaZQi58+z+iJfV/w==" spinCount="100000" sheet="1" objects="1" scenarios="1"/>
  <mergeCells count="16">
    <mergeCell ref="A29:M30"/>
    <mergeCell ref="L11:L12"/>
    <mergeCell ref="M11:M12"/>
    <mergeCell ref="I11:I12"/>
    <mergeCell ref="K11:K12"/>
    <mergeCell ref="A26:M27"/>
    <mergeCell ref="B2:B3"/>
    <mergeCell ref="C2:J2"/>
    <mergeCell ref="B11:B12"/>
    <mergeCell ref="C11:C12"/>
    <mergeCell ref="D11:D12"/>
    <mergeCell ref="E11:E12"/>
    <mergeCell ref="F11:F12"/>
    <mergeCell ref="G11:G12"/>
    <mergeCell ref="H11:H12"/>
    <mergeCell ref="J11:J12"/>
  </mergeCells>
  <phoneticPr fontId="5" type="noConversion"/>
  <pageMargins left="0.28999999999999998" right="0.08" top="0.36" bottom="0.05" header="0.5" footer="0.06"/>
  <pageSetup paperSize="9" scale="65" pageOrder="overThenDown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O38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4" customWidth="1"/>
    <col min="2" max="7" width="8.88671875" style="84" customWidth="1"/>
    <col min="8" max="16384" width="8.88671875" style="84"/>
  </cols>
  <sheetData>
    <row r="1" spans="1:15" s="2" customFormat="1" ht="16.5" customHeight="1" x14ac:dyDescent="0.15">
      <c r="A1" s="80" t="s">
        <v>340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2" customFormat="1" ht="16.5" customHeight="1" x14ac:dyDescent="0.15">
      <c r="A2" s="245" t="s">
        <v>169</v>
      </c>
      <c r="B2" s="400" t="s">
        <v>341</v>
      </c>
      <c r="C2" s="410" t="s">
        <v>342</v>
      </c>
      <c r="D2" s="508"/>
      <c r="E2" s="508"/>
      <c r="F2" s="508"/>
      <c r="G2" s="508"/>
      <c r="H2" s="508"/>
      <c r="I2" s="508"/>
      <c r="J2" s="508"/>
      <c r="K2" s="508"/>
      <c r="L2" s="509"/>
      <c r="M2" s="400" t="s">
        <v>343</v>
      </c>
      <c r="N2" s="453"/>
      <c r="O2" s="453"/>
    </row>
    <row r="3" spans="1:15" s="2" customFormat="1" ht="16.5" customHeight="1" x14ac:dyDescent="0.15">
      <c r="A3" s="246"/>
      <c r="B3" s="506"/>
      <c r="C3" s="430" t="s">
        <v>344</v>
      </c>
      <c r="D3" s="510"/>
      <c r="E3" s="510"/>
      <c r="F3" s="510"/>
      <c r="G3" s="428"/>
      <c r="H3" s="429" t="s">
        <v>345</v>
      </c>
      <c r="I3" s="506" t="s">
        <v>346</v>
      </c>
      <c r="J3" s="507" t="s">
        <v>179</v>
      </c>
      <c r="K3" s="507" t="s">
        <v>347</v>
      </c>
      <c r="L3" s="507" t="s">
        <v>348</v>
      </c>
      <c r="M3" s="507" t="s">
        <v>348</v>
      </c>
      <c r="N3" s="507" t="s">
        <v>349</v>
      </c>
      <c r="O3" s="506" t="s">
        <v>338</v>
      </c>
    </row>
    <row r="4" spans="1:15" s="2" customFormat="1" ht="22.5" x14ac:dyDescent="0.15">
      <c r="A4" s="246" t="s">
        <v>350</v>
      </c>
      <c r="B4" s="429"/>
      <c r="C4" s="272" t="s">
        <v>351</v>
      </c>
      <c r="D4" s="247" t="s">
        <v>352</v>
      </c>
      <c r="E4" s="247" t="s">
        <v>353</v>
      </c>
      <c r="F4" s="247" t="s">
        <v>354</v>
      </c>
      <c r="G4" s="272" t="s">
        <v>355</v>
      </c>
      <c r="H4" s="422"/>
      <c r="I4" s="429"/>
      <c r="J4" s="429"/>
      <c r="K4" s="429"/>
      <c r="L4" s="429"/>
      <c r="M4" s="429"/>
      <c r="N4" s="429"/>
      <c r="O4" s="429"/>
    </row>
    <row r="5" spans="1:15" s="7" customFormat="1" ht="16.5" customHeight="1" x14ac:dyDescent="0.15">
      <c r="A5" s="71" t="s">
        <v>356</v>
      </c>
      <c r="B5" s="108">
        <v>8224</v>
      </c>
      <c r="C5" s="287">
        <v>1244</v>
      </c>
      <c r="D5" s="287">
        <v>4315</v>
      </c>
      <c r="E5" s="286">
        <v>0</v>
      </c>
      <c r="F5" s="287">
        <v>2446</v>
      </c>
      <c r="G5" s="286">
        <v>46</v>
      </c>
      <c r="H5" s="286">
        <v>43</v>
      </c>
      <c r="I5" s="286">
        <v>3</v>
      </c>
      <c r="J5" s="286">
        <v>11</v>
      </c>
      <c r="K5" s="286">
        <v>0</v>
      </c>
      <c r="L5" s="286">
        <v>58</v>
      </c>
      <c r="M5" s="90">
        <v>11</v>
      </c>
      <c r="N5" s="286">
        <v>11</v>
      </c>
      <c r="O5" s="286">
        <v>36</v>
      </c>
    </row>
    <row r="6" spans="1:15" s="7" customFormat="1" ht="16.5" customHeight="1" x14ac:dyDescent="0.15">
      <c r="A6" s="73" t="s">
        <v>357</v>
      </c>
      <c r="B6" s="204">
        <v>100</v>
      </c>
      <c r="C6" s="44">
        <v>15.126459143968871</v>
      </c>
      <c r="D6" s="44">
        <v>52.468385214007782</v>
      </c>
      <c r="E6" s="375" t="s">
        <v>69</v>
      </c>
      <c r="F6" s="44">
        <v>29.8</v>
      </c>
      <c r="G6" s="44">
        <v>0.55933852140077822</v>
      </c>
      <c r="H6" s="44">
        <v>0.52285992217898825</v>
      </c>
      <c r="I6" s="44">
        <v>3.6478599221789886E-2</v>
      </c>
      <c r="J6" s="44">
        <v>0.13375486381322957</v>
      </c>
      <c r="K6" s="375" t="s">
        <v>358</v>
      </c>
      <c r="L6" s="376">
        <v>0.70525291828793779</v>
      </c>
      <c r="M6" s="377">
        <v>0.13375486381322957</v>
      </c>
      <c r="N6" s="44">
        <v>0.13375486381322957</v>
      </c>
      <c r="O6" s="44">
        <v>0.5</v>
      </c>
    </row>
    <row r="7" spans="1:15" s="3" customFormat="1" ht="16.5" customHeight="1" x14ac:dyDescent="0.15">
      <c r="C7" s="359"/>
      <c r="D7" s="359"/>
      <c r="E7" s="359"/>
      <c r="F7" s="359"/>
      <c r="G7" s="359"/>
      <c r="H7" s="359"/>
      <c r="I7" s="359"/>
      <c r="J7" s="359"/>
      <c r="K7" s="359"/>
      <c r="L7" s="359"/>
      <c r="M7" s="359"/>
      <c r="N7" s="359"/>
      <c r="O7" s="359"/>
    </row>
    <row r="8" spans="1:15" s="3" customFormat="1" ht="16.5" customHeight="1" x14ac:dyDescent="0.15">
      <c r="A8" s="80" t="s">
        <v>194</v>
      </c>
    </row>
    <row r="9" spans="1:15" s="3" customFormat="1" ht="16.5" customHeight="1" x14ac:dyDescent="0.15">
      <c r="A9" s="245" t="s">
        <v>39</v>
      </c>
      <c r="B9" s="400" t="s">
        <v>101</v>
      </c>
      <c r="C9" s="400"/>
      <c r="D9" s="400"/>
      <c r="E9" s="400" t="s">
        <v>102</v>
      </c>
      <c r="F9" s="400"/>
      <c r="G9" s="410"/>
    </row>
    <row r="10" spans="1:15" s="3" customFormat="1" ht="16.5" customHeight="1" x14ac:dyDescent="0.15">
      <c r="A10" s="246" t="s">
        <v>67</v>
      </c>
      <c r="B10" s="247" t="s">
        <v>712</v>
      </c>
      <c r="C10" s="247" t="s">
        <v>713</v>
      </c>
      <c r="D10" s="247" t="s">
        <v>14</v>
      </c>
      <c r="E10" s="388" t="s">
        <v>712</v>
      </c>
      <c r="F10" s="388" t="s">
        <v>713</v>
      </c>
      <c r="G10" s="258" t="s">
        <v>15</v>
      </c>
    </row>
    <row r="11" spans="1:15" s="3" customFormat="1" ht="16.5" customHeight="1" x14ac:dyDescent="0.15">
      <c r="A11" s="72" t="s">
        <v>93</v>
      </c>
      <c r="B11" s="92">
        <v>218510</v>
      </c>
      <c r="C11" s="35">
        <v>93369</v>
      </c>
      <c r="D11" s="261">
        <v>42.729852180678229</v>
      </c>
      <c r="E11" s="35">
        <v>63952</v>
      </c>
      <c r="F11" s="35">
        <v>22127</v>
      </c>
      <c r="G11" s="40">
        <v>34.599387040280213</v>
      </c>
    </row>
    <row r="12" spans="1:15" s="3" customFormat="1" ht="16.5" customHeight="1" x14ac:dyDescent="0.15">
      <c r="A12" s="71" t="s">
        <v>104</v>
      </c>
      <c r="B12" s="90">
        <v>17058</v>
      </c>
      <c r="C12" s="14">
        <v>11213</v>
      </c>
      <c r="D12" s="205">
        <v>65.734552702544264</v>
      </c>
      <c r="E12" s="14">
        <v>9012</v>
      </c>
      <c r="F12" s="14">
        <v>3665</v>
      </c>
      <c r="G12" s="27">
        <v>40.667998224589432</v>
      </c>
    </row>
    <row r="13" spans="1:15" s="3" customFormat="1" ht="16.5" customHeight="1" x14ac:dyDescent="0.15">
      <c r="A13" s="73" t="s">
        <v>105</v>
      </c>
      <c r="B13" s="206">
        <v>201452</v>
      </c>
      <c r="C13" s="207">
        <v>82156</v>
      </c>
      <c r="D13" s="208">
        <v>40.781923237297221</v>
      </c>
      <c r="E13" s="37">
        <v>54940</v>
      </c>
      <c r="F13" s="37">
        <v>18462</v>
      </c>
      <c r="G13" s="41">
        <v>33.603931561703675</v>
      </c>
    </row>
    <row r="14" spans="1:15" s="3" customFormat="1" ht="16.5" customHeight="1" x14ac:dyDescent="0.15">
      <c r="A14" s="3" t="s">
        <v>408</v>
      </c>
    </row>
    <row r="15" spans="1:15" s="3" customFormat="1" ht="16.5" customHeight="1" x14ac:dyDescent="0.15">
      <c r="A15" s="60"/>
      <c r="B15" s="60"/>
      <c r="C15" s="60"/>
    </row>
    <row r="16" spans="1:15" s="3" customFormat="1" ht="16.5" customHeight="1" x14ac:dyDescent="0.15">
      <c r="A16" s="60" t="s">
        <v>195</v>
      </c>
      <c r="B16" s="60"/>
      <c r="C16" s="60"/>
      <c r="H16" s="166"/>
      <c r="I16" s="166"/>
    </row>
    <row r="17" spans="1:12" s="3" customFormat="1" ht="16.5" customHeight="1" x14ac:dyDescent="0.15">
      <c r="H17" s="166"/>
    </row>
    <row r="18" spans="1:12" s="3" customFormat="1" ht="16.5" customHeight="1" x14ac:dyDescent="0.15">
      <c r="A18" s="80" t="s">
        <v>409</v>
      </c>
      <c r="H18" s="80" t="s">
        <v>410</v>
      </c>
    </row>
    <row r="19" spans="1:12" s="3" customFormat="1" ht="16.5" customHeight="1" x14ac:dyDescent="0.15">
      <c r="H19" s="166"/>
    </row>
    <row r="20" spans="1:12" s="3" customFormat="1" ht="16.5" customHeight="1" x14ac:dyDescent="0.15">
      <c r="B20" s="281" t="s">
        <v>485</v>
      </c>
      <c r="L20" s="166"/>
    </row>
    <row r="21" spans="1:12" s="3" customFormat="1" ht="16.5" customHeight="1" x14ac:dyDescent="0.15">
      <c r="A21" s="182"/>
      <c r="B21" s="182" t="s">
        <v>0</v>
      </c>
      <c r="C21" s="182" t="s">
        <v>1</v>
      </c>
      <c r="D21" s="182" t="s">
        <v>2</v>
      </c>
      <c r="E21" s="182" t="s">
        <v>3</v>
      </c>
      <c r="I21" s="59"/>
    </row>
    <row r="22" spans="1:12" s="3" customFormat="1" ht="16.5" customHeight="1" x14ac:dyDescent="0.15">
      <c r="A22" s="265" t="s">
        <v>217</v>
      </c>
      <c r="B22" s="182">
        <v>62.8</v>
      </c>
      <c r="C22" s="182">
        <v>31.1</v>
      </c>
      <c r="D22" s="321">
        <v>38.799999999999997</v>
      </c>
      <c r="E22" s="321">
        <v>32.6</v>
      </c>
      <c r="I22" s="59"/>
      <c r="J22" s="59"/>
      <c r="K22" s="59"/>
    </row>
    <row r="23" spans="1:12" s="3" customFormat="1" ht="16.5" customHeight="1" x14ac:dyDescent="0.15">
      <c r="A23" s="265" t="s">
        <v>218</v>
      </c>
      <c r="B23" s="182">
        <v>66.099999999999994</v>
      </c>
      <c r="C23" s="182">
        <v>29.6</v>
      </c>
      <c r="D23" s="321">
        <v>41.6</v>
      </c>
      <c r="E23" s="321">
        <v>33.9</v>
      </c>
    </row>
    <row r="24" spans="1:12" s="3" customFormat="1" ht="16.5" customHeight="1" x14ac:dyDescent="0.15">
      <c r="A24" s="265" t="s">
        <v>219</v>
      </c>
      <c r="B24" s="182">
        <v>51.1</v>
      </c>
      <c r="C24" s="182">
        <v>27</v>
      </c>
      <c r="D24" s="182">
        <v>39.4</v>
      </c>
      <c r="E24" s="182">
        <v>32.5</v>
      </c>
    </row>
    <row r="25" spans="1:12" s="3" customFormat="1" ht="16.5" customHeight="1" x14ac:dyDescent="0.15">
      <c r="A25" s="265" t="s">
        <v>220</v>
      </c>
      <c r="B25" s="182">
        <v>62.3</v>
      </c>
      <c r="C25" s="182">
        <v>31.6</v>
      </c>
      <c r="D25" s="182">
        <v>43.2</v>
      </c>
      <c r="E25" s="182">
        <v>33.200000000000003</v>
      </c>
    </row>
    <row r="26" spans="1:12" s="3" customFormat="1" ht="16.5" customHeight="1" x14ac:dyDescent="0.15">
      <c r="A26" s="265" t="s">
        <v>221</v>
      </c>
      <c r="B26" s="182">
        <v>66.8</v>
      </c>
      <c r="C26" s="182">
        <v>36</v>
      </c>
      <c r="D26" s="182">
        <v>38</v>
      </c>
      <c r="E26" s="182">
        <v>33.5</v>
      </c>
    </row>
    <row r="27" spans="1:12" s="3" customFormat="1" ht="16.5" customHeight="1" x14ac:dyDescent="0.15">
      <c r="A27" s="265" t="s">
        <v>222</v>
      </c>
      <c r="B27" s="182">
        <v>68.099999999999994</v>
      </c>
      <c r="C27" s="182">
        <v>38.700000000000003</v>
      </c>
      <c r="D27" s="182">
        <v>41.8</v>
      </c>
      <c r="E27" s="182">
        <v>33.200000000000003</v>
      </c>
    </row>
    <row r="28" spans="1:12" s="3" customFormat="1" ht="16.5" customHeight="1" x14ac:dyDescent="0.15">
      <c r="A28" s="265" t="s">
        <v>223</v>
      </c>
      <c r="B28" s="182">
        <v>67</v>
      </c>
      <c r="C28" s="182">
        <v>40.9</v>
      </c>
      <c r="D28" s="182">
        <v>40.799999999999997</v>
      </c>
      <c r="E28" s="182">
        <v>32.700000000000003</v>
      </c>
    </row>
    <row r="29" spans="1:12" s="3" customFormat="1" ht="16.5" customHeight="1" x14ac:dyDescent="0.15">
      <c r="A29" s="265" t="s">
        <v>224</v>
      </c>
      <c r="B29" s="182">
        <v>65.099999999999994</v>
      </c>
      <c r="C29" s="182">
        <v>39.200000000000003</v>
      </c>
      <c r="D29" s="182">
        <v>41.2</v>
      </c>
      <c r="E29" s="182">
        <v>31.2</v>
      </c>
    </row>
    <row r="30" spans="1:12" s="3" customFormat="1" ht="16.5" customHeight="1" x14ac:dyDescent="0.15">
      <c r="A30" s="265" t="s">
        <v>225</v>
      </c>
      <c r="B30" s="182">
        <v>65.496817049543324</v>
      </c>
      <c r="C30" s="182">
        <v>39.807876946223367</v>
      </c>
      <c r="D30" s="182">
        <v>41.344331735592462</v>
      </c>
      <c r="E30" s="182">
        <v>33.482883860047004</v>
      </c>
    </row>
    <row r="31" spans="1:12" s="3" customFormat="1" ht="16.5" customHeight="1" x14ac:dyDescent="0.15">
      <c r="A31" s="265" t="s">
        <v>493</v>
      </c>
      <c r="B31" s="182">
        <v>65.734552702544264</v>
      </c>
      <c r="C31" s="182">
        <v>40.781923237297221</v>
      </c>
      <c r="D31" s="182">
        <v>40.667998224589432</v>
      </c>
      <c r="E31" s="182">
        <v>33.603931561703675</v>
      </c>
    </row>
    <row r="32" spans="1:12" s="3" customFormat="1" ht="16.5" customHeight="1" x14ac:dyDescent="0.15">
      <c r="D32" s="59"/>
      <c r="E32" s="59"/>
      <c r="H32" s="166"/>
    </row>
    <row r="33" spans="4:11" s="3" customFormat="1" ht="16.5" customHeight="1" x14ac:dyDescent="0.15">
      <c r="D33" s="59"/>
      <c r="E33" s="59"/>
      <c r="H33" s="166"/>
    </row>
    <row r="34" spans="4:11" s="3" customFormat="1" ht="16.5" customHeight="1" x14ac:dyDescent="0.15">
      <c r="D34" s="59"/>
      <c r="E34" s="59"/>
      <c r="H34" s="166"/>
    </row>
    <row r="35" spans="4:11" s="3" customFormat="1" ht="16.5" customHeight="1" x14ac:dyDescent="0.15">
      <c r="D35" s="59"/>
      <c r="E35" s="59"/>
      <c r="H35" s="166"/>
      <c r="I35" s="59"/>
      <c r="J35" s="59"/>
      <c r="K35" s="59"/>
    </row>
    <row r="36" spans="4:11" s="3" customFormat="1" ht="16.5" customHeight="1" x14ac:dyDescent="0.15">
      <c r="D36" s="59"/>
      <c r="E36" s="59"/>
      <c r="H36" s="166"/>
      <c r="I36" s="59"/>
      <c r="J36" s="59"/>
      <c r="K36" s="59"/>
    </row>
    <row r="37" spans="4:11" s="3" customFormat="1" ht="16.5" customHeight="1" x14ac:dyDescent="0.15">
      <c r="D37" s="59"/>
      <c r="E37" s="59"/>
      <c r="H37" s="166"/>
      <c r="I37" s="59"/>
      <c r="J37" s="59"/>
      <c r="K37" s="59"/>
    </row>
    <row r="38" spans="4:11" s="3" customFormat="1" ht="16.5" customHeight="1" x14ac:dyDescent="0.15">
      <c r="D38" s="59"/>
      <c r="E38" s="59"/>
      <c r="H38" s="166"/>
      <c r="I38" s="59"/>
      <c r="J38" s="59"/>
      <c r="K38" s="59"/>
    </row>
  </sheetData>
  <sheetProtection algorithmName="SHA-512" hashValue="M1tb2/Hpkp8h0EbNnSkZGJr3eck1wWhm5TQV2OKCiQVO28cbDrT2B1WpWqeWUVSUqnM5Hw8THeOzn0V7qRTE3A==" saltValue="gT9VZgb624OaQ1UiVm8Nfw==" spinCount="100000" sheet="1" objects="1" scenarios="1"/>
  <mergeCells count="14">
    <mergeCell ref="B9:D9"/>
    <mergeCell ref="E9:G9"/>
    <mergeCell ref="O3:O4"/>
    <mergeCell ref="M2:O2"/>
    <mergeCell ref="I3:I4"/>
    <mergeCell ref="J3:J4"/>
    <mergeCell ref="B2:B4"/>
    <mergeCell ref="K3:K4"/>
    <mergeCell ref="L3:L4"/>
    <mergeCell ref="M3:M4"/>
    <mergeCell ref="N3:N4"/>
    <mergeCell ref="H3:H4"/>
    <mergeCell ref="C2:L2"/>
    <mergeCell ref="C3:G3"/>
  </mergeCells>
  <phoneticPr fontId="5" type="noConversion"/>
  <pageMargins left="0.47244094488188981" right="0.15748031496062992" top="0.55118110236220474" bottom="3.937007874015748E-2" header="0.51181102362204722" footer="0"/>
  <pageSetup paperSize="9" scale="61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M43"/>
  <sheetViews>
    <sheetView showGridLines="0" zoomScaleNormal="100" zoomScaleSheetLayoutView="100" workbookViewId="0"/>
  </sheetViews>
  <sheetFormatPr defaultRowHeight="16.5" customHeight="1" x14ac:dyDescent="0.15"/>
  <cols>
    <col min="1" max="1" width="22.21875" style="84" customWidth="1"/>
    <col min="2" max="13" width="8" style="84" customWidth="1"/>
    <col min="14" max="16384" width="8.88671875" style="84"/>
  </cols>
  <sheetData>
    <row r="1" spans="1:13" s="1" customFormat="1" ht="16.5" customHeight="1" x14ac:dyDescent="0.15">
      <c r="A1" s="112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1" customFormat="1" ht="30" customHeight="1" x14ac:dyDescent="0.15">
      <c r="A2" s="426" t="s">
        <v>673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</row>
    <row r="3" spans="1:13" s="1" customFormat="1" ht="16.5" customHeight="1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s="1" customFormat="1" ht="16.5" customHeight="1" x14ac:dyDescent="0.15">
      <c r="A4" s="80" t="s">
        <v>196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s="1" customFormat="1" ht="16.5" customHeight="1" x14ac:dyDescent="0.15">
      <c r="A5" s="196" t="s">
        <v>170</v>
      </c>
      <c r="B5" s="400" t="s">
        <v>93</v>
      </c>
      <c r="C5" s="400"/>
      <c r="D5" s="509" t="s">
        <v>101</v>
      </c>
      <c r="E5" s="400"/>
      <c r="F5" s="400"/>
      <c r="G5" s="410"/>
      <c r="H5" s="511" t="s">
        <v>102</v>
      </c>
      <c r="I5" s="400"/>
      <c r="J5" s="400"/>
      <c r="K5" s="512"/>
      <c r="L5" s="509" t="s">
        <v>103</v>
      </c>
      <c r="M5" s="410"/>
    </row>
    <row r="6" spans="1:13" s="1" customFormat="1" ht="16.5" customHeight="1" x14ac:dyDescent="0.15">
      <c r="A6" s="167"/>
      <c r="B6" s="506"/>
      <c r="C6" s="506"/>
      <c r="D6" s="516" t="s">
        <v>104</v>
      </c>
      <c r="E6" s="506"/>
      <c r="F6" s="506" t="s">
        <v>105</v>
      </c>
      <c r="G6" s="513"/>
      <c r="H6" s="514" t="s">
        <v>305</v>
      </c>
      <c r="I6" s="506"/>
      <c r="J6" s="506" t="s">
        <v>306</v>
      </c>
      <c r="K6" s="515"/>
      <c r="L6" s="516"/>
      <c r="M6" s="513"/>
    </row>
    <row r="7" spans="1:13" s="1" customFormat="1" ht="16.5" customHeight="1" x14ac:dyDescent="0.15">
      <c r="A7" s="167" t="s">
        <v>307</v>
      </c>
      <c r="B7" s="247" t="s">
        <v>106</v>
      </c>
      <c r="C7" s="247" t="s">
        <v>107</v>
      </c>
      <c r="D7" s="199" t="s">
        <v>308</v>
      </c>
      <c r="E7" s="247" t="s">
        <v>309</v>
      </c>
      <c r="F7" s="247" t="s">
        <v>308</v>
      </c>
      <c r="G7" s="258" t="s">
        <v>309</v>
      </c>
      <c r="H7" s="274" t="s">
        <v>308</v>
      </c>
      <c r="I7" s="247" t="s">
        <v>309</v>
      </c>
      <c r="J7" s="247" t="s">
        <v>308</v>
      </c>
      <c r="K7" s="275" t="s">
        <v>309</v>
      </c>
      <c r="L7" s="199" t="s">
        <v>308</v>
      </c>
      <c r="M7" s="258" t="s">
        <v>309</v>
      </c>
    </row>
    <row r="8" spans="1:13" s="1" customFormat="1" ht="16.5" customHeight="1" x14ac:dyDescent="0.15">
      <c r="A8" s="198" t="s">
        <v>93</v>
      </c>
      <c r="B8" s="92">
        <v>120398</v>
      </c>
      <c r="C8" s="257">
        <v>127208</v>
      </c>
      <c r="D8" s="35">
        <v>6364</v>
      </c>
      <c r="E8" s="35">
        <v>7032</v>
      </c>
      <c r="F8" s="35">
        <v>72052</v>
      </c>
      <c r="G8" s="35">
        <v>75857</v>
      </c>
      <c r="H8" s="35">
        <v>3856</v>
      </c>
      <c r="I8" s="35">
        <v>4313</v>
      </c>
      <c r="J8" s="35">
        <v>28000</v>
      </c>
      <c r="K8" s="35">
        <v>29370</v>
      </c>
      <c r="L8" s="35">
        <v>10126</v>
      </c>
      <c r="M8" s="35">
        <v>10636</v>
      </c>
    </row>
    <row r="9" spans="1:13" s="1" customFormat="1" ht="16.5" customHeight="1" x14ac:dyDescent="0.15">
      <c r="A9" s="71" t="s">
        <v>181</v>
      </c>
      <c r="B9" s="90">
        <v>4548</v>
      </c>
      <c r="C9" s="209">
        <v>5001</v>
      </c>
      <c r="D9" s="374">
        <v>1901</v>
      </c>
      <c r="E9" s="374">
        <v>2127</v>
      </c>
      <c r="F9" s="374">
        <v>1632</v>
      </c>
      <c r="G9" s="374">
        <v>1699</v>
      </c>
      <c r="H9" s="374">
        <v>741</v>
      </c>
      <c r="I9" s="374">
        <v>846</v>
      </c>
      <c r="J9" s="374">
        <v>92</v>
      </c>
      <c r="K9" s="374">
        <v>93</v>
      </c>
      <c r="L9" s="374">
        <v>182</v>
      </c>
      <c r="M9" s="374">
        <v>236</v>
      </c>
    </row>
    <row r="10" spans="1:13" s="1" customFormat="1" ht="16.5" customHeight="1" x14ac:dyDescent="0.15">
      <c r="A10" s="71" t="s">
        <v>98</v>
      </c>
      <c r="B10" s="90">
        <v>812</v>
      </c>
      <c r="C10" s="209">
        <v>995</v>
      </c>
      <c r="D10" s="286">
        <v>77</v>
      </c>
      <c r="E10" s="286">
        <v>97</v>
      </c>
      <c r="F10" s="286">
        <v>666</v>
      </c>
      <c r="G10" s="286">
        <v>818</v>
      </c>
      <c r="H10" s="286">
        <v>7</v>
      </c>
      <c r="I10" s="286">
        <v>8</v>
      </c>
      <c r="J10" s="286">
        <v>54</v>
      </c>
      <c r="K10" s="286">
        <v>64</v>
      </c>
      <c r="L10" s="286">
        <v>8</v>
      </c>
      <c r="M10" s="286">
        <v>8</v>
      </c>
    </row>
    <row r="11" spans="1:13" s="1" customFormat="1" ht="16.5" customHeight="1" x14ac:dyDescent="0.15">
      <c r="A11" s="71" t="s">
        <v>99</v>
      </c>
      <c r="B11" s="90">
        <v>6404</v>
      </c>
      <c r="C11" s="209">
        <v>6567</v>
      </c>
      <c r="D11" s="286">
        <v>63</v>
      </c>
      <c r="E11" s="286">
        <v>63</v>
      </c>
      <c r="F11" s="286">
        <v>4643</v>
      </c>
      <c r="G11" s="286">
        <v>4736</v>
      </c>
      <c r="H11" s="286">
        <v>16</v>
      </c>
      <c r="I11" s="286">
        <v>18</v>
      </c>
      <c r="J11" s="286">
        <v>1145</v>
      </c>
      <c r="K11" s="286">
        <v>1192</v>
      </c>
      <c r="L11" s="286">
        <v>537</v>
      </c>
      <c r="M11" s="286">
        <v>558</v>
      </c>
    </row>
    <row r="12" spans="1:13" s="1" customFormat="1" ht="16.5" customHeight="1" x14ac:dyDescent="0.15">
      <c r="A12" s="71" t="s">
        <v>100</v>
      </c>
      <c r="B12" s="90">
        <v>50</v>
      </c>
      <c r="C12" s="209">
        <v>58</v>
      </c>
      <c r="D12" s="286">
        <v>0</v>
      </c>
      <c r="E12" s="286">
        <v>0</v>
      </c>
      <c r="F12" s="286">
        <v>44</v>
      </c>
      <c r="G12" s="286">
        <v>47</v>
      </c>
      <c r="H12" s="286">
        <v>0</v>
      </c>
      <c r="I12" s="286">
        <v>0</v>
      </c>
      <c r="J12" s="286">
        <v>5</v>
      </c>
      <c r="K12" s="286">
        <v>10</v>
      </c>
      <c r="L12" s="286">
        <v>1</v>
      </c>
      <c r="M12" s="286">
        <v>1</v>
      </c>
    </row>
    <row r="13" spans="1:13" s="1" customFormat="1" ht="16.5" customHeight="1" x14ac:dyDescent="0.15">
      <c r="A13" s="71" t="s">
        <v>310</v>
      </c>
      <c r="B13" s="90">
        <v>125</v>
      </c>
      <c r="C13" s="209">
        <v>125</v>
      </c>
      <c r="D13" s="286">
        <v>12</v>
      </c>
      <c r="E13" s="286">
        <v>12</v>
      </c>
      <c r="F13" s="286">
        <v>87</v>
      </c>
      <c r="G13" s="286">
        <v>87</v>
      </c>
      <c r="H13" s="286">
        <v>1</v>
      </c>
      <c r="I13" s="286">
        <v>1</v>
      </c>
      <c r="J13" s="286">
        <v>7</v>
      </c>
      <c r="K13" s="286">
        <v>7</v>
      </c>
      <c r="L13" s="286">
        <v>18</v>
      </c>
      <c r="M13" s="286">
        <v>18</v>
      </c>
    </row>
    <row r="14" spans="1:13" s="1" customFormat="1" ht="16.5" customHeight="1" x14ac:dyDescent="0.15">
      <c r="A14" s="71" t="s">
        <v>311</v>
      </c>
      <c r="B14" s="90">
        <v>108423</v>
      </c>
      <c r="C14" s="209">
        <v>114425</v>
      </c>
      <c r="D14" s="374">
        <v>4311</v>
      </c>
      <c r="E14" s="374">
        <v>4733</v>
      </c>
      <c r="F14" s="374">
        <v>64980</v>
      </c>
      <c r="G14" s="374">
        <v>68470</v>
      </c>
      <c r="H14" s="374">
        <v>3091</v>
      </c>
      <c r="I14" s="374">
        <v>3440</v>
      </c>
      <c r="J14" s="374">
        <v>26697</v>
      </c>
      <c r="K14" s="374">
        <v>28004</v>
      </c>
      <c r="L14" s="374">
        <v>9344</v>
      </c>
      <c r="M14" s="374">
        <v>9778</v>
      </c>
    </row>
    <row r="15" spans="1:13" s="1" customFormat="1" ht="16.5" customHeight="1" x14ac:dyDescent="0.15">
      <c r="A15" s="73" t="s">
        <v>312</v>
      </c>
      <c r="B15" s="206">
        <v>36</v>
      </c>
      <c r="C15" s="210">
        <v>37</v>
      </c>
      <c r="D15" s="383">
        <v>0</v>
      </c>
      <c r="E15" s="383">
        <v>0</v>
      </c>
      <c r="F15" s="383">
        <v>0</v>
      </c>
      <c r="G15" s="383">
        <v>0</v>
      </c>
      <c r="H15" s="383">
        <v>0</v>
      </c>
      <c r="I15" s="383">
        <v>0</v>
      </c>
      <c r="J15" s="383">
        <v>0</v>
      </c>
      <c r="K15" s="383">
        <v>0</v>
      </c>
      <c r="L15" s="383">
        <v>36</v>
      </c>
      <c r="M15" s="383">
        <v>37</v>
      </c>
    </row>
    <row r="16" spans="1:13" s="3" customFormat="1" ht="16.5" customHeight="1" x14ac:dyDescent="0.15">
      <c r="A16" s="63" t="s">
        <v>313</v>
      </c>
      <c r="B16" s="168"/>
      <c r="C16" s="169"/>
      <c r="D16" s="99"/>
      <c r="E16" s="63"/>
      <c r="F16" s="63"/>
      <c r="G16" s="63"/>
      <c r="H16" s="63"/>
      <c r="I16" s="63"/>
      <c r="J16" s="63"/>
      <c r="K16" s="63"/>
      <c r="L16" s="63"/>
      <c r="M16" s="63"/>
    </row>
    <row r="17" spans="1:13" s="3" customFormat="1" ht="16.5" customHeight="1" x14ac:dyDescent="0.15">
      <c r="A17" s="363" t="s">
        <v>666</v>
      </c>
      <c r="B17" s="144"/>
      <c r="C17" s="144"/>
      <c r="D17" s="144"/>
      <c r="E17" s="144"/>
      <c r="F17" s="144"/>
      <c r="G17" s="144"/>
      <c r="H17" s="144"/>
      <c r="I17" s="144"/>
      <c r="J17" s="144"/>
      <c r="K17" s="63"/>
      <c r="L17" s="63"/>
      <c r="M17" s="63"/>
    </row>
    <row r="18" spans="1:13" s="3" customFormat="1" ht="16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 spans="1:13" s="3" customFormat="1" ht="16.5" customHeight="1" x14ac:dyDescent="0.15">
      <c r="A19" s="112" t="s">
        <v>314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 t="s">
        <v>315</v>
      </c>
    </row>
    <row r="20" spans="1:13" s="3" customFormat="1" ht="48" customHeight="1" x14ac:dyDescent="0.15">
      <c r="A20" s="426" t="s">
        <v>675</v>
      </c>
      <c r="B20" s="426"/>
      <c r="C20" s="426"/>
      <c r="D20" s="426"/>
      <c r="E20" s="426"/>
      <c r="F20" s="426"/>
      <c r="G20" s="426"/>
      <c r="H20" s="426"/>
      <c r="I20" s="426"/>
      <c r="J20" s="426"/>
      <c r="K20" s="426"/>
      <c r="L20" s="426"/>
      <c r="M20" s="426"/>
    </row>
    <row r="21" spans="1:13" s="3" customFormat="1" ht="16.5" customHeight="1" x14ac:dyDescent="0.15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</row>
    <row r="22" spans="1:13" s="3" customFormat="1" ht="16.5" customHeight="1" x14ac:dyDescent="0.15">
      <c r="A22" s="80" t="s">
        <v>316</v>
      </c>
    </row>
    <row r="23" spans="1:13" s="3" customFormat="1" ht="16.5" customHeight="1" x14ac:dyDescent="0.15">
      <c r="A23" s="245" t="s">
        <v>411</v>
      </c>
      <c r="B23" s="422" t="s">
        <v>93</v>
      </c>
      <c r="C23" s="425" t="s">
        <v>412</v>
      </c>
      <c r="D23" s="425" t="s">
        <v>413</v>
      </c>
      <c r="E23" s="425" t="s">
        <v>414</v>
      </c>
      <c r="F23" s="425" t="s">
        <v>415</v>
      </c>
      <c r="G23" s="425" t="s">
        <v>416</v>
      </c>
      <c r="H23" s="425" t="s">
        <v>417</v>
      </c>
      <c r="I23" s="425" t="s">
        <v>418</v>
      </c>
      <c r="J23" s="425" t="s">
        <v>419</v>
      </c>
      <c r="K23" s="425" t="s">
        <v>420</v>
      </c>
      <c r="L23" s="517" t="s">
        <v>421</v>
      </c>
      <c r="M23" s="59"/>
    </row>
    <row r="24" spans="1:13" s="3" customFormat="1" ht="16.5" customHeight="1" x14ac:dyDescent="0.15">
      <c r="A24" s="246" t="s">
        <v>170</v>
      </c>
      <c r="B24" s="422"/>
      <c r="C24" s="422"/>
      <c r="D24" s="422"/>
      <c r="E24" s="422"/>
      <c r="F24" s="422"/>
      <c r="G24" s="422"/>
      <c r="H24" s="422"/>
      <c r="I24" s="422"/>
      <c r="J24" s="422"/>
      <c r="K24" s="422"/>
      <c r="L24" s="423"/>
      <c r="M24" s="59"/>
    </row>
    <row r="25" spans="1:13" s="1" customFormat="1" ht="16.5" customHeight="1" x14ac:dyDescent="0.15">
      <c r="A25" s="76" t="s">
        <v>233</v>
      </c>
      <c r="B25" s="108">
        <v>235887</v>
      </c>
      <c r="C25" s="35">
        <v>11420</v>
      </c>
      <c r="D25" s="35">
        <v>44580</v>
      </c>
      <c r="E25" s="35">
        <v>51895</v>
      </c>
      <c r="F25" s="35">
        <v>33964</v>
      </c>
      <c r="G25" s="35">
        <v>23519</v>
      </c>
      <c r="H25" s="35">
        <v>17580</v>
      </c>
      <c r="I25" s="35">
        <v>25548</v>
      </c>
      <c r="J25" s="35">
        <v>12507</v>
      </c>
      <c r="K25" s="35">
        <v>12615</v>
      </c>
      <c r="L25" s="35">
        <v>2259</v>
      </c>
      <c r="M25" s="13"/>
    </row>
    <row r="26" spans="1:13" s="7" customFormat="1" ht="16.5" customHeight="1" x14ac:dyDescent="0.15">
      <c r="A26" s="29"/>
      <c r="B26" s="211">
        <v>100</v>
      </c>
      <c r="C26" s="46">
        <v>4.8413011314739682</v>
      </c>
      <c r="D26" s="46">
        <v>18.898879548258275</v>
      </c>
      <c r="E26" s="46">
        <v>21.9999406495483</v>
      </c>
      <c r="F26" s="46">
        <v>14.398419582257608</v>
      </c>
      <c r="G26" s="46">
        <v>9.9704519536896914</v>
      </c>
      <c r="H26" s="46">
        <v>7.4527210062445155</v>
      </c>
      <c r="I26" s="46">
        <v>10.830609571532133</v>
      </c>
      <c r="J26" s="46">
        <v>5.3021149957394851</v>
      </c>
      <c r="K26" s="46">
        <v>5.3478996299075403</v>
      </c>
      <c r="L26" s="46">
        <v>0.95766193134848476</v>
      </c>
      <c r="M26" s="13"/>
    </row>
    <row r="27" spans="1:13" s="1" customFormat="1" ht="16.5" customHeight="1" x14ac:dyDescent="0.15">
      <c r="A27" s="12" t="s">
        <v>230</v>
      </c>
      <c r="B27" s="105">
        <v>5374</v>
      </c>
      <c r="C27" s="14">
        <v>139</v>
      </c>
      <c r="D27" s="14">
        <v>871</v>
      </c>
      <c r="E27" s="14">
        <v>1204</v>
      </c>
      <c r="F27" s="14">
        <v>989</v>
      </c>
      <c r="G27" s="14">
        <v>741</v>
      </c>
      <c r="H27" s="14">
        <v>974</v>
      </c>
      <c r="I27" s="14">
        <v>220</v>
      </c>
      <c r="J27" s="14">
        <v>123</v>
      </c>
      <c r="K27" s="14">
        <v>90</v>
      </c>
      <c r="L27" s="14">
        <v>23</v>
      </c>
      <c r="M27" s="13"/>
    </row>
    <row r="28" spans="1:13" s="7" customFormat="1" ht="16.5" customHeight="1" x14ac:dyDescent="0.15">
      <c r="A28" s="28" t="s">
        <v>104</v>
      </c>
      <c r="B28" s="203">
        <v>100</v>
      </c>
      <c r="C28" s="43">
        <v>2.5865277260885744</v>
      </c>
      <c r="D28" s="365">
        <v>16.207666542612579</v>
      </c>
      <c r="E28" s="365">
        <v>22.404168217342761</v>
      </c>
      <c r="F28" s="365">
        <v>18.403423892817269</v>
      </c>
      <c r="G28" s="365">
        <v>13.788611834759957</v>
      </c>
      <c r="H28" s="365">
        <v>18.124302195757348</v>
      </c>
      <c r="I28" s="365">
        <v>4.0937848902121328</v>
      </c>
      <c r="J28" s="365">
        <v>2.2887979158913283</v>
      </c>
      <c r="K28" s="365">
        <v>1.6747301823595087</v>
      </c>
      <c r="L28" s="365">
        <v>0.42798660215854117</v>
      </c>
      <c r="M28" s="13"/>
    </row>
    <row r="29" spans="1:13" s="1" customFormat="1" ht="16.5" customHeight="1" x14ac:dyDescent="0.15">
      <c r="A29" s="12" t="s">
        <v>317</v>
      </c>
      <c r="B29" s="105">
        <v>12697</v>
      </c>
      <c r="C29" s="14">
        <v>497</v>
      </c>
      <c r="D29" s="14">
        <v>1776</v>
      </c>
      <c r="E29" s="14">
        <v>2296</v>
      </c>
      <c r="F29" s="14">
        <v>1754</v>
      </c>
      <c r="G29" s="14">
        <v>1370</v>
      </c>
      <c r="H29" s="14">
        <v>1225</v>
      </c>
      <c r="I29" s="14">
        <v>1607</v>
      </c>
      <c r="J29" s="14">
        <v>919</v>
      </c>
      <c r="K29" s="14">
        <v>985</v>
      </c>
      <c r="L29" s="14">
        <v>268</v>
      </c>
      <c r="M29" s="13"/>
    </row>
    <row r="30" spans="1:13" s="7" customFormat="1" ht="16.5" customHeight="1" x14ac:dyDescent="0.15">
      <c r="A30" s="28"/>
      <c r="B30" s="203">
        <v>100</v>
      </c>
      <c r="C30" s="365">
        <v>3.9143104670394577</v>
      </c>
      <c r="D30" s="365">
        <v>13.987556115617863</v>
      </c>
      <c r="E30" s="365">
        <v>18.083011735055525</v>
      </c>
      <c r="F30" s="365">
        <v>13.814286839410883</v>
      </c>
      <c r="G30" s="365">
        <v>10.789950381979995</v>
      </c>
      <c r="H30" s="365">
        <v>9.6479483342521846</v>
      </c>
      <c r="I30" s="365">
        <v>12.656533039300621</v>
      </c>
      <c r="J30" s="365">
        <v>7.2379302197369464</v>
      </c>
      <c r="K30" s="365">
        <v>7.7577380483578802</v>
      </c>
      <c r="L30" s="365">
        <v>2.1107348192486413</v>
      </c>
      <c r="M30" s="13"/>
    </row>
    <row r="31" spans="1:13" s="1" customFormat="1" ht="16.5" customHeight="1" x14ac:dyDescent="0.15">
      <c r="A31" s="12" t="s">
        <v>230</v>
      </c>
      <c r="B31" s="105">
        <v>18977</v>
      </c>
      <c r="C31" s="14">
        <v>1128</v>
      </c>
      <c r="D31" s="14">
        <v>6000</v>
      </c>
      <c r="E31" s="14">
        <v>4361</v>
      </c>
      <c r="F31" s="14">
        <v>2715</v>
      </c>
      <c r="G31" s="14">
        <v>1920</v>
      </c>
      <c r="H31" s="14">
        <v>1778</v>
      </c>
      <c r="I31" s="14">
        <v>618</v>
      </c>
      <c r="J31" s="14">
        <v>238</v>
      </c>
      <c r="K31" s="14">
        <v>177</v>
      </c>
      <c r="L31" s="14">
        <v>42</v>
      </c>
      <c r="M31" s="13"/>
    </row>
    <row r="32" spans="1:13" s="7" customFormat="1" ht="16.5" customHeight="1" x14ac:dyDescent="0.15">
      <c r="A32" s="28" t="s">
        <v>105</v>
      </c>
      <c r="B32" s="203">
        <v>100</v>
      </c>
      <c r="C32" s="365">
        <v>5.9440375191020713</v>
      </c>
      <c r="D32" s="365">
        <v>31.617220846287612</v>
      </c>
      <c r="E32" s="365">
        <v>22.980450018443381</v>
      </c>
      <c r="F32" s="365">
        <v>14.306792432945144</v>
      </c>
      <c r="G32" s="365">
        <v>10.117510670812035</v>
      </c>
      <c r="H32" s="365">
        <v>9.3692364441165612</v>
      </c>
      <c r="I32" s="365">
        <v>3.2565737471676237</v>
      </c>
      <c r="J32" s="365">
        <v>1.2541497602360752</v>
      </c>
      <c r="K32" s="365">
        <v>0.9327080149654845</v>
      </c>
      <c r="L32" s="365">
        <v>0.22132054592401326</v>
      </c>
      <c r="M32" s="13"/>
    </row>
    <row r="33" spans="1:13" s="1" customFormat="1" ht="16.5" customHeight="1" x14ac:dyDescent="0.15">
      <c r="A33" s="12" t="s">
        <v>317</v>
      </c>
      <c r="B33" s="105">
        <v>198839</v>
      </c>
      <c r="C33" s="14">
        <v>9656</v>
      </c>
      <c r="D33" s="14">
        <v>35933</v>
      </c>
      <c r="E33" s="14">
        <v>44034</v>
      </c>
      <c r="F33" s="14">
        <v>28506</v>
      </c>
      <c r="G33" s="14">
        <v>19488</v>
      </c>
      <c r="H33" s="14">
        <v>13603</v>
      </c>
      <c r="I33" s="14">
        <v>23103</v>
      </c>
      <c r="J33" s="14">
        <v>11227</v>
      </c>
      <c r="K33" s="14">
        <v>11363</v>
      </c>
      <c r="L33" s="14">
        <v>1926</v>
      </c>
      <c r="M33" s="13"/>
    </row>
    <row r="34" spans="1:13" s="7" customFormat="1" ht="16.5" customHeight="1" x14ac:dyDescent="0.15">
      <c r="A34" s="28"/>
      <c r="B34" s="203">
        <v>100</v>
      </c>
      <c r="C34" s="373">
        <v>4.8561901840182253</v>
      </c>
      <c r="D34" s="373">
        <v>18.07140450314073</v>
      </c>
      <c r="E34" s="373">
        <v>22.2</v>
      </c>
      <c r="F34" s="373">
        <v>14.336221767359522</v>
      </c>
      <c r="G34" s="373">
        <v>9.8008941907774627</v>
      </c>
      <c r="H34" s="373">
        <v>6.841213242874888</v>
      </c>
      <c r="I34" s="373">
        <v>11.618947993099946</v>
      </c>
      <c r="J34" s="373">
        <v>5.6462766358712324</v>
      </c>
      <c r="K34" s="373">
        <v>5.7146736807165599</v>
      </c>
      <c r="L34" s="373">
        <v>0.96862285567720618</v>
      </c>
      <c r="M34" s="19"/>
    </row>
    <row r="35" spans="1:13" s="1" customFormat="1" ht="16.5" customHeight="1" x14ac:dyDescent="0.15">
      <c r="A35" s="76" t="s">
        <v>234</v>
      </c>
      <c r="B35" s="108">
        <v>69853</v>
      </c>
      <c r="C35" s="35">
        <v>2039</v>
      </c>
      <c r="D35" s="35">
        <v>7490</v>
      </c>
      <c r="E35" s="35">
        <v>14804</v>
      </c>
      <c r="F35" s="35">
        <v>10833</v>
      </c>
      <c r="G35" s="35">
        <v>7948</v>
      </c>
      <c r="H35" s="35">
        <v>7429</v>
      </c>
      <c r="I35" s="35">
        <v>11216</v>
      </c>
      <c r="J35" s="35">
        <v>4404</v>
      </c>
      <c r="K35" s="35">
        <v>3333</v>
      </c>
      <c r="L35" s="35">
        <v>357</v>
      </c>
      <c r="M35" s="13"/>
    </row>
    <row r="36" spans="1:13" s="7" customFormat="1" ht="16.5" customHeight="1" x14ac:dyDescent="0.15">
      <c r="A36" s="29"/>
      <c r="B36" s="211">
        <v>100</v>
      </c>
      <c r="C36" s="46">
        <v>2.9189870155898814</v>
      </c>
      <c r="D36" s="46">
        <v>10.722517286301231</v>
      </c>
      <c r="E36" s="46">
        <v>21.193076890040512</v>
      </c>
      <c r="F36" s="46">
        <v>15.508281677236482</v>
      </c>
      <c r="G36" s="46">
        <v>11.378179892059039</v>
      </c>
      <c r="H36" s="46">
        <v>10.635191044049646</v>
      </c>
      <c r="I36" s="46">
        <v>16.056575952357093</v>
      </c>
      <c r="J36" s="46">
        <v>6.3046683750161048</v>
      </c>
      <c r="K36" s="46">
        <v>4.7714486135169567</v>
      </c>
      <c r="L36" s="46">
        <v>0.51107325383304936</v>
      </c>
      <c r="M36" s="13"/>
    </row>
    <row r="37" spans="1:13" s="1" customFormat="1" ht="16.5" customHeight="1" x14ac:dyDescent="0.15">
      <c r="A37" s="12" t="s">
        <v>62</v>
      </c>
      <c r="B37" s="105">
        <v>9438</v>
      </c>
      <c r="C37" s="14">
        <v>186</v>
      </c>
      <c r="D37" s="14">
        <v>685</v>
      </c>
      <c r="E37" s="14">
        <v>1943</v>
      </c>
      <c r="F37" s="14">
        <v>1806</v>
      </c>
      <c r="G37" s="14">
        <v>1449</v>
      </c>
      <c r="H37" s="14">
        <v>1399</v>
      </c>
      <c r="I37" s="14">
        <v>1220</v>
      </c>
      <c r="J37" s="14">
        <v>371</v>
      </c>
      <c r="K37" s="14">
        <v>311</v>
      </c>
      <c r="L37" s="14">
        <v>68</v>
      </c>
      <c r="M37" s="13"/>
    </row>
    <row r="38" spans="1:13" s="7" customFormat="1" ht="16.5" customHeight="1" x14ac:dyDescent="0.15">
      <c r="A38" s="28"/>
      <c r="B38" s="203">
        <v>100</v>
      </c>
      <c r="C38" s="365">
        <v>1.9707565162110616</v>
      </c>
      <c r="D38" s="365">
        <v>7.2578936215299859</v>
      </c>
      <c r="E38" s="365">
        <v>20.58698876880695</v>
      </c>
      <c r="F38" s="365">
        <v>19.135410044500954</v>
      </c>
      <c r="G38" s="365">
        <v>15.352828989192627</v>
      </c>
      <c r="H38" s="365">
        <v>14.823055732146642</v>
      </c>
      <c r="I38" s="365">
        <v>12.926467471922019</v>
      </c>
      <c r="J38" s="365">
        <v>3.9309175672812038</v>
      </c>
      <c r="K38" s="365">
        <v>3.2951896588260228</v>
      </c>
      <c r="L38" s="365">
        <v>0.72049162958253865</v>
      </c>
      <c r="M38" s="13"/>
    </row>
    <row r="39" spans="1:13" s="1" customFormat="1" ht="16.5" customHeight="1" x14ac:dyDescent="0.15">
      <c r="A39" s="12" t="s">
        <v>8</v>
      </c>
      <c r="B39" s="105">
        <v>60415</v>
      </c>
      <c r="C39" s="14">
        <v>1853</v>
      </c>
      <c r="D39" s="14">
        <v>6805</v>
      </c>
      <c r="E39" s="14">
        <v>12861</v>
      </c>
      <c r="F39" s="14">
        <v>9027</v>
      </c>
      <c r="G39" s="14">
        <v>6499</v>
      </c>
      <c r="H39" s="14">
        <v>6030</v>
      </c>
      <c r="I39" s="14">
        <v>9996</v>
      </c>
      <c r="J39" s="14">
        <v>4033</v>
      </c>
      <c r="K39" s="14">
        <v>3022</v>
      </c>
      <c r="L39" s="14">
        <v>289</v>
      </c>
      <c r="M39" s="13"/>
    </row>
    <row r="40" spans="1:13" s="7" customFormat="1" ht="16.5" customHeight="1" x14ac:dyDescent="0.15">
      <c r="A40" s="28"/>
      <c r="B40" s="203">
        <v>100</v>
      </c>
      <c r="C40" s="373">
        <v>3.0671190929404948</v>
      </c>
      <c r="D40" s="373">
        <v>11.263759000248283</v>
      </c>
      <c r="E40" s="373">
        <v>21.28775966233551</v>
      </c>
      <c r="F40" s="373">
        <v>14.941653562856908</v>
      </c>
      <c r="G40" s="373">
        <v>10.757262269303981</v>
      </c>
      <c r="H40" s="373">
        <v>9.9809649921377144</v>
      </c>
      <c r="I40" s="373">
        <v>16.399999999999999</v>
      </c>
      <c r="J40" s="373">
        <v>6.6754944963999003</v>
      </c>
      <c r="K40" s="373">
        <v>5.0020690225937265</v>
      </c>
      <c r="L40" s="373">
        <v>0.47835802366961844</v>
      </c>
      <c r="M40" s="378"/>
    </row>
    <row r="41" spans="1:13" s="1" customFormat="1" ht="16.5" customHeight="1" x14ac:dyDescent="0.15">
      <c r="A41" s="76" t="s">
        <v>103</v>
      </c>
      <c r="B41" s="108">
        <v>22529</v>
      </c>
      <c r="C41" s="35">
        <v>2116</v>
      </c>
      <c r="D41" s="35">
        <v>12537</v>
      </c>
      <c r="E41" s="35">
        <v>4266</v>
      </c>
      <c r="F41" s="35">
        <v>1199</v>
      </c>
      <c r="G41" s="35">
        <v>571</v>
      </c>
      <c r="H41" s="35">
        <v>360</v>
      </c>
      <c r="I41" s="35">
        <v>446</v>
      </c>
      <c r="J41" s="35">
        <v>205</v>
      </c>
      <c r="K41" s="35">
        <v>550</v>
      </c>
      <c r="L41" s="35">
        <v>279</v>
      </c>
      <c r="M41" s="13"/>
    </row>
    <row r="42" spans="1:13" s="7" customFormat="1" ht="16.5" customHeight="1" x14ac:dyDescent="0.15">
      <c r="A42" s="170"/>
      <c r="B42" s="204">
        <v>100</v>
      </c>
      <c r="C42" s="379">
        <v>9.3923387633716544</v>
      </c>
      <c r="D42" s="379">
        <v>55.7</v>
      </c>
      <c r="E42" s="379">
        <v>19</v>
      </c>
      <c r="F42" s="379">
        <v>5.3220293843490616</v>
      </c>
      <c r="G42" s="379">
        <v>2.5345110746149406</v>
      </c>
      <c r="H42" s="379">
        <v>1.5979404323316615</v>
      </c>
      <c r="I42" s="379">
        <v>1.9796706467220027</v>
      </c>
      <c r="J42" s="379">
        <v>0.90993830174441825</v>
      </c>
      <c r="K42" s="379">
        <v>2.4412978827289269</v>
      </c>
      <c r="L42" s="379">
        <v>1.2384038350570377</v>
      </c>
      <c r="M42" s="13"/>
    </row>
    <row r="43" spans="1:13" s="3" customFormat="1" ht="16.5" customHeight="1" x14ac:dyDescent="0.15">
      <c r="A43" s="3" t="s">
        <v>318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59"/>
    </row>
  </sheetData>
  <sheetProtection algorithmName="SHA-512" hashValue="fOSFsoXxn7b+w89OLizDb3XSglZIzmSrUchpjGAjevsGfsvCK86yHMvlZsfoU8dV6o0LdrFgTjV5mRPV0X/+Sw==" saltValue="flzGHp/9jibrA0LEDKJ5MA==" spinCount="100000" sheet="1" objects="1" scenarios="1"/>
  <mergeCells count="21">
    <mergeCell ref="D6:E6"/>
    <mergeCell ref="L23:L24"/>
    <mergeCell ref="L5:M6"/>
    <mergeCell ref="F23:F24"/>
    <mergeCell ref="E23:E24"/>
    <mergeCell ref="A2:M2"/>
    <mergeCell ref="J23:J24"/>
    <mergeCell ref="H5:K5"/>
    <mergeCell ref="K23:K24"/>
    <mergeCell ref="F6:G6"/>
    <mergeCell ref="I23:I24"/>
    <mergeCell ref="B5:C6"/>
    <mergeCell ref="G23:G24"/>
    <mergeCell ref="H6:I6"/>
    <mergeCell ref="H23:H24"/>
    <mergeCell ref="A20:M20"/>
    <mergeCell ref="B23:B24"/>
    <mergeCell ref="C23:C24"/>
    <mergeCell ref="D23:D24"/>
    <mergeCell ref="J6:K6"/>
    <mergeCell ref="D5:G5"/>
  </mergeCells>
  <phoneticPr fontId="5" type="noConversion"/>
  <pageMargins left="0" right="0" top="0.51181102362204722" bottom="0.35433070866141736" header="0.51181102362204722" footer="0.51181102362204722"/>
  <pageSetup paperSize="9" scale="74" pageOrder="overThenDown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I40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4" customWidth="1"/>
    <col min="2" max="8" width="12.21875" style="84" customWidth="1"/>
    <col min="9" max="9" width="8.88671875" style="85"/>
    <col min="10" max="16384" width="8.88671875" style="84"/>
  </cols>
  <sheetData>
    <row r="1" spans="1:9" s="3" customFormat="1" ht="16.5" customHeight="1" x14ac:dyDescent="0.15">
      <c r="A1" s="80" t="s">
        <v>197</v>
      </c>
      <c r="D1" s="60"/>
      <c r="E1" s="60"/>
      <c r="F1" s="60"/>
      <c r="G1" s="171" t="s">
        <v>66</v>
      </c>
      <c r="H1" s="111"/>
      <c r="I1" s="59"/>
    </row>
    <row r="2" spans="1:9" s="3" customFormat="1" ht="16.5" customHeight="1" x14ac:dyDescent="0.15">
      <c r="A2" s="196" t="s">
        <v>170</v>
      </c>
      <c r="B2" s="400" t="s">
        <v>101</v>
      </c>
      <c r="C2" s="400"/>
      <c r="D2" s="400" t="s">
        <v>102</v>
      </c>
      <c r="E2" s="400"/>
      <c r="F2" s="400" t="s">
        <v>103</v>
      </c>
      <c r="G2" s="410"/>
      <c r="I2" s="81"/>
    </row>
    <row r="3" spans="1:9" s="3" customFormat="1" ht="16.5" customHeight="1" x14ac:dyDescent="0.15">
      <c r="A3" s="167" t="s">
        <v>169</v>
      </c>
      <c r="B3" s="247" t="s">
        <v>104</v>
      </c>
      <c r="C3" s="247" t="s">
        <v>105</v>
      </c>
      <c r="D3" s="247" t="s">
        <v>2</v>
      </c>
      <c r="E3" s="247" t="s">
        <v>3</v>
      </c>
      <c r="F3" s="247" t="s">
        <v>429</v>
      </c>
      <c r="G3" s="258" t="s">
        <v>430</v>
      </c>
    </row>
    <row r="4" spans="1:9" s="3" customFormat="1" ht="16.5" customHeight="1" x14ac:dyDescent="0.15">
      <c r="A4" s="71" t="s">
        <v>230</v>
      </c>
      <c r="B4" s="276">
        <v>122.54061102831599</v>
      </c>
      <c r="C4" s="262">
        <v>95.954195656757307</v>
      </c>
      <c r="D4" s="276">
        <v>122.184154589372</v>
      </c>
      <c r="E4" s="262">
        <v>90.994377892141998</v>
      </c>
      <c r="F4" s="27">
        <v>56.832345957907812</v>
      </c>
      <c r="G4" s="27">
        <v>41.849935149156899</v>
      </c>
    </row>
    <row r="5" spans="1:9" s="3" customFormat="1" ht="16.5" customHeight="1" x14ac:dyDescent="0.15">
      <c r="A5" s="212" t="s">
        <v>231</v>
      </c>
      <c r="B5" s="215">
        <v>174.04875928560099</v>
      </c>
      <c r="C5" s="262">
        <v>146.62206745237</v>
      </c>
      <c r="D5" s="276">
        <v>179.10387157695899</v>
      </c>
      <c r="E5" s="262">
        <v>194.68753020783001</v>
      </c>
      <c r="F5" s="213">
        <v>157.65015209853468</v>
      </c>
      <c r="G5" s="41">
        <v>109.426086120723</v>
      </c>
    </row>
    <row r="6" spans="1:9" s="3" customFormat="1" ht="16.5" customHeight="1" x14ac:dyDescent="0.15">
      <c r="A6" s="183" t="s">
        <v>694</v>
      </c>
      <c r="B6" s="172"/>
      <c r="C6" s="172"/>
      <c r="D6" s="172"/>
      <c r="E6" s="172"/>
      <c r="F6" s="172"/>
      <c r="G6" s="172"/>
    </row>
    <row r="7" spans="1:9" s="3" customFormat="1" ht="16.5" customHeight="1" x14ac:dyDescent="0.15">
      <c r="A7" s="185"/>
      <c r="B7" s="173"/>
      <c r="C7" s="173"/>
      <c r="D7" s="173"/>
      <c r="E7" s="173"/>
      <c r="F7" s="173"/>
      <c r="G7" s="173"/>
    </row>
    <row r="8" spans="1:9" s="3" customFormat="1" ht="16.5" customHeight="1" x14ac:dyDescent="0.15">
      <c r="A8" s="174" t="s">
        <v>725</v>
      </c>
      <c r="B8" s="175"/>
      <c r="C8" s="176"/>
      <c r="D8" s="176"/>
      <c r="E8" s="176"/>
      <c r="F8" s="176"/>
      <c r="G8" s="177" t="s">
        <v>108</v>
      </c>
      <c r="I8" s="121"/>
    </row>
    <row r="9" spans="1:9" s="3" customFormat="1" ht="16.5" customHeight="1" x14ac:dyDescent="0.15">
      <c r="A9" s="397" t="s">
        <v>684</v>
      </c>
      <c r="B9" s="400" t="s">
        <v>422</v>
      </c>
      <c r="C9" s="400"/>
      <c r="D9" s="400" t="s">
        <v>423</v>
      </c>
      <c r="E9" s="400"/>
      <c r="F9" s="400" t="s">
        <v>424</v>
      </c>
      <c r="G9" s="410"/>
      <c r="H9" s="121"/>
      <c r="I9" s="59"/>
    </row>
    <row r="10" spans="1:9" s="3" customFormat="1" ht="16.5" customHeight="1" x14ac:dyDescent="0.15">
      <c r="A10" s="167" t="s">
        <v>169</v>
      </c>
      <c r="B10" s="247" t="s">
        <v>104</v>
      </c>
      <c r="C10" s="247" t="s">
        <v>105</v>
      </c>
      <c r="D10" s="247" t="s">
        <v>425</v>
      </c>
      <c r="E10" s="247" t="s">
        <v>426</v>
      </c>
      <c r="F10" s="247" t="s">
        <v>104</v>
      </c>
      <c r="G10" s="258" t="s">
        <v>105</v>
      </c>
      <c r="H10" s="121"/>
      <c r="I10" s="59"/>
    </row>
    <row r="11" spans="1:9" s="3" customFormat="1" ht="16.5" customHeight="1" x14ac:dyDescent="0.15">
      <c r="A11" s="200" t="s">
        <v>303</v>
      </c>
      <c r="B11" s="90">
        <v>5384</v>
      </c>
      <c r="C11" s="302">
        <v>123494</v>
      </c>
      <c r="D11" s="90">
        <v>5632</v>
      </c>
      <c r="E11" s="302">
        <v>36266</v>
      </c>
      <c r="F11" s="286">
        <v>3169</v>
      </c>
      <c r="G11" s="286">
        <v>17123</v>
      </c>
      <c r="H11" s="121"/>
      <c r="I11" s="59"/>
    </row>
    <row r="12" spans="1:9" s="3" customFormat="1" ht="16.5" customHeight="1" x14ac:dyDescent="0.15">
      <c r="A12" s="214" t="s">
        <v>304</v>
      </c>
      <c r="B12" s="215">
        <v>136.30000000000001</v>
      </c>
      <c r="C12" s="208">
        <v>125.8</v>
      </c>
      <c r="D12" s="215">
        <v>338.4</v>
      </c>
      <c r="E12" s="208">
        <v>353.5</v>
      </c>
      <c r="F12" s="213">
        <v>497.9</v>
      </c>
      <c r="G12" s="41">
        <v>475.1</v>
      </c>
      <c r="H12" s="85"/>
      <c r="I12" s="59"/>
    </row>
    <row r="13" spans="1:9" s="3" customFormat="1" ht="16.5" customHeight="1" x14ac:dyDescent="0.15">
      <c r="A13" s="183" t="s">
        <v>695</v>
      </c>
      <c r="B13" s="176"/>
      <c r="C13" s="176"/>
      <c r="D13" s="176"/>
      <c r="E13" s="176"/>
      <c r="F13" s="176"/>
      <c r="G13" s="176"/>
      <c r="H13" s="176"/>
      <c r="I13" s="85"/>
    </row>
    <row r="14" spans="1:9" s="3" customFormat="1" ht="16.5" customHeight="1" x14ac:dyDescent="0.15">
      <c r="A14" s="183" t="s">
        <v>696</v>
      </c>
      <c r="B14" s="176"/>
      <c r="C14" s="176"/>
      <c r="D14" s="176"/>
      <c r="E14" s="176"/>
      <c r="F14" s="176"/>
      <c r="G14" s="176"/>
      <c r="H14" s="176"/>
      <c r="I14" s="85"/>
    </row>
    <row r="15" spans="1:9" s="3" customFormat="1" ht="16.5" customHeight="1" x14ac:dyDescent="0.15">
      <c r="A15" s="184" t="s">
        <v>697</v>
      </c>
      <c r="B15" s="176"/>
      <c r="C15" s="176"/>
      <c r="D15" s="176"/>
      <c r="E15" s="176"/>
      <c r="F15" s="176"/>
      <c r="G15" s="176"/>
      <c r="H15" s="176"/>
      <c r="I15" s="59"/>
    </row>
    <row r="16" spans="1:9" s="3" customFormat="1" ht="16.5" customHeight="1" x14ac:dyDescent="0.15">
      <c r="H16" s="60"/>
    </row>
    <row r="17" spans="1:9" s="148" customFormat="1" ht="16.5" customHeight="1" x14ac:dyDescent="0.15">
      <c r="A17" s="174" t="s">
        <v>427</v>
      </c>
      <c r="B17" s="3"/>
      <c r="C17" s="3"/>
      <c r="D17" s="3"/>
      <c r="E17" s="174" t="s">
        <v>428</v>
      </c>
      <c r="F17" s="3"/>
      <c r="G17" s="3"/>
      <c r="H17" s="3"/>
      <c r="I17" s="178"/>
    </row>
    <row r="18" spans="1:9" s="148" customFormat="1" ht="16.5" customHeight="1" x14ac:dyDescent="0.15">
      <c r="I18" s="178"/>
    </row>
    <row r="19" spans="1:9" s="148" customFormat="1" ht="16.5" customHeight="1" x14ac:dyDescent="0.15">
      <c r="A19" s="178"/>
      <c r="B19" s="280" t="s">
        <v>484</v>
      </c>
      <c r="C19" s="178"/>
      <c r="D19" s="178"/>
      <c r="E19" s="178"/>
      <c r="F19" s="178"/>
      <c r="I19" s="178"/>
    </row>
    <row r="20" spans="1:9" s="148" customFormat="1" ht="16.5" customHeight="1" x14ac:dyDescent="0.15">
      <c r="A20" s="180"/>
      <c r="B20" s="180" t="s">
        <v>1</v>
      </c>
      <c r="C20" s="180" t="s">
        <v>0</v>
      </c>
      <c r="D20" s="180" t="s">
        <v>19</v>
      </c>
      <c r="E20" s="180" t="s">
        <v>482</v>
      </c>
      <c r="F20" s="180" t="s">
        <v>483</v>
      </c>
      <c r="I20" s="178"/>
    </row>
    <row r="21" spans="1:9" s="148" customFormat="1" ht="16.5" customHeight="1" x14ac:dyDescent="0.15">
      <c r="A21" s="180" t="s">
        <v>68</v>
      </c>
      <c r="B21" s="182">
        <v>115.5</v>
      </c>
      <c r="C21" s="182">
        <v>148.69999999999999</v>
      </c>
      <c r="D21" s="182">
        <v>85</v>
      </c>
      <c r="E21" s="182">
        <v>137.1</v>
      </c>
      <c r="F21" s="182">
        <v>135.19999999999999</v>
      </c>
      <c r="I21" s="178"/>
    </row>
    <row r="22" spans="1:9" s="148" customFormat="1" ht="16.5" customHeight="1" x14ac:dyDescent="0.15">
      <c r="A22" s="180" t="s">
        <v>82</v>
      </c>
      <c r="B22" s="182">
        <v>119.4</v>
      </c>
      <c r="C22" s="182">
        <v>153.30000000000001</v>
      </c>
      <c r="D22" s="182">
        <v>87.2</v>
      </c>
      <c r="E22" s="182">
        <v>143.69999999999999</v>
      </c>
      <c r="F22" s="182">
        <v>124.4</v>
      </c>
      <c r="I22" s="178"/>
    </row>
    <row r="23" spans="1:9" s="148" customFormat="1" ht="16.5" customHeight="1" x14ac:dyDescent="0.15">
      <c r="A23" s="180" t="s">
        <v>86</v>
      </c>
      <c r="B23" s="182">
        <v>125</v>
      </c>
      <c r="C23" s="182">
        <v>150.80000000000001</v>
      </c>
      <c r="D23" s="182">
        <v>79.5</v>
      </c>
      <c r="E23" s="182">
        <v>141.19999999999999</v>
      </c>
      <c r="F23" s="182">
        <v>125.2</v>
      </c>
      <c r="I23" s="178"/>
    </row>
    <row r="24" spans="1:9" s="148" customFormat="1" ht="16.5" customHeight="1" x14ac:dyDescent="0.15">
      <c r="A24" s="180" t="s">
        <v>246</v>
      </c>
      <c r="B24" s="182">
        <v>133.78843861915803</v>
      </c>
      <c r="C24" s="182">
        <v>158.7311349850836</v>
      </c>
      <c r="D24" s="182">
        <v>79.967114552650756</v>
      </c>
      <c r="E24" s="182">
        <v>140.78939835779886</v>
      </c>
      <c r="F24" s="182">
        <v>139.86896441543496</v>
      </c>
      <c r="I24" s="178"/>
    </row>
    <row r="25" spans="1:9" s="148" customFormat="1" ht="16.5" customHeight="1" x14ac:dyDescent="0.15">
      <c r="A25" s="180" t="s">
        <v>494</v>
      </c>
      <c r="B25" s="182">
        <v>142.20768006546848</v>
      </c>
      <c r="C25" s="182">
        <v>158.7311349850836</v>
      </c>
      <c r="D25" s="182">
        <v>83.093555593408198</v>
      </c>
      <c r="E25" s="182">
        <v>154.93348247240061</v>
      </c>
      <c r="F25" s="182">
        <v>147.83964050431106</v>
      </c>
      <c r="I25" s="178"/>
    </row>
    <row r="26" spans="1:9" s="148" customFormat="1" ht="16.5" customHeight="1" x14ac:dyDescent="0.15">
      <c r="I26" s="178"/>
    </row>
    <row r="27" spans="1:9" s="148" customFormat="1" ht="16.5" customHeight="1" x14ac:dyDescent="0.15">
      <c r="I27" s="178"/>
    </row>
    <row r="28" spans="1:9" s="148" customFormat="1" ht="16.5" customHeight="1" x14ac:dyDescent="0.15">
      <c r="I28" s="178"/>
    </row>
    <row r="29" spans="1:9" s="148" customFormat="1" ht="16.5" customHeight="1" x14ac:dyDescent="0.15">
      <c r="I29" s="178"/>
    </row>
    <row r="30" spans="1:9" s="148" customFormat="1" ht="16.5" customHeight="1" x14ac:dyDescent="0.15">
      <c r="I30" s="178"/>
    </row>
    <row r="31" spans="1:9" s="148" customFormat="1" ht="16.5" customHeight="1" x14ac:dyDescent="0.15">
      <c r="I31" s="59"/>
    </row>
    <row r="32" spans="1:9" s="148" customFormat="1" ht="16.5" customHeight="1" x14ac:dyDescent="0.15">
      <c r="H32" s="3"/>
      <c r="I32" s="59"/>
    </row>
    <row r="33" spans="1:9" s="148" customFormat="1" ht="16.5" customHeight="1" x14ac:dyDescent="0.15">
      <c r="H33" s="3"/>
      <c r="I33" s="59"/>
    </row>
    <row r="34" spans="1:9" s="148" customFormat="1" ht="16.5" customHeight="1" x14ac:dyDescent="0.15">
      <c r="H34" s="3"/>
      <c r="I34" s="59"/>
    </row>
    <row r="35" spans="1:9" s="3" customFormat="1" ht="16.5" customHeight="1" x14ac:dyDescent="0.15">
      <c r="I35" s="59"/>
    </row>
    <row r="36" spans="1:9" s="3" customFormat="1" ht="16.5" customHeight="1" x14ac:dyDescent="0.15">
      <c r="H36" s="60"/>
      <c r="I36" s="59"/>
    </row>
    <row r="37" spans="1:9" s="3" customFormat="1" ht="16.5" customHeight="1" x14ac:dyDescent="0.15">
      <c r="H37" s="60"/>
      <c r="I37" s="59"/>
    </row>
    <row r="38" spans="1:9" s="3" customFormat="1" ht="16.5" customHeight="1" x14ac:dyDescent="0.15">
      <c r="H38" s="60"/>
      <c r="I38" s="59"/>
    </row>
    <row r="39" spans="1:9" s="3" customFormat="1" ht="16.5" customHeight="1" x14ac:dyDescent="0.15">
      <c r="H39" s="60"/>
      <c r="I39" s="59"/>
    </row>
    <row r="40" spans="1:9" s="3" customFormat="1" ht="16.5" customHeight="1" x14ac:dyDescent="0.15">
      <c r="A40" s="98"/>
      <c r="B40" s="98"/>
      <c r="C40" s="98"/>
      <c r="D40" s="98"/>
      <c r="E40" s="87"/>
      <c r="F40" s="87"/>
      <c r="H40" s="60"/>
      <c r="I40" s="59"/>
    </row>
  </sheetData>
  <sheetProtection algorithmName="SHA-512" hashValue="ecqv0eAo3hNbJci32mfW8rtQqDM0cVXgjbT0ZYdH3Nzk0B9MkzG2gXo5CCxA6m74b2ZfOuctdlV24ze0GSiK/Q==" saltValue="5/gLZ+DGEHOYaSXmyuqeiQ==" spinCount="100000" sheet="1" objects="1" scenarios="1"/>
  <mergeCells count="6">
    <mergeCell ref="B9:C9"/>
    <mergeCell ref="B2:C2"/>
    <mergeCell ref="D2:E2"/>
    <mergeCell ref="F2:G2"/>
    <mergeCell ref="D9:E9"/>
    <mergeCell ref="F9:G9"/>
  </mergeCells>
  <phoneticPr fontId="5" type="noConversion"/>
  <pageMargins left="0.39370078740157483" right="0.15748031496062992" top="0.59055118110236227" bottom="7.874015748031496E-2" header="0.62992125984251968" footer="7.874015748031496E-2"/>
  <pageSetup paperSize="9" scale="78" pageOrder="overThenDown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G52"/>
  <sheetViews>
    <sheetView showGridLines="0" zoomScaleNormal="100" zoomScaleSheetLayoutView="100" workbookViewId="0">
      <selection sqref="A1:G2"/>
    </sheetView>
  </sheetViews>
  <sheetFormatPr defaultRowHeight="16.5" customHeight="1" x14ac:dyDescent="0.15"/>
  <cols>
    <col min="1" max="7" width="13.33203125" style="142" customWidth="1"/>
    <col min="8" max="16384" width="8.88671875" style="142"/>
  </cols>
  <sheetData>
    <row r="1" spans="1:7" ht="16.5" customHeight="1" x14ac:dyDescent="0.15">
      <c r="A1" s="523" t="s">
        <v>481</v>
      </c>
      <c r="B1" s="523"/>
      <c r="C1" s="523"/>
      <c r="D1" s="523"/>
      <c r="E1" s="523"/>
      <c r="F1" s="523"/>
      <c r="G1" s="523"/>
    </row>
    <row r="2" spans="1:7" ht="16.5" customHeight="1" x14ac:dyDescent="0.15">
      <c r="A2" s="523"/>
      <c r="B2" s="523"/>
      <c r="C2" s="523"/>
      <c r="D2" s="523"/>
      <c r="E2" s="523"/>
      <c r="F2" s="523"/>
      <c r="G2" s="523"/>
    </row>
    <row r="4" spans="1:7" s="3" customFormat="1" ht="16.5" customHeight="1" x14ac:dyDescent="0.15">
      <c r="A4" s="112" t="s">
        <v>198</v>
      </c>
      <c r="B4" s="60"/>
      <c r="C4" s="60"/>
      <c r="D4" s="60"/>
      <c r="E4" s="60"/>
      <c r="F4" s="60"/>
      <c r="G4" s="60"/>
    </row>
    <row r="5" spans="1:7" s="3" customFormat="1" ht="16.5" customHeight="1" x14ac:dyDescent="0.15">
      <c r="A5" s="245" t="s">
        <v>37</v>
      </c>
      <c r="B5" s="423" t="s">
        <v>43</v>
      </c>
      <c r="C5" s="410" t="s">
        <v>44</v>
      </c>
      <c r="D5" s="508"/>
      <c r="E5" s="60"/>
      <c r="F5" s="60"/>
    </row>
    <row r="6" spans="1:7" s="3" customFormat="1" ht="16.5" customHeight="1" x14ac:dyDescent="0.15">
      <c r="A6" s="246" t="s">
        <v>39</v>
      </c>
      <c r="B6" s="423"/>
      <c r="C6" s="258" t="s">
        <v>45</v>
      </c>
      <c r="D6" s="258" t="s">
        <v>46</v>
      </c>
      <c r="E6" s="60"/>
      <c r="F6" s="60"/>
    </row>
    <row r="7" spans="1:7" s="3" customFormat="1" ht="16.5" customHeight="1" x14ac:dyDescent="0.15">
      <c r="A7" s="79" t="s">
        <v>93</v>
      </c>
      <c r="B7" s="108">
        <v>328269</v>
      </c>
      <c r="C7" s="35">
        <v>125716</v>
      </c>
      <c r="D7" s="35">
        <v>81575</v>
      </c>
      <c r="E7" s="60"/>
      <c r="F7" s="60"/>
    </row>
    <row r="8" spans="1:7" s="3" customFormat="1" ht="16.5" customHeight="1" x14ac:dyDescent="0.15">
      <c r="A8" s="79" t="s">
        <v>47</v>
      </c>
      <c r="B8" s="108">
        <v>235887</v>
      </c>
      <c r="C8" s="35">
        <v>81401</v>
      </c>
      <c r="D8" s="35">
        <v>52753</v>
      </c>
      <c r="E8" s="60"/>
    </row>
    <row r="9" spans="1:7" s="3" customFormat="1" ht="16.5" customHeight="1" x14ac:dyDescent="0.15">
      <c r="A9" s="77" t="s">
        <v>104</v>
      </c>
      <c r="B9" s="105">
        <v>18071</v>
      </c>
      <c r="C9" s="286">
        <v>6979</v>
      </c>
      <c r="D9" s="14">
        <v>7960</v>
      </c>
      <c r="E9" s="60"/>
    </row>
    <row r="10" spans="1:7" s="3" customFormat="1" ht="16.5" customHeight="1" x14ac:dyDescent="0.15">
      <c r="A10" s="77" t="s">
        <v>105</v>
      </c>
      <c r="B10" s="105">
        <v>217816</v>
      </c>
      <c r="C10" s="286">
        <v>74422</v>
      </c>
      <c r="D10" s="14">
        <v>44793</v>
      </c>
      <c r="E10" s="60"/>
    </row>
    <row r="11" spans="1:7" s="3" customFormat="1" ht="16.5" customHeight="1" x14ac:dyDescent="0.15">
      <c r="A11" s="79" t="s">
        <v>40</v>
      </c>
      <c r="B11" s="108">
        <v>69853</v>
      </c>
      <c r="C11" s="35">
        <v>33680</v>
      </c>
      <c r="D11" s="35">
        <v>23153</v>
      </c>
      <c r="E11" s="60"/>
    </row>
    <row r="12" spans="1:7" s="3" customFormat="1" ht="16.5" customHeight="1" x14ac:dyDescent="0.15">
      <c r="A12" s="77" t="s">
        <v>2</v>
      </c>
      <c r="B12" s="105">
        <v>9438</v>
      </c>
      <c r="C12" s="14">
        <v>4311</v>
      </c>
      <c r="D12" s="14">
        <v>4885</v>
      </c>
      <c r="E12" s="60"/>
    </row>
    <row r="13" spans="1:7" s="3" customFormat="1" ht="16.5" customHeight="1" x14ac:dyDescent="0.15">
      <c r="A13" s="77" t="s">
        <v>3</v>
      </c>
      <c r="B13" s="105">
        <v>60415</v>
      </c>
      <c r="C13" s="14">
        <v>29369</v>
      </c>
      <c r="D13" s="14">
        <v>18268</v>
      </c>
      <c r="E13" s="60"/>
    </row>
    <row r="14" spans="1:7" s="3" customFormat="1" ht="16.5" customHeight="1" x14ac:dyDescent="0.15">
      <c r="A14" s="79" t="s">
        <v>48</v>
      </c>
      <c r="B14" s="108">
        <v>22529</v>
      </c>
      <c r="C14" s="287">
        <v>10635</v>
      </c>
      <c r="D14" s="35">
        <v>5669</v>
      </c>
      <c r="E14" s="60"/>
    </row>
    <row r="15" spans="1:7" s="3" customFormat="1" ht="16.5" customHeight="1" x14ac:dyDescent="0.15">
      <c r="A15" s="77" t="s">
        <v>41</v>
      </c>
      <c r="B15" s="105">
        <v>4065</v>
      </c>
      <c r="C15" s="286">
        <v>2088</v>
      </c>
      <c r="D15" s="14">
        <v>1666</v>
      </c>
      <c r="E15" s="60"/>
      <c r="F15" s="84"/>
      <c r="G15" s="84"/>
    </row>
    <row r="16" spans="1:7" s="3" customFormat="1" ht="16.5" customHeight="1" x14ac:dyDescent="0.15">
      <c r="A16" s="78" t="s">
        <v>42</v>
      </c>
      <c r="B16" s="109">
        <v>18464</v>
      </c>
      <c r="C16" s="207">
        <v>8547</v>
      </c>
      <c r="D16" s="37">
        <v>4003</v>
      </c>
      <c r="E16" s="60"/>
      <c r="F16" s="84"/>
      <c r="G16" s="84"/>
    </row>
    <row r="17" spans="1:7" s="3" customFormat="1" ht="16.5" customHeight="1" x14ac:dyDescent="0.15">
      <c r="A17" s="60" t="s">
        <v>182</v>
      </c>
      <c r="B17" s="60"/>
      <c r="C17" s="62"/>
      <c r="D17" s="60"/>
      <c r="E17" s="60"/>
      <c r="F17" s="60"/>
      <c r="G17" s="60"/>
    </row>
    <row r="18" spans="1:7" s="3" customFormat="1" ht="16.5" customHeight="1" x14ac:dyDescent="0.15">
      <c r="A18" s="84"/>
      <c r="B18" s="84"/>
      <c r="C18" s="84"/>
      <c r="D18" s="84"/>
      <c r="E18" s="84"/>
      <c r="F18" s="84"/>
      <c r="G18" s="84"/>
    </row>
    <row r="19" spans="1:7" ht="16.5" customHeight="1" x14ac:dyDescent="0.15">
      <c r="A19" s="190" t="s">
        <v>199</v>
      </c>
      <c r="B19" s="191"/>
      <c r="C19" s="191"/>
      <c r="D19" s="191"/>
      <c r="E19" s="191"/>
    </row>
    <row r="20" spans="1:7" ht="16.5" customHeight="1" x14ac:dyDescent="0.15">
      <c r="A20" s="196"/>
      <c r="B20" s="196" t="s">
        <v>169</v>
      </c>
      <c r="C20" s="518" t="s">
        <v>431</v>
      </c>
      <c r="D20" s="519" t="s">
        <v>432</v>
      </c>
      <c r="E20" s="191"/>
    </row>
    <row r="21" spans="1:7" ht="16.5" customHeight="1" x14ac:dyDescent="0.15">
      <c r="A21" s="167" t="s">
        <v>170</v>
      </c>
      <c r="B21" s="167"/>
      <c r="C21" s="518"/>
      <c r="D21" s="519"/>
      <c r="E21" s="191"/>
    </row>
    <row r="22" spans="1:7" ht="16.5" customHeight="1" x14ac:dyDescent="0.15">
      <c r="A22" s="520" t="s">
        <v>73</v>
      </c>
      <c r="B22" s="200" t="s">
        <v>74</v>
      </c>
      <c r="C22" s="105">
        <v>4004</v>
      </c>
      <c r="D22" s="14">
        <v>15730</v>
      </c>
      <c r="E22" s="191"/>
    </row>
    <row r="23" spans="1:7" ht="16.5" customHeight="1" x14ac:dyDescent="0.15">
      <c r="A23" s="521"/>
      <c r="B23" s="186" t="s">
        <v>75</v>
      </c>
      <c r="C23" s="109">
        <v>23804</v>
      </c>
      <c r="D23" s="207">
        <v>66282</v>
      </c>
      <c r="E23" s="191"/>
    </row>
    <row r="24" spans="1:7" ht="16.5" customHeight="1" x14ac:dyDescent="0.15">
      <c r="A24" s="192" t="s">
        <v>76</v>
      </c>
      <c r="B24" s="191"/>
      <c r="C24" s="191"/>
      <c r="D24" s="191"/>
      <c r="E24" s="191"/>
    </row>
    <row r="25" spans="1:7" ht="16.5" customHeight="1" x14ac:dyDescent="0.15">
      <c r="A25" s="191"/>
      <c r="B25" s="191"/>
      <c r="C25" s="191"/>
      <c r="D25" s="191"/>
      <c r="E25" s="191"/>
    </row>
    <row r="26" spans="1:7" ht="16.5" customHeight="1" x14ac:dyDescent="0.15">
      <c r="A26" s="190" t="s">
        <v>200</v>
      </c>
      <c r="B26" s="190"/>
      <c r="C26" s="191"/>
      <c r="D26" s="191"/>
      <c r="E26" s="191"/>
    </row>
    <row r="27" spans="1:7" ht="16.5" customHeight="1" x14ac:dyDescent="0.15">
      <c r="A27" s="196"/>
      <c r="B27" s="195" t="s">
        <v>169</v>
      </c>
      <c r="C27" s="522" t="s">
        <v>300</v>
      </c>
      <c r="D27" s="191"/>
      <c r="E27" s="191"/>
    </row>
    <row r="28" spans="1:7" ht="16.5" customHeight="1" x14ac:dyDescent="0.15">
      <c r="A28" s="167" t="s">
        <v>170</v>
      </c>
      <c r="B28" s="277"/>
      <c r="C28" s="522"/>
      <c r="D28" s="191"/>
      <c r="E28" s="191"/>
    </row>
    <row r="29" spans="1:7" ht="16.5" customHeight="1" x14ac:dyDescent="0.15">
      <c r="A29" s="520" t="s">
        <v>73</v>
      </c>
      <c r="B29" s="200" t="s">
        <v>74</v>
      </c>
      <c r="C29" s="90">
        <v>711</v>
      </c>
      <c r="D29" s="191"/>
      <c r="E29" s="191"/>
    </row>
    <row r="30" spans="1:7" ht="16.5" customHeight="1" x14ac:dyDescent="0.15">
      <c r="A30" s="521"/>
      <c r="B30" s="186" t="s">
        <v>75</v>
      </c>
      <c r="C30" s="206">
        <v>10814</v>
      </c>
      <c r="D30" s="191"/>
      <c r="E30" s="191"/>
    </row>
    <row r="31" spans="1:7" ht="16.5" customHeight="1" x14ac:dyDescent="0.15">
      <c r="A31" s="192" t="s">
        <v>88</v>
      </c>
      <c r="B31" s="176"/>
      <c r="C31" s="176"/>
      <c r="D31" s="176"/>
      <c r="E31" s="176"/>
    </row>
    <row r="32" spans="1:7" ht="16.5" customHeight="1" x14ac:dyDescent="0.15">
      <c r="A32" s="193" t="s">
        <v>89</v>
      </c>
      <c r="B32" s="176"/>
      <c r="C32" s="176"/>
      <c r="D32" s="176"/>
      <c r="E32" s="176"/>
    </row>
    <row r="33" spans="1:5" ht="16.5" customHeight="1" x14ac:dyDescent="0.15">
      <c r="A33" s="192"/>
      <c r="B33" s="176"/>
      <c r="C33" s="176"/>
      <c r="D33" s="176"/>
      <c r="E33" s="176"/>
    </row>
    <row r="34" spans="1:5" ht="16.5" customHeight="1" x14ac:dyDescent="0.15">
      <c r="A34" s="190" t="s">
        <v>201</v>
      </c>
      <c r="B34" s="190"/>
      <c r="C34" s="190"/>
      <c r="D34" s="176"/>
      <c r="E34" s="176"/>
    </row>
    <row r="35" spans="1:5" ht="16.5" customHeight="1" x14ac:dyDescent="0.15">
      <c r="A35" s="196"/>
      <c r="B35" s="195" t="s">
        <v>169</v>
      </c>
      <c r="C35" s="518" t="s">
        <v>84</v>
      </c>
      <c r="D35" s="522" t="s">
        <v>301</v>
      </c>
      <c r="E35" s="176"/>
    </row>
    <row r="36" spans="1:5" ht="16.5" customHeight="1" x14ac:dyDescent="0.15">
      <c r="A36" s="167" t="s">
        <v>170</v>
      </c>
      <c r="B36" s="277"/>
      <c r="C36" s="518"/>
      <c r="D36" s="522"/>
      <c r="E36" s="176"/>
    </row>
    <row r="37" spans="1:5" ht="16.5" customHeight="1" x14ac:dyDescent="0.15">
      <c r="A37" s="520" t="s">
        <v>73</v>
      </c>
      <c r="B37" s="200" t="s">
        <v>74</v>
      </c>
      <c r="C37" s="217">
        <v>18071</v>
      </c>
      <c r="D37" s="14">
        <v>421</v>
      </c>
      <c r="E37" s="176"/>
    </row>
    <row r="38" spans="1:5" ht="16.5" customHeight="1" x14ac:dyDescent="0.15">
      <c r="A38" s="521"/>
      <c r="B38" s="186" t="s">
        <v>75</v>
      </c>
      <c r="C38" s="216">
        <v>217816</v>
      </c>
      <c r="D38" s="207">
        <v>10797</v>
      </c>
      <c r="E38" s="176"/>
    </row>
    <row r="39" spans="1:5" ht="16.5" customHeight="1" x14ac:dyDescent="0.15">
      <c r="A39" s="192" t="s">
        <v>77</v>
      </c>
      <c r="B39" s="176"/>
      <c r="C39" s="175"/>
      <c r="D39" s="175"/>
      <c r="E39" s="176"/>
    </row>
    <row r="40" spans="1:5" ht="16.5" customHeight="1" x14ac:dyDescent="0.15">
      <c r="A40" s="192" t="s">
        <v>433</v>
      </c>
      <c r="B40" s="176"/>
      <c r="C40" s="176"/>
      <c r="D40" s="176"/>
      <c r="E40" s="176"/>
    </row>
    <row r="41" spans="1:5" ht="16.5" customHeight="1" x14ac:dyDescent="0.15">
      <c r="A41" s="176" t="s">
        <v>434</v>
      </c>
      <c r="B41" s="176"/>
      <c r="C41" s="176"/>
      <c r="D41" s="176"/>
      <c r="E41" s="176"/>
    </row>
    <row r="42" spans="1:5" ht="16.5" customHeight="1" x14ac:dyDescent="0.15">
      <c r="A42" s="176" t="s">
        <v>435</v>
      </c>
      <c r="B42" s="176"/>
      <c r="C42" s="176"/>
      <c r="D42" s="176"/>
      <c r="E42" s="176"/>
    </row>
    <row r="43" spans="1:5" ht="16.5" customHeight="1" x14ac:dyDescent="0.15">
      <c r="A43" s="176"/>
      <c r="B43" s="176"/>
      <c r="C43" s="176"/>
      <c r="D43" s="176"/>
      <c r="E43" s="176"/>
    </row>
    <row r="44" spans="1:5" ht="16.5" customHeight="1" x14ac:dyDescent="0.15">
      <c r="A44" s="190" t="s">
        <v>202</v>
      </c>
      <c r="B44" s="190"/>
      <c r="C44" s="190"/>
      <c r="D44" s="191"/>
      <c r="E44" s="176"/>
    </row>
    <row r="45" spans="1:5" ht="16.5" customHeight="1" x14ac:dyDescent="0.15">
      <c r="A45" s="196"/>
      <c r="B45" s="195" t="s">
        <v>169</v>
      </c>
      <c r="C45" s="518" t="s">
        <v>302</v>
      </c>
      <c r="D45" s="522" t="s">
        <v>110</v>
      </c>
      <c r="E45" s="176"/>
    </row>
    <row r="46" spans="1:5" ht="16.5" customHeight="1" x14ac:dyDescent="0.15">
      <c r="A46" s="167" t="s">
        <v>170</v>
      </c>
      <c r="B46" s="277"/>
      <c r="C46" s="518"/>
      <c r="D46" s="522"/>
      <c r="E46" s="176"/>
    </row>
    <row r="47" spans="1:5" ht="16.5" customHeight="1" x14ac:dyDescent="0.15">
      <c r="A47" s="524" t="s">
        <v>78</v>
      </c>
      <c r="B47" s="525"/>
      <c r="C47" s="217">
        <v>12048</v>
      </c>
      <c r="D47" s="14">
        <v>0</v>
      </c>
      <c r="E47" s="176"/>
    </row>
    <row r="48" spans="1:5" ht="16.5" customHeight="1" x14ac:dyDescent="0.15">
      <c r="A48" s="526" t="s">
        <v>70</v>
      </c>
      <c r="B48" s="194" t="s">
        <v>71</v>
      </c>
      <c r="C48" s="217">
        <v>4254</v>
      </c>
      <c r="D48" s="14">
        <v>123</v>
      </c>
      <c r="E48" s="176"/>
    </row>
    <row r="49" spans="1:5" ht="16.5" customHeight="1" x14ac:dyDescent="0.15">
      <c r="A49" s="526"/>
      <c r="B49" s="194" t="s">
        <v>72</v>
      </c>
      <c r="C49" s="217">
        <v>37253</v>
      </c>
      <c r="D49" s="14">
        <v>691</v>
      </c>
      <c r="E49" s="176"/>
    </row>
    <row r="50" spans="1:5" ht="16.5" customHeight="1" x14ac:dyDescent="0.15">
      <c r="A50" s="526" t="s">
        <v>73</v>
      </c>
      <c r="B50" s="194" t="s">
        <v>74</v>
      </c>
      <c r="C50" s="217">
        <v>12697</v>
      </c>
      <c r="D50" s="14">
        <v>1549</v>
      </c>
      <c r="E50" s="176"/>
    </row>
    <row r="51" spans="1:5" ht="16.5" customHeight="1" x14ac:dyDescent="0.15">
      <c r="A51" s="527"/>
      <c r="B51" s="186" t="s">
        <v>75</v>
      </c>
      <c r="C51" s="387">
        <v>198839</v>
      </c>
      <c r="D51" s="207">
        <v>10933</v>
      </c>
      <c r="E51" s="176"/>
    </row>
    <row r="52" spans="1:5" ht="16.5" customHeight="1" x14ac:dyDescent="0.15">
      <c r="A52" s="84" t="s">
        <v>710</v>
      </c>
      <c r="B52" s="176"/>
      <c r="C52" s="175"/>
      <c r="D52" s="175"/>
      <c r="E52" s="176"/>
    </row>
  </sheetData>
  <sheetProtection algorithmName="SHA-512" hashValue="To8H0WEgfIAsIU2QTd8WLcgiXOTqvnyROC/Neyo+t13htQ5Kyuv3M6+NEnwwaR1avTD6apFm/j+G3rIcRb7mbQ==" saltValue="V5GXN9bVn9rPHAqcNNNYZg==" spinCount="100000" sheet="1" objects="1" scenarios="1"/>
  <mergeCells count="16">
    <mergeCell ref="A47:B47"/>
    <mergeCell ref="A50:A51"/>
    <mergeCell ref="A29:A30"/>
    <mergeCell ref="C35:C36"/>
    <mergeCell ref="D35:D36"/>
    <mergeCell ref="A37:A38"/>
    <mergeCell ref="C45:C46"/>
    <mergeCell ref="D45:D46"/>
    <mergeCell ref="A48:A49"/>
    <mergeCell ref="C20:C21"/>
    <mergeCell ref="D20:D21"/>
    <mergeCell ref="A22:A23"/>
    <mergeCell ref="C27:C28"/>
    <mergeCell ref="A1:G2"/>
    <mergeCell ref="B5:B6"/>
    <mergeCell ref="C5:D5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81" orientation="portrait" verticalDpi="4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47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4.44140625" style="84" customWidth="1"/>
    <col min="2" max="12" width="8" style="84" customWidth="1"/>
    <col min="13" max="16384" width="8" style="84"/>
  </cols>
  <sheetData>
    <row r="1" spans="1:12" s="3" customFormat="1" ht="16.5" customHeight="1" x14ac:dyDescent="0.15">
      <c r="A1" s="62" t="s">
        <v>722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s="3" customFormat="1" ht="16.5" customHeight="1" x14ac:dyDescent="0.15">
      <c r="A2" s="60"/>
      <c r="B2" s="60"/>
      <c r="C2" s="60"/>
      <c r="D2" s="60"/>
      <c r="E2" s="60"/>
      <c r="F2" s="60"/>
      <c r="G2" s="60"/>
      <c r="I2" s="60"/>
    </row>
    <row r="3" spans="1:12" s="3" customFormat="1" ht="16.5" customHeight="1" x14ac:dyDescent="0.15">
      <c r="A3" s="80" t="s">
        <v>203</v>
      </c>
    </row>
    <row r="4" spans="1:12" s="3" customFormat="1" ht="16.5" customHeight="1" x14ac:dyDescent="0.15">
      <c r="A4" s="245" t="s">
        <v>173</v>
      </c>
      <c r="B4" s="422" t="s">
        <v>93</v>
      </c>
      <c r="C4" s="425" t="s">
        <v>412</v>
      </c>
      <c r="D4" s="425" t="s">
        <v>667</v>
      </c>
      <c r="E4" s="425" t="s">
        <v>414</v>
      </c>
      <c r="F4" s="425" t="s">
        <v>415</v>
      </c>
      <c r="G4" s="425" t="s">
        <v>416</v>
      </c>
      <c r="H4" s="425" t="s">
        <v>668</v>
      </c>
      <c r="I4" s="425" t="s">
        <v>418</v>
      </c>
      <c r="J4" s="425" t="s">
        <v>419</v>
      </c>
      <c r="K4" s="425" t="s">
        <v>420</v>
      </c>
      <c r="L4" s="517" t="s">
        <v>421</v>
      </c>
    </row>
    <row r="5" spans="1:12" s="3" customFormat="1" ht="16.5" customHeight="1" x14ac:dyDescent="0.15">
      <c r="A5" s="246" t="s">
        <v>37</v>
      </c>
      <c r="B5" s="422"/>
      <c r="C5" s="422"/>
      <c r="D5" s="422"/>
      <c r="E5" s="422"/>
      <c r="F5" s="422"/>
      <c r="G5" s="422"/>
      <c r="H5" s="422"/>
      <c r="I5" s="422"/>
      <c r="J5" s="422"/>
      <c r="K5" s="422"/>
      <c r="L5" s="423"/>
    </row>
    <row r="6" spans="1:12" s="3" customFormat="1" ht="16.5" customHeight="1" x14ac:dyDescent="0.15">
      <c r="A6" s="188" t="s">
        <v>93</v>
      </c>
      <c r="B6" s="108">
        <v>8224</v>
      </c>
      <c r="C6" s="287">
        <v>99</v>
      </c>
      <c r="D6" s="287">
        <v>1577</v>
      </c>
      <c r="E6" s="287">
        <v>2327</v>
      </c>
      <c r="F6" s="287">
        <v>1835</v>
      </c>
      <c r="G6" s="287">
        <v>1058</v>
      </c>
      <c r="H6" s="287">
        <v>576</v>
      </c>
      <c r="I6" s="287">
        <v>483</v>
      </c>
      <c r="J6" s="287">
        <v>136</v>
      </c>
      <c r="K6" s="287">
        <v>123</v>
      </c>
      <c r="L6" s="287">
        <v>10</v>
      </c>
    </row>
    <row r="7" spans="1:12" s="3" customFormat="1" ht="16.5" customHeight="1" x14ac:dyDescent="0.15">
      <c r="A7" s="188"/>
      <c r="B7" s="211">
        <v>100</v>
      </c>
      <c r="C7" s="46">
        <v>1.2037937743190663</v>
      </c>
      <c r="D7" s="46">
        <v>19.100000000000001</v>
      </c>
      <c r="E7" s="46">
        <v>28.295233463035018</v>
      </c>
      <c r="F7" s="46">
        <v>22.312743190661479</v>
      </c>
      <c r="G7" s="46">
        <v>12.864785992217897</v>
      </c>
      <c r="H7" s="46">
        <v>7.0038910505836576</v>
      </c>
      <c r="I7" s="46">
        <v>5.8730544747081712</v>
      </c>
      <c r="J7" s="46">
        <v>1.6536964980544748</v>
      </c>
      <c r="K7" s="46">
        <v>1.4956225680933852</v>
      </c>
      <c r="L7" s="46">
        <v>0.12159533073929961</v>
      </c>
    </row>
    <row r="8" spans="1:12" s="3" customFormat="1" ht="16.5" customHeight="1" x14ac:dyDescent="0.15">
      <c r="A8" s="187" t="s">
        <v>230</v>
      </c>
      <c r="B8" s="105">
        <v>611</v>
      </c>
      <c r="C8" s="286">
        <v>49</v>
      </c>
      <c r="D8" s="286">
        <v>240</v>
      </c>
      <c r="E8" s="286">
        <v>127</v>
      </c>
      <c r="F8" s="286">
        <v>81</v>
      </c>
      <c r="G8" s="286">
        <v>50</v>
      </c>
      <c r="H8" s="286">
        <v>39</v>
      </c>
      <c r="I8" s="286">
        <v>20</v>
      </c>
      <c r="J8" s="286">
        <v>3</v>
      </c>
      <c r="K8" s="286">
        <v>2</v>
      </c>
      <c r="L8" s="286">
        <v>0</v>
      </c>
    </row>
    <row r="9" spans="1:12" s="3" customFormat="1" ht="16.5" customHeight="1" x14ac:dyDescent="0.15">
      <c r="A9" s="187"/>
      <c r="B9" s="203">
        <v>100</v>
      </c>
      <c r="C9" s="390">
        <v>8.0196399345335507</v>
      </c>
      <c r="D9" s="390">
        <v>39.279869067103107</v>
      </c>
      <c r="E9" s="390">
        <v>20.785597381342061</v>
      </c>
      <c r="F9" s="390">
        <v>13.2</v>
      </c>
      <c r="G9" s="390">
        <v>8.1833060556464812</v>
      </c>
      <c r="H9" s="390">
        <v>6.3829787234042552</v>
      </c>
      <c r="I9" s="390">
        <v>3.2733224222585928</v>
      </c>
      <c r="J9" s="390">
        <v>0.49099836333878888</v>
      </c>
      <c r="K9" s="390">
        <v>0.32733224222585927</v>
      </c>
      <c r="L9" s="75" t="s">
        <v>488</v>
      </c>
    </row>
    <row r="10" spans="1:12" s="3" customFormat="1" ht="16.5" customHeight="1" x14ac:dyDescent="0.15">
      <c r="A10" s="187" t="s">
        <v>231</v>
      </c>
      <c r="B10" s="105">
        <v>7613</v>
      </c>
      <c r="C10" s="286">
        <v>50</v>
      </c>
      <c r="D10" s="286">
        <v>1337</v>
      </c>
      <c r="E10" s="286">
        <v>2200</v>
      </c>
      <c r="F10" s="286">
        <v>1754</v>
      </c>
      <c r="G10" s="286">
        <v>1008</v>
      </c>
      <c r="H10" s="286">
        <v>537</v>
      </c>
      <c r="I10" s="286">
        <v>463</v>
      </c>
      <c r="J10" s="286">
        <v>133</v>
      </c>
      <c r="K10" s="286">
        <v>121</v>
      </c>
      <c r="L10" s="286">
        <v>10</v>
      </c>
    </row>
    <row r="11" spans="1:12" s="3" customFormat="1" ht="16.5" customHeight="1" x14ac:dyDescent="0.15">
      <c r="A11" s="189"/>
      <c r="B11" s="221">
        <v>100</v>
      </c>
      <c r="C11" s="44">
        <v>0.65677131222908181</v>
      </c>
      <c r="D11" s="44">
        <v>17.562064889005651</v>
      </c>
      <c r="E11" s="44">
        <v>28.897937738079598</v>
      </c>
      <c r="F11" s="44">
        <v>23.03953763299619</v>
      </c>
      <c r="G11" s="44">
        <v>13.24050965453829</v>
      </c>
      <c r="H11" s="44">
        <v>7.0537238933403383</v>
      </c>
      <c r="I11" s="44">
        <v>6.0817023512412982</v>
      </c>
      <c r="J11" s="44">
        <v>1.7470116905293578</v>
      </c>
      <c r="K11" s="44">
        <v>1.5893865755943779</v>
      </c>
      <c r="L11" s="44">
        <v>0.13135426244581636</v>
      </c>
    </row>
    <row r="12" spans="1:12" s="3" customFormat="1" ht="16.5" customHeight="1" x14ac:dyDescent="0.15">
      <c r="A12" s="3" t="s">
        <v>439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s="3" customFormat="1" ht="16.5" customHeight="1" x14ac:dyDescent="0.15">
      <c r="C13" s="359"/>
      <c r="D13" s="359"/>
      <c r="E13" s="359"/>
      <c r="F13" s="359"/>
      <c r="G13" s="359"/>
      <c r="H13" s="359"/>
      <c r="I13" s="359"/>
      <c r="J13" s="359"/>
      <c r="K13" s="359"/>
      <c r="L13" s="359"/>
    </row>
    <row r="14" spans="1:12" s="3" customFormat="1" ht="16.5" customHeight="1" x14ac:dyDescent="0.15">
      <c r="A14" s="80" t="s">
        <v>49</v>
      </c>
    </row>
    <row r="15" spans="1:12" s="3" customFormat="1" ht="16.5" customHeight="1" x14ac:dyDescent="0.15">
      <c r="A15" s="63" t="s">
        <v>497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</row>
    <row r="16" spans="1:12" s="3" customFormat="1" ht="16.5" customHeight="1" x14ac:dyDescent="0.15"/>
    <row r="17" spans="1:12" s="3" customFormat="1" ht="16.5" customHeight="1" x14ac:dyDescent="0.15">
      <c r="A17" s="80" t="s">
        <v>723</v>
      </c>
    </row>
    <row r="18" spans="1:12" s="3" customFormat="1" ht="16.5" customHeight="1" x14ac:dyDescent="0.15">
      <c r="A18" s="245" t="s">
        <v>37</v>
      </c>
      <c r="B18" s="400" t="s">
        <v>232</v>
      </c>
      <c r="C18" s="400" t="s">
        <v>437</v>
      </c>
      <c r="D18" s="400"/>
      <c r="E18" s="400"/>
      <c r="F18" s="400"/>
      <c r="G18" s="400"/>
      <c r="H18" s="400" t="s">
        <v>436</v>
      </c>
      <c r="I18" s="410" t="s">
        <v>50</v>
      </c>
    </row>
    <row r="19" spans="1:12" s="3" customFormat="1" ht="22.5" x14ac:dyDescent="0.15">
      <c r="A19" s="246" t="s">
        <v>39</v>
      </c>
      <c r="B19" s="429"/>
      <c r="C19" s="247" t="s">
        <v>4</v>
      </c>
      <c r="D19" s="272" t="s">
        <v>51</v>
      </c>
      <c r="E19" s="247" t="s">
        <v>112</v>
      </c>
      <c r="F19" s="247" t="s">
        <v>113</v>
      </c>
      <c r="G19" s="247" t="s">
        <v>114</v>
      </c>
      <c r="H19" s="429"/>
      <c r="I19" s="430"/>
    </row>
    <row r="20" spans="1:12" s="3" customFormat="1" ht="16.5" customHeight="1" x14ac:dyDescent="0.15">
      <c r="A20" s="188" t="s">
        <v>232</v>
      </c>
      <c r="B20" s="108">
        <v>148999</v>
      </c>
      <c r="C20" s="92">
        <v>148556</v>
      </c>
      <c r="D20" s="35">
        <v>110961</v>
      </c>
      <c r="E20" s="35">
        <v>25397</v>
      </c>
      <c r="F20" s="35">
        <v>8981</v>
      </c>
      <c r="G20" s="257">
        <v>3217</v>
      </c>
      <c r="H20" s="92">
        <v>5</v>
      </c>
      <c r="I20" s="35">
        <v>438</v>
      </c>
      <c r="J20" s="1"/>
      <c r="K20" s="1"/>
      <c r="L20" s="1"/>
    </row>
    <row r="21" spans="1:12" s="3" customFormat="1" ht="16.5" customHeight="1" x14ac:dyDescent="0.15">
      <c r="A21" s="188"/>
      <c r="B21" s="211">
        <v>100</v>
      </c>
      <c r="C21" s="222">
        <v>99.702682568339384</v>
      </c>
      <c r="D21" s="46">
        <v>74.470969603822851</v>
      </c>
      <c r="E21" s="46">
        <v>17.045080839468721</v>
      </c>
      <c r="F21" s="46">
        <v>6.0275572319277311</v>
      </c>
      <c r="G21" s="46">
        <v>2.159074893120088</v>
      </c>
      <c r="H21" s="222">
        <v>3.3557272196457692E-3</v>
      </c>
      <c r="I21" s="46">
        <v>0.29396170444096942</v>
      </c>
      <c r="J21" s="69"/>
      <c r="K21" s="7"/>
      <c r="L21" s="7"/>
    </row>
    <row r="22" spans="1:12" s="3" customFormat="1" ht="16.5" customHeight="1" x14ac:dyDescent="0.15">
      <c r="A22" s="188"/>
      <c r="B22" s="220"/>
      <c r="C22" s="224"/>
      <c r="D22" s="218"/>
      <c r="E22" s="218"/>
      <c r="F22" s="218"/>
      <c r="G22" s="225"/>
      <c r="H22" s="224"/>
      <c r="I22" s="218"/>
      <c r="K22" s="60"/>
    </row>
    <row r="23" spans="1:12" s="3" customFormat="1" ht="16.5" customHeight="1" x14ac:dyDescent="0.15">
      <c r="A23" s="188" t="s">
        <v>233</v>
      </c>
      <c r="B23" s="108">
        <v>109628</v>
      </c>
      <c r="C23" s="92">
        <v>109185</v>
      </c>
      <c r="D23" s="35">
        <v>84855</v>
      </c>
      <c r="E23" s="35">
        <v>15086</v>
      </c>
      <c r="F23" s="35">
        <v>6939</v>
      </c>
      <c r="G23" s="226">
        <v>2305</v>
      </c>
      <c r="H23" s="92">
        <v>5</v>
      </c>
      <c r="I23" s="35">
        <v>438</v>
      </c>
      <c r="J23" s="1"/>
      <c r="K23" s="1"/>
      <c r="L23" s="1"/>
    </row>
    <row r="24" spans="1:12" s="3" customFormat="1" ht="16.5" customHeight="1" x14ac:dyDescent="0.15">
      <c r="A24" s="187"/>
      <c r="B24" s="211">
        <v>100</v>
      </c>
      <c r="C24" s="222">
        <v>99.595906155361774</v>
      </c>
      <c r="D24" s="46">
        <v>77.402670850512649</v>
      </c>
      <c r="E24" s="46">
        <v>13.761082935016603</v>
      </c>
      <c r="F24" s="46">
        <v>6.3295873317035785</v>
      </c>
      <c r="G24" s="223">
        <v>2.1025650381289451</v>
      </c>
      <c r="H24" s="222">
        <v>4.5608786076549784E-3</v>
      </c>
      <c r="I24" s="46">
        <v>0.39953296603057614</v>
      </c>
      <c r="J24" s="7"/>
      <c r="K24" s="7"/>
      <c r="L24" s="7"/>
    </row>
    <row r="25" spans="1:12" s="3" customFormat="1" ht="16.5" customHeight="1" x14ac:dyDescent="0.15">
      <c r="A25" s="187" t="s">
        <v>104</v>
      </c>
      <c r="B25" s="105">
        <v>9335</v>
      </c>
      <c r="C25" s="90">
        <v>9065</v>
      </c>
      <c r="D25" s="14">
        <v>6280</v>
      </c>
      <c r="E25" s="14">
        <v>1512</v>
      </c>
      <c r="F25" s="14">
        <v>900</v>
      </c>
      <c r="G25" s="209">
        <v>373</v>
      </c>
      <c r="H25" s="90">
        <v>0</v>
      </c>
      <c r="I25" s="14">
        <v>270</v>
      </c>
      <c r="J25" s="1"/>
      <c r="K25" s="1"/>
      <c r="L25" s="1"/>
    </row>
    <row r="26" spans="1:12" s="3" customFormat="1" ht="16.5" customHeight="1" x14ac:dyDescent="0.15">
      <c r="A26" s="187"/>
      <c r="B26" s="203">
        <v>100</v>
      </c>
      <c r="C26" s="227">
        <v>97.107659346545262</v>
      </c>
      <c r="D26" s="43">
        <v>67.273701124799146</v>
      </c>
      <c r="E26" s="43">
        <v>16.197107659346546</v>
      </c>
      <c r="F26" s="43">
        <v>9.6411355115158006</v>
      </c>
      <c r="G26" s="228">
        <v>3.9957150508837707</v>
      </c>
      <c r="H26" s="369" t="s">
        <v>438</v>
      </c>
      <c r="I26" s="365">
        <v>2.89234065345474</v>
      </c>
      <c r="J26" s="7"/>
      <c r="K26" s="7"/>
      <c r="L26" s="7"/>
    </row>
    <row r="27" spans="1:12" s="3" customFormat="1" ht="16.5" customHeight="1" x14ac:dyDescent="0.15">
      <c r="A27" s="187" t="s">
        <v>105</v>
      </c>
      <c r="B27" s="105">
        <v>100293</v>
      </c>
      <c r="C27" s="90">
        <v>100120</v>
      </c>
      <c r="D27" s="14">
        <v>78575</v>
      </c>
      <c r="E27" s="14">
        <v>13574</v>
      </c>
      <c r="F27" s="14">
        <v>6039</v>
      </c>
      <c r="G27" s="209">
        <v>1932</v>
      </c>
      <c r="H27" s="90">
        <v>5</v>
      </c>
      <c r="I27" s="286">
        <v>168</v>
      </c>
      <c r="J27" s="1"/>
      <c r="K27" s="1"/>
      <c r="L27" s="1"/>
    </row>
    <row r="28" spans="1:12" s="3" customFormat="1" ht="16.5" customHeight="1" x14ac:dyDescent="0.15">
      <c r="A28" s="187"/>
      <c r="B28" s="203">
        <v>100</v>
      </c>
      <c r="C28" s="227">
        <v>99.827505409151186</v>
      </c>
      <c r="D28" s="373">
        <v>78.400000000000006</v>
      </c>
      <c r="E28" s="373">
        <v>13.53434437099299</v>
      </c>
      <c r="F28" s="373">
        <v>6.0213574227513389</v>
      </c>
      <c r="G28" s="228">
        <v>1.9263557775717148</v>
      </c>
      <c r="H28" s="227">
        <v>4.9853927990986405E-3</v>
      </c>
      <c r="I28" s="373">
        <v>0.16750919804971434</v>
      </c>
      <c r="J28" s="380"/>
      <c r="K28" s="7"/>
      <c r="L28" s="7"/>
    </row>
    <row r="29" spans="1:12" s="3" customFormat="1" ht="16.5" customHeight="1" x14ac:dyDescent="0.15">
      <c r="A29" s="188"/>
      <c r="B29" s="220"/>
      <c r="C29" s="224"/>
      <c r="D29" s="218"/>
      <c r="E29" s="218"/>
      <c r="F29" s="218"/>
      <c r="G29" s="225"/>
      <c r="H29" s="224"/>
      <c r="I29" s="218"/>
      <c r="J29" s="63"/>
    </row>
    <row r="30" spans="1:12" s="3" customFormat="1" ht="16.5" customHeight="1" x14ac:dyDescent="0.15">
      <c r="A30" s="188" t="s">
        <v>234</v>
      </c>
      <c r="B30" s="108">
        <v>34109</v>
      </c>
      <c r="C30" s="92">
        <v>34109</v>
      </c>
      <c r="D30" s="287">
        <v>22568</v>
      </c>
      <c r="E30" s="287">
        <v>9659</v>
      </c>
      <c r="F30" s="287">
        <v>1658</v>
      </c>
      <c r="G30" s="226">
        <v>224</v>
      </c>
      <c r="H30" s="92">
        <v>0</v>
      </c>
      <c r="I30" s="287">
        <v>0</v>
      </c>
      <c r="J30" s="17"/>
      <c r="K30" s="1"/>
      <c r="L30" s="1"/>
    </row>
    <row r="31" spans="1:12" s="3" customFormat="1" ht="16.5" customHeight="1" x14ac:dyDescent="0.15">
      <c r="A31" s="188"/>
      <c r="B31" s="211">
        <v>100</v>
      </c>
      <c r="C31" s="222">
        <v>100</v>
      </c>
      <c r="D31" s="46">
        <v>66.164355448708562</v>
      </c>
      <c r="E31" s="46">
        <v>28.318039227183441</v>
      </c>
      <c r="F31" s="46">
        <v>4.8</v>
      </c>
      <c r="G31" s="223">
        <v>0.65671816822539508</v>
      </c>
      <c r="H31" s="370" t="s">
        <v>438</v>
      </c>
      <c r="I31" s="67" t="s">
        <v>438</v>
      </c>
      <c r="J31" s="69"/>
      <c r="K31" s="7"/>
      <c r="L31" s="7"/>
    </row>
    <row r="32" spans="1:12" s="3" customFormat="1" ht="16.5" customHeight="1" x14ac:dyDescent="0.15">
      <c r="A32" s="187" t="s">
        <v>62</v>
      </c>
      <c r="B32" s="105">
        <v>3895</v>
      </c>
      <c r="C32" s="90">
        <v>3895</v>
      </c>
      <c r="D32" s="286">
        <v>2741</v>
      </c>
      <c r="E32" s="286">
        <v>819</v>
      </c>
      <c r="F32" s="286">
        <v>224</v>
      </c>
      <c r="G32" s="209">
        <v>111</v>
      </c>
      <c r="H32" s="90">
        <v>0</v>
      </c>
      <c r="I32" s="286">
        <v>0</v>
      </c>
      <c r="J32" s="17"/>
      <c r="K32" s="1"/>
      <c r="L32" s="1"/>
    </row>
    <row r="33" spans="1:12" s="3" customFormat="1" ht="16.5" customHeight="1" x14ac:dyDescent="0.15">
      <c r="A33" s="187"/>
      <c r="B33" s="203">
        <v>100</v>
      </c>
      <c r="C33" s="227">
        <v>100</v>
      </c>
      <c r="D33" s="373">
        <v>70.372272143774069</v>
      </c>
      <c r="E33" s="373">
        <v>21.02695763799743</v>
      </c>
      <c r="F33" s="373">
        <v>5.7509627727856225</v>
      </c>
      <c r="G33" s="228">
        <v>2.8498074454428752</v>
      </c>
      <c r="H33" s="369" t="s">
        <v>438</v>
      </c>
      <c r="I33" s="68" t="s">
        <v>438</v>
      </c>
      <c r="J33" s="69"/>
      <c r="K33" s="7"/>
      <c r="L33" s="7"/>
    </row>
    <row r="34" spans="1:12" s="3" customFormat="1" ht="16.5" customHeight="1" x14ac:dyDescent="0.15">
      <c r="A34" s="187" t="s">
        <v>8</v>
      </c>
      <c r="B34" s="105">
        <v>30214</v>
      </c>
      <c r="C34" s="90">
        <v>30214</v>
      </c>
      <c r="D34" s="286">
        <v>19827</v>
      </c>
      <c r="E34" s="286">
        <v>8840</v>
      </c>
      <c r="F34" s="286">
        <v>1434</v>
      </c>
      <c r="G34" s="209">
        <v>113</v>
      </c>
      <c r="H34" s="90">
        <v>0</v>
      </c>
      <c r="I34" s="286">
        <v>0</v>
      </c>
      <c r="J34" s="17"/>
      <c r="K34" s="1"/>
      <c r="L34" s="1"/>
    </row>
    <row r="35" spans="1:12" s="3" customFormat="1" ht="16.5" customHeight="1" x14ac:dyDescent="0.15">
      <c r="A35" s="187"/>
      <c r="B35" s="203">
        <v>100</v>
      </c>
      <c r="C35" s="227">
        <v>100</v>
      </c>
      <c r="D35" s="373">
        <v>65.621897133779044</v>
      </c>
      <c r="E35" s="373">
        <v>29.257959886145496</v>
      </c>
      <c r="F35" s="373">
        <v>4.7461441715760913</v>
      </c>
      <c r="G35" s="228">
        <v>0.37399880849937112</v>
      </c>
      <c r="H35" s="369" t="s">
        <v>438</v>
      </c>
      <c r="I35" s="68" t="s">
        <v>438</v>
      </c>
      <c r="J35" s="69"/>
      <c r="K35" s="7"/>
      <c r="L35" s="7"/>
    </row>
    <row r="36" spans="1:12" s="3" customFormat="1" ht="16.5" customHeight="1" x14ac:dyDescent="0.15">
      <c r="A36" s="188"/>
      <c r="B36" s="220"/>
      <c r="C36" s="224"/>
      <c r="D36" s="218"/>
      <c r="E36" s="218"/>
      <c r="F36" s="218"/>
      <c r="G36" s="225"/>
      <c r="H36" s="224"/>
      <c r="I36" s="218"/>
      <c r="J36" s="63"/>
    </row>
    <row r="37" spans="1:12" s="3" customFormat="1" ht="16.5" customHeight="1" x14ac:dyDescent="0.15">
      <c r="A37" s="188" t="s">
        <v>235</v>
      </c>
      <c r="B37" s="108">
        <v>5262</v>
      </c>
      <c r="C37" s="92">
        <v>5262</v>
      </c>
      <c r="D37" s="287">
        <v>3538</v>
      </c>
      <c r="E37" s="287">
        <v>652</v>
      </c>
      <c r="F37" s="287">
        <v>384</v>
      </c>
      <c r="G37" s="287">
        <v>688</v>
      </c>
      <c r="H37" s="92">
        <v>0</v>
      </c>
      <c r="I37" s="287">
        <v>0</v>
      </c>
      <c r="J37" s="17"/>
      <c r="K37" s="1"/>
      <c r="L37" s="1"/>
    </row>
    <row r="38" spans="1:12" s="3" customFormat="1" ht="16.5" customHeight="1" x14ac:dyDescent="0.15">
      <c r="A38" s="188"/>
      <c r="B38" s="211">
        <v>100</v>
      </c>
      <c r="C38" s="222">
        <v>100</v>
      </c>
      <c r="D38" s="46">
        <v>67.236792094260736</v>
      </c>
      <c r="E38" s="46">
        <v>12.390725959711137</v>
      </c>
      <c r="F38" s="46">
        <v>7.2976054732041051</v>
      </c>
      <c r="G38" s="223">
        <v>13.074876472824021</v>
      </c>
      <c r="H38" s="370" t="s">
        <v>438</v>
      </c>
      <c r="I38" s="67" t="s">
        <v>438</v>
      </c>
      <c r="J38" s="69"/>
      <c r="K38" s="7"/>
      <c r="L38" s="7"/>
    </row>
    <row r="39" spans="1:12" s="3" customFormat="1" ht="16.5" customHeight="1" x14ac:dyDescent="0.15">
      <c r="A39" s="187" t="s">
        <v>236</v>
      </c>
      <c r="B39" s="105">
        <v>966</v>
      </c>
      <c r="C39" s="90">
        <v>966</v>
      </c>
      <c r="D39" s="286">
        <v>549</v>
      </c>
      <c r="E39" s="286">
        <v>99</v>
      </c>
      <c r="F39" s="286">
        <v>93</v>
      </c>
      <c r="G39" s="209">
        <v>225</v>
      </c>
      <c r="H39" s="90">
        <v>0</v>
      </c>
      <c r="I39" s="286">
        <v>0</v>
      </c>
      <c r="J39" s="17"/>
      <c r="K39" s="1"/>
      <c r="L39" s="1"/>
    </row>
    <row r="40" spans="1:12" s="3" customFormat="1" ht="16.5" customHeight="1" x14ac:dyDescent="0.15">
      <c r="A40" s="187"/>
      <c r="B40" s="203">
        <v>100</v>
      </c>
      <c r="C40" s="227">
        <v>100</v>
      </c>
      <c r="D40" s="373">
        <v>56.832298136645967</v>
      </c>
      <c r="E40" s="373">
        <v>10.3</v>
      </c>
      <c r="F40" s="373">
        <v>9.6273291925465845</v>
      </c>
      <c r="G40" s="228">
        <v>23.29192546583851</v>
      </c>
      <c r="H40" s="369" t="s">
        <v>438</v>
      </c>
      <c r="I40" s="68" t="s">
        <v>438</v>
      </c>
      <c r="J40" s="69"/>
      <c r="K40" s="7"/>
      <c r="L40" s="7"/>
    </row>
    <row r="41" spans="1:12" s="3" customFormat="1" ht="16.5" customHeight="1" x14ac:dyDescent="0.15">
      <c r="A41" s="187" t="s">
        <v>237</v>
      </c>
      <c r="B41" s="105">
        <v>4230</v>
      </c>
      <c r="C41" s="90">
        <v>4230</v>
      </c>
      <c r="D41" s="286">
        <v>2953</v>
      </c>
      <c r="E41" s="286">
        <v>536</v>
      </c>
      <c r="F41" s="286">
        <v>279</v>
      </c>
      <c r="G41" s="209">
        <v>462</v>
      </c>
      <c r="H41" s="90">
        <v>0</v>
      </c>
      <c r="I41" s="286">
        <v>0</v>
      </c>
      <c r="J41" s="17"/>
      <c r="K41" s="1"/>
      <c r="L41" s="1"/>
    </row>
    <row r="42" spans="1:12" s="3" customFormat="1" ht="16.5" customHeight="1" x14ac:dyDescent="0.15">
      <c r="A42" s="187"/>
      <c r="B42" s="203">
        <v>100</v>
      </c>
      <c r="C42" s="227">
        <v>100</v>
      </c>
      <c r="D42" s="43">
        <v>69.810874704491724</v>
      </c>
      <c r="E42" s="43">
        <v>12.671394799054372</v>
      </c>
      <c r="F42" s="43">
        <v>6.5957446808510634</v>
      </c>
      <c r="G42" s="228">
        <v>10.921985815602838</v>
      </c>
      <c r="H42" s="369" t="s">
        <v>438</v>
      </c>
      <c r="I42" s="68" t="s">
        <v>438</v>
      </c>
      <c r="J42" s="7"/>
      <c r="K42" s="7"/>
      <c r="L42" s="7"/>
    </row>
    <row r="43" spans="1:12" s="3" customFormat="1" ht="16.5" customHeight="1" x14ac:dyDescent="0.15">
      <c r="A43" s="187" t="s">
        <v>209</v>
      </c>
      <c r="B43" s="105">
        <v>66</v>
      </c>
      <c r="C43" s="90">
        <v>66</v>
      </c>
      <c r="D43" s="14">
        <v>36</v>
      </c>
      <c r="E43" s="14">
        <v>17</v>
      </c>
      <c r="F43" s="14">
        <v>12</v>
      </c>
      <c r="G43" s="209">
        <v>1</v>
      </c>
      <c r="H43" s="90">
        <v>0</v>
      </c>
      <c r="I43" s="286">
        <v>0</v>
      </c>
      <c r="J43" s="1"/>
      <c r="K43" s="1"/>
      <c r="L43" s="1"/>
    </row>
    <row r="44" spans="1:12" s="3" customFormat="1" ht="16.5" customHeight="1" x14ac:dyDescent="0.15">
      <c r="A44" s="212"/>
      <c r="B44" s="221">
        <v>100</v>
      </c>
      <c r="C44" s="229">
        <v>100</v>
      </c>
      <c r="D44" s="219">
        <v>54.54545454545454</v>
      </c>
      <c r="E44" s="289">
        <v>25.757575757575758</v>
      </c>
      <c r="F44" s="289">
        <v>18.181818181818183</v>
      </c>
      <c r="G44" s="289">
        <v>1.5151515151515151</v>
      </c>
      <c r="H44" s="371" t="s">
        <v>438</v>
      </c>
      <c r="I44" s="372" t="s">
        <v>438</v>
      </c>
      <c r="J44" s="7"/>
      <c r="K44" s="7"/>
      <c r="L44" s="7"/>
    </row>
    <row r="45" spans="1:12" s="3" customFormat="1" ht="16.5" customHeight="1" x14ac:dyDescent="0.15">
      <c r="A45" s="3" t="s">
        <v>299</v>
      </c>
      <c r="C45" s="151"/>
      <c r="D45" s="151"/>
      <c r="E45" s="151"/>
      <c r="F45" s="151"/>
      <c r="G45" s="151"/>
    </row>
    <row r="46" spans="1:12" s="3" customFormat="1" ht="16.5" customHeight="1" x14ac:dyDescent="0.15">
      <c r="A46" s="3" t="s">
        <v>724</v>
      </c>
    </row>
    <row r="47" spans="1:12" s="3" customFormat="1" ht="16.5" customHeight="1" x14ac:dyDescent="0.15">
      <c r="A47" s="3" t="s">
        <v>111</v>
      </c>
    </row>
  </sheetData>
  <sheetProtection algorithmName="SHA-512" hashValue="/QQ4zC1cDsZA2NLvagheJIgNg+zXfJn5pLm36JDKIhi0iVgnpWDr86XTXB0K83FqX4ymbYxg1Hr+0rNlOmTosQ==" saltValue="kcYuezTk2B00xmVhV5rFSQ==" spinCount="100000" sheet="1" objects="1" scenarios="1"/>
  <mergeCells count="15">
    <mergeCell ref="J4:J5"/>
    <mergeCell ref="K4:K5"/>
    <mergeCell ref="L4:L5"/>
    <mergeCell ref="B18:B19"/>
    <mergeCell ref="C18:G18"/>
    <mergeCell ref="H18:H19"/>
    <mergeCell ref="B4:B5"/>
    <mergeCell ref="C4:C5"/>
    <mergeCell ref="F4:F5"/>
    <mergeCell ref="G4:G5"/>
    <mergeCell ref="I18:I19"/>
    <mergeCell ref="H4:H5"/>
    <mergeCell ref="I4:I5"/>
    <mergeCell ref="D4:D5"/>
    <mergeCell ref="E4:E5"/>
  </mergeCells>
  <phoneticPr fontId="5" type="noConversion"/>
  <pageMargins left="0.39370078740157483" right="0" top="0.59055118110236227" bottom="0.15748031496062992" header="0.51181102362204722" footer="3.937007874015748E-2"/>
  <pageSetup paperSize="9" scale="82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36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1.109375" style="84" customWidth="1"/>
    <col min="2" max="20" width="7.109375" style="84" customWidth="1"/>
    <col min="21" max="16384" width="8" style="84"/>
  </cols>
  <sheetData>
    <row r="1" spans="1:20" s="3" customFormat="1" ht="16.5" customHeight="1" x14ac:dyDescent="0.15">
      <c r="A1" s="80" t="s">
        <v>115</v>
      </c>
    </row>
    <row r="2" spans="1:20" s="3" customFormat="1" ht="16.5" customHeight="1" x14ac:dyDescent="0.15"/>
    <row r="3" spans="1:20" s="3" customFormat="1" ht="16.5" customHeight="1" x14ac:dyDescent="0.15">
      <c r="A3" s="80" t="s">
        <v>24</v>
      </c>
    </row>
    <row r="4" spans="1:20" s="3" customFormat="1" ht="16.5" customHeight="1" x14ac:dyDescent="0.15">
      <c r="A4" s="63" t="s">
        <v>669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</row>
    <row r="5" spans="1:20" s="3" customFormat="1" ht="16.5" customHeight="1" x14ac:dyDescent="0.15"/>
    <row r="6" spans="1:20" s="3" customFormat="1" ht="16.5" customHeight="1" x14ac:dyDescent="0.15">
      <c r="A6" s="80" t="s">
        <v>25</v>
      </c>
    </row>
    <row r="7" spans="1:20" s="3" customFormat="1" ht="24" customHeight="1" x14ac:dyDescent="0.15">
      <c r="A7" s="426" t="s">
        <v>543</v>
      </c>
      <c r="B7" s="426"/>
      <c r="C7" s="426"/>
      <c r="D7" s="426"/>
      <c r="E7" s="426"/>
      <c r="F7" s="426"/>
      <c r="G7" s="426"/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</row>
    <row r="8" spans="1:20" s="3" customFormat="1" ht="16.5" customHeight="1" x14ac:dyDescent="0.15"/>
    <row r="9" spans="1:20" s="3" customFormat="1" ht="16.5" customHeight="1" x14ac:dyDescent="0.15">
      <c r="A9" s="112" t="s">
        <v>544</v>
      </c>
    </row>
    <row r="10" spans="1:20" s="3" customFormat="1" ht="16.5" customHeight="1" x14ac:dyDescent="0.15">
      <c r="A10" s="328" t="s">
        <v>174</v>
      </c>
      <c r="B10" s="422" t="s">
        <v>545</v>
      </c>
      <c r="C10" s="425" t="s">
        <v>546</v>
      </c>
      <c r="D10" s="425" t="s">
        <v>547</v>
      </c>
      <c r="E10" s="425" t="s">
        <v>548</v>
      </c>
      <c r="F10" s="425" t="s">
        <v>549</v>
      </c>
      <c r="G10" s="425" t="s">
        <v>550</v>
      </c>
      <c r="H10" s="422" t="s">
        <v>551</v>
      </c>
      <c r="I10" s="422" t="s">
        <v>552</v>
      </c>
      <c r="J10" s="422" t="s">
        <v>553</v>
      </c>
      <c r="K10" s="422" t="s">
        <v>554</v>
      </c>
      <c r="L10" s="422" t="s">
        <v>555</v>
      </c>
      <c r="M10" s="422" t="s">
        <v>556</v>
      </c>
      <c r="N10" s="422" t="s">
        <v>557</v>
      </c>
      <c r="O10" s="422" t="s">
        <v>558</v>
      </c>
      <c r="P10" s="422" t="s">
        <v>559</v>
      </c>
      <c r="Q10" s="422" t="s">
        <v>560</v>
      </c>
      <c r="R10" s="422" t="s">
        <v>561</v>
      </c>
      <c r="S10" s="422" t="s">
        <v>562</v>
      </c>
      <c r="T10" s="423" t="s">
        <v>563</v>
      </c>
    </row>
    <row r="11" spans="1:20" s="3" customFormat="1" ht="16.5" customHeight="1" x14ac:dyDescent="0.15">
      <c r="A11" s="246" t="s">
        <v>564</v>
      </c>
      <c r="B11" s="422"/>
      <c r="C11" s="422"/>
      <c r="D11" s="422"/>
      <c r="E11" s="422"/>
      <c r="F11" s="422"/>
      <c r="G11" s="422"/>
      <c r="H11" s="422"/>
      <c r="I11" s="422"/>
      <c r="J11" s="422"/>
      <c r="K11" s="422"/>
      <c r="L11" s="422"/>
      <c r="M11" s="422"/>
      <c r="N11" s="422"/>
      <c r="O11" s="422"/>
      <c r="P11" s="422"/>
      <c r="Q11" s="422"/>
      <c r="R11" s="422"/>
      <c r="S11" s="422"/>
      <c r="T11" s="423"/>
    </row>
    <row r="12" spans="1:20" s="3" customFormat="1" ht="16.5" customHeight="1" x14ac:dyDescent="0.15">
      <c r="A12" s="337" t="s">
        <v>565</v>
      </c>
      <c r="B12" s="108">
        <v>302</v>
      </c>
      <c r="C12" s="287">
        <v>14</v>
      </c>
      <c r="D12" s="287">
        <v>4</v>
      </c>
      <c r="E12" s="287">
        <v>12</v>
      </c>
      <c r="F12" s="287">
        <v>10</v>
      </c>
      <c r="G12" s="287">
        <v>4</v>
      </c>
      <c r="H12" s="287">
        <v>4</v>
      </c>
      <c r="I12" s="287">
        <v>14</v>
      </c>
      <c r="J12" s="287">
        <v>42</v>
      </c>
      <c r="K12" s="287">
        <v>13</v>
      </c>
      <c r="L12" s="287">
        <v>33</v>
      </c>
      <c r="M12" s="287">
        <v>10</v>
      </c>
      <c r="N12" s="287">
        <v>40</v>
      </c>
      <c r="O12" s="287">
        <v>39</v>
      </c>
      <c r="P12" s="287">
        <v>4</v>
      </c>
      <c r="Q12" s="287">
        <v>10</v>
      </c>
      <c r="R12" s="287">
        <v>26</v>
      </c>
      <c r="S12" s="287">
        <v>18</v>
      </c>
      <c r="T12" s="287">
        <v>5</v>
      </c>
    </row>
    <row r="13" spans="1:20" s="3" customFormat="1" ht="16.5" customHeight="1" x14ac:dyDescent="0.15">
      <c r="A13" s="284"/>
      <c r="B13" s="211">
        <v>100</v>
      </c>
      <c r="C13" s="46">
        <v>4.7</v>
      </c>
      <c r="D13" s="46">
        <v>1.3245033112582782</v>
      </c>
      <c r="E13" s="46">
        <v>3.9735099337748347</v>
      </c>
      <c r="F13" s="46">
        <v>3.3112582781456954</v>
      </c>
      <c r="G13" s="46">
        <v>1.3245033112582782</v>
      </c>
      <c r="H13" s="46">
        <v>1.3245033112582782</v>
      </c>
      <c r="I13" s="46">
        <v>4.7</v>
      </c>
      <c r="J13" s="46">
        <v>13.90728476821192</v>
      </c>
      <c r="K13" s="46">
        <v>4.3046357615894042</v>
      </c>
      <c r="L13" s="46">
        <v>10.927152317880795</v>
      </c>
      <c r="M13" s="46">
        <v>3.3112582781456954</v>
      </c>
      <c r="N13" s="46">
        <v>13.245033112582782</v>
      </c>
      <c r="O13" s="46">
        <v>12.913907284768211</v>
      </c>
      <c r="P13" s="46">
        <v>1.3245033112582782</v>
      </c>
      <c r="Q13" s="46">
        <v>3.3112582781456954</v>
      </c>
      <c r="R13" s="46">
        <v>8.6092715231788084</v>
      </c>
      <c r="S13" s="46">
        <v>5.9602649006622519</v>
      </c>
      <c r="T13" s="46">
        <v>1.6556291390728477</v>
      </c>
    </row>
    <row r="14" spans="1:20" s="3" customFormat="1" ht="16.5" customHeight="1" x14ac:dyDescent="0.15">
      <c r="A14" s="336" t="s">
        <v>440</v>
      </c>
      <c r="B14" s="105">
        <v>14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2</v>
      </c>
      <c r="I14" s="286">
        <v>3</v>
      </c>
      <c r="J14" s="286">
        <v>3</v>
      </c>
      <c r="K14" s="286">
        <v>0</v>
      </c>
      <c r="L14" s="286">
        <v>2</v>
      </c>
      <c r="M14" s="286">
        <v>0</v>
      </c>
      <c r="N14" s="286">
        <v>4</v>
      </c>
      <c r="O14" s="286">
        <v>0</v>
      </c>
      <c r="P14" s="286">
        <v>0</v>
      </c>
      <c r="Q14" s="286">
        <v>0</v>
      </c>
      <c r="R14" s="286">
        <v>0</v>
      </c>
      <c r="S14" s="286">
        <v>0</v>
      </c>
      <c r="T14" s="286">
        <v>0</v>
      </c>
    </row>
    <row r="15" spans="1:20" s="3" customFormat="1" ht="16.5" customHeight="1" x14ac:dyDescent="0.15">
      <c r="A15" s="336" t="s">
        <v>566</v>
      </c>
      <c r="B15" s="105">
        <v>288</v>
      </c>
      <c r="C15" s="286">
        <v>14</v>
      </c>
      <c r="D15" s="286">
        <v>4</v>
      </c>
      <c r="E15" s="286">
        <v>12</v>
      </c>
      <c r="F15" s="286">
        <v>10</v>
      </c>
      <c r="G15" s="286">
        <v>4</v>
      </c>
      <c r="H15" s="286">
        <v>2</v>
      </c>
      <c r="I15" s="286">
        <v>11</v>
      </c>
      <c r="J15" s="286">
        <v>39</v>
      </c>
      <c r="K15" s="286">
        <v>13</v>
      </c>
      <c r="L15" s="286">
        <v>31</v>
      </c>
      <c r="M15" s="286">
        <v>10</v>
      </c>
      <c r="N15" s="286">
        <v>36</v>
      </c>
      <c r="O15" s="286">
        <v>39</v>
      </c>
      <c r="P15" s="286">
        <v>4</v>
      </c>
      <c r="Q15" s="286">
        <v>10</v>
      </c>
      <c r="R15" s="286">
        <v>26</v>
      </c>
      <c r="S15" s="286">
        <v>18</v>
      </c>
      <c r="T15" s="286">
        <v>5</v>
      </c>
    </row>
    <row r="16" spans="1:20" s="3" customFormat="1" ht="16.5" customHeight="1" x14ac:dyDescent="0.15">
      <c r="A16" s="348" t="s">
        <v>567</v>
      </c>
      <c r="B16" s="349">
        <v>264</v>
      </c>
      <c r="C16" s="308">
        <v>11</v>
      </c>
      <c r="D16" s="308">
        <v>3</v>
      </c>
      <c r="E16" s="308">
        <v>9</v>
      </c>
      <c r="F16" s="308">
        <v>12</v>
      </c>
      <c r="G16" s="308">
        <v>2</v>
      </c>
      <c r="H16" s="308">
        <v>6</v>
      </c>
      <c r="I16" s="308">
        <v>15</v>
      </c>
      <c r="J16" s="308">
        <v>32</v>
      </c>
      <c r="K16" s="308">
        <v>14</v>
      </c>
      <c r="L16" s="308">
        <v>25</v>
      </c>
      <c r="M16" s="308">
        <v>10</v>
      </c>
      <c r="N16" s="308">
        <v>28</v>
      </c>
      <c r="O16" s="308">
        <v>40</v>
      </c>
      <c r="P16" s="308">
        <v>3</v>
      </c>
      <c r="Q16" s="308">
        <v>10</v>
      </c>
      <c r="R16" s="308">
        <v>23</v>
      </c>
      <c r="S16" s="308">
        <v>15</v>
      </c>
      <c r="T16" s="308">
        <v>6</v>
      </c>
    </row>
    <row r="17" spans="1:20" s="3" customFormat="1" ht="16.5" customHeight="1" x14ac:dyDescent="0.15">
      <c r="A17" s="3" t="s">
        <v>698</v>
      </c>
      <c r="B17" s="233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</row>
    <row r="18" spans="1:20" s="3" customFormat="1" ht="16.5" customHeight="1" x14ac:dyDescent="0.15"/>
    <row r="19" spans="1:20" s="3" customFormat="1" ht="16.5" customHeight="1" x14ac:dyDescent="0.15">
      <c r="A19" s="80" t="s">
        <v>568</v>
      </c>
      <c r="B19" s="233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</row>
    <row r="20" spans="1:20" s="3" customFormat="1" ht="16.5" customHeight="1" x14ac:dyDescent="0.15">
      <c r="B20" s="233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spans="1:20" s="3" customFormat="1" ht="16.5" customHeight="1" x14ac:dyDescent="0.15">
      <c r="A21" s="80" t="s">
        <v>569</v>
      </c>
      <c r="B21" s="233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</row>
    <row r="22" spans="1:20" s="3" customFormat="1" ht="16.5" customHeight="1" x14ac:dyDescent="0.15">
      <c r="A22" s="63" t="s">
        <v>570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</row>
    <row r="23" spans="1:20" s="3" customFormat="1" ht="16.5" customHeight="1" x14ac:dyDescent="0.15">
      <c r="B23" s="233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</row>
    <row r="24" spans="1:20" s="3" customFormat="1" ht="16.5" customHeight="1" x14ac:dyDescent="0.15">
      <c r="A24" s="80" t="s">
        <v>571</v>
      </c>
      <c r="B24" s="233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</row>
    <row r="25" spans="1:20" s="3" customFormat="1" ht="16.5" customHeight="1" x14ac:dyDescent="0.15">
      <c r="A25" s="63" t="s">
        <v>572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</row>
    <row r="26" spans="1:20" s="3" customFormat="1" ht="16.5" customHeight="1" x14ac:dyDescent="0.15">
      <c r="B26" s="233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</row>
    <row r="27" spans="1:20" s="3" customFormat="1" ht="16.5" customHeight="1" x14ac:dyDescent="0.15">
      <c r="A27" s="80" t="s">
        <v>721</v>
      </c>
      <c r="I27" s="60"/>
    </row>
    <row r="28" spans="1:20" s="3" customFormat="1" ht="16.5" customHeight="1" x14ac:dyDescent="0.15">
      <c r="A28" s="328" t="s">
        <v>564</v>
      </c>
      <c r="B28" s="423" t="s">
        <v>573</v>
      </c>
      <c r="C28" s="423" t="s">
        <v>567</v>
      </c>
      <c r="D28" s="423" t="s">
        <v>574</v>
      </c>
      <c r="E28" s="423" t="s">
        <v>575</v>
      </c>
      <c r="Q28" s="144"/>
    </row>
    <row r="29" spans="1:20" s="3" customFormat="1" ht="16.5" customHeight="1" x14ac:dyDescent="0.15">
      <c r="A29" s="246" t="s">
        <v>576</v>
      </c>
      <c r="B29" s="423"/>
      <c r="C29" s="423"/>
      <c r="D29" s="423"/>
      <c r="E29" s="423"/>
      <c r="Q29" s="144"/>
    </row>
    <row r="30" spans="1:20" s="3" customFormat="1" ht="16.5" customHeight="1" x14ac:dyDescent="0.15">
      <c r="A30" s="337" t="s">
        <v>93</v>
      </c>
      <c r="B30" s="48">
        <v>457</v>
      </c>
      <c r="C30" s="287">
        <v>394</v>
      </c>
      <c r="D30" s="287">
        <v>133</v>
      </c>
      <c r="E30" s="40">
        <v>86.214442013129101</v>
      </c>
      <c r="Q30" s="144"/>
    </row>
    <row r="31" spans="1:20" s="3" customFormat="1" ht="16.5" customHeight="1" x14ac:dyDescent="0.15">
      <c r="A31" s="337" t="s">
        <v>577</v>
      </c>
      <c r="B31" s="48">
        <v>302</v>
      </c>
      <c r="C31" s="287">
        <v>264</v>
      </c>
      <c r="D31" s="287">
        <v>85</v>
      </c>
      <c r="E31" s="40">
        <v>87.41721854304636</v>
      </c>
      <c r="Q31" s="144"/>
    </row>
    <row r="32" spans="1:20" s="3" customFormat="1" ht="16.5" customHeight="1" x14ac:dyDescent="0.15">
      <c r="A32" s="336" t="s">
        <v>578</v>
      </c>
      <c r="B32" s="288">
        <v>14</v>
      </c>
      <c r="C32" s="286">
        <v>13</v>
      </c>
      <c r="D32" s="286">
        <v>7</v>
      </c>
      <c r="E32" s="27">
        <v>92.857142857142861</v>
      </c>
      <c r="Q32" s="144"/>
    </row>
    <row r="33" spans="1:17" s="3" customFormat="1" ht="16.5" customHeight="1" x14ac:dyDescent="0.15">
      <c r="A33" s="336" t="s">
        <v>566</v>
      </c>
      <c r="B33" s="288">
        <v>288</v>
      </c>
      <c r="C33" s="286">
        <v>251</v>
      </c>
      <c r="D33" s="286">
        <v>78</v>
      </c>
      <c r="E33" s="27">
        <v>87.152777777777786</v>
      </c>
      <c r="Q33" s="144"/>
    </row>
    <row r="34" spans="1:17" s="3" customFormat="1" ht="16.5" customHeight="1" x14ac:dyDescent="0.15">
      <c r="A34" s="337" t="s">
        <v>579</v>
      </c>
      <c r="B34" s="48">
        <v>132</v>
      </c>
      <c r="C34" s="287">
        <v>107</v>
      </c>
      <c r="D34" s="287">
        <v>42</v>
      </c>
      <c r="E34" s="40">
        <v>81.060606060606062</v>
      </c>
      <c r="Q34" s="144"/>
    </row>
    <row r="35" spans="1:17" s="3" customFormat="1" ht="16.5" customHeight="1" x14ac:dyDescent="0.15">
      <c r="A35" s="348" t="s">
        <v>580</v>
      </c>
      <c r="B35" s="307">
        <v>23</v>
      </c>
      <c r="C35" s="308">
        <v>23</v>
      </c>
      <c r="D35" s="308">
        <v>6</v>
      </c>
      <c r="E35" s="350">
        <v>100</v>
      </c>
      <c r="Q35" s="144"/>
    </row>
    <row r="36" spans="1:17" s="3" customFormat="1" ht="16.5" customHeight="1" x14ac:dyDescent="0.15">
      <c r="A36" s="3" t="s">
        <v>688</v>
      </c>
    </row>
  </sheetData>
  <sheetProtection algorithmName="SHA-512" hashValue="8iJn9AUCkg2SVbtiR0zgnT3yKA8+d97DGKPTWBGKXQUjOSRj+Fnpp3VjIM/y12GK8bSiM44v5NzYfsQkpqWPtA==" saltValue="TjLUt45aaRttBrgBcUx7Kw==" spinCount="100000" sheet="1" objects="1" scenarios="1"/>
  <mergeCells count="24">
    <mergeCell ref="A7:T7"/>
    <mergeCell ref="B10:B11"/>
    <mergeCell ref="C10:C11"/>
    <mergeCell ref="D10:D11"/>
    <mergeCell ref="E10:E11"/>
    <mergeCell ref="F10:F11"/>
    <mergeCell ref="G10:G11"/>
    <mergeCell ref="H10:H11"/>
    <mergeCell ref="I10:I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B28:B29"/>
    <mergeCell ref="C28:C29"/>
    <mergeCell ref="D28:D29"/>
    <mergeCell ref="E28:E29"/>
    <mergeCell ref="J10:J11"/>
  </mergeCells>
  <phoneticPr fontId="5" type="noConversion"/>
  <pageMargins left="0.27559055118110237" right="3.937007874015748E-2" top="0.59055118110236227" bottom="3.937007874015748E-2" header="0.51181102362204722" footer="0.51181102362204722"/>
  <pageSetup paperSize="9" scale="58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28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4.44140625" style="84" customWidth="1"/>
    <col min="2" max="8" width="9.5546875" style="84" customWidth="1"/>
    <col min="9" max="16384" width="8" style="84"/>
  </cols>
  <sheetData>
    <row r="1" spans="1:8" s="3" customFormat="1" ht="16.5" customHeight="1" x14ac:dyDescent="0.15">
      <c r="A1" s="80" t="s">
        <v>204</v>
      </c>
    </row>
    <row r="2" spans="1:8" s="3" customFormat="1" ht="16.5" customHeight="1" x14ac:dyDescent="0.15">
      <c r="A2" s="80"/>
    </row>
    <row r="3" spans="1:8" s="3" customFormat="1" ht="16.5" customHeight="1" x14ac:dyDescent="0.15">
      <c r="A3" s="80" t="s">
        <v>22</v>
      </c>
    </row>
    <row r="4" spans="1:8" s="3" customFormat="1" ht="16.5" customHeight="1" x14ac:dyDescent="0.15">
      <c r="A4" s="395" t="s">
        <v>699</v>
      </c>
      <c r="B4" s="532" t="s">
        <v>93</v>
      </c>
      <c r="C4" s="532" t="s">
        <v>116</v>
      </c>
      <c r="D4" s="533" t="s">
        <v>455</v>
      </c>
      <c r="E4" s="533" t="s">
        <v>456</v>
      </c>
      <c r="F4" s="533" t="s">
        <v>581</v>
      </c>
      <c r="G4" s="489" t="s">
        <v>36</v>
      </c>
    </row>
    <row r="5" spans="1:8" s="3" customFormat="1" ht="16.5" customHeight="1" x14ac:dyDescent="0.15">
      <c r="A5" s="394" t="s">
        <v>37</v>
      </c>
      <c r="B5" s="532"/>
      <c r="C5" s="532"/>
      <c r="D5" s="532"/>
      <c r="E5" s="532"/>
      <c r="F5" s="532"/>
      <c r="G5" s="489"/>
    </row>
    <row r="6" spans="1:8" s="3" customFormat="1" ht="16.5" customHeight="1" x14ac:dyDescent="0.15">
      <c r="A6" s="330" t="s">
        <v>93</v>
      </c>
      <c r="B6" s="108">
        <v>264</v>
      </c>
      <c r="C6" s="287">
        <v>182</v>
      </c>
      <c r="D6" s="287">
        <v>60</v>
      </c>
      <c r="E6" s="287">
        <v>2</v>
      </c>
      <c r="F6" s="287">
        <v>0</v>
      </c>
      <c r="G6" s="287">
        <v>20</v>
      </c>
    </row>
    <row r="7" spans="1:8" s="3" customFormat="1" ht="16.5" customHeight="1" x14ac:dyDescent="0.15">
      <c r="A7" s="30"/>
      <c r="B7" s="104">
        <v>100</v>
      </c>
      <c r="C7" s="46">
        <v>68.939393939393938</v>
      </c>
      <c r="D7" s="46">
        <v>22.727272727272727</v>
      </c>
      <c r="E7" s="46">
        <v>0.75757575757575757</v>
      </c>
      <c r="F7" s="351" t="s">
        <v>69</v>
      </c>
      <c r="G7" s="46">
        <v>7.5757575757575761</v>
      </c>
      <c r="H7" s="1"/>
    </row>
    <row r="8" spans="1:8" s="3" customFormat="1" ht="16.5" customHeight="1" x14ac:dyDescent="0.15">
      <c r="A8" s="329" t="s">
        <v>440</v>
      </c>
      <c r="B8" s="105">
        <v>13</v>
      </c>
      <c r="C8" s="286">
        <v>2</v>
      </c>
      <c r="D8" s="286">
        <v>3</v>
      </c>
      <c r="E8" s="286">
        <v>0</v>
      </c>
      <c r="F8" s="286">
        <v>0</v>
      </c>
      <c r="G8" s="286">
        <v>8</v>
      </c>
    </row>
    <row r="9" spans="1:8" s="3" customFormat="1" ht="16.5" customHeight="1" x14ac:dyDescent="0.15">
      <c r="A9" s="212" t="s">
        <v>441</v>
      </c>
      <c r="B9" s="267">
        <v>251</v>
      </c>
      <c r="C9" s="207">
        <v>180</v>
      </c>
      <c r="D9" s="207">
        <v>57</v>
      </c>
      <c r="E9" s="207">
        <v>2</v>
      </c>
      <c r="F9" s="207">
        <v>0</v>
      </c>
      <c r="G9" s="207">
        <v>12</v>
      </c>
    </row>
    <row r="10" spans="1:8" s="3" customFormat="1" ht="16.5" customHeight="1" x14ac:dyDescent="0.15">
      <c r="A10" s="60" t="s">
        <v>582</v>
      </c>
      <c r="B10" s="60"/>
      <c r="C10" s="60"/>
      <c r="D10" s="60"/>
      <c r="E10" s="60"/>
      <c r="F10" s="60"/>
      <c r="G10" s="60"/>
      <c r="H10" s="60"/>
    </row>
    <row r="11" spans="1:8" s="3" customFormat="1" ht="16.5" customHeight="1" x14ac:dyDescent="0.15">
      <c r="A11" s="60"/>
      <c r="B11" s="60"/>
      <c r="C11" s="60"/>
      <c r="D11" s="60"/>
      <c r="E11" s="60"/>
      <c r="F11" s="60"/>
      <c r="G11" s="60"/>
      <c r="H11" s="60"/>
    </row>
    <row r="12" spans="1:8" s="3" customFormat="1" ht="16.5" customHeight="1" x14ac:dyDescent="0.15">
      <c r="A12" s="80" t="s">
        <v>583</v>
      </c>
    </row>
    <row r="13" spans="1:8" s="3" customFormat="1" ht="16.5" customHeight="1" x14ac:dyDescent="0.15">
      <c r="A13" s="395" t="s">
        <v>699</v>
      </c>
      <c r="B13" s="488" t="s">
        <v>93</v>
      </c>
      <c r="C13" s="488" t="s">
        <v>117</v>
      </c>
      <c r="D13" s="488"/>
      <c r="E13" s="488"/>
      <c r="F13" s="488"/>
      <c r="G13" s="488" t="s">
        <v>118</v>
      </c>
      <c r="H13" s="485" t="s">
        <v>81</v>
      </c>
    </row>
    <row r="14" spans="1:8" s="3" customFormat="1" ht="16.5" customHeight="1" x14ac:dyDescent="0.15">
      <c r="A14" s="394"/>
      <c r="B14" s="528"/>
      <c r="C14" s="528" t="s">
        <v>584</v>
      </c>
      <c r="D14" s="528" t="s">
        <v>61</v>
      </c>
      <c r="E14" s="528"/>
      <c r="F14" s="528" t="s">
        <v>119</v>
      </c>
      <c r="G14" s="528"/>
      <c r="H14" s="530"/>
    </row>
    <row r="15" spans="1:8" s="3" customFormat="1" ht="16.5" customHeight="1" x14ac:dyDescent="0.15">
      <c r="A15" s="394" t="s">
        <v>576</v>
      </c>
      <c r="B15" s="529"/>
      <c r="C15" s="529"/>
      <c r="D15" s="392" t="s">
        <v>585</v>
      </c>
      <c r="E15" s="396" t="s">
        <v>183</v>
      </c>
      <c r="F15" s="529"/>
      <c r="G15" s="529"/>
      <c r="H15" s="531"/>
    </row>
    <row r="16" spans="1:8" s="3" customFormat="1" ht="16.5" customHeight="1" x14ac:dyDescent="0.15">
      <c r="A16" s="329" t="s">
        <v>579</v>
      </c>
      <c r="B16" s="108">
        <v>107</v>
      </c>
      <c r="C16" s="286">
        <v>87</v>
      </c>
      <c r="D16" s="286">
        <v>16</v>
      </c>
      <c r="E16" s="286">
        <v>0</v>
      </c>
      <c r="F16" s="286">
        <v>71</v>
      </c>
      <c r="G16" s="286">
        <v>10</v>
      </c>
      <c r="H16" s="286">
        <v>10</v>
      </c>
    </row>
    <row r="17" spans="1:8" s="3" customFormat="1" ht="16.5" customHeight="1" x14ac:dyDescent="0.15">
      <c r="A17" s="28"/>
      <c r="B17" s="211">
        <v>100</v>
      </c>
      <c r="C17" s="335">
        <v>81.400000000000006</v>
      </c>
      <c r="D17" s="335">
        <v>14.953271028037381</v>
      </c>
      <c r="E17" s="75" t="s">
        <v>586</v>
      </c>
      <c r="F17" s="335">
        <v>66.355140186915889</v>
      </c>
      <c r="G17" s="335">
        <v>9.3457943925233646</v>
      </c>
      <c r="H17" s="335">
        <v>9.3457943925233646</v>
      </c>
    </row>
    <row r="18" spans="1:8" s="3" customFormat="1" ht="16.5" customHeight="1" x14ac:dyDescent="0.15">
      <c r="A18" s="329" t="s">
        <v>580</v>
      </c>
      <c r="B18" s="108">
        <v>23</v>
      </c>
      <c r="C18" s="286">
        <v>19</v>
      </c>
      <c r="D18" s="286">
        <v>0</v>
      </c>
      <c r="E18" s="286">
        <v>0</v>
      </c>
      <c r="F18" s="286">
        <v>19</v>
      </c>
      <c r="G18" s="286">
        <v>3</v>
      </c>
      <c r="H18" s="286">
        <v>1</v>
      </c>
    </row>
    <row r="19" spans="1:8" s="3" customFormat="1" ht="16.5" customHeight="1" x14ac:dyDescent="0.15">
      <c r="A19" s="352"/>
      <c r="B19" s="353">
        <v>100</v>
      </c>
      <c r="C19" s="334">
        <v>82.608695652173907</v>
      </c>
      <c r="D19" s="303" t="s">
        <v>586</v>
      </c>
      <c r="E19" s="303" t="s">
        <v>586</v>
      </c>
      <c r="F19" s="334">
        <v>82.608695652173907</v>
      </c>
      <c r="G19" s="334">
        <v>13.043478260869565</v>
      </c>
      <c r="H19" s="334">
        <v>4.4000000000000004</v>
      </c>
    </row>
    <row r="20" spans="1:8" s="3" customFormat="1" ht="16.5" customHeight="1" x14ac:dyDescent="0.15">
      <c r="A20" s="60"/>
    </row>
    <row r="21" spans="1:8" s="3" customFormat="1" ht="16.5" customHeight="1" x14ac:dyDescent="0.15">
      <c r="A21" s="112" t="s">
        <v>587</v>
      </c>
      <c r="B21" s="60"/>
      <c r="C21" s="60"/>
      <c r="D21" s="60"/>
      <c r="E21" s="60"/>
      <c r="F21" s="60"/>
      <c r="G21" s="60"/>
      <c r="H21" s="60"/>
    </row>
    <row r="22" spans="1:8" s="3" customFormat="1" ht="16.5" customHeight="1" x14ac:dyDescent="0.15">
      <c r="A22" s="62" t="s">
        <v>670</v>
      </c>
      <c r="B22" s="57"/>
      <c r="C22" s="57"/>
      <c r="D22" s="57"/>
      <c r="E22" s="57"/>
      <c r="F22" s="57"/>
      <c r="G22" s="57"/>
      <c r="H22" s="57"/>
    </row>
    <row r="23" spans="1:8" s="3" customFormat="1" ht="16.5" customHeight="1" x14ac:dyDescent="0.15"/>
    <row r="24" spans="1:8" s="3" customFormat="1" ht="16.5" customHeight="1" x14ac:dyDescent="0.15">
      <c r="A24" s="80" t="s">
        <v>588</v>
      </c>
    </row>
    <row r="25" spans="1:8" s="3" customFormat="1" ht="16.5" customHeight="1" x14ac:dyDescent="0.15">
      <c r="A25" s="327" t="s">
        <v>169</v>
      </c>
      <c r="B25" s="422" t="s">
        <v>589</v>
      </c>
      <c r="C25" s="422" t="s">
        <v>590</v>
      </c>
      <c r="D25" s="423" t="s">
        <v>591</v>
      </c>
    </row>
    <row r="26" spans="1:8" s="3" customFormat="1" ht="16.5" customHeight="1" x14ac:dyDescent="0.15">
      <c r="A26" s="326" t="s">
        <v>576</v>
      </c>
      <c r="B26" s="422"/>
      <c r="C26" s="422"/>
      <c r="D26" s="423"/>
    </row>
    <row r="27" spans="1:8" s="3" customFormat="1" ht="16.5" customHeight="1" x14ac:dyDescent="0.15">
      <c r="A27" s="234" t="s">
        <v>101</v>
      </c>
      <c r="B27" s="286">
        <v>242</v>
      </c>
      <c r="C27" s="333">
        <v>105</v>
      </c>
      <c r="D27" s="27">
        <v>43.388429752066116</v>
      </c>
    </row>
    <row r="28" spans="1:8" s="3" customFormat="1" ht="16.5" customHeight="1" x14ac:dyDescent="0.15">
      <c r="A28" s="235" t="s">
        <v>102</v>
      </c>
      <c r="B28" s="207">
        <v>87</v>
      </c>
      <c r="C28" s="354">
        <v>21</v>
      </c>
      <c r="D28" s="213">
        <v>24.137931034482758</v>
      </c>
    </row>
  </sheetData>
  <sheetProtection algorithmName="SHA-512" hashValue="fAwOKOO2RFmgIdyO+pn0T4l7zgLysMO5MBnfymgzVkhJ4+g1/ulimbGrIzdqPmwAfyf7syRfc6UCKm6G4/u0xQ==" saltValue="YcvoAUJZsoOqDfmDWoBhiA==" spinCount="100000" sheet="1" objects="1" scenarios="1"/>
  <mergeCells count="16">
    <mergeCell ref="G4:G5"/>
    <mergeCell ref="B4:B5"/>
    <mergeCell ref="C4:C5"/>
    <mergeCell ref="D4:D5"/>
    <mergeCell ref="E4:E5"/>
    <mergeCell ref="F4:F5"/>
    <mergeCell ref="G13:G15"/>
    <mergeCell ref="H13:H15"/>
    <mergeCell ref="C14:C15"/>
    <mergeCell ref="D14:E14"/>
    <mergeCell ref="F14:F15"/>
    <mergeCell ref="B25:B26"/>
    <mergeCell ref="C25:C26"/>
    <mergeCell ref="D25:D26"/>
    <mergeCell ref="B13:B15"/>
    <mergeCell ref="C13:F13"/>
  </mergeCells>
  <phoneticPr fontId="5" type="noConversion"/>
  <pageMargins left="0.46" right="0.4" top="0.89" bottom="1" header="0.5" footer="0.5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42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4.44140625" style="84" customWidth="1"/>
    <col min="2" max="11" width="8.88671875" style="84" customWidth="1"/>
    <col min="12" max="12" width="8.88671875" style="145" customWidth="1"/>
    <col min="13" max="16384" width="8" style="84"/>
  </cols>
  <sheetData>
    <row r="1" spans="1:12" s="3" customFormat="1" ht="16.5" customHeight="1" x14ac:dyDescent="0.15">
      <c r="A1" s="112" t="s">
        <v>678</v>
      </c>
      <c r="B1" s="60"/>
      <c r="C1" s="60"/>
      <c r="D1" s="60"/>
      <c r="E1" s="60"/>
      <c r="F1" s="60"/>
      <c r="G1" s="60"/>
    </row>
    <row r="2" spans="1:12" s="3" customFormat="1" ht="16.5" customHeight="1" x14ac:dyDescent="0.15">
      <c r="A2" s="60"/>
      <c r="B2" s="60"/>
      <c r="C2" s="60"/>
      <c r="D2" s="60"/>
      <c r="E2" s="60"/>
    </row>
    <row r="3" spans="1:12" s="3" customFormat="1" ht="16.5" customHeight="1" x14ac:dyDescent="0.15">
      <c r="A3" s="112" t="s">
        <v>24</v>
      </c>
      <c r="B3" s="60"/>
      <c r="C3" s="60"/>
      <c r="D3" s="60"/>
      <c r="E3" s="60"/>
      <c r="F3" s="60"/>
      <c r="G3" s="60"/>
    </row>
    <row r="4" spans="1:12" s="3" customFormat="1" ht="30" customHeight="1" x14ac:dyDescent="0.15">
      <c r="A4" s="505" t="s">
        <v>677</v>
      </c>
      <c r="B4" s="505"/>
      <c r="C4" s="505"/>
      <c r="D4" s="505"/>
      <c r="E4" s="505"/>
      <c r="F4" s="505"/>
      <c r="G4" s="505"/>
      <c r="H4" s="505"/>
      <c r="I4" s="505"/>
      <c r="J4" s="505"/>
      <c r="K4" s="505"/>
      <c r="L4" s="505"/>
    </row>
    <row r="5" spans="1:12" s="3" customFormat="1" ht="16.5" customHeight="1" x14ac:dyDescent="0.15">
      <c r="A5" s="236" t="s">
        <v>54</v>
      </c>
      <c r="B5" s="60"/>
      <c r="C5" s="60"/>
      <c r="D5" s="60"/>
      <c r="E5" s="60"/>
      <c r="F5" s="60"/>
      <c r="G5" s="60"/>
    </row>
    <row r="6" spans="1:12" s="3" customFormat="1" ht="30" customHeight="1" x14ac:dyDescent="0.15">
      <c r="A6" s="505" t="s">
        <v>700</v>
      </c>
      <c r="B6" s="505"/>
      <c r="C6" s="505"/>
      <c r="D6" s="505"/>
      <c r="E6" s="505"/>
      <c r="F6" s="505"/>
      <c r="G6" s="505"/>
      <c r="H6" s="505"/>
      <c r="I6" s="505"/>
      <c r="J6" s="505"/>
      <c r="K6" s="505"/>
      <c r="L6" s="505"/>
    </row>
    <row r="7" spans="1:12" s="3" customFormat="1" ht="16.5" customHeight="1" x14ac:dyDescent="0.15">
      <c r="A7" s="111"/>
      <c r="B7" s="60"/>
      <c r="C7" s="60"/>
      <c r="D7" s="60"/>
      <c r="E7" s="60"/>
      <c r="F7" s="60"/>
      <c r="G7" s="60"/>
      <c r="I7" s="59"/>
      <c r="J7" s="59"/>
      <c r="K7" s="59"/>
    </row>
    <row r="8" spans="1:12" s="3" customFormat="1" ht="16.5" customHeight="1" x14ac:dyDescent="0.15">
      <c r="A8" s="80" t="s">
        <v>205</v>
      </c>
      <c r="I8" s="59"/>
      <c r="J8" s="59"/>
      <c r="K8" s="59"/>
    </row>
    <row r="9" spans="1:12" s="3" customFormat="1" ht="16.5" customHeight="1" x14ac:dyDescent="0.15">
      <c r="A9" s="245" t="s">
        <v>169</v>
      </c>
      <c r="B9" s="422" t="s">
        <v>53</v>
      </c>
      <c r="C9" s="410" t="s">
        <v>27</v>
      </c>
      <c r="D9" s="508"/>
      <c r="E9" s="508"/>
      <c r="F9" s="509"/>
      <c r="G9" s="422" t="s">
        <v>55</v>
      </c>
      <c r="H9" s="423" t="s">
        <v>33</v>
      </c>
      <c r="I9" s="59"/>
      <c r="J9" s="59"/>
      <c r="K9" s="59"/>
    </row>
    <row r="10" spans="1:12" s="3" customFormat="1" ht="16.5" customHeight="1" x14ac:dyDescent="0.15">
      <c r="A10" s="246"/>
      <c r="B10" s="422"/>
      <c r="C10" s="429" t="s">
        <v>93</v>
      </c>
      <c r="D10" s="429" t="s">
        <v>442</v>
      </c>
      <c r="E10" s="542" t="s">
        <v>121</v>
      </c>
      <c r="F10" s="543"/>
      <c r="G10" s="422"/>
      <c r="H10" s="423"/>
      <c r="I10" s="59"/>
      <c r="J10" s="82"/>
      <c r="K10" s="237"/>
    </row>
    <row r="11" spans="1:12" s="3" customFormat="1" ht="16.5" customHeight="1" x14ac:dyDescent="0.15">
      <c r="A11" s="246" t="s">
        <v>175</v>
      </c>
      <c r="B11" s="422"/>
      <c r="C11" s="422"/>
      <c r="D11" s="422"/>
      <c r="E11" s="517"/>
      <c r="F11" s="544"/>
      <c r="G11" s="422"/>
      <c r="H11" s="423"/>
      <c r="I11" s="59"/>
      <c r="J11" s="82"/>
      <c r="K11" s="82" t="s">
        <v>31</v>
      </c>
    </row>
    <row r="12" spans="1:12" s="3" customFormat="1" ht="16.5" customHeight="1" x14ac:dyDescent="0.15">
      <c r="A12" s="197" t="s">
        <v>65</v>
      </c>
      <c r="B12" s="108">
        <v>473789</v>
      </c>
      <c r="C12" s="14">
        <v>471412</v>
      </c>
      <c r="D12" s="14">
        <v>462032</v>
      </c>
      <c r="E12" s="539">
        <v>9380</v>
      </c>
      <c r="F12" s="539"/>
      <c r="G12" s="217">
        <v>43345</v>
      </c>
      <c r="H12" s="201">
        <v>99.498299876105193</v>
      </c>
      <c r="I12" s="59"/>
      <c r="J12" s="82"/>
      <c r="K12" s="82"/>
    </row>
    <row r="13" spans="1:12" s="1" customFormat="1" ht="16.5" customHeight="1" x14ac:dyDescent="0.15">
      <c r="A13" s="31" t="s">
        <v>443</v>
      </c>
      <c r="B13" s="211"/>
      <c r="C13" s="43">
        <v>100</v>
      </c>
      <c r="D13" s="43">
        <v>98.010233086981231</v>
      </c>
      <c r="E13" s="541">
        <v>1.9897669130187607</v>
      </c>
      <c r="F13" s="541"/>
      <c r="G13" s="240"/>
      <c r="H13" s="201"/>
      <c r="I13" s="13"/>
      <c r="J13" s="16"/>
      <c r="K13" s="15"/>
    </row>
    <row r="14" spans="1:12" s="3" customFormat="1" ht="16.5" customHeight="1" x14ac:dyDescent="0.15">
      <c r="A14" s="197" t="s">
        <v>64</v>
      </c>
      <c r="B14" s="108">
        <v>17901</v>
      </c>
      <c r="C14" s="14">
        <v>18437</v>
      </c>
      <c r="D14" s="14">
        <v>18377</v>
      </c>
      <c r="E14" s="539">
        <v>60</v>
      </c>
      <c r="F14" s="539"/>
      <c r="G14" s="217">
        <v>379</v>
      </c>
      <c r="H14" s="201">
        <v>102.99424613150103</v>
      </c>
      <c r="I14" s="59"/>
      <c r="J14" s="82"/>
      <c r="K14" s="82"/>
      <c r="L14" s="144"/>
    </row>
    <row r="15" spans="1:12" s="1" customFormat="1" ht="16.5" customHeight="1" x14ac:dyDescent="0.15">
      <c r="A15" s="238" t="s">
        <v>443</v>
      </c>
      <c r="B15" s="204"/>
      <c r="C15" s="219">
        <v>100</v>
      </c>
      <c r="D15" s="219">
        <v>99.674567445896827</v>
      </c>
      <c r="E15" s="540">
        <v>0.32543255410316213</v>
      </c>
      <c r="F15" s="540"/>
      <c r="G15" s="241"/>
      <c r="H15" s="239"/>
      <c r="I15" s="13"/>
      <c r="J15" s="16"/>
      <c r="K15" s="15"/>
      <c r="L15" s="19"/>
    </row>
    <row r="16" spans="1:12" s="3" customFormat="1" ht="16.5" customHeight="1" x14ac:dyDescent="0.15">
      <c r="A16" s="3" t="s">
        <v>689</v>
      </c>
      <c r="B16" s="60"/>
      <c r="C16" s="60"/>
      <c r="D16" s="60"/>
      <c r="E16" s="60"/>
      <c r="F16" s="60"/>
      <c r="G16" s="60"/>
      <c r="H16" s="111"/>
      <c r="I16" s="83"/>
      <c r="J16" s="83"/>
      <c r="K16" s="59"/>
      <c r="L16" s="144"/>
    </row>
    <row r="17" spans="1:12" s="3" customFormat="1" ht="16.5" customHeight="1" x14ac:dyDescent="0.15">
      <c r="L17" s="144"/>
    </row>
    <row r="18" spans="1:12" s="3" customFormat="1" ht="16.5" customHeight="1" x14ac:dyDescent="0.15">
      <c r="A18" s="80" t="s">
        <v>206</v>
      </c>
      <c r="L18" s="144"/>
    </row>
    <row r="19" spans="1:12" s="3" customFormat="1" ht="16.5" customHeight="1" x14ac:dyDescent="0.15">
      <c r="A19" s="448" t="s">
        <v>176</v>
      </c>
      <c r="B19" s="449"/>
      <c r="C19" s="422" t="s">
        <v>93</v>
      </c>
      <c r="D19" s="425" t="s">
        <v>291</v>
      </c>
      <c r="E19" s="425" t="s">
        <v>292</v>
      </c>
      <c r="F19" s="425" t="s">
        <v>293</v>
      </c>
      <c r="G19" s="425" t="s">
        <v>294</v>
      </c>
      <c r="H19" s="425" t="s">
        <v>295</v>
      </c>
      <c r="I19" s="422" t="s">
        <v>52</v>
      </c>
      <c r="J19" s="422" t="s">
        <v>122</v>
      </c>
      <c r="K19" s="423" t="s">
        <v>123</v>
      </c>
      <c r="L19" s="144"/>
    </row>
    <row r="20" spans="1:12" s="3" customFormat="1" ht="16.5" customHeight="1" x14ac:dyDescent="0.15">
      <c r="A20" s="450" t="s">
        <v>685</v>
      </c>
      <c r="B20" s="451"/>
      <c r="C20" s="422"/>
      <c r="D20" s="422"/>
      <c r="E20" s="422"/>
      <c r="F20" s="422"/>
      <c r="G20" s="422"/>
      <c r="H20" s="422"/>
      <c r="I20" s="422"/>
      <c r="J20" s="422"/>
      <c r="K20" s="423"/>
      <c r="L20" s="144"/>
    </row>
    <row r="21" spans="1:12" s="3" customFormat="1" ht="16.5" customHeight="1" x14ac:dyDescent="0.15">
      <c r="A21" s="534" t="s">
        <v>296</v>
      </c>
      <c r="B21" s="242" t="s">
        <v>498</v>
      </c>
      <c r="C21" s="108">
        <v>473789</v>
      </c>
      <c r="D21" s="14">
        <v>27302</v>
      </c>
      <c r="E21" s="14">
        <v>12990</v>
      </c>
      <c r="F21" s="14">
        <v>16022</v>
      </c>
      <c r="G21" s="14">
        <v>16703</v>
      </c>
      <c r="H21" s="14">
        <v>11034</v>
      </c>
      <c r="I21" s="14">
        <v>30834</v>
      </c>
      <c r="J21" s="14">
        <v>43656</v>
      </c>
      <c r="K21" s="14">
        <v>76873</v>
      </c>
      <c r="L21" s="144"/>
    </row>
    <row r="22" spans="1:12" s="11" customFormat="1" ht="16.5" customHeight="1" x14ac:dyDescent="0.15">
      <c r="A22" s="535"/>
      <c r="B22" s="242"/>
      <c r="C22" s="104">
        <v>100</v>
      </c>
      <c r="D22" s="18">
        <v>5.7624807667548215</v>
      </c>
      <c r="E22" s="18">
        <v>2.741726802437372</v>
      </c>
      <c r="F22" s="18">
        <v>3.3816741207583969</v>
      </c>
      <c r="G22" s="18">
        <v>3.5254089900778616</v>
      </c>
      <c r="H22" s="18">
        <v>2.3288847989294812</v>
      </c>
      <c r="I22" s="18">
        <v>6.5079602945615029</v>
      </c>
      <c r="J22" s="18">
        <v>9.2142282746116937</v>
      </c>
      <c r="K22" s="18">
        <v>16.3</v>
      </c>
      <c r="L22" s="21"/>
    </row>
    <row r="23" spans="1:12" s="3" customFormat="1" ht="16.5" customHeight="1" x14ac:dyDescent="0.15">
      <c r="A23" s="536"/>
      <c r="B23" s="243" t="s">
        <v>27</v>
      </c>
      <c r="C23" s="202">
        <v>471412</v>
      </c>
      <c r="D23" s="207">
        <v>27097</v>
      </c>
      <c r="E23" s="207">
        <v>13079</v>
      </c>
      <c r="F23" s="207">
        <v>17298</v>
      </c>
      <c r="G23" s="207">
        <v>18957</v>
      </c>
      <c r="H23" s="207">
        <v>10973</v>
      </c>
      <c r="I23" s="207">
        <v>29935</v>
      </c>
      <c r="J23" s="207">
        <v>40637</v>
      </c>
      <c r="K23" s="207">
        <v>78836</v>
      </c>
      <c r="L23" s="144"/>
    </row>
    <row r="24" spans="1:12" s="3" customFormat="1" ht="16.5" customHeight="1" x14ac:dyDescent="0.15">
      <c r="A24" s="534" t="s">
        <v>297</v>
      </c>
      <c r="B24" s="242" t="s">
        <v>500</v>
      </c>
      <c r="C24" s="108">
        <v>17901</v>
      </c>
      <c r="D24" s="286">
        <v>451</v>
      </c>
      <c r="E24" s="286">
        <v>224</v>
      </c>
      <c r="F24" s="286">
        <v>428</v>
      </c>
      <c r="G24" s="286">
        <v>209</v>
      </c>
      <c r="H24" s="286">
        <v>135</v>
      </c>
      <c r="I24" s="286">
        <v>1852</v>
      </c>
      <c r="J24" s="286">
        <v>1931</v>
      </c>
      <c r="K24" s="286">
        <v>4724</v>
      </c>
      <c r="L24" s="144"/>
    </row>
    <row r="25" spans="1:12" s="1" customFormat="1" ht="16.5" customHeight="1" x14ac:dyDescent="0.15">
      <c r="A25" s="534"/>
      <c r="B25" s="242"/>
      <c r="C25" s="104">
        <v>100</v>
      </c>
      <c r="D25" s="373">
        <v>2.5194123233338921</v>
      </c>
      <c r="E25" s="373">
        <v>1.25132674152282</v>
      </c>
      <c r="F25" s="373">
        <v>2.3909278811239596</v>
      </c>
      <c r="G25" s="373">
        <v>1.1675325400815597</v>
      </c>
      <c r="H25" s="373">
        <v>0.75414781297134237</v>
      </c>
      <c r="I25" s="373">
        <v>10.345790737947601</v>
      </c>
      <c r="J25" s="373">
        <v>10.7</v>
      </c>
      <c r="K25" s="373">
        <v>26.3</v>
      </c>
      <c r="L25" s="19"/>
    </row>
    <row r="26" spans="1:12" s="3" customFormat="1" ht="16.5" customHeight="1" x14ac:dyDescent="0.15">
      <c r="A26" s="537"/>
      <c r="B26" s="243" t="s">
        <v>27</v>
      </c>
      <c r="C26" s="202">
        <v>18437</v>
      </c>
      <c r="D26" s="207">
        <v>485</v>
      </c>
      <c r="E26" s="207">
        <v>230</v>
      </c>
      <c r="F26" s="207">
        <v>464</v>
      </c>
      <c r="G26" s="207">
        <v>218</v>
      </c>
      <c r="H26" s="207">
        <v>160</v>
      </c>
      <c r="I26" s="207">
        <v>1885</v>
      </c>
      <c r="J26" s="207">
        <v>1881</v>
      </c>
      <c r="K26" s="207">
        <v>4787</v>
      </c>
      <c r="L26" s="144"/>
    </row>
    <row r="27" spans="1:12" s="3" customFormat="1" ht="16.5" customHeight="1" x14ac:dyDescent="0.15">
      <c r="A27" s="3" t="s">
        <v>298</v>
      </c>
      <c r="L27" s="144"/>
    </row>
    <row r="28" spans="1:12" s="3" customFormat="1" ht="16.5" customHeight="1" x14ac:dyDescent="0.15">
      <c r="L28" s="144"/>
    </row>
    <row r="29" spans="1:12" s="3" customFormat="1" ht="16.5" customHeight="1" x14ac:dyDescent="0.15">
      <c r="B29" s="538" t="s">
        <v>124</v>
      </c>
      <c r="C29" s="422" t="s">
        <v>125</v>
      </c>
      <c r="D29" s="422" t="s">
        <v>126</v>
      </c>
      <c r="E29" s="422" t="s">
        <v>127</v>
      </c>
      <c r="F29" s="422" t="s">
        <v>128</v>
      </c>
      <c r="G29" s="422" t="s">
        <v>129</v>
      </c>
      <c r="H29" s="422" t="s">
        <v>130</v>
      </c>
      <c r="I29" s="422" t="s">
        <v>131</v>
      </c>
      <c r="J29" s="422" t="s">
        <v>132</v>
      </c>
      <c r="K29" s="423" t="s">
        <v>133</v>
      </c>
      <c r="L29" s="144"/>
    </row>
    <row r="30" spans="1:12" s="3" customFormat="1" ht="16.5" customHeight="1" x14ac:dyDescent="0.15">
      <c r="B30" s="538"/>
      <c r="C30" s="422"/>
      <c r="D30" s="422"/>
      <c r="E30" s="422"/>
      <c r="F30" s="422"/>
      <c r="G30" s="422"/>
      <c r="H30" s="422"/>
      <c r="I30" s="422"/>
      <c r="J30" s="422"/>
      <c r="K30" s="423"/>
      <c r="L30" s="144"/>
    </row>
    <row r="31" spans="1:12" s="3" customFormat="1" ht="16.5" customHeight="1" x14ac:dyDescent="0.15">
      <c r="B31" s="14">
        <v>14524</v>
      </c>
      <c r="C31" s="14">
        <v>36560</v>
      </c>
      <c r="D31" s="14">
        <v>15878</v>
      </c>
      <c r="E31" s="14">
        <v>45533</v>
      </c>
      <c r="F31" s="14">
        <v>30446</v>
      </c>
      <c r="G31" s="14">
        <v>14812</v>
      </c>
      <c r="H31" s="14">
        <v>25748</v>
      </c>
      <c r="I31" s="14">
        <v>30024</v>
      </c>
      <c r="J31" s="14">
        <v>16369</v>
      </c>
      <c r="K31" s="14">
        <v>8481</v>
      </c>
      <c r="L31" s="144"/>
    </row>
    <row r="32" spans="1:12" s="11" customFormat="1" ht="16.5" customHeight="1" x14ac:dyDescent="0.15">
      <c r="B32" s="18">
        <v>3.0654996211393679</v>
      </c>
      <c r="C32" s="18">
        <v>7.7165151575912487</v>
      </c>
      <c r="D32" s="18">
        <v>3.3512808444265274</v>
      </c>
      <c r="E32" s="18">
        <v>9.6103961890208502</v>
      </c>
      <c r="F32" s="18">
        <v>6.426067300000633</v>
      </c>
      <c r="G32" s="18">
        <v>3.1262861738031065</v>
      </c>
      <c r="H32" s="18">
        <v>5.4344866596733983</v>
      </c>
      <c r="I32" s="18">
        <v>6.3369981151947394</v>
      </c>
      <c r="J32" s="18">
        <v>3.4549134741414425</v>
      </c>
      <c r="K32" s="18">
        <v>1.7900373372957159</v>
      </c>
      <c r="L32" s="21"/>
    </row>
    <row r="33" spans="1:12" s="3" customFormat="1" ht="16.5" customHeight="1" x14ac:dyDescent="0.15">
      <c r="B33" s="207">
        <v>13347</v>
      </c>
      <c r="C33" s="207">
        <v>38125</v>
      </c>
      <c r="D33" s="207">
        <v>16281</v>
      </c>
      <c r="E33" s="207">
        <v>42437</v>
      </c>
      <c r="F33" s="207">
        <v>31325</v>
      </c>
      <c r="G33" s="207">
        <v>12432</v>
      </c>
      <c r="H33" s="207">
        <v>26581</v>
      </c>
      <c r="I33" s="207">
        <v>29374</v>
      </c>
      <c r="J33" s="207">
        <v>15951</v>
      </c>
      <c r="K33" s="207">
        <v>8747</v>
      </c>
      <c r="L33" s="144"/>
    </row>
    <row r="34" spans="1:12" s="3" customFormat="1" ht="16.5" customHeight="1" x14ac:dyDescent="0.15">
      <c r="B34" s="45">
        <v>116</v>
      </c>
      <c r="C34" s="45">
        <v>780</v>
      </c>
      <c r="D34" s="45">
        <v>353</v>
      </c>
      <c r="E34" s="45">
        <v>1859</v>
      </c>
      <c r="F34" s="45">
        <v>908</v>
      </c>
      <c r="G34" s="45">
        <v>1054</v>
      </c>
      <c r="H34" s="45">
        <v>1017</v>
      </c>
      <c r="I34" s="45">
        <v>1697</v>
      </c>
      <c r="J34" s="45">
        <v>91</v>
      </c>
      <c r="K34" s="45">
        <v>72</v>
      </c>
      <c r="L34" s="144"/>
    </row>
    <row r="35" spans="1:12" s="1" customFormat="1" ht="16.5" customHeight="1" x14ac:dyDescent="0.15">
      <c r="B35" s="373">
        <v>0.64800849114574599</v>
      </c>
      <c r="C35" s="373">
        <v>4.3572984749455337</v>
      </c>
      <c r="D35" s="373">
        <v>1.9719568739176581</v>
      </c>
      <c r="E35" s="373">
        <v>10.384894698620188</v>
      </c>
      <c r="F35" s="373">
        <v>5.0723423272442876</v>
      </c>
      <c r="G35" s="373">
        <v>5.8879392212725552</v>
      </c>
      <c r="H35" s="373">
        <v>5.6812468577174462</v>
      </c>
      <c r="I35" s="373">
        <v>9.4799173230545772</v>
      </c>
      <c r="J35" s="373">
        <v>0.50835148874364555</v>
      </c>
      <c r="K35" s="373">
        <v>0.40221216691804923</v>
      </c>
      <c r="L35" s="19"/>
    </row>
    <row r="36" spans="1:12" s="3" customFormat="1" ht="16.5" customHeight="1" x14ac:dyDescent="0.15">
      <c r="B36" s="207">
        <v>131</v>
      </c>
      <c r="C36" s="207">
        <v>834</v>
      </c>
      <c r="D36" s="207">
        <v>365</v>
      </c>
      <c r="E36" s="207">
        <v>1852</v>
      </c>
      <c r="F36" s="207">
        <v>961</v>
      </c>
      <c r="G36" s="207">
        <v>1157</v>
      </c>
      <c r="H36" s="207">
        <v>1135</v>
      </c>
      <c r="I36" s="207">
        <v>1711</v>
      </c>
      <c r="J36" s="207">
        <v>89</v>
      </c>
      <c r="K36" s="207">
        <v>92</v>
      </c>
      <c r="L36" s="144"/>
    </row>
    <row r="37" spans="1:12" s="3" customFormat="1" ht="16.5" customHeight="1" x14ac:dyDescent="0.15">
      <c r="A37" s="111"/>
      <c r="B37" s="112"/>
      <c r="C37" s="60"/>
      <c r="D37" s="60"/>
      <c r="E37" s="60"/>
      <c r="F37" s="60"/>
      <c r="G37" s="60"/>
      <c r="H37" s="60"/>
      <c r="I37" s="60"/>
      <c r="J37" s="60"/>
      <c r="K37" s="60"/>
      <c r="L37" s="65"/>
    </row>
    <row r="38" spans="1:12" s="3" customFormat="1" ht="16.5" customHeight="1" x14ac:dyDescent="0.15">
      <c r="A38" s="80" t="s">
        <v>207</v>
      </c>
      <c r="L38" s="144"/>
    </row>
    <row r="39" spans="1:12" s="3" customFormat="1" ht="16.5" customHeight="1" x14ac:dyDescent="0.15">
      <c r="A39" s="245" t="s">
        <v>37</v>
      </c>
      <c r="B39" s="506" t="s">
        <v>53</v>
      </c>
      <c r="C39" s="423" t="s">
        <v>31</v>
      </c>
      <c r="D39" s="519"/>
      <c r="E39" s="519"/>
      <c r="F39" s="519"/>
      <c r="G39" s="519"/>
      <c r="H39" s="519"/>
      <c r="I39" s="519"/>
      <c r="J39" s="519"/>
      <c r="K39" s="519"/>
      <c r="L39" s="519"/>
    </row>
    <row r="40" spans="1:12" s="3" customFormat="1" ht="22.5" x14ac:dyDescent="0.15">
      <c r="A40" s="246" t="s">
        <v>67</v>
      </c>
      <c r="B40" s="429"/>
      <c r="C40" s="247" t="s">
        <v>4</v>
      </c>
      <c r="D40" s="247" t="s">
        <v>56</v>
      </c>
      <c r="E40" s="247" t="s">
        <v>38</v>
      </c>
      <c r="F40" s="247" t="s">
        <v>13</v>
      </c>
      <c r="G40" s="272" t="s">
        <v>162</v>
      </c>
      <c r="H40" s="247" t="s">
        <v>10</v>
      </c>
      <c r="I40" s="247" t="s">
        <v>9</v>
      </c>
      <c r="J40" s="272" t="s">
        <v>179</v>
      </c>
      <c r="K40" s="247" t="s">
        <v>57</v>
      </c>
      <c r="L40" s="258" t="s">
        <v>36</v>
      </c>
    </row>
    <row r="41" spans="1:12" s="3" customFormat="1" ht="16.5" customHeight="1" x14ac:dyDescent="0.15">
      <c r="A41" s="197" t="s">
        <v>120</v>
      </c>
      <c r="B41" s="108">
        <v>44399</v>
      </c>
      <c r="C41" s="108">
        <v>41980</v>
      </c>
      <c r="D41" s="14">
        <v>73</v>
      </c>
      <c r="E41" s="14">
        <v>72</v>
      </c>
      <c r="F41" s="14">
        <v>29015</v>
      </c>
      <c r="G41" s="14">
        <v>1255</v>
      </c>
      <c r="H41" s="14">
        <v>1164</v>
      </c>
      <c r="I41" s="14">
        <v>1895</v>
      </c>
      <c r="J41" s="14">
        <v>127</v>
      </c>
      <c r="K41" s="14">
        <v>1221</v>
      </c>
      <c r="L41" s="14">
        <v>7158</v>
      </c>
    </row>
    <row r="42" spans="1:12" s="1" customFormat="1" ht="16.5" customHeight="1" x14ac:dyDescent="0.15">
      <c r="A42" s="244" t="s">
        <v>491</v>
      </c>
      <c r="B42" s="202"/>
      <c r="C42" s="204">
        <v>100</v>
      </c>
      <c r="D42" s="381">
        <v>0.17389232968080037</v>
      </c>
      <c r="E42" s="382">
        <v>0.1715102429728442</v>
      </c>
      <c r="F42" s="382">
        <v>69.116245831348266</v>
      </c>
      <c r="G42" s="382">
        <v>2.9</v>
      </c>
      <c r="H42" s="382">
        <v>2.7727489280609814</v>
      </c>
      <c r="I42" s="382">
        <v>4.5140543115769409</v>
      </c>
      <c r="J42" s="382">
        <v>0.30252501191043357</v>
      </c>
      <c r="K42" s="382">
        <v>2.908527870414483</v>
      </c>
      <c r="L42" s="382">
        <v>17.050976655550262</v>
      </c>
    </row>
  </sheetData>
  <sheetProtection algorithmName="SHA-512" hashValue="+jM/MkiQVfDcVntRr/UZGAZJjaVcLGv6W3CZNPYMqfWkUDTLViUkC+2OXQwI2xCaA63OhMwdSyr9AIqxnSKhOA==" saltValue="mfkFnos7HTmMswEx5OvpIw==" spinCount="100000" sheet="1" objects="1" scenarios="1"/>
  <mergeCells count="38">
    <mergeCell ref="I29:I30"/>
    <mergeCell ref="G19:G20"/>
    <mergeCell ref="H19:H20"/>
    <mergeCell ref="E19:E20"/>
    <mergeCell ref="E29:E30"/>
    <mergeCell ref="F19:F20"/>
    <mergeCell ref="A6:L6"/>
    <mergeCell ref="A4:L4"/>
    <mergeCell ref="E12:F12"/>
    <mergeCell ref="I19:I20"/>
    <mergeCell ref="E14:F14"/>
    <mergeCell ref="J19:J20"/>
    <mergeCell ref="E15:F15"/>
    <mergeCell ref="E13:F13"/>
    <mergeCell ref="B9:B11"/>
    <mergeCell ref="G9:G11"/>
    <mergeCell ref="C10:C11"/>
    <mergeCell ref="D10:D11"/>
    <mergeCell ref="H9:H11"/>
    <mergeCell ref="C9:F9"/>
    <mergeCell ref="E10:F11"/>
    <mergeCell ref="A20:B20"/>
    <mergeCell ref="A19:B19"/>
    <mergeCell ref="C39:L39"/>
    <mergeCell ref="D19:D20"/>
    <mergeCell ref="D29:D30"/>
    <mergeCell ref="C19:C20"/>
    <mergeCell ref="A21:A23"/>
    <mergeCell ref="A24:A26"/>
    <mergeCell ref="B39:B40"/>
    <mergeCell ref="B29:B30"/>
    <mergeCell ref="C29:C30"/>
    <mergeCell ref="K29:K30"/>
    <mergeCell ref="K19:K20"/>
    <mergeCell ref="F29:F30"/>
    <mergeCell ref="G29:G30"/>
    <mergeCell ref="H29:H30"/>
    <mergeCell ref="J29:J30"/>
  </mergeCells>
  <phoneticPr fontId="5" type="noConversion"/>
  <pageMargins left="0.24" right="0.05" top="0.57999999999999996" bottom="0.16" header="0.5" footer="0.5"/>
  <pageSetup paperSize="9" scale="77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4"/>
  <sheetViews>
    <sheetView showGridLines="0" zoomScaleNormal="100" zoomScaleSheetLayoutView="100" workbookViewId="0"/>
  </sheetViews>
  <sheetFormatPr defaultRowHeight="16.5" customHeight="1" x14ac:dyDescent="0.15"/>
  <cols>
    <col min="1" max="1" width="11.109375" style="84" customWidth="1"/>
    <col min="2" max="12" width="8.88671875" style="84" customWidth="1"/>
    <col min="13" max="16384" width="8.88671875" style="84"/>
  </cols>
  <sheetData>
    <row r="1" spans="1:12" s="3" customFormat="1" ht="16.5" customHeight="1" x14ac:dyDescent="0.15">
      <c r="A1" s="236" t="s">
        <v>58</v>
      </c>
      <c r="B1" s="60"/>
      <c r="C1" s="60"/>
      <c r="D1" s="60"/>
      <c r="E1" s="60"/>
      <c r="F1" s="60"/>
      <c r="G1" s="60"/>
      <c r="H1" s="60"/>
      <c r="I1" s="60"/>
      <c r="J1" s="249"/>
      <c r="K1" s="60"/>
    </row>
    <row r="2" spans="1:12" s="3" customFormat="1" ht="16.5" customHeight="1" x14ac:dyDescent="0.15">
      <c r="A2" s="111"/>
      <c r="B2" s="60"/>
      <c r="C2" s="60"/>
      <c r="D2" s="60"/>
      <c r="E2" s="60"/>
      <c r="F2" s="60"/>
      <c r="I2" s="60"/>
      <c r="J2" s="60"/>
      <c r="K2" s="60"/>
    </row>
    <row r="3" spans="1:12" s="3" customFormat="1" ht="16.5" customHeight="1" x14ac:dyDescent="0.15">
      <c r="A3" s="236" t="s">
        <v>24</v>
      </c>
      <c r="B3" s="60"/>
      <c r="C3" s="60"/>
      <c r="D3" s="60"/>
      <c r="E3" s="60"/>
      <c r="F3" s="60"/>
      <c r="G3" s="60"/>
      <c r="H3" s="60"/>
      <c r="I3" s="60"/>
      <c r="J3" s="60"/>
      <c r="K3" s="60"/>
    </row>
    <row r="4" spans="1:12" s="3" customFormat="1" ht="24" customHeight="1" x14ac:dyDescent="0.15">
      <c r="A4" s="546" t="s">
        <v>679</v>
      </c>
      <c r="B4" s="546"/>
      <c r="C4" s="546"/>
      <c r="D4" s="546"/>
      <c r="E4" s="546"/>
      <c r="F4" s="546"/>
      <c r="G4" s="546"/>
      <c r="H4" s="546"/>
      <c r="I4" s="546"/>
      <c r="J4" s="546"/>
      <c r="K4" s="546"/>
      <c r="L4" s="331"/>
    </row>
    <row r="5" spans="1:12" s="3" customFormat="1" ht="16.5" customHeight="1" x14ac:dyDescent="0.15">
      <c r="A5" s="111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2" s="3" customFormat="1" ht="16.5" customHeight="1" x14ac:dyDescent="0.15">
      <c r="A6" s="236" t="s">
        <v>54</v>
      </c>
      <c r="B6" s="60"/>
      <c r="C6" s="60"/>
      <c r="D6" s="60"/>
      <c r="E6" s="60"/>
      <c r="F6" s="60"/>
      <c r="G6" s="60"/>
      <c r="H6" s="60"/>
      <c r="I6" s="60"/>
      <c r="J6" s="60"/>
      <c r="K6" s="60"/>
    </row>
    <row r="7" spans="1:12" s="3" customFormat="1" ht="16.5" customHeight="1" x14ac:dyDescent="0.15">
      <c r="A7" s="323" t="s">
        <v>592</v>
      </c>
      <c r="B7" s="60"/>
      <c r="C7" s="60"/>
      <c r="D7" s="60"/>
      <c r="E7" s="60"/>
      <c r="F7" s="60"/>
      <c r="G7" s="60"/>
      <c r="H7" s="60"/>
      <c r="I7" s="60"/>
      <c r="J7" s="60"/>
      <c r="K7" s="60"/>
    </row>
    <row r="8" spans="1:12" s="3" customFormat="1" ht="16.5" customHeight="1" x14ac:dyDescent="0.15">
      <c r="A8" s="111"/>
      <c r="B8" s="60"/>
      <c r="C8" s="60"/>
      <c r="D8" s="60"/>
      <c r="E8" s="60"/>
      <c r="F8" s="60"/>
      <c r="G8" s="60"/>
      <c r="H8" s="60"/>
      <c r="I8" s="60"/>
      <c r="J8" s="60"/>
      <c r="K8" s="60"/>
    </row>
    <row r="9" spans="1:12" s="3" customFormat="1" ht="16.5" customHeight="1" x14ac:dyDescent="0.15">
      <c r="A9" s="250" t="s">
        <v>593</v>
      </c>
    </row>
    <row r="10" spans="1:12" s="3" customFormat="1" ht="16.5" customHeight="1" x14ac:dyDescent="0.15">
      <c r="A10" s="328" t="s">
        <v>594</v>
      </c>
      <c r="B10" s="422" t="s">
        <v>93</v>
      </c>
      <c r="C10" s="425" t="s">
        <v>546</v>
      </c>
      <c r="D10" s="425" t="s">
        <v>547</v>
      </c>
      <c r="E10" s="425" t="s">
        <v>595</v>
      </c>
      <c r="F10" s="425" t="s">
        <v>549</v>
      </c>
      <c r="G10" s="425" t="s">
        <v>550</v>
      </c>
      <c r="H10" s="422" t="s">
        <v>551</v>
      </c>
      <c r="I10" s="422" t="s">
        <v>122</v>
      </c>
      <c r="J10" s="423" t="s">
        <v>123</v>
      </c>
    </row>
    <row r="11" spans="1:12" s="3" customFormat="1" ht="16.5" customHeight="1" x14ac:dyDescent="0.15">
      <c r="A11" s="394" t="s">
        <v>686</v>
      </c>
      <c r="B11" s="422"/>
      <c r="C11" s="422"/>
      <c r="D11" s="422"/>
      <c r="E11" s="422"/>
      <c r="F11" s="422"/>
      <c r="G11" s="422"/>
      <c r="H11" s="422"/>
      <c r="I11" s="422"/>
      <c r="J11" s="423"/>
    </row>
    <row r="12" spans="1:12" s="3" customFormat="1" ht="16.5" customHeight="1" x14ac:dyDescent="0.15">
      <c r="A12" s="336" t="s">
        <v>444</v>
      </c>
      <c r="B12" s="108">
        <v>67864</v>
      </c>
      <c r="C12" s="286">
        <v>4581</v>
      </c>
      <c r="D12" s="286">
        <v>2425</v>
      </c>
      <c r="E12" s="286">
        <v>4845</v>
      </c>
      <c r="F12" s="286">
        <v>6492</v>
      </c>
      <c r="G12" s="286">
        <v>2370</v>
      </c>
      <c r="H12" s="286">
        <v>4697</v>
      </c>
      <c r="I12" s="286">
        <v>6261</v>
      </c>
      <c r="J12" s="286">
        <v>9882</v>
      </c>
    </row>
    <row r="13" spans="1:12" s="3" customFormat="1" ht="16.5" customHeight="1" x14ac:dyDescent="0.15">
      <c r="A13" s="295" t="s">
        <v>443</v>
      </c>
      <c r="B13" s="296">
        <v>100</v>
      </c>
      <c r="C13" s="334">
        <v>6.7502652363550633</v>
      </c>
      <c r="D13" s="334">
        <v>3.5733231168218791</v>
      </c>
      <c r="E13" s="364">
        <v>7.1392785571142285</v>
      </c>
      <c r="F13" s="364">
        <v>9.5661912059412941</v>
      </c>
      <c r="G13" s="364">
        <v>3.4922786749970531</v>
      </c>
      <c r="H13" s="364">
        <v>6.9211953318401509</v>
      </c>
      <c r="I13" s="364">
        <v>9.2258045502770241</v>
      </c>
      <c r="J13" s="364">
        <v>14.561475892962395</v>
      </c>
      <c r="K13" s="11"/>
      <c r="L13" s="11"/>
    </row>
    <row r="14" spans="1:12" s="3" customFormat="1" ht="16.5" customHeight="1" x14ac:dyDescent="0.15"/>
    <row r="15" spans="1:12" s="3" customFormat="1" ht="16.5" customHeight="1" x14ac:dyDescent="0.15">
      <c r="A15" s="538" t="s">
        <v>124</v>
      </c>
      <c r="B15" s="422" t="s">
        <v>125</v>
      </c>
      <c r="C15" s="422" t="s">
        <v>126</v>
      </c>
      <c r="D15" s="422" t="s">
        <v>127</v>
      </c>
      <c r="E15" s="422" t="s">
        <v>128</v>
      </c>
      <c r="F15" s="422" t="s">
        <v>129</v>
      </c>
      <c r="G15" s="422" t="s">
        <v>130</v>
      </c>
      <c r="H15" s="422" t="s">
        <v>131</v>
      </c>
      <c r="I15" s="422" t="s">
        <v>132</v>
      </c>
      <c r="J15" s="423" t="s">
        <v>133</v>
      </c>
    </row>
    <row r="16" spans="1:12" s="3" customFormat="1" ht="16.5" customHeight="1" x14ac:dyDescent="0.15">
      <c r="A16" s="538"/>
      <c r="B16" s="422"/>
      <c r="C16" s="422"/>
      <c r="D16" s="422"/>
      <c r="E16" s="422"/>
      <c r="F16" s="422"/>
      <c r="G16" s="422"/>
      <c r="H16" s="422"/>
      <c r="I16" s="422"/>
      <c r="J16" s="423"/>
    </row>
    <row r="17" spans="1:12" s="3" customFormat="1" ht="16.5" customHeight="1" x14ac:dyDescent="0.15">
      <c r="A17" s="286">
        <v>1285</v>
      </c>
      <c r="B17" s="286">
        <v>3491</v>
      </c>
      <c r="C17" s="286">
        <v>1149</v>
      </c>
      <c r="D17" s="286">
        <v>5529</v>
      </c>
      <c r="E17" s="286">
        <v>4158</v>
      </c>
      <c r="F17" s="286">
        <v>2093</v>
      </c>
      <c r="G17" s="286">
        <v>3695</v>
      </c>
      <c r="H17" s="286">
        <v>2355</v>
      </c>
      <c r="I17" s="286">
        <v>1403</v>
      </c>
      <c r="J17" s="286">
        <v>1153</v>
      </c>
    </row>
    <row r="18" spans="1:12" s="3" customFormat="1" ht="16.5" customHeight="1" x14ac:dyDescent="0.15">
      <c r="A18" s="334">
        <v>1.8934928680891194</v>
      </c>
      <c r="B18" s="364">
        <v>5.1441117529175999</v>
      </c>
      <c r="C18" s="364">
        <v>1.693092066485913</v>
      </c>
      <c r="D18" s="364">
        <v>8.1471767063538838</v>
      </c>
      <c r="E18" s="364">
        <v>6.126959801956855</v>
      </c>
      <c r="F18" s="364">
        <v>3.0841093952611103</v>
      </c>
      <c r="G18" s="364">
        <v>5.4447129553224096</v>
      </c>
      <c r="H18" s="364">
        <v>3.4701756454084638</v>
      </c>
      <c r="I18" s="364">
        <v>2.0673700341860193</v>
      </c>
      <c r="J18" s="364">
        <v>1.6989862077095368</v>
      </c>
      <c r="K18" s="11"/>
      <c r="L18" s="11"/>
    </row>
    <row r="19" spans="1:12" s="3" customFormat="1" ht="16.5" customHeight="1" x14ac:dyDescent="0.15"/>
    <row r="20" spans="1:12" s="3" customFormat="1" ht="16.5" customHeight="1" x14ac:dyDescent="0.15">
      <c r="A20" s="80" t="s">
        <v>596</v>
      </c>
    </row>
    <row r="21" spans="1:12" s="3" customFormat="1" ht="16.5" customHeight="1" x14ac:dyDescent="0.15">
      <c r="A21" s="328" t="s">
        <v>567</v>
      </c>
      <c r="B21" s="400" t="s">
        <v>93</v>
      </c>
      <c r="C21" s="400" t="s">
        <v>134</v>
      </c>
      <c r="D21" s="400"/>
      <c r="E21" s="400"/>
      <c r="F21" s="400"/>
      <c r="G21" s="400" t="s">
        <v>597</v>
      </c>
      <c r="H21" s="400" t="s">
        <v>598</v>
      </c>
      <c r="I21" s="400" t="s">
        <v>599</v>
      </c>
      <c r="J21" s="545" t="s">
        <v>600</v>
      </c>
      <c r="K21" s="400" t="s">
        <v>601</v>
      </c>
      <c r="L21" s="517" t="s">
        <v>602</v>
      </c>
    </row>
    <row r="22" spans="1:12" s="3" customFormat="1" ht="16.5" customHeight="1" x14ac:dyDescent="0.15">
      <c r="A22" s="246" t="s">
        <v>603</v>
      </c>
      <c r="B22" s="429"/>
      <c r="C22" s="324" t="s">
        <v>584</v>
      </c>
      <c r="D22" s="324" t="s">
        <v>604</v>
      </c>
      <c r="E22" s="324" t="s">
        <v>605</v>
      </c>
      <c r="F22" s="324" t="s">
        <v>135</v>
      </c>
      <c r="G22" s="429"/>
      <c r="H22" s="429"/>
      <c r="I22" s="429"/>
      <c r="J22" s="429"/>
      <c r="K22" s="429"/>
      <c r="L22" s="423"/>
    </row>
    <row r="23" spans="1:12" s="3" customFormat="1" ht="16.5" customHeight="1" x14ac:dyDescent="0.15">
      <c r="A23" s="251" t="s">
        <v>606</v>
      </c>
      <c r="B23" s="108">
        <v>67867</v>
      </c>
      <c r="C23" s="286">
        <v>58867</v>
      </c>
      <c r="D23" s="286">
        <v>58150</v>
      </c>
      <c r="E23" s="286">
        <v>40</v>
      </c>
      <c r="F23" s="286">
        <v>677</v>
      </c>
      <c r="G23" s="286">
        <v>5940</v>
      </c>
      <c r="H23" s="286">
        <v>2123</v>
      </c>
      <c r="I23" s="286">
        <v>596</v>
      </c>
      <c r="J23" s="286">
        <v>150</v>
      </c>
      <c r="K23" s="286">
        <v>191</v>
      </c>
      <c r="L23" s="90">
        <v>269</v>
      </c>
    </row>
    <row r="24" spans="1:12" s="3" customFormat="1" ht="16.5" customHeight="1" x14ac:dyDescent="0.15">
      <c r="A24" s="295" t="s">
        <v>607</v>
      </c>
      <c r="B24" s="296">
        <v>100</v>
      </c>
      <c r="C24" s="334">
        <v>86.738768473632248</v>
      </c>
      <c r="D24" s="334">
        <v>85.6</v>
      </c>
      <c r="E24" s="334">
        <v>5.8938806783856663E-2</v>
      </c>
      <c r="F24" s="334">
        <v>0.997539304816774</v>
      </c>
      <c r="G24" s="334">
        <v>8.752412807402715</v>
      </c>
      <c r="H24" s="334">
        <v>3.1281771700531924</v>
      </c>
      <c r="I24" s="334">
        <v>0.87818822107946426</v>
      </c>
      <c r="J24" s="334">
        <v>0.22102052543946249</v>
      </c>
      <c r="K24" s="297">
        <v>0.28143280239291557</v>
      </c>
      <c r="L24" s="229"/>
    </row>
  </sheetData>
  <sheetProtection algorithmName="SHA-512" hashValue="rDUFt8Bxnq/bAcw/buqHw+i+/ANXgB6h3vhHxb74QUUMJPs0DPuag89VX4xgwBIRb78JqQEu5CCa4Us19TaSPw==" saltValue="ZpexrPZ1uY0kKdKFTOREdA==" spinCount="100000" sheet="1" objects="1" scenarios="1"/>
  <mergeCells count="28">
    <mergeCell ref="F15:F16"/>
    <mergeCell ref="A4:K4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5:A16"/>
    <mergeCell ref="B15:B16"/>
    <mergeCell ref="C15:C16"/>
    <mergeCell ref="D15:D16"/>
    <mergeCell ref="E15:E16"/>
    <mergeCell ref="B21:B22"/>
    <mergeCell ref="C21:F21"/>
    <mergeCell ref="G21:G22"/>
    <mergeCell ref="H21:H22"/>
    <mergeCell ref="I21:I22"/>
    <mergeCell ref="K21:K22"/>
    <mergeCell ref="L21:L22"/>
    <mergeCell ref="G15:G16"/>
    <mergeCell ref="H15:H16"/>
    <mergeCell ref="I15:I16"/>
    <mergeCell ref="J15:J16"/>
    <mergeCell ref="J21:J22"/>
  </mergeCells>
  <phoneticPr fontId="5" type="noConversion"/>
  <pageMargins left="0.34" right="0.08" top="1" bottom="1" header="0.5" footer="0.5"/>
  <pageSetup paperSize="9" scale="78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41"/>
  <sheetViews>
    <sheetView showGridLines="0" zoomScaleNormal="100" zoomScaleSheetLayoutView="100" workbookViewId="0"/>
  </sheetViews>
  <sheetFormatPr defaultRowHeight="16.5" customHeight="1" x14ac:dyDescent="0.15"/>
  <cols>
    <col min="1" max="1" width="16.6640625" style="84" customWidth="1"/>
    <col min="2" max="6" width="11.109375" style="84" customWidth="1"/>
    <col min="7" max="16384" width="8.88671875" style="84"/>
  </cols>
  <sheetData>
    <row r="1" spans="1:6" ht="16.5" customHeight="1" x14ac:dyDescent="0.15">
      <c r="A1" s="236" t="s">
        <v>608</v>
      </c>
      <c r="B1" s="112"/>
      <c r="C1" s="60"/>
      <c r="D1" s="60"/>
      <c r="E1" s="60"/>
      <c r="F1" s="60"/>
    </row>
    <row r="2" spans="1:6" ht="36" customHeight="1" x14ac:dyDescent="0.15">
      <c r="A2" s="505" t="s">
        <v>680</v>
      </c>
      <c r="B2" s="505"/>
      <c r="C2" s="505"/>
      <c r="D2" s="505"/>
      <c r="E2" s="505"/>
      <c r="F2" s="505"/>
    </row>
    <row r="4" spans="1:6" s="3" customFormat="1" ht="16.5" customHeight="1" x14ac:dyDescent="0.15">
      <c r="A4" s="80" t="s">
        <v>609</v>
      </c>
      <c r="F4" s="59"/>
    </row>
    <row r="5" spans="1:6" s="3" customFormat="1" ht="16.5" customHeight="1" x14ac:dyDescent="0.15">
      <c r="A5" s="328" t="s">
        <v>37</v>
      </c>
      <c r="B5" s="422" t="s">
        <v>153</v>
      </c>
      <c r="C5" s="422" t="s">
        <v>492</v>
      </c>
      <c r="D5" s="422" t="s">
        <v>63</v>
      </c>
      <c r="E5" s="422" t="s">
        <v>610</v>
      </c>
      <c r="F5" s="423" t="s">
        <v>611</v>
      </c>
    </row>
    <row r="6" spans="1:6" s="3" customFormat="1" ht="16.5" customHeight="1" x14ac:dyDescent="0.15">
      <c r="A6" s="246" t="s">
        <v>612</v>
      </c>
      <c r="B6" s="422"/>
      <c r="C6" s="422"/>
      <c r="D6" s="422"/>
      <c r="E6" s="422"/>
      <c r="F6" s="423"/>
    </row>
    <row r="7" spans="1:6" s="3" customFormat="1" ht="16.5" customHeight="1" x14ac:dyDescent="0.15">
      <c r="A7" s="337" t="s">
        <v>93</v>
      </c>
      <c r="B7" s="287">
        <v>429118</v>
      </c>
      <c r="C7" s="287">
        <v>386903</v>
      </c>
      <c r="D7" s="287">
        <v>42221</v>
      </c>
      <c r="E7" s="40">
        <v>90.162379578577458</v>
      </c>
      <c r="F7" s="48">
        <v>37211</v>
      </c>
    </row>
    <row r="8" spans="1:6" s="3" customFormat="1" ht="16.5" customHeight="1" x14ac:dyDescent="0.15">
      <c r="A8" s="336" t="s">
        <v>136</v>
      </c>
      <c r="B8" s="286">
        <v>29646</v>
      </c>
      <c r="C8" s="286">
        <v>24044</v>
      </c>
      <c r="D8" s="286">
        <v>5608</v>
      </c>
      <c r="E8" s="27">
        <v>81.103690211158323</v>
      </c>
      <c r="F8" s="288">
        <v>37211</v>
      </c>
    </row>
    <row r="9" spans="1:6" s="3" customFormat="1" ht="16.5" customHeight="1" x14ac:dyDescent="0.15">
      <c r="A9" s="336" t="s">
        <v>137</v>
      </c>
      <c r="B9" s="286">
        <v>37780</v>
      </c>
      <c r="C9" s="286">
        <v>36948</v>
      </c>
      <c r="D9" s="286">
        <v>832</v>
      </c>
      <c r="E9" s="27">
        <v>97.797776601376384</v>
      </c>
      <c r="F9" s="288">
        <v>0</v>
      </c>
    </row>
    <row r="10" spans="1:6" s="3" customFormat="1" ht="16.5" customHeight="1" x14ac:dyDescent="0.15">
      <c r="A10" s="336" t="s">
        <v>138</v>
      </c>
      <c r="B10" s="286">
        <v>14</v>
      </c>
      <c r="C10" s="286">
        <v>14</v>
      </c>
      <c r="D10" s="286">
        <v>0</v>
      </c>
      <c r="E10" s="27">
        <v>100</v>
      </c>
      <c r="F10" s="288">
        <v>0</v>
      </c>
    </row>
    <row r="11" spans="1:6" s="3" customFormat="1" ht="16.5" customHeight="1" x14ac:dyDescent="0.15">
      <c r="A11" s="336" t="s">
        <v>613</v>
      </c>
      <c r="B11" s="286">
        <v>289664</v>
      </c>
      <c r="C11" s="286">
        <v>258161</v>
      </c>
      <c r="D11" s="286">
        <v>31503</v>
      </c>
      <c r="E11" s="27">
        <v>89.124295735749001</v>
      </c>
      <c r="F11" s="288">
        <v>0</v>
      </c>
    </row>
    <row r="12" spans="1:6" s="3" customFormat="1" ht="16.5" customHeight="1" x14ac:dyDescent="0.15">
      <c r="A12" s="336" t="s">
        <v>139</v>
      </c>
      <c r="B12" s="286">
        <v>453</v>
      </c>
      <c r="C12" s="286">
        <v>452</v>
      </c>
      <c r="D12" s="286">
        <v>1</v>
      </c>
      <c r="E12" s="27">
        <v>99.779249448123622</v>
      </c>
      <c r="F12" s="288">
        <v>0</v>
      </c>
    </row>
    <row r="13" spans="1:6" s="3" customFormat="1" ht="16.5" customHeight="1" x14ac:dyDescent="0.15">
      <c r="A13" s="336" t="s">
        <v>614</v>
      </c>
      <c r="B13" s="286">
        <v>68</v>
      </c>
      <c r="C13" s="286">
        <v>60</v>
      </c>
      <c r="D13" s="286">
        <v>8</v>
      </c>
      <c r="E13" s="27">
        <v>88.235294117647058</v>
      </c>
      <c r="F13" s="288">
        <v>0</v>
      </c>
    </row>
    <row r="14" spans="1:6" s="3" customFormat="1" ht="16.5" customHeight="1" x14ac:dyDescent="0.15">
      <c r="A14" s="336" t="s">
        <v>615</v>
      </c>
      <c r="B14" s="286">
        <v>68304</v>
      </c>
      <c r="C14" s="286">
        <v>64077</v>
      </c>
      <c r="D14" s="286">
        <v>4227</v>
      </c>
      <c r="E14" s="27">
        <v>93.811489810260014</v>
      </c>
      <c r="F14" s="288">
        <v>0</v>
      </c>
    </row>
    <row r="15" spans="1:6" s="3" customFormat="1" ht="16.5" customHeight="1" x14ac:dyDescent="0.15">
      <c r="A15" s="336" t="s">
        <v>616</v>
      </c>
      <c r="B15" s="286">
        <v>100</v>
      </c>
      <c r="C15" s="286">
        <v>97</v>
      </c>
      <c r="D15" s="286">
        <v>3</v>
      </c>
      <c r="E15" s="27">
        <v>97</v>
      </c>
      <c r="F15" s="288">
        <v>0</v>
      </c>
    </row>
    <row r="16" spans="1:6" s="3" customFormat="1" ht="16.5" customHeight="1" x14ac:dyDescent="0.15">
      <c r="A16" s="336" t="s">
        <v>617</v>
      </c>
      <c r="B16" s="286">
        <v>1944</v>
      </c>
      <c r="C16" s="286">
        <v>1919</v>
      </c>
      <c r="D16" s="286">
        <v>25</v>
      </c>
      <c r="E16" s="27">
        <v>98.71399176954732</v>
      </c>
      <c r="F16" s="288">
        <v>0</v>
      </c>
    </row>
    <row r="17" spans="1:6" s="3" customFormat="1" ht="16.5" customHeight="1" x14ac:dyDescent="0.15">
      <c r="A17" s="235" t="s">
        <v>618</v>
      </c>
      <c r="B17" s="206">
        <v>1145</v>
      </c>
      <c r="C17" s="207">
        <v>1131</v>
      </c>
      <c r="D17" s="207">
        <v>14</v>
      </c>
      <c r="E17" s="208">
        <v>98.777292576419214</v>
      </c>
      <c r="F17" s="207">
        <v>0</v>
      </c>
    </row>
    <row r="18" spans="1:6" s="3" customFormat="1" ht="16.5" customHeight="1" x14ac:dyDescent="0.15">
      <c r="A18" s="3" t="s">
        <v>619</v>
      </c>
    </row>
    <row r="19" spans="1:6" s="3" customFormat="1" ht="24" customHeight="1" x14ac:dyDescent="0.15">
      <c r="A19" s="426" t="s">
        <v>690</v>
      </c>
      <c r="B19" s="547"/>
      <c r="C19" s="547"/>
      <c r="D19" s="547"/>
      <c r="E19" s="547"/>
      <c r="F19" s="547"/>
    </row>
    <row r="20" spans="1:6" s="3" customFormat="1" ht="16.5" customHeight="1" x14ac:dyDescent="0.15">
      <c r="A20" s="322" t="s">
        <v>620</v>
      </c>
    </row>
    <row r="21" spans="1:6" s="3" customFormat="1" ht="16.5" customHeight="1" x14ac:dyDescent="0.15">
      <c r="A21" s="322"/>
    </row>
    <row r="22" spans="1:6" s="3" customFormat="1" ht="24" customHeight="1" x14ac:dyDescent="0.15">
      <c r="A22" s="505" t="s">
        <v>715</v>
      </c>
      <c r="B22" s="505"/>
      <c r="C22" s="505"/>
      <c r="D22" s="505"/>
      <c r="E22" s="505"/>
      <c r="F22" s="505"/>
    </row>
    <row r="23" spans="1:6" s="3" customFormat="1" ht="16.5" customHeight="1" x14ac:dyDescent="0.15">
      <c r="A23" s="332"/>
      <c r="B23" s="332"/>
      <c r="C23" s="332"/>
      <c r="D23" s="332"/>
      <c r="E23" s="332"/>
      <c r="F23" s="59"/>
    </row>
    <row r="24" spans="1:6" s="148" customFormat="1" ht="16.5" customHeight="1" x14ac:dyDescent="0.15">
      <c r="A24" s="252" t="s">
        <v>621</v>
      </c>
    </row>
    <row r="25" spans="1:6" s="148" customFormat="1" ht="16.5" customHeight="1" x14ac:dyDescent="0.15">
      <c r="B25" s="253"/>
    </row>
    <row r="26" spans="1:6" s="148" customFormat="1" ht="16.5" customHeight="1" x14ac:dyDescent="0.15">
      <c r="A26" s="145"/>
      <c r="B26" s="280" t="s">
        <v>622</v>
      </c>
    </row>
    <row r="27" spans="1:6" s="148" customFormat="1" ht="16.5" customHeight="1" x14ac:dyDescent="0.15">
      <c r="A27" s="254" t="s">
        <v>222</v>
      </c>
      <c r="B27" s="64">
        <v>81.900000000000006</v>
      </c>
      <c r="F27" s="179"/>
    </row>
    <row r="28" spans="1:6" s="148" customFormat="1" ht="16.5" customHeight="1" x14ac:dyDescent="0.15">
      <c r="A28" s="254" t="s">
        <v>223</v>
      </c>
      <c r="B28" s="64">
        <v>81.8</v>
      </c>
      <c r="F28" s="179"/>
    </row>
    <row r="29" spans="1:6" s="148" customFormat="1" ht="16.5" customHeight="1" x14ac:dyDescent="0.15">
      <c r="A29" s="254" t="s">
        <v>224</v>
      </c>
      <c r="B29" s="64">
        <v>80.900000000000006</v>
      </c>
      <c r="F29" s="179"/>
    </row>
    <row r="30" spans="1:6" s="148" customFormat="1" ht="16.5" customHeight="1" x14ac:dyDescent="0.15">
      <c r="A30" s="254" t="s">
        <v>225</v>
      </c>
      <c r="B30" s="64">
        <v>81.3</v>
      </c>
      <c r="F30" s="179"/>
    </row>
    <row r="31" spans="1:6" s="148" customFormat="1" ht="16.5" customHeight="1" x14ac:dyDescent="0.15">
      <c r="A31" s="254" t="s">
        <v>493</v>
      </c>
      <c r="B31" s="64">
        <v>81.103690211158323</v>
      </c>
      <c r="F31" s="179"/>
    </row>
    <row r="32" spans="1:6" s="148" customFormat="1" ht="16.5" customHeight="1" x14ac:dyDescent="0.15">
      <c r="F32" s="179"/>
    </row>
    <row r="33" spans="6:6" s="148" customFormat="1" ht="16.5" customHeight="1" x14ac:dyDescent="0.15">
      <c r="F33" s="179"/>
    </row>
    <row r="34" spans="6:6" s="148" customFormat="1" ht="16.5" customHeight="1" x14ac:dyDescent="0.15">
      <c r="F34" s="179"/>
    </row>
    <row r="35" spans="6:6" s="148" customFormat="1" ht="16.5" customHeight="1" x14ac:dyDescent="0.15">
      <c r="F35" s="179"/>
    </row>
    <row r="36" spans="6:6" s="148" customFormat="1" ht="16.5" customHeight="1" x14ac:dyDescent="0.15">
      <c r="F36" s="179"/>
    </row>
    <row r="37" spans="6:6" s="148" customFormat="1" ht="16.5" customHeight="1" x14ac:dyDescent="0.15">
      <c r="F37" s="179"/>
    </row>
    <row r="38" spans="6:6" s="148" customFormat="1" ht="16.5" customHeight="1" x14ac:dyDescent="0.15">
      <c r="F38" s="179"/>
    </row>
    <row r="39" spans="6:6" s="148" customFormat="1" ht="16.5" customHeight="1" x14ac:dyDescent="0.15">
      <c r="F39" s="179"/>
    </row>
    <row r="40" spans="6:6" s="148" customFormat="1" ht="16.5" customHeight="1" x14ac:dyDescent="0.15">
      <c r="F40" s="179"/>
    </row>
    <row r="41" spans="6:6" s="148" customFormat="1" ht="16.5" customHeight="1" x14ac:dyDescent="0.15">
      <c r="F41" s="179"/>
    </row>
  </sheetData>
  <sheetProtection algorithmName="SHA-512" hashValue="l1Je9Fg6ze4fYkosBhuwlS2qHnAlOjzm6goL3/0NPucic0SOTpv5iaGww9n7lLn0VjieYFeWIcTVHoMROogYsA==" saltValue="rqPFnGFpiox9zHnBmn1r0Q==" spinCount="100000" sheet="1" objects="1" scenarios="1"/>
  <mergeCells count="8">
    <mergeCell ref="A19:F19"/>
    <mergeCell ref="A22:F22"/>
    <mergeCell ref="A2:F2"/>
    <mergeCell ref="B5:B6"/>
    <mergeCell ref="C5:C6"/>
    <mergeCell ref="D5:D6"/>
    <mergeCell ref="E5:E6"/>
    <mergeCell ref="F5:F6"/>
  </mergeCells>
  <phoneticPr fontId="5" type="noConversion"/>
  <pageMargins left="0.44" right="0.37" top="0.65" bottom="0.17" header="0.5" footer="0.5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J46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4" customWidth="1"/>
    <col min="2" max="2" width="9.5546875" style="84" customWidth="1"/>
    <col min="3" max="3" width="9.5546875" style="2" customWidth="1"/>
    <col min="4" max="5" width="9.5546875" style="84" customWidth="1"/>
    <col min="6" max="6" width="9.5546875" style="2" customWidth="1"/>
    <col min="7" max="8" width="9.5546875" style="84" customWidth="1"/>
    <col min="9" max="9" width="9.5546875" style="2" customWidth="1"/>
    <col min="10" max="10" width="9.5546875" style="84" customWidth="1"/>
    <col min="11" max="16384" width="8.88671875" style="299"/>
  </cols>
  <sheetData>
    <row r="1" spans="1:10" ht="16.5" customHeight="1" x14ac:dyDescent="0.15">
      <c r="A1" s="80" t="s">
        <v>184</v>
      </c>
    </row>
    <row r="3" spans="1:10" ht="16.5" customHeight="1" x14ac:dyDescent="0.15">
      <c r="A3" s="80" t="s">
        <v>59</v>
      </c>
      <c r="B3" s="3"/>
      <c r="C3" s="1"/>
      <c r="D3" s="3"/>
      <c r="E3" s="3"/>
      <c r="F3" s="1"/>
    </row>
    <row r="4" spans="1:10" ht="24" customHeight="1" x14ac:dyDescent="0.15">
      <c r="A4" s="399" t="s">
        <v>681</v>
      </c>
      <c r="B4" s="399"/>
      <c r="C4" s="399"/>
      <c r="D4" s="399"/>
      <c r="E4" s="399"/>
      <c r="F4" s="399"/>
      <c r="G4" s="399"/>
      <c r="H4" s="399"/>
      <c r="I4" s="399"/>
      <c r="J4" s="399"/>
    </row>
    <row r="6" spans="1:10" s="157" customFormat="1" ht="16.5" customHeight="1" x14ac:dyDescent="0.15">
      <c r="A6" s="252" t="s">
        <v>208</v>
      </c>
      <c r="B6" s="148"/>
      <c r="C6" s="6"/>
      <c r="D6" s="148"/>
      <c r="E6" s="148"/>
      <c r="F6" s="6"/>
      <c r="G6" s="148"/>
      <c r="H6" s="148"/>
      <c r="I6" s="6"/>
      <c r="J6" s="148"/>
    </row>
    <row r="7" spans="1:10" s="157" customFormat="1" ht="16.5" customHeight="1" x14ac:dyDescent="0.15">
      <c r="A7" s="148"/>
      <c r="B7" s="148"/>
      <c r="C7" s="6"/>
      <c r="D7" s="148"/>
      <c r="E7" s="148"/>
      <c r="F7" s="6"/>
      <c r="G7" s="148"/>
      <c r="H7" s="148"/>
      <c r="I7" s="6"/>
      <c r="J7" s="148"/>
    </row>
    <row r="8" spans="1:10" s="157" customFormat="1" ht="16.5" customHeight="1" x14ac:dyDescent="0.15">
      <c r="A8" s="298"/>
      <c r="B8" s="300" t="s">
        <v>624</v>
      </c>
      <c r="C8" s="6"/>
      <c r="D8" s="148"/>
      <c r="E8" s="148"/>
      <c r="F8" s="6"/>
      <c r="G8" s="148"/>
      <c r="H8" s="148"/>
      <c r="I8" s="6"/>
      <c r="J8" s="148"/>
    </row>
    <row r="9" spans="1:10" s="157" customFormat="1" ht="16.5" customHeight="1" x14ac:dyDescent="0.15">
      <c r="A9" s="256" t="s">
        <v>625</v>
      </c>
      <c r="B9" s="122">
        <v>78573</v>
      </c>
      <c r="C9" s="23"/>
      <c r="D9" s="179"/>
      <c r="E9" s="179"/>
      <c r="F9" s="23"/>
      <c r="G9" s="148"/>
      <c r="H9" s="148"/>
      <c r="I9" s="6"/>
      <c r="J9" s="148"/>
    </row>
    <row r="10" spans="1:10" s="157" customFormat="1" ht="16.5" customHeight="1" x14ac:dyDescent="0.15">
      <c r="A10" s="256" t="s">
        <v>623</v>
      </c>
      <c r="B10" s="122">
        <v>94091</v>
      </c>
      <c r="C10" s="23"/>
      <c r="D10" s="179"/>
      <c r="E10" s="179"/>
      <c r="F10" s="23"/>
      <c r="G10" s="148"/>
      <c r="H10" s="148"/>
      <c r="I10" s="6"/>
      <c r="J10" s="148"/>
    </row>
    <row r="11" spans="1:10" s="157" customFormat="1" ht="16.5" customHeight="1" x14ac:dyDescent="0.15">
      <c r="A11" s="256" t="s">
        <v>626</v>
      </c>
      <c r="B11" s="122">
        <v>101010</v>
      </c>
      <c r="C11" s="23"/>
      <c r="D11" s="179"/>
      <c r="E11" s="179"/>
      <c r="F11" s="23"/>
      <c r="G11" s="148"/>
      <c r="H11" s="148"/>
      <c r="I11" s="6"/>
      <c r="J11" s="148"/>
    </row>
    <row r="12" spans="1:10" s="157" customFormat="1" ht="16.5" customHeight="1" x14ac:dyDescent="0.15">
      <c r="A12" s="256" t="s">
        <v>627</v>
      </c>
      <c r="B12" s="122">
        <v>93441</v>
      </c>
      <c r="C12" s="23"/>
      <c r="D12" s="179"/>
      <c r="E12" s="179"/>
      <c r="F12" s="23"/>
      <c r="G12" s="148"/>
      <c r="H12" s="148"/>
      <c r="I12" s="6"/>
      <c r="J12" s="148"/>
    </row>
    <row r="13" spans="1:10" s="157" customFormat="1" ht="16.5" customHeight="1" x14ac:dyDescent="0.15">
      <c r="A13" s="256" t="s">
        <v>628</v>
      </c>
      <c r="B13" s="122">
        <v>79822</v>
      </c>
      <c r="C13" s="23"/>
      <c r="D13" s="179"/>
      <c r="E13" s="179"/>
      <c r="F13" s="23"/>
      <c r="G13" s="148"/>
      <c r="H13" s="148"/>
      <c r="I13" s="6"/>
      <c r="J13" s="148"/>
    </row>
    <row r="14" spans="1:10" s="157" customFormat="1" ht="16.5" customHeight="1" x14ac:dyDescent="0.15">
      <c r="A14" s="256" t="s">
        <v>629</v>
      </c>
      <c r="B14" s="122">
        <v>73743</v>
      </c>
      <c r="C14" s="23"/>
      <c r="D14" s="179"/>
      <c r="E14" s="179"/>
      <c r="F14" s="23"/>
      <c r="G14" s="148"/>
      <c r="H14" s="148"/>
      <c r="I14" s="6"/>
      <c r="J14" s="148"/>
    </row>
    <row r="15" spans="1:10" s="157" customFormat="1" ht="16.5" customHeight="1" x14ac:dyDescent="0.15">
      <c r="A15" s="256" t="s">
        <v>630</v>
      </c>
      <c r="B15" s="122">
        <v>71293</v>
      </c>
      <c r="C15" s="23"/>
      <c r="D15" s="179"/>
      <c r="E15" s="179"/>
      <c r="F15" s="23"/>
      <c r="G15" s="148"/>
      <c r="H15" s="148"/>
      <c r="I15" s="6"/>
      <c r="J15" s="148"/>
    </row>
    <row r="16" spans="1:10" s="157" customFormat="1" ht="16.5" customHeight="1" x14ac:dyDescent="0.15">
      <c r="A16" s="256" t="s">
        <v>631</v>
      </c>
      <c r="B16" s="122">
        <v>64886</v>
      </c>
      <c r="C16" s="23"/>
      <c r="D16" s="179"/>
      <c r="E16" s="179"/>
      <c r="F16" s="23"/>
      <c r="G16" s="148"/>
      <c r="H16" s="148"/>
      <c r="I16" s="6"/>
      <c r="J16" s="148"/>
    </row>
    <row r="17" spans="1:10" s="157" customFormat="1" ht="16.5" customHeight="1" x14ac:dyDescent="0.15">
      <c r="A17" s="256" t="s">
        <v>632</v>
      </c>
      <c r="B17" s="122">
        <v>59197</v>
      </c>
      <c r="C17" s="23"/>
      <c r="D17" s="179"/>
      <c r="E17" s="179"/>
      <c r="F17" s="23"/>
      <c r="G17" s="148"/>
      <c r="H17" s="148"/>
      <c r="I17" s="6"/>
      <c r="J17" s="148"/>
    </row>
    <row r="18" spans="1:10" s="157" customFormat="1" ht="16.5" customHeight="1" x14ac:dyDescent="0.15">
      <c r="A18" s="256" t="s">
        <v>633</v>
      </c>
      <c r="B18" s="122">
        <v>62362</v>
      </c>
      <c r="C18" s="23"/>
      <c r="D18" s="179"/>
      <c r="E18" s="179"/>
      <c r="F18" s="23"/>
      <c r="G18" s="148"/>
      <c r="H18" s="148"/>
      <c r="I18" s="6"/>
      <c r="J18" s="148"/>
    </row>
    <row r="19" spans="1:10" s="157" customFormat="1" ht="16.5" customHeight="1" x14ac:dyDescent="0.15">
      <c r="A19" s="148"/>
      <c r="B19" s="148"/>
      <c r="C19" s="23"/>
      <c r="D19" s="179"/>
      <c r="E19" s="179"/>
      <c r="F19" s="23"/>
      <c r="G19" s="148"/>
      <c r="H19" s="148"/>
      <c r="I19" s="6"/>
      <c r="J19" s="148"/>
    </row>
    <row r="20" spans="1:10" s="157" customFormat="1" ht="16.5" customHeight="1" x14ac:dyDescent="0.15">
      <c r="A20" s="148"/>
      <c r="B20" s="148"/>
      <c r="C20" s="23"/>
      <c r="D20" s="179"/>
      <c r="E20" s="179"/>
      <c r="F20" s="23"/>
      <c r="G20" s="148"/>
      <c r="H20" s="148"/>
      <c r="I20" s="6"/>
      <c r="J20" s="148"/>
    </row>
    <row r="21" spans="1:10" s="157" customFormat="1" ht="16.5" customHeight="1" x14ac:dyDescent="0.15">
      <c r="A21" s="148"/>
      <c r="B21" s="148"/>
      <c r="C21" s="23"/>
      <c r="D21" s="179"/>
      <c r="E21" s="179"/>
      <c r="F21" s="23"/>
      <c r="G21" s="148"/>
      <c r="H21" s="148"/>
      <c r="I21" s="6"/>
      <c r="J21" s="148"/>
    </row>
    <row r="22" spans="1:10" s="157" customFormat="1" ht="16.5" customHeight="1" x14ac:dyDescent="0.15">
      <c r="A22" s="148"/>
      <c r="B22" s="148"/>
      <c r="C22" s="23"/>
      <c r="D22" s="179"/>
      <c r="E22" s="179"/>
      <c r="F22" s="23"/>
      <c r="G22" s="148"/>
      <c r="H22" s="148"/>
      <c r="I22" s="6"/>
      <c r="J22" s="148"/>
    </row>
    <row r="23" spans="1:10" s="157" customFormat="1" ht="16.5" customHeight="1" x14ac:dyDescent="0.15">
      <c r="A23" s="179"/>
      <c r="B23" s="179"/>
      <c r="C23" s="23"/>
      <c r="D23" s="179"/>
      <c r="E23" s="179"/>
      <c r="F23" s="23"/>
      <c r="G23" s="148"/>
      <c r="H23" s="148"/>
      <c r="I23" s="6"/>
      <c r="J23" s="148"/>
    </row>
    <row r="24" spans="1:10" s="157" customFormat="1" ht="16.5" customHeight="1" x14ac:dyDescent="0.15">
      <c r="A24" s="179"/>
      <c r="B24" s="179"/>
      <c r="C24" s="23"/>
      <c r="D24" s="179"/>
      <c r="E24" s="179"/>
      <c r="F24" s="23"/>
      <c r="G24" s="148"/>
      <c r="H24" s="148"/>
      <c r="I24" s="6"/>
      <c r="J24" s="148"/>
    </row>
    <row r="25" spans="1:10" s="301" customFormat="1" ht="16.5" customHeight="1" x14ac:dyDescent="0.15">
      <c r="A25" s="80" t="s">
        <v>634</v>
      </c>
      <c r="B25" s="3"/>
      <c r="C25" s="1"/>
      <c r="D25" s="3"/>
      <c r="E25" s="3"/>
      <c r="F25" s="1"/>
      <c r="G25" s="3"/>
      <c r="H25" s="3"/>
      <c r="I25" s="1"/>
      <c r="J25" s="3"/>
    </row>
    <row r="26" spans="1:10" s="301" customFormat="1" ht="24" customHeight="1" x14ac:dyDescent="0.15">
      <c r="A26" s="426" t="s">
        <v>635</v>
      </c>
      <c r="B26" s="426"/>
      <c r="C26" s="426"/>
      <c r="D26" s="426"/>
      <c r="E26" s="426"/>
      <c r="F26" s="426"/>
      <c r="G26" s="426"/>
      <c r="H26" s="426"/>
      <c r="I26" s="426"/>
      <c r="J26" s="426"/>
    </row>
    <row r="27" spans="1:10" s="301" customFormat="1" ht="16.5" customHeight="1" x14ac:dyDescent="0.15">
      <c r="A27" s="3"/>
      <c r="B27" s="112"/>
      <c r="C27" s="4"/>
      <c r="D27" s="60"/>
      <c r="E27" s="60"/>
      <c r="F27" s="4"/>
      <c r="G27" s="60"/>
      <c r="H27" s="60"/>
      <c r="I27" s="4"/>
      <c r="J27" s="60"/>
    </row>
    <row r="28" spans="1:10" s="301" customFormat="1" ht="16.5" customHeight="1" x14ac:dyDescent="0.15">
      <c r="A28" s="255" t="s">
        <v>636</v>
      </c>
      <c r="B28" s="3"/>
      <c r="C28" s="1"/>
      <c r="D28" s="3"/>
      <c r="E28" s="3"/>
      <c r="F28" s="1"/>
      <c r="G28" s="3"/>
      <c r="H28" s="3"/>
      <c r="I28" s="1"/>
      <c r="J28" s="3"/>
    </row>
    <row r="29" spans="1:10" s="301" customFormat="1" ht="16.5" customHeight="1" x14ac:dyDescent="0.15">
      <c r="A29" s="328" t="s">
        <v>174</v>
      </c>
      <c r="B29" s="488" t="s">
        <v>503</v>
      </c>
      <c r="C29" s="488"/>
      <c r="D29" s="485"/>
      <c r="E29" s="488" t="s">
        <v>637</v>
      </c>
      <c r="F29" s="488"/>
      <c r="G29" s="485"/>
      <c r="H29" s="488" t="s">
        <v>638</v>
      </c>
      <c r="I29" s="488"/>
      <c r="J29" s="485"/>
    </row>
    <row r="30" spans="1:10" s="301" customFormat="1" ht="16.5" customHeight="1" x14ac:dyDescent="0.15">
      <c r="A30" s="246" t="s">
        <v>445</v>
      </c>
      <c r="B30" s="392" t="s">
        <v>573</v>
      </c>
      <c r="C30" s="392" t="s">
        <v>7</v>
      </c>
      <c r="D30" s="393" t="s">
        <v>27</v>
      </c>
      <c r="E30" s="392" t="s">
        <v>573</v>
      </c>
      <c r="F30" s="392" t="s">
        <v>7</v>
      </c>
      <c r="G30" s="393" t="s">
        <v>27</v>
      </c>
      <c r="H30" s="392" t="s">
        <v>573</v>
      </c>
      <c r="I30" s="392" t="s">
        <v>7</v>
      </c>
      <c r="J30" s="393" t="s">
        <v>27</v>
      </c>
    </row>
    <row r="31" spans="1:10" s="301" customFormat="1" ht="16.5" customHeight="1" x14ac:dyDescent="0.15">
      <c r="A31" s="337" t="s">
        <v>93</v>
      </c>
      <c r="B31" s="48">
        <v>62362</v>
      </c>
      <c r="C31" s="46">
        <v>100</v>
      </c>
      <c r="D31" s="257">
        <v>60978</v>
      </c>
      <c r="E31" s="48">
        <v>34683</v>
      </c>
      <c r="F31" s="46">
        <v>100</v>
      </c>
      <c r="G31" s="257">
        <v>35175</v>
      </c>
      <c r="H31" s="287">
        <v>1376</v>
      </c>
      <c r="I31" s="46">
        <v>100</v>
      </c>
      <c r="J31" s="287">
        <v>1367</v>
      </c>
    </row>
    <row r="32" spans="1:10" s="301" customFormat="1" ht="16.5" customHeight="1" x14ac:dyDescent="0.15">
      <c r="A32" s="336" t="s">
        <v>140</v>
      </c>
      <c r="B32" s="288">
        <v>2019</v>
      </c>
      <c r="C32" s="335">
        <v>3.2375485071036851</v>
      </c>
      <c r="D32" s="302">
        <v>2013</v>
      </c>
      <c r="E32" s="288">
        <v>0</v>
      </c>
      <c r="F32" s="49">
        <v>0</v>
      </c>
      <c r="G32" s="302">
        <v>0</v>
      </c>
      <c r="H32" s="286">
        <v>0</v>
      </c>
      <c r="I32" s="75" t="s">
        <v>586</v>
      </c>
      <c r="J32" s="286">
        <v>0</v>
      </c>
    </row>
    <row r="33" spans="1:10" s="301" customFormat="1" ht="16.5" customHeight="1" x14ac:dyDescent="0.15">
      <c r="A33" s="336" t="s">
        <v>141</v>
      </c>
      <c r="B33" s="288">
        <v>19</v>
      </c>
      <c r="C33" s="335">
        <v>3.0467271735993069E-2</v>
      </c>
      <c r="D33" s="302">
        <v>19</v>
      </c>
      <c r="E33" s="288">
        <v>0</v>
      </c>
      <c r="F33" s="49" t="s">
        <v>586</v>
      </c>
      <c r="G33" s="302">
        <v>0</v>
      </c>
      <c r="H33" s="286">
        <v>0</v>
      </c>
      <c r="I33" s="75" t="s">
        <v>586</v>
      </c>
      <c r="J33" s="286">
        <v>0</v>
      </c>
    </row>
    <row r="34" spans="1:10" s="301" customFormat="1" ht="16.5" customHeight="1" x14ac:dyDescent="0.15">
      <c r="A34" s="336" t="s">
        <v>142</v>
      </c>
      <c r="B34" s="288">
        <v>5193</v>
      </c>
      <c r="C34" s="335">
        <v>8.3271864276322116</v>
      </c>
      <c r="D34" s="302">
        <v>5163</v>
      </c>
      <c r="E34" s="288">
        <v>382</v>
      </c>
      <c r="F34" s="335">
        <v>1.1014041461234609</v>
      </c>
      <c r="G34" s="302">
        <v>373</v>
      </c>
      <c r="H34" s="286">
        <v>59</v>
      </c>
      <c r="I34" s="335">
        <v>4.2877906976744189</v>
      </c>
      <c r="J34" s="286">
        <v>61</v>
      </c>
    </row>
    <row r="35" spans="1:10" s="301" customFormat="1" ht="16.5" customHeight="1" x14ac:dyDescent="0.15">
      <c r="A35" s="336" t="s">
        <v>143</v>
      </c>
      <c r="B35" s="288">
        <v>1055</v>
      </c>
      <c r="C35" s="335">
        <v>1.6917353516564575</v>
      </c>
      <c r="D35" s="302">
        <v>1046</v>
      </c>
      <c r="E35" s="288">
        <v>0</v>
      </c>
      <c r="F35" s="75" t="s">
        <v>586</v>
      </c>
      <c r="G35" s="302">
        <v>0</v>
      </c>
      <c r="H35" s="286">
        <v>0</v>
      </c>
      <c r="I35" s="75" t="s">
        <v>586</v>
      </c>
      <c r="J35" s="286">
        <v>0</v>
      </c>
    </row>
    <row r="36" spans="1:10" s="301" customFormat="1" ht="16.5" customHeight="1" x14ac:dyDescent="0.15">
      <c r="A36" s="336" t="s">
        <v>144</v>
      </c>
      <c r="B36" s="288">
        <v>219</v>
      </c>
      <c r="C36" s="335">
        <v>0.35117539527276226</v>
      </c>
      <c r="D36" s="302">
        <v>216</v>
      </c>
      <c r="E36" s="288">
        <v>3</v>
      </c>
      <c r="F36" s="335">
        <v>8.6497707810743001E-3</v>
      </c>
      <c r="G36" s="302">
        <v>3</v>
      </c>
      <c r="H36" s="286">
        <v>5</v>
      </c>
      <c r="I36" s="335">
        <v>0.3</v>
      </c>
      <c r="J36" s="286">
        <v>3</v>
      </c>
    </row>
    <row r="37" spans="1:10" s="301" customFormat="1" ht="16.5" customHeight="1" x14ac:dyDescent="0.15">
      <c r="A37" s="336" t="s">
        <v>639</v>
      </c>
      <c r="B37" s="288">
        <v>287</v>
      </c>
      <c r="C37" s="335">
        <v>0.46021615727526377</v>
      </c>
      <c r="D37" s="302">
        <v>281</v>
      </c>
      <c r="E37" s="288">
        <v>17</v>
      </c>
      <c r="F37" s="335">
        <v>0.1</v>
      </c>
      <c r="G37" s="302">
        <v>21</v>
      </c>
      <c r="H37" s="286">
        <v>20</v>
      </c>
      <c r="I37" s="335">
        <v>1.4</v>
      </c>
      <c r="J37" s="286">
        <v>19</v>
      </c>
    </row>
    <row r="38" spans="1:10" s="301" customFormat="1" ht="16.5" customHeight="1" x14ac:dyDescent="0.15">
      <c r="A38" s="336" t="s">
        <v>640</v>
      </c>
      <c r="B38" s="288">
        <v>647</v>
      </c>
      <c r="C38" s="335">
        <v>1.0374907796414483</v>
      </c>
      <c r="D38" s="302">
        <v>627</v>
      </c>
      <c r="E38" s="288">
        <v>68</v>
      </c>
      <c r="F38" s="335">
        <v>0.19606147103768418</v>
      </c>
      <c r="G38" s="302">
        <v>60</v>
      </c>
      <c r="H38" s="286">
        <v>27</v>
      </c>
      <c r="I38" s="335">
        <v>1.9622093023255813</v>
      </c>
      <c r="J38" s="286">
        <v>30</v>
      </c>
    </row>
    <row r="39" spans="1:10" s="301" customFormat="1" ht="16.5" customHeight="1" x14ac:dyDescent="0.15">
      <c r="A39" s="336" t="s">
        <v>145</v>
      </c>
      <c r="B39" s="288">
        <v>3819</v>
      </c>
      <c r="C39" s="335">
        <v>6.1239216189346077</v>
      </c>
      <c r="D39" s="302">
        <v>3849</v>
      </c>
      <c r="E39" s="288">
        <v>83</v>
      </c>
      <c r="F39" s="335">
        <v>0.23931032494305565</v>
      </c>
      <c r="G39" s="302">
        <v>86</v>
      </c>
      <c r="H39" s="286">
        <v>0</v>
      </c>
      <c r="I39" s="75" t="s">
        <v>586</v>
      </c>
      <c r="J39" s="286">
        <v>0</v>
      </c>
    </row>
    <row r="40" spans="1:10" s="301" customFormat="1" ht="16.5" customHeight="1" x14ac:dyDescent="0.15">
      <c r="A40" s="336" t="s">
        <v>641</v>
      </c>
      <c r="B40" s="288">
        <v>14446</v>
      </c>
      <c r="C40" s="335">
        <v>23.164747763060838</v>
      </c>
      <c r="D40" s="302">
        <v>14517</v>
      </c>
      <c r="E40" s="288">
        <v>0</v>
      </c>
      <c r="F40" s="75" t="s">
        <v>586</v>
      </c>
      <c r="G40" s="302">
        <v>0</v>
      </c>
      <c r="H40" s="286">
        <v>0</v>
      </c>
      <c r="I40" s="75" t="s">
        <v>586</v>
      </c>
      <c r="J40" s="286">
        <v>0</v>
      </c>
    </row>
    <row r="41" spans="1:10" s="301" customFormat="1" ht="16.5" customHeight="1" x14ac:dyDescent="0.15">
      <c r="A41" s="336" t="s">
        <v>146</v>
      </c>
      <c r="B41" s="288">
        <v>3440</v>
      </c>
      <c r="C41" s="335">
        <v>5.5161797248324298</v>
      </c>
      <c r="D41" s="302">
        <v>3592</v>
      </c>
      <c r="E41" s="288">
        <v>155</v>
      </c>
      <c r="F41" s="335">
        <v>0.5</v>
      </c>
      <c r="G41" s="302">
        <v>136</v>
      </c>
      <c r="H41" s="286">
        <v>1</v>
      </c>
      <c r="I41" s="335">
        <v>7.2674418604651167E-2</v>
      </c>
      <c r="J41" s="286">
        <v>0</v>
      </c>
    </row>
    <row r="42" spans="1:10" s="301" customFormat="1" ht="16.5" customHeight="1" x14ac:dyDescent="0.15">
      <c r="A42" s="336" t="s">
        <v>147</v>
      </c>
      <c r="B42" s="288">
        <v>14873</v>
      </c>
      <c r="C42" s="335">
        <v>23.9</v>
      </c>
      <c r="D42" s="302">
        <v>13598</v>
      </c>
      <c r="E42" s="288">
        <v>356</v>
      </c>
      <c r="F42" s="335">
        <v>1.0264394660208171</v>
      </c>
      <c r="G42" s="302">
        <v>263</v>
      </c>
      <c r="H42" s="286">
        <v>4</v>
      </c>
      <c r="I42" s="335">
        <v>0.29069767441860467</v>
      </c>
      <c r="J42" s="286">
        <v>2</v>
      </c>
    </row>
    <row r="43" spans="1:10" s="301" customFormat="1" ht="16.5" customHeight="1" x14ac:dyDescent="0.15">
      <c r="A43" s="336" t="s">
        <v>642</v>
      </c>
      <c r="B43" s="288">
        <v>7383</v>
      </c>
      <c r="C43" s="335">
        <v>11.838940380359835</v>
      </c>
      <c r="D43" s="302">
        <v>7359</v>
      </c>
      <c r="E43" s="288">
        <v>0</v>
      </c>
      <c r="F43" s="75" t="s">
        <v>586</v>
      </c>
      <c r="G43" s="302">
        <v>0</v>
      </c>
      <c r="H43" s="286">
        <v>0</v>
      </c>
      <c r="I43" s="75" t="s">
        <v>586</v>
      </c>
      <c r="J43" s="286">
        <v>0</v>
      </c>
    </row>
    <row r="44" spans="1:10" s="301" customFormat="1" ht="16.5" customHeight="1" x14ac:dyDescent="0.15">
      <c r="A44" s="235" t="s">
        <v>81</v>
      </c>
      <c r="B44" s="206">
        <v>8962</v>
      </c>
      <c r="C44" s="334">
        <v>14.370931015682627</v>
      </c>
      <c r="D44" s="210">
        <v>8698</v>
      </c>
      <c r="E44" s="206">
        <v>33619</v>
      </c>
      <c r="F44" s="334">
        <v>96.932214629645657</v>
      </c>
      <c r="G44" s="210">
        <v>34233</v>
      </c>
      <c r="H44" s="206">
        <v>1260</v>
      </c>
      <c r="I44" s="334">
        <v>91.569767441860463</v>
      </c>
      <c r="J44" s="210">
        <v>1252</v>
      </c>
    </row>
    <row r="45" spans="1:10" s="301" customFormat="1" ht="16.5" customHeight="1" x14ac:dyDescent="0.15">
      <c r="A45" s="3" t="s">
        <v>720</v>
      </c>
      <c r="B45" s="3"/>
      <c r="C45" s="1"/>
      <c r="D45" s="3"/>
      <c r="E45" s="3"/>
      <c r="F45" s="20"/>
      <c r="G45" s="3"/>
      <c r="H45" s="3"/>
      <c r="I45" s="1"/>
      <c r="J45" s="3"/>
    </row>
    <row r="46" spans="1:10" s="301" customFormat="1" ht="16.5" customHeight="1" x14ac:dyDescent="0.15">
      <c r="A46" s="3" t="s">
        <v>643</v>
      </c>
      <c r="B46" s="3"/>
      <c r="C46" s="1"/>
      <c r="D46" s="3"/>
      <c r="E46" s="3"/>
      <c r="F46" s="1"/>
      <c r="G46" s="3"/>
      <c r="H46" s="3"/>
      <c r="I46" s="1"/>
      <c r="J46" s="3"/>
    </row>
  </sheetData>
  <sheetProtection algorithmName="SHA-512" hashValue="bXYmqbm74UBsn757/fcKJFkeKQdIfWYazf0YoiZi8ddDtpPWGj5Y4OCzO47GDtjHM2N1NxN8PvPDJOzT7mkv0w==" saltValue="JH2fCX1g8l4/EK9RQyKokg==" spinCount="100000" sheet="1" objects="1" scenarios="1"/>
  <mergeCells count="5">
    <mergeCell ref="A4:J4"/>
    <mergeCell ref="A26:J26"/>
    <mergeCell ref="B29:D29"/>
    <mergeCell ref="E29:G29"/>
    <mergeCell ref="H29:J29"/>
  </mergeCells>
  <phoneticPr fontId="5" type="noConversion"/>
  <pageMargins left="0.35433070866141736" right="0.11811023622047245" top="0.78740157480314965" bottom="0.98425196850393704" header="0.51181102362204722" footer="0.51181102362204722"/>
  <pageSetup paperSize="9" scale="85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J58"/>
  <sheetViews>
    <sheetView showGridLines="0" zoomScaleNormal="100" zoomScaleSheetLayoutView="100" workbookViewId="0"/>
  </sheetViews>
  <sheetFormatPr defaultColWidth="8" defaultRowHeight="16.5" customHeight="1" x14ac:dyDescent="0.15"/>
  <cols>
    <col min="1" max="10" width="8.88671875" style="84" customWidth="1"/>
    <col min="11" max="16384" width="8" style="84"/>
  </cols>
  <sheetData>
    <row r="1" spans="1:10" s="3" customFormat="1" ht="16.5" customHeight="1" x14ac:dyDescent="0.15">
      <c r="A1" s="112" t="s">
        <v>718</v>
      </c>
      <c r="B1" s="60"/>
      <c r="C1" s="60"/>
      <c r="D1" s="60"/>
      <c r="J1" s="218"/>
    </row>
    <row r="2" spans="1:10" s="3" customFormat="1" ht="16.5" customHeight="1" x14ac:dyDescent="0.15">
      <c r="A2" s="112"/>
      <c r="B2" s="60"/>
      <c r="C2" s="60"/>
      <c r="D2" s="60"/>
      <c r="J2" s="218"/>
    </row>
    <row r="3" spans="1:10" s="3" customFormat="1" ht="16.5" customHeight="1" x14ac:dyDescent="0.15">
      <c r="A3" s="112" t="s">
        <v>504</v>
      </c>
      <c r="B3" s="60"/>
      <c r="C3" s="60"/>
      <c r="D3" s="60"/>
      <c r="J3" s="218"/>
    </row>
    <row r="4" spans="1:10" s="3" customFormat="1" ht="16.5" customHeight="1" x14ac:dyDescent="0.15">
      <c r="A4" s="263"/>
      <c r="B4" s="327" t="s">
        <v>60</v>
      </c>
      <c r="C4" s="423" t="s">
        <v>341</v>
      </c>
      <c r="D4" s="423" t="s">
        <v>644</v>
      </c>
      <c r="E4" s="423" t="s">
        <v>290</v>
      </c>
    </row>
    <row r="5" spans="1:10" s="3" customFormat="1" ht="16.5" customHeight="1" x14ac:dyDescent="0.15">
      <c r="A5" s="264" t="s">
        <v>37</v>
      </c>
      <c r="B5" s="263"/>
      <c r="C5" s="423"/>
      <c r="D5" s="423"/>
      <c r="E5" s="423"/>
      <c r="F5" s="59"/>
      <c r="G5" s="59"/>
    </row>
    <row r="6" spans="1:10" s="3" customFormat="1" ht="16.5" customHeight="1" x14ac:dyDescent="0.15">
      <c r="A6" s="447" t="s">
        <v>53</v>
      </c>
      <c r="B6" s="550"/>
      <c r="C6" s="92">
        <v>2038</v>
      </c>
      <c r="D6" s="287">
        <v>946</v>
      </c>
      <c r="E6" s="287">
        <v>1092</v>
      </c>
      <c r="F6" s="59"/>
      <c r="G6" s="59"/>
    </row>
    <row r="7" spans="1:10" s="3" customFormat="1" ht="16.5" customHeight="1" x14ac:dyDescent="0.15">
      <c r="A7" s="447" t="s">
        <v>446</v>
      </c>
      <c r="B7" s="550"/>
      <c r="C7" s="92">
        <v>2032</v>
      </c>
      <c r="D7" s="287">
        <v>941</v>
      </c>
      <c r="E7" s="287">
        <v>1091</v>
      </c>
      <c r="F7" s="59"/>
      <c r="G7" s="259"/>
    </row>
    <row r="8" spans="1:10" s="1" customFormat="1" ht="16.5" customHeight="1" x14ac:dyDescent="0.15">
      <c r="A8" s="12"/>
      <c r="B8" s="304"/>
      <c r="C8" s="227">
        <v>100</v>
      </c>
      <c r="D8" s="335">
        <v>100</v>
      </c>
      <c r="E8" s="335">
        <v>100</v>
      </c>
      <c r="F8" s="13"/>
      <c r="G8" s="32"/>
    </row>
    <row r="9" spans="1:10" s="3" customFormat="1" ht="16.5" customHeight="1" x14ac:dyDescent="0.15">
      <c r="A9" s="445" t="s">
        <v>447</v>
      </c>
      <c r="B9" s="548"/>
      <c r="C9" s="90">
        <v>206</v>
      </c>
      <c r="D9" s="286">
        <v>147</v>
      </c>
      <c r="E9" s="286">
        <v>59</v>
      </c>
      <c r="F9" s="59"/>
      <c r="G9" s="259"/>
    </row>
    <row r="10" spans="1:10" s="1" customFormat="1" ht="16.5" customHeight="1" x14ac:dyDescent="0.15">
      <c r="A10" s="12"/>
      <c r="B10" s="304"/>
      <c r="C10" s="227">
        <v>10.137795275590552</v>
      </c>
      <c r="D10" s="335">
        <v>15.621679064824653</v>
      </c>
      <c r="E10" s="335">
        <v>5.4078826764436299</v>
      </c>
      <c r="F10" s="13"/>
      <c r="G10" s="32"/>
    </row>
    <row r="11" spans="1:10" s="3" customFormat="1" ht="16.5" customHeight="1" x14ac:dyDescent="0.15">
      <c r="A11" s="260"/>
      <c r="B11" s="336" t="s">
        <v>448</v>
      </c>
      <c r="C11" s="90">
        <v>112</v>
      </c>
      <c r="D11" s="286">
        <v>81</v>
      </c>
      <c r="E11" s="286">
        <v>31</v>
      </c>
      <c r="F11" s="59"/>
      <c r="G11" s="259"/>
    </row>
    <row r="12" spans="1:10" s="3" customFormat="1" ht="16.5" customHeight="1" x14ac:dyDescent="0.15">
      <c r="A12" s="260"/>
      <c r="B12" s="336" t="s">
        <v>449</v>
      </c>
      <c r="C12" s="90">
        <v>94</v>
      </c>
      <c r="D12" s="286">
        <v>66</v>
      </c>
      <c r="E12" s="286">
        <v>28</v>
      </c>
      <c r="F12" s="59"/>
      <c r="G12" s="259"/>
    </row>
    <row r="13" spans="1:10" s="3" customFormat="1" ht="16.5" customHeight="1" x14ac:dyDescent="0.15">
      <c r="A13" s="445" t="s">
        <v>450</v>
      </c>
      <c r="B13" s="548"/>
      <c r="C13" s="90">
        <v>1763</v>
      </c>
      <c r="D13" s="286">
        <v>766</v>
      </c>
      <c r="E13" s="286">
        <v>997</v>
      </c>
      <c r="F13" s="59"/>
      <c r="G13" s="259"/>
    </row>
    <row r="14" spans="1:10" s="1" customFormat="1" ht="16.5" customHeight="1" x14ac:dyDescent="0.15">
      <c r="A14" s="12"/>
      <c r="B14" s="304"/>
      <c r="C14" s="227">
        <v>86.761811023622045</v>
      </c>
      <c r="D14" s="335">
        <v>81.402763018065883</v>
      </c>
      <c r="E14" s="335">
        <v>91.384051329055922</v>
      </c>
      <c r="F14" s="13"/>
      <c r="G14" s="32"/>
    </row>
    <row r="15" spans="1:10" s="3" customFormat="1" ht="16.5" customHeight="1" x14ac:dyDescent="0.15">
      <c r="A15" s="445" t="s">
        <v>81</v>
      </c>
      <c r="B15" s="548"/>
      <c r="C15" s="90">
        <v>63</v>
      </c>
      <c r="D15" s="286">
        <v>28</v>
      </c>
      <c r="E15" s="286">
        <v>35</v>
      </c>
      <c r="F15" s="59"/>
      <c r="G15" s="259"/>
    </row>
    <row r="16" spans="1:10" s="1" customFormat="1" ht="16.5" customHeight="1" x14ac:dyDescent="0.15">
      <c r="A16" s="305"/>
      <c r="B16" s="306"/>
      <c r="C16" s="229">
        <v>3.1003937007874018</v>
      </c>
      <c r="D16" s="334">
        <v>2.9755579171094579</v>
      </c>
      <c r="E16" s="334">
        <v>3.2080659945004584</v>
      </c>
      <c r="F16" s="13"/>
      <c r="G16" s="32"/>
    </row>
    <row r="17" spans="1:10" s="3" customFormat="1" ht="16.5" customHeight="1" x14ac:dyDescent="0.15">
      <c r="A17" s="3" t="s">
        <v>645</v>
      </c>
    </row>
    <row r="18" spans="1:10" s="3" customFormat="1" ht="16.5" customHeight="1" x14ac:dyDescent="0.15"/>
    <row r="19" spans="1:10" s="3" customFormat="1" ht="16.5" customHeight="1" x14ac:dyDescent="0.15">
      <c r="A19" s="80" t="s">
        <v>646</v>
      </c>
    </row>
    <row r="20" spans="1:10" s="63" customFormat="1" ht="16.5" customHeight="1" x14ac:dyDescent="0.15">
      <c r="A20" s="328" t="s">
        <v>169</v>
      </c>
      <c r="B20" s="410" t="s">
        <v>573</v>
      </c>
      <c r="C20" s="400" t="s">
        <v>27</v>
      </c>
      <c r="D20" s="400"/>
      <c r="E20" s="400"/>
      <c r="F20" s="400"/>
      <c r="G20" s="400"/>
      <c r="H20" s="549" t="s">
        <v>647</v>
      </c>
      <c r="I20" s="410" t="s">
        <v>648</v>
      </c>
      <c r="J20" s="3"/>
    </row>
    <row r="21" spans="1:10" s="63" customFormat="1" ht="16.5" customHeight="1" x14ac:dyDescent="0.15">
      <c r="A21" s="246" t="s">
        <v>594</v>
      </c>
      <c r="B21" s="430"/>
      <c r="C21" s="324" t="s">
        <v>584</v>
      </c>
      <c r="D21" s="324" t="s">
        <v>149</v>
      </c>
      <c r="E21" s="324" t="s">
        <v>150</v>
      </c>
      <c r="F21" s="324" t="s">
        <v>81</v>
      </c>
      <c r="G21" s="324" t="s">
        <v>649</v>
      </c>
      <c r="H21" s="430"/>
      <c r="I21" s="430"/>
      <c r="J21" s="3"/>
    </row>
    <row r="22" spans="1:10" s="63" customFormat="1" ht="16.5" customHeight="1" x14ac:dyDescent="0.15">
      <c r="A22" s="337" t="s">
        <v>93</v>
      </c>
      <c r="B22" s="287">
        <v>5362</v>
      </c>
      <c r="C22" s="48">
        <v>5325</v>
      </c>
      <c r="D22" s="287">
        <v>1884</v>
      </c>
      <c r="E22" s="287">
        <v>3334</v>
      </c>
      <c r="F22" s="287">
        <v>107</v>
      </c>
      <c r="G22" s="261">
        <v>35.380281690140848</v>
      </c>
      <c r="H22" s="40"/>
      <c r="I22" s="287">
        <v>272</v>
      </c>
      <c r="J22" s="3"/>
    </row>
    <row r="23" spans="1:10" s="63" customFormat="1" ht="16.5" customHeight="1" x14ac:dyDescent="0.15">
      <c r="A23" s="336" t="s">
        <v>8</v>
      </c>
      <c r="B23" s="286">
        <v>4946</v>
      </c>
      <c r="C23" s="288">
        <v>4916</v>
      </c>
      <c r="D23" s="286">
        <v>1764</v>
      </c>
      <c r="E23" s="286">
        <v>3049</v>
      </c>
      <c r="F23" s="286">
        <v>103</v>
      </c>
      <c r="G23" s="262">
        <v>35.882831570382422</v>
      </c>
      <c r="H23" s="27">
        <v>17.511904761904798</v>
      </c>
      <c r="I23" s="286">
        <v>247</v>
      </c>
      <c r="J23" s="3"/>
    </row>
    <row r="24" spans="1:10" s="63" customFormat="1" ht="16.5" customHeight="1" x14ac:dyDescent="0.15">
      <c r="A24" s="336" t="s">
        <v>62</v>
      </c>
      <c r="B24" s="286">
        <v>360</v>
      </c>
      <c r="C24" s="288">
        <v>351</v>
      </c>
      <c r="D24" s="286">
        <v>119</v>
      </c>
      <c r="E24" s="286">
        <v>228</v>
      </c>
      <c r="F24" s="286">
        <v>4</v>
      </c>
      <c r="G24" s="262">
        <v>33.903133903133906</v>
      </c>
      <c r="H24" s="27">
        <v>28.495798319327701</v>
      </c>
      <c r="I24" s="286">
        <v>22</v>
      </c>
      <c r="J24" s="3"/>
    </row>
    <row r="25" spans="1:10" s="63" customFormat="1" ht="16.5" customHeight="1" x14ac:dyDescent="0.15">
      <c r="A25" s="235" t="s">
        <v>451</v>
      </c>
      <c r="B25" s="210">
        <v>56</v>
      </c>
      <c r="C25" s="207">
        <v>58</v>
      </c>
      <c r="D25" s="207">
        <v>1</v>
      </c>
      <c r="E25" s="207">
        <v>57</v>
      </c>
      <c r="F25" s="207">
        <v>0</v>
      </c>
      <c r="G25" s="208">
        <v>1.7241379310344827</v>
      </c>
      <c r="H25" s="213">
        <v>141</v>
      </c>
      <c r="I25" s="207">
        <v>3</v>
      </c>
      <c r="J25" s="3"/>
    </row>
    <row r="26" spans="1:10" s="63" customFormat="1" ht="16.5" customHeight="1" x14ac:dyDescent="0.15">
      <c r="A26" s="3" t="s">
        <v>650</v>
      </c>
      <c r="B26" s="166"/>
      <c r="C26" s="166"/>
      <c r="D26" s="166"/>
      <c r="E26" s="166"/>
      <c r="F26" s="166"/>
      <c r="G26" s="166"/>
      <c r="H26" s="166"/>
      <c r="I26" s="3"/>
      <c r="J26" s="3"/>
    </row>
    <row r="27" spans="1:10" s="63" customFormat="1" ht="16.5" customHeight="1" x14ac:dyDescent="0.15">
      <c r="A27" s="3" t="s">
        <v>719</v>
      </c>
      <c r="B27" s="166"/>
      <c r="C27" s="166"/>
      <c r="D27" s="166"/>
      <c r="E27" s="166"/>
      <c r="F27" s="166"/>
      <c r="G27" s="166"/>
      <c r="H27" s="166"/>
      <c r="I27" s="3"/>
      <c r="J27" s="3"/>
    </row>
    <row r="28" spans="1:10" s="3" customFormat="1" ht="16.5" customHeight="1" x14ac:dyDescent="0.15">
      <c r="A28" s="166"/>
      <c r="B28" s="166"/>
      <c r="C28" s="166"/>
      <c r="D28" s="166"/>
      <c r="E28" s="166"/>
      <c r="F28" s="166"/>
      <c r="G28" s="166"/>
      <c r="H28" s="166"/>
      <c r="I28" s="166"/>
      <c r="J28" s="166"/>
    </row>
    <row r="29" spans="1:10" s="3" customFormat="1" ht="16.5" customHeight="1" x14ac:dyDescent="0.15">
      <c r="A29" s="80" t="s">
        <v>651</v>
      </c>
    </row>
    <row r="30" spans="1:10" s="3" customFormat="1" ht="16.5" customHeight="1" x14ac:dyDescent="0.15">
      <c r="A30" s="328" t="s">
        <v>169</v>
      </c>
      <c r="B30" s="400" t="s">
        <v>93</v>
      </c>
      <c r="C30" s="400"/>
      <c r="D30" s="400"/>
      <c r="E30" s="400" t="s">
        <v>151</v>
      </c>
      <c r="F30" s="400"/>
      <c r="G30" s="400"/>
      <c r="H30" s="400" t="s">
        <v>152</v>
      </c>
      <c r="I30" s="400"/>
      <c r="J30" s="410"/>
    </row>
    <row r="31" spans="1:10" s="3" customFormat="1" ht="16.5" customHeight="1" x14ac:dyDescent="0.15">
      <c r="A31" s="246" t="s">
        <v>177</v>
      </c>
      <c r="B31" s="324" t="s">
        <v>153</v>
      </c>
      <c r="C31" s="324" t="s">
        <v>154</v>
      </c>
      <c r="D31" s="324" t="s">
        <v>652</v>
      </c>
      <c r="E31" s="324" t="s">
        <v>153</v>
      </c>
      <c r="F31" s="324" t="s">
        <v>154</v>
      </c>
      <c r="G31" s="324" t="s">
        <v>652</v>
      </c>
      <c r="H31" s="324" t="s">
        <v>153</v>
      </c>
      <c r="I31" s="324" t="s">
        <v>154</v>
      </c>
      <c r="J31" s="325" t="s">
        <v>652</v>
      </c>
    </row>
    <row r="32" spans="1:10" s="3" customFormat="1" ht="16.5" customHeight="1" x14ac:dyDescent="0.15">
      <c r="A32" s="336">
        <v>2015</v>
      </c>
      <c r="B32" s="48">
        <v>2207</v>
      </c>
      <c r="C32" s="287">
        <v>363</v>
      </c>
      <c r="D32" s="261">
        <v>16.447666515632079</v>
      </c>
      <c r="E32" s="288">
        <v>1069</v>
      </c>
      <c r="F32" s="286">
        <v>253</v>
      </c>
      <c r="G32" s="262">
        <v>23.666978484565014</v>
      </c>
      <c r="H32" s="286">
        <v>1138</v>
      </c>
      <c r="I32" s="286">
        <v>110</v>
      </c>
      <c r="J32" s="27">
        <v>9.6660808435852363</v>
      </c>
    </row>
    <row r="33" spans="1:10" s="3" customFormat="1" ht="16.5" customHeight="1" x14ac:dyDescent="0.15">
      <c r="A33" s="336">
        <v>2016</v>
      </c>
      <c r="B33" s="48">
        <v>2437</v>
      </c>
      <c r="C33" s="287">
        <v>367</v>
      </c>
      <c r="D33" s="261">
        <v>15.059499384489126</v>
      </c>
      <c r="E33" s="288">
        <v>1075</v>
      </c>
      <c r="F33" s="286">
        <v>225</v>
      </c>
      <c r="G33" s="262">
        <v>20.930232558139537</v>
      </c>
      <c r="H33" s="286">
        <v>1362</v>
      </c>
      <c r="I33" s="286">
        <v>142</v>
      </c>
      <c r="J33" s="27">
        <v>10.425844346549193</v>
      </c>
    </row>
    <row r="34" spans="1:10" s="3" customFormat="1" ht="16.5" customHeight="1" x14ac:dyDescent="0.15">
      <c r="A34" s="336">
        <v>2017</v>
      </c>
      <c r="B34" s="48">
        <v>2325</v>
      </c>
      <c r="C34" s="287">
        <v>333</v>
      </c>
      <c r="D34" s="261">
        <v>14.32258064516129</v>
      </c>
      <c r="E34" s="286">
        <v>1257</v>
      </c>
      <c r="F34" s="286">
        <v>243</v>
      </c>
      <c r="G34" s="262">
        <v>19.331742243436754</v>
      </c>
      <c r="H34" s="286">
        <v>1068</v>
      </c>
      <c r="I34" s="286">
        <v>90</v>
      </c>
      <c r="J34" s="27">
        <v>8.4269662921348321</v>
      </c>
    </row>
    <row r="35" spans="1:10" s="3" customFormat="1" ht="16.5" customHeight="1" x14ac:dyDescent="0.15">
      <c r="A35" s="329">
        <v>2018</v>
      </c>
      <c r="B35" s="48">
        <v>2109</v>
      </c>
      <c r="C35" s="287">
        <v>258</v>
      </c>
      <c r="D35" s="261">
        <v>12.233285917496444</v>
      </c>
      <c r="E35" s="288">
        <v>1016</v>
      </c>
      <c r="F35" s="286">
        <v>172</v>
      </c>
      <c r="G35" s="262">
        <v>16.929133858267718</v>
      </c>
      <c r="H35" s="286">
        <v>1093</v>
      </c>
      <c r="I35" s="286">
        <v>86</v>
      </c>
      <c r="J35" s="27">
        <v>7.8682525160109789</v>
      </c>
    </row>
    <row r="36" spans="1:10" s="3" customFormat="1" ht="16.5" customHeight="1" x14ac:dyDescent="0.15">
      <c r="A36" s="235">
        <v>2019</v>
      </c>
      <c r="B36" s="307">
        <v>2038</v>
      </c>
      <c r="C36" s="308">
        <v>206</v>
      </c>
      <c r="D36" s="309">
        <v>10.107948969578018</v>
      </c>
      <c r="E36" s="206">
        <v>946</v>
      </c>
      <c r="F36" s="207">
        <v>147</v>
      </c>
      <c r="G36" s="208">
        <v>15.539112050739959</v>
      </c>
      <c r="H36" s="207">
        <v>1092</v>
      </c>
      <c r="I36" s="207">
        <v>59</v>
      </c>
      <c r="J36" s="213">
        <v>5.4029304029304033</v>
      </c>
    </row>
    <row r="37" spans="1:10" s="3" customFormat="1" ht="16.5" customHeight="1" x14ac:dyDescent="0.15">
      <c r="A37" s="3" t="s">
        <v>653</v>
      </c>
    </row>
    <row r="38" spans="1:10" s="3" customFormat="1" ht="16.5" customHeight="1" x14ac:dyDescent="0.15"/>
    <row r="39" spans="1:10" s="148" customFormat="1" ht="16.5" customHeight="1" x14ac:dyDescent="0.15">
      <c r="A39" s="252" t="s">
        <v>654</v>
      </c>
    </row>
    <row r="40" spans="1:10" s="148" customFormat="1" ht="16.5" customHeight="1" x14ac:dyDescent="0.15">
      <c r="E40" s="3"/>
      <c r="F40" s="3"/>
      <c r="G40" s="3"/>
      <c r="H40" s="3"/>
      <c r="I40" s="3"/>
      <c r="J40" s="3"/>
    </row>
    <row r="41" spans="1:10" s="148" customFormat="1" ht="16.5" customHeight="1" x14ac:dyDescent="0.15">
      <c r="B41" s="283" t="s">
        <v>655</v>
      </c>
      <c r="E41" s="3"/>
      <c r="F41" s="3"/>
      <c r="G41" s="3"/>
      <c r="H41" s="3"/>
      <c r="I41" s="3"/>
      <c r="J41" s="3"/>
    </row>
    <row r="42" spans="1:10" s="148" customFormat="1" ht="16.5" customHeight="1" x14ac:dyDescent="0.15">
      <c r="A42" s="86"/>
      <c r="B42" s="66" t="s">
        <v>289</v>
      </c>
      <c r="C42" s="66" t="s">
        <v>656</v>
      </c>
    </row>
    <row r="43" spans="1:10" s="148" customFormat="1" ht="16.5" customHeight="1" x14ac:dyDescent="0.15">
      <c r="A43" s="86" t="s">
        <v>222</v>
      </c>
      <c r="B43" s="66">
        <v>23.666978484565014</v>
      </c>
      <c r="C43" s="66">
        <v>9.6660808435852363</v>
      </c>
    </row>
    <row r="44" spans="1:10" s="148" customFormat="1" ht="16.5" customHeight="1" x14ac:dyDescent="0.15">
      <c r="A44" s="86" t="s">
        <v>223</v>
      </c>
      <c r="B44" s="66">
        <v>20.930232558139537</v>
      </c>
      <c r="C44" s="66">
        <v>10.425844346549193</v>
      </c>
    </row>
    <row r="45" spans="1:10" s="148" customFormat="1" ht="16.5" customHeight="1" x14ac:dyDescent="0.15">
      <c r="A45" s="86" t="s">
        <v>224</v>
      </c>
      <c r="B45" s="66">
        <v>19.331742243436754</v>
      </c>
      <c r="C45" s="66">
        <v>8.4269662921348321</v>
      </c>
    </row>
    <row r="46" spans="1:10" s="148" customFormat="1" ht="16.5" customHeight="1" x14ac:dyDescent="0.15">
      <c r="A46" s="86" t="s">
        <v>225</v>
      </c>
      <c r="B46" s="66">
        <v>16.929133858267718</v>
      </c>
      <c r="C46" s="66">
        <v>7.8682525160109789</v>
      </c>
    </row>
    <row r="47" spans="1:10" s="148" customFormat="1" ht="16.5" customHeight="1" x14ac:dyDescent="0.15">
      <c r="A47" s="86" t="s">
        <v>493</v>
      </c>
      <c r="B47" s="66">
        <v>15.539112050739959</v>
      </c>
      <c r="C47" s="66">
        <v>5.4029304029304033</v>
      </c>
    </row>
    <row r="48" spans="1:10" s="148" customFormat="1" ht="16.5" customHeight="1" x14ac:dyDescent="0.15"/>
    <row r="49" spans="1:4" s="148" customFormat="1" ht="16.5" customHeight="1" x14ac:dyDescent="0.15"/>
    <row r="50" spans="1:4" s="148" customFormat="1" ht="16.5" customHeight="1" x14ac:dyDescent="0.15"/>
    <row r="51" spans="1:4" s="148" customFormat="1" ht="16.5" customHeight="1" x14ac:dyDescent="0.15">
      <c r="A51" s="179"/>
      <c r="B51" s="179"/>
      <c r="C51" s="179"/>
      <c r="D51" s="179"/>
    </row>
    <row r="52" spans="1:4" s="148" customFormat="1" ht="16.5" customHeight="1" x14ac:dyDescent="0.15"/>
    <row r="53" spans="1:4" s="148" customFormat="1" ht="16.5" customHeight="1" x14ac:dyDescent="0.15"/>
    <row r="54" spans="1:4" s="148" customFormat="1" ht="16.5" customHeight="1" x14ac:dyDescent="0.15"/>
    <row r="55" spans="1:4" s="148" customFormat="1" ht="16.5" customHeight="1" x14ac:dyDescent="0.15"/>
    <row r="56" spans="1:4" s="148" customFormat="1" ht="16.5" customHeight="1" x14ac:dyDescent="0.15"/>
    <row r="57" spans="1:4" s="148" customFormat="1" ht="16.5" customHeight="1" x14ac:dyDescent="0.15"/>
    <row r="58" spans="1:4" s="148" customFormat="1" ht="16.5" customHeight="1" x14ac:dyDescent="0.15"/>
  </sheetData>
  <sheetProtection algorithmName="SHA-512" hashValue="sCm5wTFEjJokY0D68qQwvIK6W7G2tyR4YlRaowtzWo39hBZOyAFcF4KWYps7tqKrWk6EMn0yaSsJELXAvosn4w==" saltValue="jFdmeQl56XGhGtkzyjFpfQ==" spinCount="100000" sheet="1" objects="1" scenarios="1"/>
  <mergeCells count="15">
    <mergeCell ref="A9:B9"/>
    <mergeCell ref="C4:C5"/>
    <mergeCell ref="D4:D5"/>
    <mergeCell ref="E4:E5"/>
    <mergeCell ref="A6:B6"/>
    <mergeCell ref="A7:B7"/>
    <mergeCell ref="B30:D30"/>
    <mergeCell ref="E30:G30"/>
    <mergeCell ref="H30:J30"/>
    <mergeCell ref="A13:B13"/>
    <mergeCell ref="A15:B15"/>
    <mergeCell ref="B20:B21"/>
    <mergeCell ref="C20:G20"/>
    <mergeCell ref="H20:H21"/>
    <mergeCell ref="I20:I21"/>
  </mergeCells>
  <phoneticPr fontId="5" type="noConversion"/>
  <pageMargins left="0.43307086614173229" right="3.937007874015748E-2" top="0.31496062992125984" bottom="0.15748031496062992" header="0.51181102362204722" footer="0.15748031496062992"/>
  <pageSetup paperSize="9" scale="83" orientation="portrait" horizontalDpi="1200" verticalDpi="12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45"/>
  <sheetViews>
    <sheetView showGridLines="0" zoomScaleNormal="100" zoomScaleSheetLayoutView="100" workbookViewId="0"/>
  </sheetViews>
  <sheetFormatPr defaultColWidth="8" defaultRowHeight="16.5" customHeight="1" x14ac:dyDescent="0.15"/>
  <cols>
    <col min="1" max="8" width="12.21875" style="101" customWidth="1"/>
    <col min="9" max="16384" width="8" style="101"/>
  </cols>
  <sheetData>
    <row r="1" spans="1:8" s="3" customFormat="1" ht="16.5" customHeight="1" x14ac:dyDescent="0.15">
      <c r="A1" s="3" t="s">
        <v>657</v>
      </c>
    </row>
    <row r="2" spans="1:8" s="3" customFormat="1" ht="16.5" customHeight="1" x14ac:dyDescent="0.15"/>
    <row r="3" spans="1:8" s="3" customFormat="1" ht="16.5" customHeight="1" x14ac:dyDescent="0.15">
      <c r="A3" s="80" t="s">
        <v>286</v>
      </c>
    </row>
    <row r="4" spans="1:8" s="3" customFormat="1" ht="16.5" customHeight="1" x14ac:dyDescent="0.15">
      <c r="A4" s="328" t="s">
        <v>37</v>
      </c>
      <c r="B4" s="400" t="s">
        <v>153</v>
      </c>
      <c r="C4" s="400" t="s">
        <v>27</v>
      </c>
      <c r="D4" s="400"/>
      <c r="E4" s="400"/>
      <c r="F4" s="400"/>
      <c r="G4" s="400"/>
      <c r="H4" s="410" t="s">
        <v>505</v>
      </c>
    </row>
    <row r="5" spans="1:8" s="3" customFormat="1" ht="16.5" customHeight="1" x14ac:dyDescent="0.15">
      <c r="A5" s="246" t="s">
        <v>391</v>
      </c>
      <c r="B5" s="429"/>
      <c r="C5" s="324" t="s">
        <v>32</v>
      </c>
      <c r="D5" s="324" t="s">
        <v>452</v>
      </c>
      <c r="E5" s="324" t="s">
        <v>63</v>
      </c>
      <c r="F5" s="324" t="s">
        <v>185</v>
      </c>
      <c r="G5" s="324" t="s">
        <v>287</v>
      </c>
      <c r="H5" s="430"/>
    </row>
    <row r="6" spans="1:8" s="3" customFormat="1" ht="16.5" customHeight="1" x14ac:dyDescent="0.15">
      <c r="A6" s="338">
        <v>2015</v>
      </c>
      <c r="B6" s="266">
        <v>6894</v>
      </c>
      <c r="C6" s="286">
        <v>6275</v>
      </c>
      <c r="D6" s="286">
        <v>1839</v>
      </c>
      <c r="E6" s="286">
        <v>4036</v>
      </c>
      <c r="F6" s="286">
        <v>400</v>
      </c>
      <c r="G6" s="262">
        <v>29.306772908366536</v>
      </c>
      <c r="H6" s="286">
        <v>98360078872</v>
      </c>
    </row>
    <row r="7" spans="1:8" s="3" customFormat="1" ht="16.5" customHeight="1" x14ac:dyDescent="0.15">
      <c r="A7" s="338">
        <v>2016</v>
      </c>
      <c r="B7" s="266">
        <v>9447</v>
      </c>
      <c r="C7" s="286">
        <v>8975</v>
      </c>
      <c r="D7" s="286">
        <v>2298</v>
      </c>
      <c r="E7" s="286">
        <v>6270</v>
      </c>
      <c r="F7" s="286">
        <v>407</v>
      </c>
      <c r="G7" s="262">
        <v>25.604456824512532</v>
      </c>
      <c r="H7" s="286">
        <v>64969252681</v>
      </c>
    </row>
    <row r="8" spans="1:8" s="3" customFormat="1" ht="16.5" customHeight="1" x14ac:dyDescent="0.15">
      <c r="A8" s="338">
        <v>2017</v>
      </c>
      <c r="B8" s="266">
        <v>8571</v>
      </c>
      <c r="C8" s="286">
        <v>8567</v>
      </c>
      <c r="D8" s="286">
        <v>2771</v>
      </c>
      <c r="E8" s="286">
        <v>5391</v>
      </c>
      <c r="F8" s="286">
        <v>405</v>
      </c>
      <c r="G8" s="262">
        <v>32.345044939885611</v>
      </c>
      <c r="H8" s="286">
        <v>60800267440</v>
      </c>
    </row>
    <row r="9" spans="1:8" s="3" customFormat="1" ht="16.5" customHeight="1" x14ac:dyDescent="0.15">
      <c r="A9" s="338">
        <v>2018</v>
      </c>
      <c r="B9" s="266">
        <v>10046</v>
      </c>
      <c r="C9" s="286">
        <v>9189</v>
      </c>
      <c r="D9" s="286">
        <v>3775</v>
      </c>
      <c r="E9" s="286">
        <v>5009</v>
      </c>
      <c r="F9" s="286">
        <v>405</v>
      </c>
      <c r="G9" s="262">
        <v>41.081728153226685</v>
      </c>
      <c r="H9" s="286">
        <v>66968408975</v>
      </c>
    </row>
    <row r="10" spans="1:8" s="3" customFormat="1" ht="16.5" customHeight="1" x14ac:dyDescent="0.15">
      <c r="A10" s="339">
        <v>2019</v>
      </c>
      <c r="B10" s="267">
        <v>15229</v>
      </c>
      <c r="C10" s="207">
        <v>13861</v>
      </c>
      <c r="D10" s="207">
        <v>6274</v>
      </c>
      <c r="E10" s="207">
        <v>7191</v>
      </c>
      <c r="F10" s="207">
        <v>396</v>
      </c>
      <c r="G10" s="208">
        <v>45.263689488492894</v>
      </c>
      <c r="H10" s="207">
        <v>72629881353</v>
      </c>
    </row>
    <row r="11" spans="1:8" s="3" customFormat="1" ht="16.5" customHeight="1" x14ac:dyDescent="0.15">
      <c r="A11" s="3" t="s">
        <v>658</v>
      </c>
    </row>
    <row r="12" spans="1:8" s="3" customFormat="1" ht="16.5" customHeight="1" x14ac:dyDescent="0.15"/>
    <row r="13" spans="1:8" s="3" customFormat="1" ht="16.5" customHeight="1" x14ac:dyDescent="0.15">
      <c r="A13" s="80" t="s">
        <v>186</v>
      </c>
    </row>
    <row r="14" spans="1:8" s="3" customFormat="1" ht="27" customHeight="1" x14ac:dyDescent="0.15">
      <c r="A14" s="426" t="s">
        <v>671</v>
      </c>
      <c r="B14" s="426"/>
      <c r="C14" s="426"/>
      <c r="D14" s="426"/>
      <c r="E14" s="426"/>
      <c r="F14" s="426"/>
      <c r="G14" s="426"/>
      <c r="H14" s="426"/>
    </row>
    <row r="15" spans="1:8" s="3" customFormat="1" ht="16.5" customHeight="1" x14ac:dyDescent="0.15"/>
    <row r="16" spans="1:8" s="3" customFormat="1" ht="16.5" customHeight="1" x14ac:dyDescent="0.15">
      <c r="A16" s="80" t="s">
        <v>506</v>
      </c>
    </row>
    <row r="17" spans="1:3" s="3" customFormat="1" ht="16.5" customHeight="1" x14ac:dyDescent="0.15"/>
    <row r="18" spans="1:3" s="3" customFormat="1" ht="16.5" customHeight="1" x14ac:dyDescent="0.15">
      <c r="A18" s="181"/>
      <c r="B18" s="281" t="s">
        <v>659</v>
      </c>
    </row>
    <row r="19" spans="1:3" s="3" customFormat="1" ht="16.5" customHeight="1" x14ac:dyDescent="0.15">
      <c r="A19" s="265"/>
      <c r="B19" s="181" t="s">
        <v>660</v>
      </c>
      <c r="C19" s="181" t="s">
        <v>288</v>
      </c>
    </row>
    <row r="20" spans="1:3" s="3" customFormat="1" ht="16.5" customHeight="1" x14ac:dyDescent="0.15">
      <c r="A20" s="265" t="s">
        <v>217</v>
      </c>
      <c r="B20" s="24">
        <v>4018</v>
      </c>
      <c r="C20" s="24">
        <v>2370</v>
      </c>
    </row>
    <row r="21" spans="1:3" s="3" customFormat="1" ht="16.5" customHeight="1" x14ac:dyDescent="0.15">
      <c r="A21" s="265" t="s">
        <v>218</v>
      </c>
      <c r="B21" s="24">
        <v>4303</v>
      </c>
      <c r="C21" s="24">
        <v>2539</v>
      </c>
    </row>
    <row r="22" spans="1:3" s="3" customFormat="1" ht="16.5" customHeight="1" x14ac:dyDescent="0.15">
      <c r="A22" s="265" t="s">
        <v>219</v>
      </c>
      <c r="B22" s="24">
        <v>4725</v>
      </c>
      <c r="C22" s="24">
        <v>2641</v>
      </c>
    </row>
    <row r="23" spans="1:3" s="3" customFormat="1" ht="16.5" customHeight="1" x14ac:dyDescent="0.15">
      <c r="A23" s="265" t="s">
        <v>220</v>
      </c>
      <c r="B23" s="24">
        <v>5479</v>
      </c>
      <c r="C23" s="24">
        <v>3794</v>
      </c>
    </row>
    <row r="24" spans="1:3" s="3" customFormat="1" ht="16.5" customHeight="1" x14ac:dyDescent="0.15">
      <c r="A24" s="265" t="s">
        <v>221</v>
      </c>
      <c r="B24" s="24">
        <v>7291</v>
      </c>
      <c r="C24" s="24">
        <v>4676</v>
      </c>
    </row>
    <row r="25" spans="1:3" s="3" customFormat="1" ht="16.5" customHeight="1" x14ac:dyDescent="0.15">
      <c r="A25" s="265" t="s">
        <v>222</v>
      </c>
      <c r="B25" s="24">
        <v>8283</v>
      </c>
      <c r="C25" s="24">
        <v>3967</v>
      </c>
    </row>
    <row r="26" spans="1:3" s="3" customFormat="1" ht="16.5" customHeight="1" x14ac:dyDescent="0.15">
      <c r="A26" s="265" t="s">
        <v>223</v>
      </c>
      <c r="B26" s="24">
        <v>7118</v>
      </c>
      <c r="C26" s="24">
        <v>3414</v>
      </c>
    </row>
    <row r="27" spans="1:3" s="3" customFormat="1" ht="16.5" customHeight="1" x14ac:dyDescent="0.15">
      <c r="A27" s="265" t="s">
        <v>224</v>
      </c>
      <c r="B27" s="24">
        <v>7555</v>
      </c>
      <c r="C27" s="24">
        <v>3105</v>
      </c>
    </row>
    <row r="28" spans="1:3" s="3" customFormat="1" ht="16.5" customHeight="1" x14ac:dyDescent="0.15">
      <c r="A28" s="265" t="s">
        <v>225</v>
      </c>
      <c r="B28" s="24">
        <v>8111</v>
      </c>
      <c r="C28" s="24">
        <v>2796</v>
      </c>
    </row>
    <row r="29" spans="1:3" s="3" customFormat="1" ht="16.5" customHeight="1" x14ac:dyDescent="0.15">
      <c r="A29" s="265" t="s">
        <v>493</v>
      </c>
      <c r="B29" s="24">
        <v>8995</v>
      </c>
      <c r="C29" s="24">
        <v>2648</v>
      </c>
    </row>
    <row r="30" spans="1:3" s="3" customFormat="1" ht="16.5" customHeight="1" x14ac:dyDescent="0.15"/>
    <row r="31" spans="1:3" s="3" customFormat="1" ht="16.5" customHeight="1" x14ac:dyDescent="0.15"/>
    <row r="32" spans="1:3" s="3" customFormat="1" ht="16.5" customHeight="1" x14ac:dyDescent="0.15"/>
    <row r="33" spans="1:7" s="3" customFormat="1" ht="16.5" customHeight="1" x14ac:dyDescent="0.15"/>
    <row r="34" spans="1:7" s="3" customFormat="1" ht="16.5" customHeight="1" x14ac:dyDescent="0.15"/>
    <row r="35" spans="1:7" s="3" customFormat="1" ht="16.5" customHeight="1" x14ac:dyDescent="0.15">
      <c r="A35" s="80" t="s">
        <v>507</v>
      </c>
    </row>
    <row r="36" spans="1:7" s="3" customFormat="1" ht="16.5" customHeight="1" x14ac:dyDescent="0.15">
      <c r="A36" s="448" t="s">
        <v>169</v>
      </c>
      <c r="B36" s="448"/>
      <c r="C36" s="449"/>
      <c r="D36" s="400" t="s">
        <v>453</v>
      </c>
      <c r="E36" s="400"/>
      <c r="F36" s="400" t="s">
        <v>454</v>
      </c>
      <c r="G36" s="410"/>
    </row>
    <row r="37" spans="1:7" s="3" customFormat="1" ht="16.5" customHeight="1" x14ac:dyDescent="0.15">
      <c r="A37" s="450" t="s">
        <v>501</v>
      </c>
      <c r="B37" s="450"/>
      <c r="C37" s="451"/>
      <c r="D37" s="325" t="s">
        <v>53</v>
      </c>
      <c r="E37" s="325" t="s">
        <v>27</v>
      </c>
      <c r="F37" s="325" t="s">
        <v>53</v>
      </c>
      <c r="G37" s="325" t="s">
        <v>27</v>
      </c>
    </row>
    <row r="38" spans="1:7" s="3" customFormat="1" ht="16.5" customHeight="1" x14ac:dyDescent="0.15">
      <c r="A38" s="556" t="s">
        <v>93</v>
      </c>
      <c r="B38" s="553"/>
      <c r="C38" s="553"/>
      <c r="D38" s="48">
        <v>2648</v>
      </c>
      <c r="E38" s="310">
        <v>2745</v>
      </c>
      <c r="F38" s="287">
        <v>8995</v>
      </c>
      <c r="G38" s="287">
        <v>5687</v>
      </c>
    </row>
    <row r="39" spans="1:7" s="3" customFormat="1" ht="16.5" customHeight="1" x14ac:dyDescent="0.15">
      <c r="A39" s="551" t="s">
        <v>155</v>
      </c>
      <c r="B39" s="552"/>
      <c r="C39" s="553"/>
      <c r="D39" s="288">
        <v>39</v>
      </c>
      <c r="E39" s="311">
        <v>37</v>
      </c>
      <c r="F39" s="286">
        <v>19</v>
      </c>
      <c r="G39" s="286">
        <v>17</v>
      </c>
    </row>
    <row r="40" spans="1:7" s="3" customFormat="1" ht="16.5" customHeight="1" x14ac:dyDescent="0.15">
      <c r="A40" s="551" t="s">
        <v>156</v>
      </c>
      <c r="B40" s="552"/>
      <c r="C40" s="553"/>
      <c r="D40" s="288">
        <v>15</v>
      </c>
      <c r="E40" s="311">
        <v>14</v>
      </c>
      <c r="F40" s="286">
        <v>17</v>
      </c>
      <c r="G40" s="286">
        <v>19</v>
      </c>
    </row>
    <row r="41" spans="1:7" s="3" customFormat="1" ht="16.5" customHeight="1" x14ac:dyDescent="0.15">
      <c r="A41" s="551" t="s">
        <v>157</v>
      </c>
      <c r="B41" s="552"/>
      <c r="C41" s="553"/>
      <c r="D41" s="288">
        <v>1</v>
      </c>
      <c r="E41" s="311">
        <v>1</v>
      </c>
      <c r="F41" s="286">
        <v>1</v>
      </c>
      <c r="G41" s="286">
        <v>0</v>
      </c>
    </row>
    <row r="42" spans="1:7" s="3" customFormat="1" ht="16.5" customHeight="1" x14ac:dyDescent="0.15">
      <c r="A42" s="551" t="s">
        <v>158</v>
      </c>
      <c r="B42" s="552"/>
      <c r="C42" s="553"/>
      <c r="D42" s="288">
        <v>243</v>
      </c>
      <c r="E42" s="311">
        <v>279</v>
      </c>
      <c r="F42" s="286">
        <v>317</v>
      </c>
      <c r="G42" s="286">
        <v>336</v>
      </c>
    </row>
    <row r="43" spans="1:7" s="3" customFormat="1" ht="16.5" customHeight="1" x14ac:dyDescent="0.15">
      <c r="A43" s="551" t="s">
        <v>159</v>
      </c>
      <c r="B43" s="552"/>
      <c r="C43" s="553"/>
      <c r="D43" s="288">
        <v>313</v>
      </c>
      <c r="E43" s="311">
        <v>325</v>
      </c>
      <c r="F43" s="286">
        <v>123</v>
      </c>
      <c r="G43" s="286">
        <v>120</v>
      </c>
    </row>
    <row r="44" spans="1:7" s="3" customFormat="1" ht="16.5" customHeight="1" x14ac:dyDescent="0.15">
      <c r="A44" s="554" t="s">
        <v>160</v>
      </c>
      <c r="B44" s="555"/>
      <c r="C44" s="555"/>
      <c r="D44" s="206">
        <v>2037</v>
      </c>
      <c r="E44" s="210">
        <v>2089</v>
      </c>
      <c r="F44" s="207">
        <v>8518</v>
      </c>
      <c r="G44" s="207">
        <v>5195</v>
      </c>
    </row>
    <row r="45" spans="1:7" s="3" customFormat="1" ht="16.5" customHeight="1" x14ac:dyDescent="0.15">
      <c r="A45" s="3" t="s">
        <v>508</v>
      </c>
    </row>
  </sheetData>
  <sheetProtection algorithmName="SHA-512" hashValue="vm8P/7bCVWB9XZYTSb88TQU2l66aRMx9jKfaEFNTD0CDmpXmxkej8qc0kktw8UHUZLooAFu+GKd9MHBpxKWsdg==" saltValue="7l5+VLzwXGP43en0UBTO6w==" spinCount="100000" sheet="1" objects="1" scenarios="1"/>
  <mergeCells count="15">
    <mergeCell ref="B4:B5"/>
    <mergeCell ref="C4:G4"/>
    <mergeCell ref="H4:H5"/>
    <mergeCell ref="A14:H14"/>
    <mergeCell ref="A36:C36"/>
    <mergeCell ref="D36:E36"/>
    <mergeCell ref="F36:G36"/>
    <mergeCell ref="A43:C43"/>
    <mergeCell ref="A44:C44"/>
    <mergeCell ref="A37:C37"/>
    <mergeCell ref="A38:C38"/>
    <mergeCell ref="A39:C39"/>
    <mergeCell ref="A40:C40"/>
    <mergeCell ref="A41:C41"/>
    <mergeCell ref="A42:C42"/>
  </mergeCells>
  <phoneticPr fontId="5" type="noConversion"/>
  <pageMargins left="0.4" right="0.14000000000000001" top="0.44" bottom="0.3" header="0.5" footer="0.5"/>
  <pageSetup paperSize="9" scale="87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이름이 지정된 범위</vt:lpstr>
      </vt:variant>
      <vt:variant>
        <vt:i4>20</vt:i4>
      </vt:variant>
    </vt:vector>
  </HeadingPairs>
  <TitlesOfParts>
    <vt:vector size="4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2019-05-31T06:25:00Z</cp:lastPrinted>
  <dcterms:created xsi:type="dcterms:W3CDTF">2009-03-26T11:22:50Z</dcterms:created>
  <dcterms:modified xsi:type="dcterms:W3CDTF">2022-11-03T04:39:12Z</dcterms:modified>
</cp:coreProperties>
</file>